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6817B903-94B7-4D72-B921-D2436338FEAF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ei" sheetId="5" r:id="rId5"/>
    <sheet name="Juni" sheetId="6" r:id="rId6"/>
    <sheet name="Juli" sheetId="7" r:id="rId7"/>
    <sheet name="Inventory Cost" sheetId="8" r:id="rId8"/>
    <sheet name="Reject" sheetId="9" r:id="rId9"/>
  </sheets>
  <definedNames>
    <definedName name="_xlnm._FilterDatabase" localSheetId="3" hidden="1">Apr!$A$1:$R$167</definedName>
    <definedName name="_xlnm._FilterDatabase" localSheetId="1" hidden="1">Feb!$A$1:$R$181</definedName>
    <definedName name="_xlnm._FilterDatabase" localSheetId="0" hidden="1">Jan!$A$1:$S$145</definedName>
    <definedName name="_xlnm._FilterDatabase" localSheetId="6" hidden="1">Juli!$A$1:$N$159</definedName>
    <definedName name="_xlnm._FilterDatabase" localSheetId="5" hidden="1">Juni!$A$1:$R$169</definedName>
    <definedName name="_xlnm._FilterDatabase" localSheetId="2" hidden="1">Mar!$A$1:$R$168</definedName>
    <definedName name="_xlnm._FilterDatabase" localSheetId="4" hidden="1">Mei!$A$1:$R$169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DL9i5Xo6HXHFVgu1r6I3gVKJmbPme62/nog/WVnFqt4="/>
    </ext>
  </extLst>
</workbook>
</file>

<file path=xl/calcChain.xml><?xml version="1.0" encoding="utf-8"?>
<calcChain xmlns="http://schemas.openxmlformats.org/spreadsheetml/2006/main">
  <c r="D7" i="9" l="1"/>
  <c r="B6" i="9"/>
  <c r="E6" i="9" s="1"/>
  <c r="A6" i="9"/>
  <c r="B5" i="9"/>
  <c r="E5" i="9" s="1"/>
  <c r="A5" i="9"/>
  <c r="B4" i="9"/>
  <c r="E4" i="9" s="1"/>
  <c r="A4" i="9"/>
  <c r="B3" i="9"/>
  <c r="E3" i="9" s="1"/>
  <c r="A3" i="9"/>
  <c r="E2" i="9"/>
  <c r="B2" i="9"/>
  <c r="B7" i="9" s="1"/>
  <c r="A2" i="9"/>
  <c r="K160" i="7"/>
  <c r="J160" i="7"/>
  <c r="I160" i="7"/>
  <c r="I163" i="7" s="1"/>
  <c r="H160" i="7"/>
  <c r="G160" i="7"/>
  <c r="F160" i="7"/>
  <c r="E160" i="7"/>
  <c r="Q159" i="7"/>
  <c r="L159" i="7"/>
  <c r="R159" i="7" s="1"/>
  <c r="Q158" i="7"/>
  <c r="L158" i="7"/>
  <c r="R158" i="7" s="1"/>
  <c r="R157" i="7"/>
  <c r="Q157" i="7"/>
  <c r="L157" i="7"/>
  <c r="Q156" i="7"/>
  <c r="N156" i="7"/>
  <c r="L156" i="7"/>
  <c r="R156" i="7" s="1"/>
  <c r="R155" i="7"/>
  <c r="Q155" i="7"/>
  <c r="N155" i="7"/>
  <c r="L155" i="7"/>
  <c r="Q154" i="7"/>
  <c r="N154" i="7"/>
  <c r="L154" i="7"/>
  <c r="R154" i="7" s="1"/>
  <c r="R153" i="7"/>
  <c r="Q153" i="7"/>
  <c r="N153" i="7"/>
  <c r="L153" i="7"/>
  <c r="Q152" i="7"/>
  <c r="N152" i="7"/>
  <c r="L152" i="7"/>
  <c r="R152" i="7" s="1"/>
  <c r="R151" i="7"/>
  <c r="Q151" i="7"/>
  <c r="N151" i="7"/>
  <c r="L151" i="7"/>
  <c r="Q150" i="7"/>
  <c r="N150" i="7"/>
  <c r="L150" i="7"/>
  <c r="R150" i="7" s="1"/>
  <c r="R149" i="7"/>
  <c r="Q149" i="7"/>
  <c r="N149" i="7"/>
  <c r="L149" i="7"/>
  <c r="Q148" i="7"/>
  <c r="N148" i="7"/>
  <c r="L148" i="7"/>
  <c r="R148" i="7" s="1"/>
  <c r="R147" i="7"/>
  <c r="Q147" i="7"/>
  <c r="N147" i="7"/>
  <c r="L147" i="7"/>
  <c r="Q146" i="7"/>
  <c r="L146" i="7"/>
  <c r="R146" i="7" s="1"/>
  <c r="R145" i="7"/>
  <c r="Q145" i="7"/>
  <c r="L145" i="7"/>
  <c r="N145" i="7" s="1"/>
  <c r="Q144" i="7"/>
  <c r="L144" i="7"/>
  <c r="R144" i="7" s="1"/>
  <c r="R143" i="7"/>
  <c r="Q143" i="7"/>
  <c r="L143" i="7"/>
  <c r="N143" i="7" s="1"/>
  <c r="Q142" i="7"/>
  <c r="L142" i="7"/>
  <c r="R142" i="7" s="1"/>
  <c r="R141" i="7"/>
  <c r="Q141" i="7"/>
  <c r="L141" i="7"/>
  <c r="N141" i="7" s="1"/>
  <c r="R140" i="7"/>
  <c r="Q140" i="7"/>
  <c r="L140" i="7"/>
  <c r="R139" i="7"/>
  <c r="Q139" i="7"/>
  <c r="N139" i="7"/>
  <c r="L139" i="7"/>
  <c r="R138" i="7"/>
  <c r="Q138" i="7"/>
  <c r="N138" i="7"/>
  <c r="L138" i="7"/>
  <c r="R137" i="7"/>
  <c r="Q137" i="7"/>
  <c r="N137" i="7"/>
  <c r="L137" i="7"/>
  <c r="R136" i="7"/>
  <c r="Q136" i="7"/>
  <c r="N136" i="7"/>
  <c r="L136" i="7"/>
  <c r="R135" i="7"/>
  <c r="Q135" i="7"/>
  <c r="N135" i="7"/>
  <c r="L135" i="7"/>
  <c r="R134" i="7"/>
  <c r="Q134" i="7"/>
  <c r="N134" i="7"/>
  <c r="L134" i="7"/>
  <c r="R133" i="7"/>
  <c r="Q133" i="7"/>
  <c r="N133" i="7"/>
  <c r="L133" i="7"/>
  <c r="Q132" i="7"/>
  <c r="L132" i="7"/>
  <c r="R132" i="7" s="1"/>
  <c r="Q131" i="7"/>
  <c r="L131" i="7"/>
  <c r="R131" i="7" s="1"/>
  <c r="Q130" i="7"/>
  <c r="L130" i="7"/>
  <c r="R130" i="7" s="1"/>
  <c r="Q129" i="7"/>
  <c r="L129" i="7"/>
  <c r="R129" i="7" s="1"/>
  <c r="Q128" i="7"/>
  <c r="L128" i="7"/>
  <c r="R128" i="7" s="1"/>
  <c r="Q127" i="7"/>
  <c r="L127" i="7"/>
  <c r="R127" i="7" s="1"/>
  <c r="Q126" i="7"/>
  <c r="L126" i="7"/>
  <c r="R126" i="7" s="1"/>
  <c r="Q125" i="7"/>
  <c r="L125" i="7"/>
  <c r="R125" i="7" s="1"/>
  <c r="Q124" i="7"/>
  <c r="L124" i="7"/>
  <c r="R124" i="7" s="1"/>
  <c r="Q123" i="7"/>
  <c r="L123" i="7"/>
  <c r="R123" i="7" s="1"/>
  <c r="R122" i="7"/>
  <c r="Q122" i="7"/>
  <c r="N122" i="7"/>
  <c r="L122" i="7"/>
  <c r="Q121" i="7"/>
  <c r="N121" i="7"/>
  <c r="L121" i="7"/>
  <c r="R121" i="7" s="1"/>
  <c r="R120" i="7"/>
  <c r="Q120" i="7"/>
  <c r="N120" i="7"/>
  <c r="L120" i="7"/>
  <c r="Q119" i="7"/>
  <c r="L119" i="7"/>
  <c r="R119" i="7" s="1"/>
  <c r="R118" i="7"/>
  <c r="Q118" i="7"/>
  <c r="L118" i="7"/>
  <c r="N118" i="7" s="1"/>
  <c r="Q117" i="7"/>
  <c r="L117" i="7"/>
  <c r="R117" i="7" s="1"/>
  <c r="R116" i="7"/>
  <c r="Q116" i="7"/>
  <c r="L116" i="7"/>
  <c r="N116" i="7" s="1"/>
  <c r="Q115" i="7"/>
  <c r="L115" i="7"/>
  <c r="R115" i="7" s="1"/>
  <c r="R114" i="7"/>
  <c r="Q114" i="7"/>
  <c r="L114" i="7"/>
  <c r="N114" i="7" s="1"/>
  <c r="Q113" i="7"/>
  <c r="L113" i="7"/>
  <c r="R113" i="7" s="1"/>
  <c r="R112" i="7"/>
  <c r="Q112" i="7"/>
  <c r="L112" i="7"/>
  <c r="N112" i="7" s="1"/>
  <c r="Q111" i="7"/>
  <c r="L111" i="7"/>
  <c r="R111" i="7" s="1"/>
  <c r="Q110" i="7"/>
  <c r="L110" i="7"/>
  <c r="N110" i="7" s="1"/>
  <c r="Q109" i="7"/>
  <c r="L109" i="7"/>
  <c r="R109" i="7" s="1"/>
  <c r="Q108" i="7"/>
  <c r="L108" i="7"/>
  <c r="N108" i="7" s="1"/>
  <c r="Q107" i="7"/>
  <c r="L107" i="7"/>
  <c r="R107" i="7" s="1"/>
  <c r="Q106" i="7"/>
  <c r="L106" i="7"/>
  <c r="N106" i="7" s="1"/>
  <c r="R105" i="7"/>
  <c r="Q105" i="7"/>
  <c r="L105" i="7"/>
  <c r="R104" i="7"/>
  <c r="Q104" i="7"/>
  <c r="N104" i="7"/>
  <c r="L104" i="7"/>
  <c r="R103" i="7"/>
  <c r="Q103" i="7"/>
  <c r="L103" i="7"/>
  <c r="Q102" i="7"/>
  <c r="L102" i="7"/>
  <c r="R102" i="7" s="1"/>
  <c r="Q101" i="7"/>
  <c r="L101" i="7"/>
  <c r="R101" i="7" s="1"/>
  <c r="Q100" i="7"/>
  <c r="L100" i="7"/>
  <c r="R100" i="7" s="1"/>
  <c r="R99" i="7"/>
  <c r="Q99" i="7"/>
  <c r="L99" i="7"/>
  <c r="Q98" i="7"/>
  <c r="N98" i="7"/>
  <c r="L98" i="7"/>
  <c r="R98" i="7" s="1"/>
  <c r="R97" i="7"/>
  <c r="Q97" i="7"/>
  <c r="L97" i="7"/>
  <c r="Q96" i="7"/>
  <c r="L96" i="7"/>
  <c r="R96" i="7" s="1"/>
  <c r="Q95" i="7"/>
  <c r="L95" i="7"/>
  <c r="N95" i="7" s="1"/>
  <c r="Q94" i="7"/>
  <c r="L94" i="7"/>
  <c r="R94" i="7" s="1"/>
  <c r="Q93" i="7"/>
  <c r="L93" i="7"/>
  <c r="N93" i="7" s="1"/>
  <c r="Q92" i="7"/>
  <c r="L92" i="7"/>
  <c r="R92" i="7" s="1"/>
  <c r="Q91" i="7"/>
  <c r="L91" i="7"/>
  <c r="N91" i="7" s="1"/>
  <c r="Q90" i="7"/>
  <c r="L90" i="7"/>
  <c r="R90" i="7" s="1"/>
  <c r="R89" i="7"/>
  <c r="Q89" i="7"/>
  <c r="L89" i="7"/>
  <c r="R88" i="7"/>
  <c r="Q88" i="7"/>
  <c r="N88" i="7"/>
  <c r="L88" i="7"/>
  <c r="R87" i="7"/>
  <c r="Q87" i="7"/>
  <c r="N87" i="7"/>
  <c r="L87" i="7"/>
  <c r="R86" i="7"/>
  <c r="Q86" i="7"/>
  <c r="N86" i="7"/>
  <c r="L86" i="7"/>
  <c r="R85" i="7"/>
  <c r="Q85" i="7"/>
  <c r="N85" i="7"/>
  <c r="L85" i="7"/>
  <c r="R84" i="7"/>
  <c r="Q84" i="7"/>
  <c r="N84" i="7"/>
  <c r="L84" i="7"/>
  <c r="R83" i="7"/>
  <c r="Q83" i="7"/>
  <c r="N83" i="7"/>
  <c r="L83" i="7"/>
  <c r="R82" i="7"/>
  <c r="Q82" i="7"/>
  <c r="N82" i="7"/>
  <c r="L82" i="7"/>
  <c r="R81" i="7"/>
  <c r="Q81" i="7"/>
  <c r="N81" i="7"/>
  <c r="L81" i="7"/>
  <c r="R80" i="7"/>
  <c r="Q80" i="7"/>
  <c r="L80" i="7"/>
  <c r="Q79" i="7"/>
  <c r="L79" i="7"/>
  <c r="R79" i="7" s="1"/>
  <c r="R78" i="7"/>
  <c r="Q78" i="7"/>
  <c r="N78" i="7"/>
  <c r="L78" i="7"/>
  <c r="Q77" i="7"/>
  <c r="N77" i="7"/>
  <c r="L77" i="7"/>
  <c r="R77" i="7" s="1"/>
  <c r="R76" i="7"/>
  <c r="Q76" i="7"/>
  <c r="N76" i="7"/>
  <c r="L76" i="7"/>
  <c r="Q75" i="7"/>
  <c r="N75" i="7"/>
  <c r="L75" i="7"/>
  <c r="R75" i="7" s="1"/>
  <c r="R74" i="7"/>
  <c r="Q74" i="7"/>
  <c r="N74" i="7"/>
  <c r="L74" i="7"/>
  <c r="Q73" i="7"/>
  <c r="N73" i="7"/>
  <c r="L73" i="7"/>
  <c r="R73" i="7" s="1"/>
  <c r="R72" i="7"/>
  <c r="Q72" i="7"/>
  <c r="L72" i="7"/>
  <c r="Q71" i="7"/>
  <c r="L71" i="7"/>
  <c r="R71" i="7" s="1"/>
  <c r="R70" i="7"/>
  <c r="Q70" i="7"/>
  <c r="L70" i="7"/>
  <c r="R69" i="7"/>
  <c r="Q69" i="7"/>
  <c r="N69" i="7"/>
  <c r="L69" i="7"/>
  <c r="R68" i="7"/>
  <c r="Q68" i="7"/>
  <c r="N68" i="7"/>
  <c r="L68" i="7"/>
  <c r="R67" i="7"/>
  <c r="Q67" i="7"/>
  <c r="N67" i="7"/>
  <c r="L67" i="7"/>
  <c r="R66" i="7"/>
  <c r="Q66" i="7"/>
  <c r="N66" i="7"/>
  <c r="L66" i="7"/>
  <c r="R65" i="7"/>
  <c r="Q65" i="7"/>
  <c r="L65" i="7"/>
  <c r="Q64" i="7"/>
  <c r="L64" i="7"/>
  <c r="R64" i="7" s="1"/>
  <c r="Q63" i="7"/>
  <c r="L63" i="7"/>
  <c r="R63" i="7" s="1"/>
  <c r="Q62" i="7"/>
  <c r="L62" i="7"/>
  <c r="R62" i="7" s="1"/>
  <c r="Q61" i="7"/>
  <c r="L61" i="7"/>
  <c r="R61" i="7" s="1"/>
  <c r="Q60" i="7"/>
  <c r="L60" i="7"/>
  <c r="R60" i="7" s="1"/>
  <c r="Q59" i="7"/>
  <c r="L59" i="7"/>
  <c r="R59" i="7" s="1"/>
  <c r="Q58" i="7"/>
  <c r="L58" i="7"/>
  <c r="R58" i="7" s="1"/>
  <c r="R57" i="7"/>
  <c r="Q57" i="7"/>
  <c r="L57" i="7"/>
  <c r="Q56" i="7"/>
  <c r="L56" i="7"/>
  <c r="R56" i="7" s="1"/>
  <c r="R55" i="7"/>
  <c r="Q55" i="7"/>
  <c r="L55" i="7"/>
  <c r="R54" i="7"/>
  <c r="Q54" i="7"/>
  <c r="N54" i="7"/>
  <c r="L54" i="7"/>
  <c r="R53" i="7"/>
  <c r="Q53" i="7"/>
  <c r="N53" i="7"/>
  <c r="L53" i="7"/>
  <c r="R52" i="7"/>
  <c r="Q52" i="7"/>
  <c r="N52" i="7"/>
  <c r="L52" i="7"/>
  <c r="R51" i="7"/>
  <c r="Q51" i="7"/>
  <c r="N51" i="7"/>
  <c r="L51" i="7"/>
  <c r="R50" i="7"/>
  <c r="Q50" i="7"/>
  <c r="L50" i="7"/>
  <c r="Q49" i="7"/>
  <c r="L49" i="7"/>
  <c r="R49" i="7" s="1"/>
  <c r="Q48" i="7"/>
  <c r="L48" i="7"/>
  <c r="R48" i="7" s="1"/>
  <c r="Q47" i="7"/>
  <c r="L47" i="7"/>
  <c r="R47" i="7" s="1"/>
  <c r="R46" i="7"/>
  <c r="Q46" i="7"/>
  <c r="L46" i="7"/>
  <c r="Q45" i="7"/>
  <c r="N45" i="7"/>
  <c r="L45" i="7"/>
  <c r="R45" i="7" s="1"/>
  <c r="R44" i="7"/>
  <c r="Q44" i="7"/>
  <c r="N44" i="7"/>
  <c r="L44" i="7"/>
  <c r="Q43" i="7"/>
  <c r="N43" i="7"/>
  <c r="L43" i="7"/>
  <c r="R43" i="7" s="1"/>
  <c r="R42" i="7"/>
  <c r="Q42" i="7"/>
  <c r="N42" i="7"/>
  <c r="L42" i="7"/>
  <c r="Q41" i="7"/>
  <c r="N41" i="7"/>
  <c r="L41" i="7"/>
  <c r="R41" i="7" s="1"/>
  <c r="R40" i="7"/>
  <c r="Q40" i="7"/>
  <c r="L40" i="7"/>
  <c r="Q39" i="7"/>
  <c r="L39" i="7"/>
  <c r="R39" i="7" s="1"/>
  <c r="R38" i="7"/>
  <c r="Q38" i="7"/>
  <c r="L38" i="7"/>
  <c r="R37" i="7"/>
  <c r="Q37" i="7"/>
  <c r="L37" i="7"/>
  <c r="Q36" i="7"/>
  <c r="L36" i="7"/>
  <c r="R36" i="7" s="1"/>
  <c r="R35" i="7"/>
  <c r="Q35" i="7"/>
  <c r="L35" i="7"/>
  <c r="Q34" i="7"/>
  <c r="N34" i="7"/>
  <c r="L34" i="7"/>
  <c r="R34" i="7" s="1"/>
  <c r="R33" i="7"/>
  <c r="Q33" i="7"/>
  <c r="N33" i="7"/>
  <c r="L33" i="7"/>
  <c r="Q32" i="7"/>
  <c r="N32" i="7"/>
  <c r="L32" i="7"/>
  <c r="R32" i="7" s="1"/>
  <c r="R31" i="7"/>
  <c r="Q31" i="7"/>
  <c r="N31" i="7"/>
  <c r="L31" i="7"/>
  <c r="Q30" i="7"/>
  <c r="L30" i="7"/>
  <c r="R30" i="7" s="1"/>
  <c r="Q29" i="7"/>
  <c r="L29" i="7"/>
  <c r="N29" i="7" s="1"/>
  <c r="Q28" i="7"/>
  <c r="L28" i="7"/>
  <c r="R28" i="7" s="1"/>
  <c r="Q27" i="7"/>
  <c r="L27" i="7"/>
  <c r="N27" i="7" s="1"/>
  <c r="Q26" i="7"/>
  <c r="L26" i="7"/>
  <c r="R26" i="7" s="1"/>
  <c r="R25" i="7"/>
  <c r="Q25" i="7"/>
  <c r="L25" i="7"/>
  <c r="R24" i="7"/>
  <c r="Q24" i="7"/>
  <c r="L24" i="7"/>
  <c r="Q23" i="7"/>
  <c r="L23" i="7"/>
  <c r="R23" i="7" s="1"/>
  <c r="R22" i="7"/>
  <c r="Q22" i="7"/>
  <c r="N22" i="7"/>
  <c r="L22" i="7"/>
  <c r="Q21" i="7"/>
  <c r="L21" i="7"/>
  <c r="R21" i="7" s="1"/>
  <c r="Q20" i="7"/>
  <c r="L20" i="7"/>
  <c r="N20" i="7" s="1"/>
  <c r="Q19" i="7"/>
  <c r="L19" i="7"/>
  <c r="R19" i="7" s="1"/>
  <c r="Q18" i="7"/>
  <c r="L18" i="7"/>
  <c r="N18" i="7" s="1"/>
  <c r="Q17" i="7"/>
  <c r="L17" i="7"/>
  <c r="R17" i="7" s="1"/>
  <c r="Q16" i="7"/>
  <c r="L16" i="7"/>
  <c r="N16" i="7" s="1"/>
  <c r="Q15" i="7"/>
  <c r="L15" i="7"/>
  <c r="R15" i="7" s="1"/>
  <c r="Q14" i="7"/>
  <c r="L14" i="7"/>
  <c r="N14" i="7" s="1"/>
  <c r="R13" i="7"/>
  <c r="Q13" i="7"/>
  <c r="L13" i="7"/>
  <c r="R12" i="7"/>
  <c r="Q12" i="7"/>
  <c r="N12" i="7"/>
  <c r="L12" i="7"/>
  <c r="R11" i="7"/>
  <c r="Q11" i="7"/>
  <c r="N11" i="7"/>
  <c r="L11" i="7"/>
  <c r="R10" i="7"/>
  <c r="Q10" i="7"/>
  <c r="N10" i="7"/>
  <c r="L10" i="7"/>
  <c r="R9" i="7"/>
  <c r="Q9" i="7"/>
  <c r="N9" i="7"/>
  <c r="L9" i="7"/>
  <c r="R8" i="7"/>
  <c r="Q8" i="7"/>
  <c r="N8" i="7"/>
  <c r="L8" i="7"/>
  <c r="R7" i="7"/>
  <c r="Q7" i="7"/>
  <c r="N7" i="7"/>
  <c r="L7" i="7"/>
  <c r="R6" i="7"/>
  <c r="Q6" i="7"/>
  <c r="N6" i="7"/>
  <c r="L6" i="7"/>
  <c r="R5" i="7"/>
  <c r="Q5" i="7"/>
  <c r="N5" i="7"/>
  <c r="L5" i="7"/>
  <c r="R4" i="7"/>
  <c r="Q4" i="7"/>
  <c r="N4" i="7"/>
  <c r="L4" i="7"/>
  <c r="R3" i="7"/>
  <c r="Q3" i="7"/>
  <c r="N3" i="7"/>
  <c r="L3" i="7"/>
  <c r="Q2" i="7"/>
  <c r="Q160" i="7" s="1"/>
  <c r="L2" i="7"/>
  <c r="L160" i="7" s="1"/>
  <c r="N160" i="7" s="1"/>
  <c r="N160" i="6"/>
  <c r="L160" i="6"/>
  <c r="J160" i="6"/>
  <c r="I160" i="6"/>
  <c r="I162" i="6" s="1"/>
  <c r="H160" i="6"/>
  <c r="G160" i="6"/>
  <c r="F160" i="6"/>
  <c r="E160" i="6"/>
  <c r="R159" i="6"/>
  <c r="Q159" i="6"/>
  <c r="K159" i="6"/>
  <c r="R158" i="6"/>
  <c r="Q158" i="6"/>
  <c r="K158" i="6"/>
  <c r="R157" i="6"/>
  <c r="Q157" i="6"/>
  <c r="N157" i="6"/>
  <c r="K157" i="6"/>
  <c r="R156" i="6"/>
  <c r="Q156" i="6"/>
  <c r="N156" i="6"/>
  <c r="K156" i="6"/>
  <c r="R155" i="6"/>
  <c r="Q155" i="6"/>
  <c r="N155" i="6"/>
  <c r="K155" i="6"/>
  <c r="R154" i="6"/>
  <c r="Q154" i="6"/>
  <c r="N154" i="6"/>
  <c r="K154" i="6"/>
  <c r="R153" i="6"/>
  <c r="Q153" i="6"/>
  <c r="N153" i="6"/>
  <c r="K153" i="6"/>
  <c r="R152" i="6"/>
  <c r="Q152" i="6"/>
  <c r="N152" i="6"/>
  <c r="K152" i="6"/>
  <c r="R151" i="6"/>
  <c r="Q151" i="6"/>
  <c r="N151" i="6"/>
  <c r="K151" i="6"/>
  <c r="R150" i="6"/>
  <c r="Q150" i="6"/>
  <c r="N150" i="6"/>
  <c r="K150" i="6"/>
  <c r="R149" i="6"/>
  <c r="Q149" i="6"/>
  <c r="N149" i="6"/>
  <c r="K149" i="6"/>
  <c r="R148" i="6"/>
  <c r="Q148" i="6"/>
  <c r="N148" i="6"/>
  <c r="K148" i="6"/>
  <c r="R147" i="6"/>
  <c r="Q147" i="6"/>
  <c r="N147" i="6"/>
  <c r="K147" i="6"/>
  <c r="R146" i="6"/>
  <c r="Q146" i="6"/>
  <c r="N146" i="6"/>
  <c r="K146" i="6"/>
  <c r="R145" i="6"/>
  <c r="Q145" i="6"/>
  <c r="N145" i="6"/>
  <c r="K145" i="6"/>
  <c r="R144" i="6"/>
  <c r="Q144" i="6"/>
  <c r="K144" i="6"/>
  <c r="R143" i="6"/>
  <c r="Q143" i="6"/>
  <c r="N143" i="6"/>
  <c r="K143" i="6"/>
  <c r="R142" i="6"/>
  <c r="Q142" i="6"/>
  <c r="N142" i="6"/>
  <c r="K142" i="6"/>
  <c r="R141" i="6"/>
  <c r="Q141" i="6"/>
  <c r="N141" i="6"/>
  <c r="K141" i="6"/>
  <c r="R140" i="6"/>
  <c r="Q140" i="6"/>
  <c r="N140" i="6"/>
  <c r="K140" i="6"/>
  <c r="R139" i="6"/>
  <c r="Q139" i="6"/>
  <c r="N139" i="6"/>
  <c r="K139" i="6"/>
  <c r="R138" i="6"/>
  <c r="Q138" i="6"/>
  <c r="N138" i="6"/>
  <c r="K138" i="6"/>
  <c r="R137" i="6"/>
  <c r="Q137" i="6"/>
  <c r="N137" i="6"/>
  <c r="K137" i="6"/>
  <c r="R136" i="6"/>
  <c r="Q136" i="6"/>
  <c r="N136" i="6"/>
  <c r="K136" i="6"/>
  <c r="R135" i="6"/>
  <c r="Q135" i="6"/>
  <c r="N135" i="6"/>
  <c r="K135" i="6"/>
  <c r="R134" i="6"/>
  <c r="Q134" i="6"/>
  <c r="N134" i="6"/>
  <c r="K134" i="6"/>
  <c r="R133" i="6"/>
  <c r="Q133" i="6"/>
  <c r="K133" i="6"/>
  <c r="R132" i="6"/>
  <c r="Q132" i="6"/>
  <c r="K132" i="6"/>
  <c r="R131" i="6"/>
  <c r="Q131" i="6"/>
  <c r="N131" i="6"/>
  <c r="K131" i="6"/>
  <c r="R130" i="6"/>
  <c r="Q130" i="6"/>
  <c r="N130" i="6"/>
  <c r="K130" i="6"/>
  <c r="R129" i="6"/>
  <c r="Q129" i="6"/>
  <c r="K129" i="6"/>
  <c r="R128" i="6"/>
  <c r="Q128" i="6"/>
  <c r="N128" i="6"/>
  <c r="K128" i="6"/>
  <c r="R127" i="6"/>
  <c r="Q127" i="6"/>
  <c r="N127" i="6"/>
  <c r="K127" i="6"/>
  <c r="R126" i="6"/>
  <c r="Q126" i="6"/>
  <c r="N126" i="6"/>
  <c r="K126" i="6"/>
  <c r="R125" i="6"/>
  <c r="Q125" i="6"/>
  <c r="N125" i="6"/>
  <c r="K125" i="6"/>
  <c r="R124" i="6"/>
  <c r="Q124" i="6"/>
  <c r="N124" i="6"/>
  <c r="K124" i="6"/>
  <c r="R123" i="6"/>
  <c r="Q123" i="6"/>
  <c r="K123" i="6"/>
  <c r="R122" i="6"/>
  <c r="Q122" i="6"/>
  <c r="K122" i="6"/>
  <c r="R121" i="6"/>
  <c r="Q121" i="6"/>
  <c r="N121" i="6"/>
  <c r="K121" i="6"/>
  <c r="R120" i="6"/>
  <c r="Q120" i="6"/>
  <c r="N120" i="6"/>
  <c r="K120" i="6"/>
  <c r="R119" i="6"/>
  <c r="Q119" i="6"/>
  <c r="N119" i="6"/>
  <c r="K119" i="6"/>
  <c r="R118" i="6"/>
  <c r="Q118" i="6"/>
  <c r="N118" i="6"/>
  <c r="K118" i="6"/>
  <c r="R117" i="6"/>
  <c r="Q117" i="6"/>
  <c r="N117" i="6"/>
  <c r="K117" i="6"/>
  <c r="R116" i="6"/>
  <c r="Q116" i="6"/>
  <c r="K116" i="6"/>
  <c r="R115" i="6"/>
  <c r="Q115" i="6"/>
  <c r="N115" i="6"/>
  <c r="K115" i="6"/>
  <c r="R114" i="6"/>
  <c r="Q114" i="6"/>
  <c r="N114" i="6"/>
  <c r="K114" i="6"/>
  <c r="R113" i="6"/>
  <c r="Q113" i="6"/>
  <c r="N113" i="6"/>
  <c r="K113" i="6"/>
  <c r="R112" i="6"/>
  <c r="Q112" i="6"/>
  <c r="N112" i="6"/>
  <c r="K112" i="6"/>
  <c r="R111" i="6"/>
  <c r="Q111" i="6"/>
  <c r="N111" i="6"/>
  <c r="K111" i="6"/>
  <c r="R110" i="6"/>
  <c r="Q110" i="6"/>
  <c r="N110" i="6"/>
  <c r="K110" i="6"/>
  <c r="R109" i="6"/>
  <c r="Q109" i="6"/>
  <c r="N109" i="6"/>
  <c r="K109" i="6"/>
  <c r="R108" i="6"/>
  <c r="Q108" i="6"/>
  <c r="N108" i="6"/>
  <c r="K108" i="6"/>
  <c r="R107" i="6"/>
  <c r="Q107" i="6"/>
  <c r="N107" i="6"/>
  <c r="K107" i="6"/>
  <c r="R106" i="6"/>
  <c r="Q106" i="6"/>
  <c r="N106" i="6"/>
  <c r="K106" i="6"/>
  <c r="R105" i="6"/>
  <c r="Q105" i="6"/>
  <c r="N105" i="6"/>
  <c r="K105" i="6"/>
  <c r="R104" i="6"/>
  <c r="Q104" i="6"/>
  <c r="N104" i="6"/>
  <c r="K104" i="6"/>
  <c r="R103" i="6"/>
  <c r="Q103" i="6"/>
  <c r="N103" i="6"/>
  <c r="K103" i="6"/>
  <c r="R102" i="6"/>
  <c r="Q102" i="6"/>
  <c r="N102" i="6"/>
  <c r="K102" i="6"/>
  <c r="R101" i="6"/>
  <c r="Q101" i="6"/>
  <c r="N101" i="6"/>
  <c r="K101" i="6"/>
  <c r="R100" i="6"/>
  <c r="Q100" i="6"/>
  <c r="N100" i="6"/>
  <c r="K100" i="6"/>
  <c r="R99" i="6"/>
  <c r="Q99" i="6"/>
  <c r="K99" i="6"/>
  <c r="R98" i="6"/>
  <c r="Q98" i="6"/>
  <c r="N98" i="6"/>
  <c r="K98" i="6"/>
  <c r="R97" i="6"/>
  <c r="Q97" i="6"/>
  <c r="N97" i="6"/>
  <c r="K97" i="6"/>
  <c r="R96" i="6"/>
  <c r="Q96" i="6"/>
  <c r="N96" i="6"/>
  <c r="K96" i="6"/>
  <c r="R95" i="6"/>
  <c r="Q95" i="6"/>
  <c r="N95" i="6"/>
  <c r="K95" i="6"/>
  <c r="R94" i="6"/>
  <c r="Q94" i="6"/>
  <c r="N94" i="6"/>
  <c r="K94" i="6"/>
  <c r="R93" i="6"/>
  <c r="Q93" i="6"/>
  <c r="N93" i="6"/>
  <c r="K93" i="6"/>
  <c r="R92" i="6"/>
  <c r="Q92" i="6"/>
  <c r="N92" i="6"/>
  <c r="K92" i="6"/>
  <c r="R91" i="6"/>
  <c r="Q91" i="6"/>
  <c r="N91" i="6"/>
  <c r="K91" i="6"/>
  <c r="R90" i="6"/>
  <c r="Q90" i="6"/>
  <c r="N90" i="6"/>
  <c r="K90" i="6"/>
  <c r="R89" i="6"/>
  <c r="Q89" i="6"/>
  <c r="N89" i="6"/>
  <c r="K89" i="6"/>
  <c r="R88" i="6"/>
  <c r="Q88" i="6"/>
  <c r="N88" i="6"/>
  <c r="K88" i="6"/>
  <c r="R87" i="6"/>
  <c r="Q87" i="6"/>
  <c r="K87" i="6"/>
  <c r="R86" i="6"/>
  <c r="Q86" i="6"/>
  <c r="N86" i="6"/>
  <c r="K86" i="6"/>
  <c r="R85" i="6"/>
  <c r="Q85" i="6"/>
  <c r="N85" i="6"/>
  <c r="K85" i="6"/>
  <c r="R84" i="6"/>
  <c r="Q84" i="6"/>
  <c r="N84" i="6"/>
  <c r="K84" i="6"/>
  <c r="R83" i="6"/>
  <c r="Q83" i="6"/>
  <c r="N83" i="6"/>
  <c r="K83" i="6"/>
  <c r="R82" i="6"/>
  <c r="Q82" i="6"/>
  <c r="N82" i="6"/>
  <c r="K82" i="6"/>
  <c r="R81" i="6"/>
  <c r="Q81" i="6"/>
  <c r="N81" i="6"/>
  <c r="K81" i="6"/>
  <c r="R80" i="6"/>
  <c r="Q80" i="6"/>
  <c r="N80" i="6"/>
  <c r="K80" i="6"/>
  <c r="R79" i="6"/>
  <c r="Q79" i="6"/>
  <c r="N79" i="6"/>
  <c r="K79" i="6"/>
  <c r="R78" i="6"/>
  <c r="Q78" i="6"/>
  <c r="N78" i="6"/>
  <c r="K78" i="6"/>
  <c r="R77" i="6"/>
  <c r="Q77" i="6"/>
  <c r="K77" i="6"/>
  <c r="R76" i="6"/>
  <c r="Q76" i="6"/>
  <c r="K76" i="6"/>
  <c r="R75" i="6"/>
  <c r="Q75" i="6"/>
  <c r="N75" i="6"/>
  <c r="K75" i="6"/>
  <c r="R74" i="6"/>
  <c r="Q74" i="6"/>
  <c r="N74" i="6"/>
  <c r="K74" i="6"/>
  <c r="R73" i="6"/>
  <c r="Q73" i="6"/>
  <c r="N73" i="6"/>
  <c r="K73" i="6"/>
  <c r="R72" i="6"/>
  <c r="Q72" i="6"/>
  <c r="N72" i="6"/>
  <c r="K72" i="6"/>
  <c r="R71" i="6"/>
  <c r="Q71" i="6"/>
  <c r="N71" i="6"/>
  <c r="K71" i="6"/>
  <c r="R70" i="6"/>
  <c r="Q70" i="6"/>
  <c r="N70" i="6"/>
  <c r="K70" i="6"/>
  <c r="R69" i="6"/>
  <c r="Q69" i="6"/>
  <c r="N69" i="6"/>
  <c r="K69" i="6"/>
  <c r="R68" i="6"/>
  <c r="Q68" i="6"/>
  <c r="N68" i="6"/>
  <c r="K68" i="6"/>
  <c r="R67" i="6"/>
  <c r="Q67" i="6"/>
  <c r="N67" i="6"/>
  <c r="K67" i="6"/>
  <c r="R66" i="6"/>
  <c r="Q66" i="6"/>
  <c r="N66" i="6"/>
  <c r="K66" i="6"/>
  <c r="R65" i="6"/>
  <c r="Q65" i="6"/>
  <c r="K65" i="6"/>
  <c r="R64" i="6"/>
  <c r="Q64" i="6"/>
  <c r="N64" i="6"/>
  <c r="K64" i="6"/>
  <c r="R63" i="6"/>
  <c r="Q63" i="6"/>
  <c r="N63" i="6"/>
  <c r="K63" i="6"/>
  <c r="R62" i="6"/>
  <c r="Q62" i="6"/>
  <c r="N62" i="6"/>
  <c r="K62" i="6"/>
  <c r="R61" i="6"/>
  <c r="Q61" i="6"/>
  <c r="N61" i="6"/>
  <c r="K61" i="6"/>
  <c r="R60" i="6"/>
  <c r="Q60" i="6"/>
  <c r="N60" i="6"/>
  <c r="K60" i="6"/>
  <c r="R59" i="6"/>
  <c r="Q59" i="6"/>
  <c r="N59" i="6"/>
  <c r="K59" i="6"/>
  <c r="R58" i="6"/>
  <c r="Q58" i="6"/>
  <c r="N58" i="6"/>
  <c r="K58" i="6"/>
  <c r="K160" i="6" s="1"/>
  <c r="R57" i="6"/>
  <c r="Q57" i="6"/>
  <c r="N57" i="6"/>
  <c r="K57" i="6"/>
  <c r="R56" i="6"/>
  <c r="Q56" i="6"/>
  <c r="K56" i="6"/>
  <c r="R55" i="6"/>
  <c r="Q55" i="6"/>
  <c r="N55" i="6"/>
  <c r="K55" i="6"/>
  <c r="R54" i="6"/>
  <c r="Q54" i="6"/>
  <c r="N54" i="6"/>
  <c r="K54" i="6"/>
  <c r="R53" i="6"/>
  <c r="Q53" i="6"/>
  <c r="N53" i="6"/>
  <c r="K53" i="6"/>
  <c r="R52" i="6"/>
  <c r="Q52" i="6"/>
  <c r="N52" i="6"/>
  <c r="K52" i="6"/>
  <c r="R51" i="6"/>
  <c r="Q51" i="6"/>
  <c r="N51" i="6"/>
  <c r="K51" i="6"/>
  <c r="R50" i="6"/>
  <c r="Q50" i="6"/>
  <c r="K50" i="6"/>
  <c r="R49" i="6"/>
  <c r="Q49" i="6"/>
  <c r="N49" i="6"/>
  <c r="K49" i="6"/>
  <c r="R48" i="6"/>
  <c r="Q48" i="6"/>
  <c r="N48" i="6"/>
  <c r="K48" i="6"/>
  <c r="R47" i="6"/>
  <c r="Q47" i="6"/>
  <c r="N47" i="6"/>
  <c r="K47" i="6"/>
  <c r="R46" i="6"/>
  <c r="Q46" i="6"/>
  <c r="N46" i="6"/>
  <c r="K46" i="6"/>
  <c r="R45" i="6"/>
  <c r="Q45" i="6"/>
  <c r="N45" i="6"/>
  <c r="K45" i="6"/>
  <c r="R44" i="6"/>
  <c r="Q44" i="6"/>
  <c r="N44" i="6"/>
  <c r="K44" i="6"/>
  <c r="R43" i="6"/>
  <c r="Q43" i="6"/>
  <c r="N43" i="6"/>
  <c r="K43" i="6"/>
  <c r="R42" i="6"/>
  <c r="Q42" i="6"/>
  <c r="N42" i="6"/>
  <c r="K42" i="6"/>
  <c r="R41" i="6"/>
  <c r="Q41" i="6"/>
  <c r="N41" i="6"/>
  <c r="K41" i="6"/>
  <c r="R40" i="6"/>
  <c r="Q40" i="6"/>
  <c r="K40" i="6"/>
  <c r="R39" i="6"/>
  <c r="Q39" i="6"/>
  <c r="N39" i="6"/>
  <c r="K39" i="6"/>
  <c r="R38" i="6"/>
  <c r="Q38" i="6"/>
  <c r="K38" i="6"/>
  <c r="R37" i="6"/>
  <c r="Q37" i="6"/>
  <c r="K37" i="6"/>
  <c r="R36" i="6"/>
  <c r="Q36" i="6"/>
  <c r="N36" i="6"/>
  <c r="K36" i="6"/>
  <c r="R35" i="6"/>
  <c r="Q35" i="6"/>
  <c r="K35" i="6"/>
  <c r="R34" i="6"/>
  <c r="Q34" i="6"/>
  <c r="N34" i="6"/>
  <c r="K34" i="6"/>
  <c r="R33" i="6"/>
  <c r="Q33" i="6"/>
  <c r="N33" i="6"/>
  <c r="K33" i="6"/>
  <c r="R32" i="6"/>
  <c r="Q32" i="6"/>
  <c r="N32" i="6"/>
  <c r="K32" i="6"/>
  <c r="R31" i="6"/>
  <c r="Q31" i="6"/>
  <c r="N31" i="6"/>
  <c r="K31" i="6"/>
  <c r="R30" i="6"/>
  <c r="Q30" i="6"/>
  <c r="K30" i="6"/>
  <c r="R29" i="6"/>
  <c r="Q29" i="6"/>
  <c r="N29" i="6"/>
  <c r="K29" i="6"/>
  <c r="R28" i="6"/>
  <c r="Q28" i="6"/>
  <c r="N28" i="6"/>
  <c r="K28" i="6"/>
  <c r="R27" i="6"/>
  <c r="Q27" i="6"/>
  <c r="N27" i="6"/>
  <c r="K27" i="6"/>
  <c r="R26" i="6"/>
  <c r="Q26" i="6"/>
  <c r="N26" i="6"/>
  <c r="K26" i="6"/>
  <c r="R25" i="6"/>
  <c r="Q25" i="6"/>
  <c r="K25" i="6"/>
  <c r="R24" i="6"/>
  <c r="Q24" i="6"/>
  <c r="K24" i="6"/>
  <c r="R23" i="6"/>
  <c r="Q23" i="6"/>
  <c r="K23" i="6"/>
  <c r="R22" i="6"/>
  <c r="Q22" i="6"/>
  <c r="N22" i="6"/>
  <c r="K22" i="6"/>
  <c r="R21" i="6"/>
  <c r="Q21" i="6"/>
  <c r="N21" i="6"/>
  <c r="K21" i="6"/>
  <c r="R20" i="6"/>
  <c r="Q20" i="6"/>
  <c r="N20" i="6"/>
  <c r="K20" i="6"/>
  <c r="R19" i="6"/>
  <c r="Q19" i="6"/>
  <c r="N19" i="6"/>
  <c r="K19" i="6"/>
  <c r="R18" i="6"/>
  <c r="Q18" i="6"/>
  <c r="N18" i="6"/>
  <c r="K18" i="6"/>
  <c r="R17" i="6"/>
  <c r="Q17" i="6"/>
  <c r="N17" i="6"/>
  <c r="K17" i="6"/>
  <c r="R16" i="6"/>
  <c r="Q16" i="6"/>
  <c r="N16" i="6"/>
  <c r="K16" i="6"/>
  <c r="R15" i="6"/>
  <c r="Q15" i="6"/>
  <c r="N15" i="6"/>
  <c r="K15" i="6"/>
  <c r="R14" i="6"/>
  <c r="Q14" i="6"/>
  <c r="N14" i="6"/>
  <c r="K14" i="6"/>
  <c r="R13" i="6"/>
  <c r="Q13" i="6"/>
  <c r="K13" i="6"/>
  <c r="R12" i="6"/>
  <c r="Q12" i="6"/>
  <c r="N12" i="6"/>
  <c r="K12" i="6"/>
  <c r="R11" i="6"/>
  <c r="Q11" i="6"/>
  <c r="N11" i="6"/>
  <c r="K11" i="6"/>
  <c r="R10" i="6"/>
  <c r="Q10" i="6"/>
  <c r="N10" i="6"/>
  <c r="K10" i="6"/>
  <c r="R9" i="6"/>
  <c r="Q9" i="6"/>
  <c r="N9" i="6"/>
  <c r="K9" i="6"/>
  <c r="R8" i="6"/>
  <c r="Q8" i="6"/>
  <c r="N8" i="6"/>
  <c r="K8" i="6"/>
  <c r="R7" i="6"/>
  <c r="Q7" i="6"/>
  <c r="N7" i="6"/>
  <c r="K7" i="6"/>
  <c r="R6" i="6"/>
  <c r="Q6" i="6"/>
  <c r="N6" i="6"/>
  <c r="K6" i="6"/>
  <c r="R5" i="6"/>
  <c r="Q5" i="6"/>
  <c r="N5" i="6"/>
  <c r="K5" i="6"/>
  <c r="R4" i="6"/>
  <c r="Q4" i="6"/>
  <c r="N4" i="6"/>
  <c r="K4" i="6"/>
  <c r="R3" i="6"/>
  <c r="Q3" i="6"/>
  <c r="N3" i="6"/>
  <c r="K3" i="6"/>
  <c r="R2" i="6"/>
  <c r="R160" i="6" s="1"/>
  <c r="Q2" i="6"/>
  <c r="Q160" i="6" s="1"/>
  <c r="K2" i="6"/>
  <c r="L161" i="5"/>
  <c r="J161" i="5"/>
  <c r="I161" i="5"/>
  <c r="N161" i="5" s="1"/>
  <c r="H161" i="5"/>
  <c r="G161" i="5"/>
  <c r="F161" i="5"/>
  <c r="E161" i="5"/>
  <c r="R160" i="5"/>
  <c r="Q160" i="5"/>
  <c r="N160" i="5"/>
  <c r="K160" i="5"/>
  <c r="R159" i="5"/>
  <c r="Q159" i="5"/>
  <c r="N159" i="5"/>
  <c r="K159" i="5"/>
  <c r="R158" i="5"/>
  <c r="Q158" i="5"/>
  <c r="N158" i="5"/>
  <c r="K158" i="5"/>
  <c r="R157" i="5"/>
  <c r="Q157" i="5"/>
  <c r="N157" i="5"/>
  <c r="K157" i="5"/>
  <c r="R156" i="5"/>
  <c r="Q156" i="5"/>
  <c r="N156" i="5"/>
  <c r="K156" i="5"/>
  <c r="R155" i="5"/>
  <c r="Q155" i="5"/>
  <c r="N155" i="5"/>
  <c r="K155" i="5"/>
  <c r="R154" i="5"/>
  <c r="Q154" i="5"/>
  <c r="N154" i="5"/>
  <c r="K154" i="5"/>
  <c r="R153" i="5"/>
  <c r="Q153" i="5"/>
  <c r="N153" i="5"/>
  <c r="K153" i="5"/>
  <c r="R152" i="5"/>
  <c r="Q152" i="5"/>
  <c r="N152" i="5"/>
  <c r="K152" i="5"/>
  <c r="R151" i="5"/>
  <c r="Q151" i="5"/>
  <c r="N151" i="5"/>
  <c r="K151" i="5"/>
  <c r="R150" i="5"/>
  <c r="Q150" i="5"/>
  <c r="N150" i="5"/>
  <c r="K150" i="5"/>
  <c r="R149" i="5"/>
  <c r="Q149" i="5"/>
  <c r="N149" i="5"/>
  <c r="K149" i="5"/>
  <c r="R148" i="5"/>
  <c r="Q148" i="5"/>
  <c r="N148" i="5"/>
  <c r="K148" i="5"/>
  <c r="R147" i="5"/>
  <c r="Q147" i="5"/>
  <c r="N147" i="5"/>
  <c r="K147" i="5"/>
  <c r="R146" i="5"/>
  <c r="Q146" i="5"/>
  <c r="N146" i="5"/>
  <c r="K146" i="5"/>
  <c r="R145" i="5"/>
  <c r="Q145" i="5"/>
  <c r="N145" i="5"/>
  <c r="K145" i="5"/>
  <c r="R144" i="5"/>
  <c r="Q144" i="5"/>
  <c r="N144" i="5"/>
  <c r="K144" i="5"/>
  <c r="R143" i="5"/>
  <c r="Q143" i="5"/>
  <c r="N143" i="5"/>
  <c r="K143" i="5"/>
  <c r="R142" i="5"/>
  <c r="Q142" i="5"/>
  <c r="N142" i="5"/>
  <c r="K142" i="5"/>
  <c r="R141" i="5"/>
  <c r="Q141" i="5"/>
  <c r="N141" i="5"/>
  <c r="K141" i="5"/>
  <c r="R140" i="5"/>
  <c r="Q140" i="5"/>
  <c r="N140" i="5"/>
  <c r="K140" i="5"/>
  <c r="R139" i="5"/>
  <c r="Q139" i="5"/>
  <c r="N139" i="5"/>
  <c r="K139" i="5"/>
  <c r="R138" i="5"/>
  <c r="Q138" i="5"/>
  <c r="N138" i="5"/>
  <c r="K138" i="5"/>
  <c r="R137" i="5"/>
  <c r="Q137" i="5"/>
  <c r="N137" i="5"/>
  <c r="K137" i="5"/>
  <c r="R136" i="5"/>
  <c r="Q136" i="5"/>
  <c r="N136" i="5"/>
  <c r="K136" i="5"/>
  <c r="R135" i="5"/>
  <c r="Q135" i="5"/>
  <c r="N135" i="5"/>
  <c r="K135" i="5"/>
  <c r="R134" i="5"/>
  <c r="Q134" i="5"/>
  <c r="N134" i="5"/>
  <c r="K134" i="5"/>
  <c r="R133" i="5"/>
  <c r="Q133" i="5"/>
  <c r="N133" i="5"/>
  <c r="K133" i="5"/>
  <c r="R132" i="5"/>
  <c r="Q132" i="5"/>
  <c r="N132" i="5"/>
  <c r="K132" i="5"/>
  <c r="R131" i="5"/>
  <c r="Q131" i="5"/>
  <c r="N131" i="5"/>
  <c r="K131" i="5"/>
  <c r="R130" i="5"/>
  <c r="Q130" i="5"/>
  <c r="K130" i="5"/>
  <c r="R129" i="5"/>
  <c r="Q129" i="5"/>
  <c r="N129" i="5"/>
  <c r="K129" i="5"/>
  <c r="R128" i="5"/>
  <c r="Q128" i="5"/>
  <c r="N128" i="5"/>
  <c r="K128" i="5"/>
  <c r="R127" i="5"/>
  <c r="Q127" i="5"/>
  <c r="N127" i="5"/>
  <c r="K127" i="5"/>
  <c r="R126" i="5"/>
  <c r="Q126" i="5"/>
  <c r="N126" i="5"/>
  <c r="K126" i="5"/>
  <c r="R125" i="5"/>
  <c r="Q125" i="5"/>
  <c r="N125" i="5"/>
  <c r="K125" i="5"/>
  <c r="R124" i="5"/>
  <c r="Q124" i="5"/>
  <c r="N124" i="5"/>
  <c r="K124" i="5"/>
  <c r="R123" i="5"/>
  <c r="Q123" i="5"/>
  <c r="N123" i="5"/>
  <c r="K123" i="5"/>
  <c r="R122" i="5"/>
  <c r="Q122" i="5"/>
  <c r="N122" i="5"/>
  <c r="K122" i="5"/>
  <c r="R121" i="5"/>
  <c r="Q121" i="5"/>
  <c r="K121" i="5"/>
  <c r="R120" i="5"/>
  <c r="Q120" i="5"/>
  <c r="K120" i="5"/>
  <c r="R119" i="5"/>
  <c r="Q119" i="5"/>
  <c r="K119" i="5"/>
  <c r="R118" i="5"/>
  <c r="Q118" i="5"/>
  <c r="N118" i="5"/>
  <c r="K118" i="5"/>
  <c r="R117" i="5"/>
  <c r="Q117" i="5"/>
  <c r="K117" i="5"/>
  <c r="R116" i="5"/>
  <c r="Q116" i="5"/>
  <c r="N116" i="5"/>
  <c r="K116" i="5"/>
  <c r="R115" i="5"/>
  <c r="Q115" i="5"/>
  <c r="N115" i="5"/>
  <c r="K115" i="5"/>
  <c r="R114" i="5"/>
  <c r="Q114" i="5"/>
  <c r="N114" i="5"/>
  <c r="K114" i="5"/>
  <c r="R113" i="5"/>
  <c r="Q113" i="5"/>
  <c r="N113" i="5"/>
  <c r="K113" i="5"/>
  <c r="R112" i="5"/>
  <c r="Q112" i="5"/>
  <c r="N112" i="5"/>
  <c r="K112" i="5"/>
  <c r="R111" i="5"/>
  <c r="Q111" i="5"/>
  <c r="N111" i="5"/>
  <c r="K111" i="5"/>
  <c r="R110" i="5"/>
  <c r="Q110" i="5"/>
  <c r="K110" i="5"/>
  <c r="R109" i="5"/>
  <c r="Q109" i="5"/>
  <c r="N109" i="5"/>
  <c r="K109" i="5"/>
  <c r="R108" i="5"/>
  <c r="Q108" i="5"/>
  <c r="N108" i="5"/>
  <c r="K108" i="5"/>
  <c r="R107" i="5"/>
  <c r="Q107" i="5"/>
  <c r="N107" i="5"/>
  <c r="K107" i="5"/>
  <c r="R106" i="5"/>
  <c r="Q106" i="5"/>
  <c r="N106" i="5"/>
  <c r="K106" i="5"/>
  <c r="R105" i="5"/>
  <c r="Q105" i="5"/>
  <c r="N105" i="5"/>
  <c r="K105" i="5"/>
  <c r="R104" i="5"/>
  <c r="Q104" i="5"/>
  <c r="N104" i="5"/>
  <c r="K104" i="5"/>
  <c r="R103" i="5"/>
  <c r="Q103" i="5"/>
  <c r="N103" i="5"/>
  <c r="K103" i="5"/>
  <c r="R102" i="5"/>
  <c r="Q102" i="5"/>
  <c r="N102" i="5"/>
  <c r="K102" i="5"/>
  <c r="R101" i="5"/>
  <c r="Q101" i="5"/>
  <c r="N101" i="5"/>
  <c r="K101" i="5"/>
  <c r="R100" i="5"/>
  <c r="Q100" i="5"/>
  <c r="N100" i="5"/>
  <c r="K100" i="5"/>
  <c r="R99" i="5"/>
  <c r="Q99" i="5"/>
  <c r="N99" i="5"/>
  <c r="K99" i="5"/>
  <c r="R98" i="5"/>
  <c r="Q98" i="5"/>
  <c r="N98" i="5"/>
  <c r="K98" i="5"/>
  <c r="R97" i="5"/>
  <c r="Q97" i="5"/>
  <c r="N97" i="5"/>
  <c r="K97" i="5"/>
  <c r="R96" i="5"/>
  <c r="Q96" i="5"/>
  <c r="N96" i="5"/>
  <c r="K96" i="5"/>
  <c r="R95" i="5"/>
  <c r="Q95" i="5"/>
  <c r="N95" i="5"/>
  <c r="K95" i="5"/>
  <c r="R94" i="5"/>
  <c r="Q94" i="5"/>
  <c r="N94" i="5"/>
  <c r="K94" i="5"/>
  <c r="R93" i="5"/>
  <c r="Q93" i="5"/>
  <c r="N93" i="5"/>
  <c r="K93" i="5"/>
  <c r="R92" i="5"/>
  <c r="Q92" i="5"/>
  <c r="N92" i="5"/>
  <c r="K92" i="5"/>
  <c r="R91" i="5"/>
  <c r="Q91" i="5"/>
  <c r="N91" i="5"/>
  <c r="K91" i="5"/>
  <c r="R90" i="5"/>
  <c r="Q90" i="5"/>
  <c r="N90" i="5"/>
  <c r="K90" i="5"/>
  <c r="R89" i="5"/>
  <c r="Q89" i="5"/>
  <c r="N89" i="5"/>
  <c r="K89" i="5"/>
  <c r="R88" i="5"/>
  <c r="Q88" i="5"/>
  <c r="N88" i="5"/>
  <c r="K88" i="5"/>
  <c r="R87" i="5"/>
  <c r="Q87" i="5"/>
  <c r="N87" i="5"/>
  <c r="K87" i="5"/>
  <c r="R86" i="5"/>
  <c r="Q86" i="5"/>
  <c r="N86" i="5"/>
  <c r="K86" i="5"/>
  <c r="R85" i="5"/>
  <c r="Q85" i="5"/>
  <c r="N85" i="5"/>
  <c r="K85" i="5"/>
  <c r="R84" i="5"/>
  <c r="Q84" i="5"/>
  <c r="N84" i="5"/>
  <c r="K84" i="5"/>
  <c r="R83" i="5"/>
  <c r="Q83" i="5"/>
  <c r="N83" i="5"/>
  <c r="K83" i="5"/>
  <c r="R82" i="5"/>
  <c r="Q82" i="5"/>
  <c r="N82" i="5"/>
  <c r="K82" i="5"/>
  <c r="R81" i="5"/>
  <c r="Q81" i="5"/>
  <c r="N81" i="5"/>
  <c r="K81" i="5"/>
  <c r="R80" i="5"/>
  <c r="Q80" i="5"/>
  <c r="N80" i="5"/>
  <c r="K80" i="5"/>
  <c r="R79" i="5"/>
  <c r="Q79" i="5"/>
  <c r="K79" i="5"/>
  <c r="R78" i="5"/>
  <c r="Q78" i="5"/>
  <c r="N78" i="5"/>
  <c r="K78" i="5"/>
  <c r="R77" i="5"/>
  <c r="Q77" i="5"/>
  <c r="N77" i="5"/>
  <c r="K77" i="5"/>
  <c r="R76" i="5"/>
  <c r="Q76" i="5"/>
  <c r="N76" i="5"/>
  <c r="K76" i="5"/>
  <c r="R75" i="5"/>
  <c r="Q75" i="5"/>
  <c r="N75" i="5"/>
  <c r="K75" i="5"/>
  <c r="R74" i="5"/>
  <c r="Q74" i="5"/>
  <c r="N74" i="5"/>
  <c r="K74" i="5"/>
  <c r="R73" i="5"/>
  <c r="Q73" i="5"/>
  <c r="N73" i="5"/>
  <c r="K73" i="5"/>
  <c r="R72" i="5"/>
  <c r="Q72" i="5"/>
  <c r="N72" i="5"/>
  <c r="K72" i="5"/>
  <c r="R71" i="5"/>
  <c r="Q71" i="5"/>
  <c r="N71" i="5"/>
  <c r="K71" i="5"/>
  <c r="R70" i="5"/>
  <c r="Q70" i="5"/>
  <c r="N70" i="5"/>
  <c r="K70" i="5"/>
  <c r="R69" i="5"/>
  <c r="Q69" i="5"/>
  <c r="N69" i="5"/>
  <c r="K69" i="5"/>
  <c r="R68" i="5"/>
  <c r="Q68" i="5"/>
  <c r="N68" i="5"/>
  <c r="K68" i="5"/>
  <c r="R67" i="5"/>
  <c r="Q67" i="5"/>
  <c r="N67" i="5"/>
  <c r="K67" i="5"/>
  <c r="R66" i="5"/>
  <c r="Q66" i="5"/>
  <c r="N66" i="5"/>
  <c r="K66" i="5"/>
  <c r="R65" i="5"/>
  <c r="Q65" i="5"/>
  <c r="N65" i="5"/>
  <c r="K65" i="5"/>
  <c r="R64" i="5"/>
  <c r="Q64" i="5"/>
  <c r="K64" i="5"/>
  <c r="R63" i="5"/>
  <c r="Q63" i="5"/>
  <c r="N63" i="5"/>
  <c r="K63" i="5"/>
  <c r="R62" i="5"/>
  <c r="Q62" i="5"/>
  <c r="N62" i="5"/>
  <c r="K62" i="5"/>
  <c r="R61" i="5"/>
  <c r="Q61" i="5"/>
  <c r="N61" i="5"/>
  <c r="K61" i="5"/>
  <c r="R60" i="5"/>
  <c r="Q60" i="5"/>
  <c r="N60" i="5"/>
  <c r="K60" i="5"/>
  <c r="R59" i="5"/>
  <c r="Q59" i="5"/>
  <c r="N59" i="5"/>
  <c r="K59" i="5"/>
  <c r="R58" i="5"/>
  <c r="Q58" i="5"/>
  <c r="N58" i="5"/>
  <c r="K58" i="5"/>
  <c r="R57" i="5"/>
  <c r="Q57" i="5"/>
  <c r="N57" i="5"/>
  <c r="K57" i="5"/>
  <c r="R56" i="5"/>
  <c r="Q56" i="5"/>
  <c r="N56" i="5"/>
  <c r="K56" i="5"/>
  <c r="R55" i="5"/>
  <c r="Q55" i="5"/>
  <c r="N55" i="5"/>
  <c r="K55" i="5"/>
  <c r="R54" i="5"/>
  <c r="Q54" i="5"/>
  <c r="N54" i="5"/>
  <c r="K54" i="5"/>
  <c r="R53" i="5"/>
  <c r="Q53" i="5"/>
  <c r="N53" i="5"/>
  <c r="K53" i="5"/>
  <c r="R52" i="5"/>
  <c r="Q52" i="5"/>
  <c r="N52" i="5"/>
  <c r="K52" i="5"/>
  <c r="R51" i="5"/>
  <c r="Q51" i="5"/>
  <c r="N51" i="5"/>
  <c r="K51" i="5"/>
  <c r="R50" i="5"/>
  <c r="Q50" i="5"/>
  <c r="N50" i="5"/>
  <c r="K50" i="5"/>
  <c r="R49" i="5"/>
  <c r="Q49" i="5"/>
  <c r="K49" i="5"/>
  <c r="R48" i="5"/>
  <c r="Q48" i="5"/>
  <c r="N48" i="5"/>
  <c r="K48" i="5"/>
  <c r="R47" i="5"/>
  <c r="Q47" i="5"/>
  <c r="N47" i="5"/>
  <c r="K47" i="5"/>
  <c r="R46" i="5"/>
  <c r="Q46" i="5"/>
  <c r="N46" i="5"/>
  <c r="K46" i="5"/>
  <c r="R45" i="5"/>
  <c r="Q45" i="5"/>
  <c r="N45" i="5"/>
  <c r="K45" i="5"/>
  <c r="R44" i="5"/>
  <c r="Q44" i="5"/>
  <c r="N44" i="5"/>
  <c r="K44" i="5"/>
  <c r="R43" i="5"/>
  <c r="Q43" i="5"/>
  <c r="N43" i="5"/>
  <c r="K43" i="5"/>
  <c r="R42" i="5"/>
  <c r="Q42" i="5"/>
  <c r="N42" i="5"/>
  <c r="K42" i="5"/>
  <c r="R41" i="5"/>
  <c r="Q41" i="5"/>
  <c r="N41" i="5"/>
  <c r="K41" i="5"/>
  <c r="R40" i="5"/>
  <c r="Q40" i="5"/>
  <c r="K40" i="5"/>
  <c r="R39" i="5"/>
  <c r="Q39" i="5"/>
  <c r="N39" i="5"/>
  <c r="K39" i="5"/>
  <c r="R38" i="5"/>
  <c r="Q38" i="5"/>
  <c r="K38" i="5"/>
  <c r="R37" i="5"/>
  <c r="Q37" i="5"/>
  <c r="N37" i="5"/>
  <c r="K37" i="5"/>
  <c r="R36" i="5"/>
  <c r="R161" i="5" s="1"/>
  <c r="Q36" i="5"/>
  <c r="N36" i="5"/>
  <c r="K36" i="5"/>
  <c r="R35" i="5"/>
  <c r="Q35" i="5"/>
  <c r="K35" i="5"/>
  <c r="R34" i="5"/>
  <c r="Q34" i="5"/>
  <c r="N34" i="5"/>
  <c r="K34" i="5"/>
  <c r="R33" i="5"/>
  <c r="Q33" i="5"/>
  <c r="N33" i="5"/>
  <c r="K33" i="5"/>
  <c r="R32" i="5"/>
  <c r="Q32" i="5"/>
  <c r="N32" i="5"/>
  <c r="K32" i="5"/>
  <c r="R31" i="5"/>
  <c r="Q31" i="5"/>
  <c r="N31" i="5"/>
  <c r="K31" i="5"/>
  <c r="R30" i="5"/>
  <c r="Q30" i="5"/>
  <c r="K30" i="5"/>
  <c r="R29" i="5"/>
  <c r="Q29" i="5"/>
  <c r="K29" i="5"/>
  <c r="R28" i="5"/>
  <c r="Q28" i="5"/>
  <c r="N28" i="5"/>
  <c r="K28" i="5"/>
  <c r="R27" i="5"/>
  <c r="Q27" i="5"/>
  <c r="N27" i="5"/>
  <c r="K27" i="5"/>
  <c r="R26" i="5"/>
  <c r="Q26" i="5"/>
  <c r="N26" i="5"/>
  <c r="K26" i="5"/>
  <c r="R25" i="5"/>
  <c r="Q25" i="5"/>
  <c r="K25" i="5"/>
  <c r="R24" i="5"/>
  <c r="Q24" i="5"/>
  <c r="K24" i="5"/>
  <c r="R23" i="5"/>
  <c r="Q23" i="5"/>
  <c r="K23" i="5"/>
  <c r="R22" i="5"/>
  <c r="Q22" i="5"/>
  <c r="N22" i="5"/>
  <c r="K22" i="5"/>
  <c r="R21" i="5"/>
  <c r="Q21" i="5"/>
  <c r="N21" i="5"/>
  <c r="K21" i="5"/>
  <c r="R20" i="5"/>
  <c r="Q20" i="5"/>
  <c r="N20" i="5"/>
  <c r="K20" i="5"/>
  <c r="R19" i="5"/>
  <c r="Q19" i="5"/>
  <c r="N19" i="5"/>
  <c r="K19" i="5"/>
  <c r="R18" i="5"/>
  <c r="Q18" i="5"/>
  <c r="N18" i="5"/>
  <c r="K18" i="5"/>
  <c r="R17" i="5"/>
  <c r="Q17" i="5"/>
  <c r="N17" i="5"/>
  <c r="K17" i="5"/>
  <c r="R16" i="5"/>
  <c r="Q16" i="5"/>
  <c r="N16" i="5"/>
  <c r="K16" i="5"/>
  <c r="R15" i="5"/>
  <c r="Q15" i="5"/>
  <c r="N15" i="5"/>
  <c r="K15" i="5"/>
  <c r="R14" i="5"/>
  <c r="Q14" i="5"/>
  <c r="N14" i="5"/>
  <c r="K14" i="5"/>
  <c r="R13" i="5"/>
  <c r="Q13" i="5"/>
  <c r="K13" i="5"/>
  <c r="R12" i="5"/>
  <c r="Q12" i="5"/>
  <c r="N12" i="5"/>
  <c r="K12" i="5"/>
  <c r="R11" i="5"/>
  <c r="Q11" i="5"/>
  <c r="N11" i="5"/>
  <c r="K11" i="5"/>
  <c r="R10" i="5"/>
  <c r="Q10" i="5"/>
  <c r="N10" i="5"/>
  <c r="K10" i="5"/>
  <c r="R9" i="5"/>
  <c r="Q9" i="5"/>
  <c r="N9" i="5"/>
  <c r="K9" i="5"/>
  <c r="R8" i="5"/>
  <c r="Q8" i="5"/>
  <c r="N8" i="5"/>
  <c r="K8" i="5"/>
  <c r="R7" i="5"/>
  <c r="Q7" i="5"/>
  <c r="N7" i="5"/>
  <c r="K7" i="5"/>
  <c r="R6" i="5"/>
  <c r="Q6" i="5"/>
  <c r="N6" i="5"/>
  <c r="K6" i="5"/>
  <c r="R5" i="5"/>
  <c r="Q5" i="5"/>
  <c r="N5" i="5"/>
  <c r="K5" i="5"/>
  <c r="R4" i="5"/>
  <c r="Q4" i="5"/>
  <c r="N4" i="5"/>
  <c r="K4" i="5"/>
  <c r="R3" i="5"/>
  <c r="Q3" i="5"/>
  <c r="N3" i="5"/>
  <c r="K3" i="5"/>
  <c r="R2" i="5"/>
  <c r="Q2" i="5"/>
  <c r="Q161" i="5" s="1"/>
  <c r="K2" i="5"/>
  <c r="K161" i="5" s="1"/>
  <c r="I164" i="4"/>
  <c r="L162" i="4"/>
  <c r="N162" i="4" s="1"/>
  <c r="J162" i="4"/>
  <c r="I162" i="4"/>
  <c r="H162" i="4"/>
  <c r="G162" i="4"/>
  <c r="F162" i="4"/>
  <c r="E162" i="4"/>
  <c r="R161" i="4"/>
  <c r="Q161" i="4"/>
  <c r="N161" i="4"/>
  <c r="K161" i="4"/>
  <c r="R160" i="4"/>
  <c r="Q160" i="4"/>
  <c r="N160" i="4"/>
  <c r="K160" i="4"/>
  <c r="R159" i="4"/>
  <c r="Q159" i="4"/>
  <c r="N159" i="4"/>
  <c r="K159" i="4"/>
  <c r="R158" i="4"/>
  <c r="Q158" i="4"/>
  <c r="N158" i="4"/>
  <c r="K158" i="4"/>
  <c r="R157" i="4"/>
  <c r="Q157" i="4"/>
  <c r="N157" i="4"/>
  <c r="K157" i="4"/>
  <c r="R156" i="4"/>
  <c r="Q156" i="4"/>
  <c r="N156" i="4"/>
  <c r="K156" i="4"/>
  <c r="R155" i="4"/>
  <c r="Q155" i="4"/>
  <c r="N155" i="4"/>
  <c r="K155" i="4"/>
  <c r="R154" i="4"/>
  <c r="Q154" i="4"/>
  <c r="N154" i="4"/>
  <c r="K154" i="4"/>
  <c r="R153" i="4"/>
  <c r="Q153" i="4"/>
  <c r="N153" i="4"/>
  <c r="K153" i="4"/>
  <c r="R152" i="4"/>
  <c r="Q152" i="4"/>
  <c r="N152" i="4"/>
  <c r="K152" i="4"/>
  <c r="R151" i="4"/>
  <c r="Q151" i="4"/>
  <c r="N151" i="4"/>
  <c r="K151" i="4"/>
  <c r="R150" i="4"/>
  <c r="Q150" i="4"/>
  <c r="N150" i="4"/>
  <c r="K150" i="4"/>
  <c r="R149" i="4"/>
  <c r="Q149" i="4"/>
  <c r="N149" i="4"/>
  <c r="K149" i="4"/>
  <c r="R148" i="4"/>
  <c r="Q148" i="4"/>
  <c r="N148" i="4"/>
  <c r="K148" i="4"/>
  <c r="R147" i="4"/>
  <c r="Q147" i="4"/>
  <c r="N147" i="4"/>
  <c r="K147" i="4"/>
  <c r="R146" i="4"/>
  <c r="Q146" i="4"/>
  <c r="N146" i="4"/>
  <c r="K146" i="4"/>
  <c r="R145" i="4"/>
  <c r="Q145" i="4"/>
  <c r="N145" i="4"/>
  <c r="K145" i="4"/>
  <c r="R144" i="4"/>
  <c r="Q144" i="4"/>
  <c r="N144" i="4"/>
  <c r="K144" i="4"/>
  <c r="R143" i="4"/>
  <c r="Q143" i="4"/>
  <c r="N143" i="4"/>
  <c r="K143" i="4"/>
  <c r="R142" i="4"/>
  <c r="Q142" i="4"/>
  <c r="N142" i="4"/>
  <c r="K142" i="4"/>
  <c r="R141" i="4"/>
  <c r="Q141" i="4"/>
  <c r="N141" i="4"/>
  <c r="K141" i="4"/>
  <c r="R140" i="4"/>
  <c r="Q140" i="4"/>
  <c r="N140" i="4"/>
  <c r="K140" i="4"/>
  <c r="R139" i="4"/>
  <c r="Q139" i="4"/>
  <c r="N139" i="4"/>
  <c r="K139" i="4"/>
  <c r="R138" i="4"/>
  <c r="Q138" i="4"/>
  <c r="N138" i="4"/>
  <c r="K138" i="4"/>
  <c r="R137" i="4"/>
  <c r="Q137" i="4"/>
  <c r="N137" i="4"/>
  <c r="K137" i="4"/>
  <c r="R136" i="4"/>
  <c r="Q136" i="4"/>
  <c r="N136" i="4"/>
  <c r="K136" i="4"/>
  <c r="R135" i="4"/>
  <c r="Q135" i="4"/>
  <c r="N135" i="4"/>
  <c r="K135" i="4"/>
  <c r="R134" i="4"/>
  <c r="Q134" i="4"/>
  <c r="N134" i="4"/>
  <c r="K134" i="4"/>
  <c r="R133" i="4"/>
  <c r="Q133" i="4"/>
  <c r="N133" i="4"/>
  <c r="K133" i="4"/>
  <c r="R132" i="4"/>
  <c r="Q132" i="4"/>
  <c r="K132" i="4"/>
  <c r="R131" i="4"/>
  <c r="Q131" i="4"/>
  <c r="N131" i="4"/>
  <c r="K131" i="4"/>
  <c r="R130" i="4"/>
  <c r="Q130" i="4"/>
  <c r="N130" i="4"/>
  <c r="K130" i="4"/>
  <c r="R129" i="4"/>
  <c r="Q129" i="4"/>
  <c r="N129" i="4"/>
  <c r="K129" i="4"/>
  <c r="R128" i="4"/>
  <c r="Q128" i="4"/>
  <c r="N128" i="4"/>
  <c r="K128" i="4"/>
  <c r="R127" i="4"/>
  <c r="Q127" i="4"/>
  <c r="N127" i="4"/>
  <c r="K127" i="4"/>
  <c r="R126" i="4"/>
  <c r="Q126" i="4"/>
  <c r="K126" i="4"/>
  <c r="R125" i="4"/>
  <c r="Q125" i="4"/>
  <c r="K125" i="4"/>
  <c r="R124" i="4"/>
  <c r="Q124" i="4"/>
  <c r="N124" i="4"/>
  <c r="K124" i="4"/>
  <c r="R123" i="4"/>
  <c r="Q123" i="4"/>
  <c r="K123" i="4"/>
  <c r="R122" i="4"/>
  <c r="Q122" i="4"/>
  <c r="K122" i="4"/>
  <c r="R121" i="4"/>
  <c r="Q121" i="4"/>
  <c r="K121" i="4"/>
  <c r="R120" i="4"/>
  <c r="Q120" i="4"/>
  <c r="K120" i="4"/>
  <c r="R119" i="4"/>
  <c r="Q119" i="4"/>
  <c r="N119" i="4"/>
  <c r="K119" i="4"/>
  <c r="R118" i="4"/>
  <c r="Q118" i="4"/>
  <c r="N118" i="4"/>
  <c r="K118" i="4"/>
  <c r="R117" i="4"/>
  <c r="Q117" i="4"/>
  <c r="N117" i="4"/>
  <c r="K117" i="4"/>
  <c r="R116" i="4"/>
  <c r="Q116" i="4"/>
  <c r="N116" i="4"/>
  <c r="K116" i="4"/>
  <c r="R115" i="4"/>
  <c r="Q115" i="4"/>
  <c r="K115" i="4"/>
  <c r="R114" i="4"/>
  <c r="Q114" i="4"/>
  <c r="N114" i="4"/>
  <c r="K114" i="4"/>
  <c r="R113" i="4"/>
  <c r="Q113" i="4"/>
  <c r="N113" i="4"/>
  <c r="K113" i="4"/>
  <c r="R112" i="4"/>
  <c r="Q112" i="4"/>
  <c r="K112" i="4"/>
  <c r="R111" i="4"/>
  <c r="Q111" i="4"/>
  <c r="K111" i="4"/>
  <c r="R110" i="4"/>
  <c r="Q110" i="4"/>
  <c r="N110" i="4"/>
  <c r="K110" i="4"/>
  <c r="R109" i="4"/>
  <c r="Q109" i="4"/>
  <c r="N109" i="4"/>
  <c r="K109" i="4"/>
  <c r="R108" i="4"/>
  <c r="Q108" i="4"/>
  <c r="N108" i="4"/>
  <c r="K108" i="4"/>
  <c r="R107" i="4"/>
  <c r="Q107" i="4"/>
  <c r="N107" i="4"/>
  <c r="K107" i="4"/>
  <c r="R106" i="4"/>
  <c r="Q106" i="4"/>
  <c r="K106" i="4"/>
  <c r="R105" i="4"/>
  <c r="Q105" i="4"/>
  <c r="N105" i="4"/>
  <c r="K105" i="4"/>
  <c r="R104" i="4"/>
  <c r="Q104" i="4"/>
  <c r="N104" i="4"/>
  <c r="K104" i="4"/>
  <c r="R103" i="4"/>
  <c r="Q103" i="4"/>
  <c r="N103" i="4"/>
  <c r="K103" i="4"/>
  <c r="R102" i="4"/>
  <c r="Q102" i="4"/>
  <c r="N102" i="4"/>
  <c r="K102" i="4"/>
  <c r="R101" i="4"/>
  <c r="Q101" i="4"/>
  <c r="N101" i="4"/>
  <c r="K101" i="4"/>
  <c r="R100" i="4"/>
  <c r="Q100" i="4"/>
  <c r="N100" i="4"/>
  <c r="K100" i="4"/>
  <c r="R99" i="4"/>
  <c r="Q99" i="4"/>
  <c r="N99" i="4"/>
  <c r="K99" i="4"/>
  <c r="R98" i="4"/>
  <c r="Q98" i="4"/>
  <c r="N98" i="4"/>
  <c r="K98" i="4"/>
  <c r="R97" i="4"/>
  <c r="Q97" i="4"/>
  <c r="N97" i="4"/>
  <c r="K97" i="4"/>
  <c r="R96" i="4"/>
  <c r="Q96" i="4"/>
  <c r="N96" i="4"/>
  <c r="K96" i="4"/>
  <c r="R95" i="4"/>
  <c r="Q95" i="4"/>
  <c r="N95" i="4"/>
  <c r="K95" i="4"/>
  <c r="R94" i="4"/>
  <c r="Q94" i="4"/>
  <c r="N94" i="4"/>
  <c r="K94" i="4"/>
  <c r="R93" i="4"/>
  <c r="Q93" i="4"/>
  <c r="N93" i="4"/>
  <c r="K93" i="4"/>
  <c r="R92" i="4"/>
  <c r="Q92" i="4"/>
  <c r="N92" i="4"/>
  <c r="K92" i="4"/>
  <c r="R91" i="4"/>
  <c r="Q91" i="4"/>
  <c r="N91" i="4"/>
  <c r="K91" i="4"/>
  <c r="R90" i="4"/>
  <c r="Q90" i="4"/>
  <c r="N90" i="4"/>
  <c r="K90" i="4"/>
  <c r="R89" i="4"/>
  <c r="Q89" i="4"/>
  <c r="N89" i="4"/>
  <c r="K89" i="4"/>
  <c r="R88" i="4"/>
  <c r="Q88" i="4"/>
  <c r="N88" i="4"/>
  <c r="K88" i="4"/>
  <c r="R87" i="4"/>
  <c r="Q87" i="4"/>
  <c r="N87" i="4"/>
  <c r="K87" i="4"/>
  <c r="R86" i="4"/>
  <c r="Q86" i="4"/>
  <c r="N86" i="4"/>
  <c r="K86" i="4"/>
  <c r="R85" i="4"/>
  <c r="Q85" i="4"/>
  <c r="N85" i="4"/>
  <c r="K85" i="4"/>
  <c r="R84" i="4"/>
  <c r="Q84" i="4"/>
  <c r="N84" i="4"/>
  <c r="K84" i="4"/>
  <c r="R83" i="4"/>
  <c r="Q83" i="4"/>
  <c r="N83" i="4"/>
  <c r="K83" i="4"/>
  <c r="R82" i="4"/>
  <c r="Q82" i="4"/>
  <c r="N82" i="4"/>
  <c r="K82" i="4"/>
  <c r="R81" i="4"/>
  <c r="Q81" i="4"/>
  <c r="K81" i="4"/>
  <c r="R80" i="4"/>
  <c r="Q80" i="4"/>
  <c r="N80" i="4"/>
  <c r="K80" i="4"/>
  <c r="R79" i="4"/>
  <c r="Q79" i="4"/>
  <c r="N79" i="4"/>
  <c r="K79" i="4"/>
  <c r="R78" i="4"/>
  <c r="Q78" i="4"/>
  <c r="N78" i="4"/>
  <c r="K78" i="4"/>
  <c r="R77" i="4"/>
  <c r="Q77" i="4"/>
  <c r="N77" i="4"/>
  <c r="K77" i="4"/>
  <c r="R76" i="4"/>
  <c r="Q76" i="4"/>
  <c r="N76" i="4"/>
  <c r="K76" i="4"/>
  <c r="R75" i="4"/>
  <c r="Q75" i="4"/>
  <c r="N75" i="4"/>
  <c r="K75" i="4"/>
  <c r="R74" i="4"/>
  <c r="Q74" i="4"/>
  <c r="K74" i="4"/>
  <c r="R73" i="4"/>
  <c r="Q73" i="4"/>
  <c r="N73" i="4"/>
  <c r="K73" i="4"/>
  <c r="R72" i="4"/>
  <c r="Q72" i="4"/>
  <c r="N72" i="4"/>
  <c r="K72" i="4"/>
  <c r="R71" i="4"/>
  <c r="Q71" i="4"/>
  <c r="N71" i="4"/>
  <c r="K71" i="4"/>
  <c r="R70" i="4"/>
  <c r="Q70" i="4"/>
  <c r="N70" i="4"/>
  <c r="K70" i="4"/>
  <c r="R69" i="4"/>
  <c r="Q69" i="4"/>
  <c r="N69" i="4"/>
  <c r="K69" i="4"/>
  <c r="R68" i="4"/>
  <c r="Q68" i="4"/>
  <c r="N68" i="4"/>
  <c r="K68" i="4"/>
  <c r="R67" i="4"/>
  <c r="Q67" i="4"/>
  <c r="N67" i="4"/>
  <c r="K67" i="4"/>
  <c r="R66" i="4"/>
  <c r="Q66" i="4"/>
  <c r="N66" i="4"/>
  <c r="K66" i="4"/>
  <c r="R65" i="4"/>
  <c r="Q65" i="4"/>
  <c r="N65" i="4"/>
  <c r="K65" i="4"/>
  <c r="R64" i="4"/>
  <c r="Q64" i="4"/>
  <c r="N64" i="4"/>
  <c r="K64" i="4"/>
  <c r="R63" i="4"/>
  <c r="Q63" i="4"/>
  <c r="N63" i="4"/>
  <c r="K63" i="4"/>
  <c r="R62" i="4"/>
  <c r="Q62" i="4"/>
  <c r="K62" i="4"/>
  <c r="R61" i="4"/>
  <c r="Q61" i="4"/>
  <c r="N61" i="4"/>
  <c r="K61" i="4"/>
  <c r="R60" i="4"/>
  <c r="Q60" i="4"/>
  <c r="N60" i="4"/>
  <c r="K60" i="4"/>
  <c r="R59" i="4"/>
  <c r="Q59" i="4"/>
  <c r="N59" i="4"/>
  <c r="K59" i="4"/>
  <c r="R58" i="4"/>
  <c r="Q58" i="4"/>
  <c r="N58" i="4"/>
  <c r="K58" i="4"/>
  <c r="R57" i="4"/>
  <c r="Q57" i="4"/>
  <c r="N57" i="4"/>
  <c r="K57" i="4"/>
  <c r="R56" i="4"/>
  <c r="Q56" i="4"/>
  <c r="N56" i="4"/>
  <c r="K56" i="4"/>
  <c r="R55" i="4"/>
  <c r="Q55" i="4"/>
  <c r="N55" i="4"/>
  <c r="K55" i="4"/>
  <c r="R54" i="4"/>
  <c r="Q54" i="4"/>
  <c r="N54" i="4"/>
  <c r="K54" i="4"/>
  <c r="R53" i="4"/>
  <c r="Q53" i="4"/>
  <c r="N53" i="4"/>
  <c r="K53" i="4"/>
  <c r="R52" i="4"/>
  <c r="Q52" i="4"/>
  <c r="K52" i="4"/>
  <c r="R51" i="4"/>
  <c r="Q51" i="4"/>
  <c r="N51" i="4"/>
  <c r="K51" i="4"/>
  <c r="R50" i="4"/>
  <c r="Q50" i="4"/>
  <c r="K50" i="4"/>
  <c r="R49" i="4"/>
  <c r="Q49" i="4"/>
  <c r="N49" i="4"/>
  <c r="K49" i="4"/>
  <c r="R48" i="4"/>
  <c r="Q48" i="4"/>
  <c r="N48" i="4"/>
  <c r="K48" i="4"/>
  <c r="R47" i="4"/>
  <c r="Q47" i="4"/>
  <c r="N47" i="4"/>
  <c r="K47" i="4"/>
  <c r="R46" i="4"/>
  <c r="Q46" i="4"/>
  <c r="N46" i="4"/>
  <c r="K46" i="4"/>
  <c r="R45" i="4"/>
  <c r="Q45" i="4"/>
  <c r="N45" i="4"/>
  <c r="K45" i="4"/>
  <c r="R44" i="4"/>
  <c r="Q44" i="4"/>
  <c r="N44" i="4"/>
  <c r="K44" i="4"/>
  <c r="R43" i="4"/>
  <c r="Q43" i="4"/>
  <c r="N43" i="4"/>
  <c r="K43" i="4"/>
  <c r="R42" i="4"/>
  <c r="Q42" i="4"/>
  <c r="K42" i="4"/>
  <c r="R41" i="4"/>
  <c r="Q41" i="4"/>
  <c r="K41" i="4"/>
  <c r="R40" i="4"/>
  <c r="Q40" i="4"/>
  <c r="N40" i="4"/>
  <c r="K40" i="4"/>
  <c r="R39" i="4"/>
  <c r="Q39" i="4"/>
  <c r="N39" i="4"/>
  <c r="K39" i="4"/>
  <c r="R38" i="4"/>
  <c r="Q38" i="4"/>
  <c r="N38" i="4"/>
  <c r="K38" i="4"/>
  <c r="R37" i="4"/>
  <c r="Q37" i="4"/>
  <c r="N37" i="4"/>
  <c r="K37" i="4"/>
  <c r="R36" i="4"/>
  <c r="Q36" i="4"/>
  <c r="K36" i="4"/>
  <c r="R35" i="4"/>
  <c r="Q35" i="4"/>
  <c r="N35" i="4"/>
  <c r="K35" i="4"/>
  <c r="R34" i="4"/>
  <c r="Q34" i="4"/>
  <c r="N34" i="4"/>
  <c r="K34" i="4"/>
  <c r="R33" i="4"/>
  <c r="Q33" i="4"/>
  <c r="N33" i="4"/>
  <c r="K33" i="4"/>
  <c r="R32" i="4"/>
  <c r="Q32" i="4"/>
  <c r="K32" i="4"/>
  <c r="R31" i="4"/>
  <c r="Q31" i="4"/>
  <c r="N31" i="4"/>
  <c r="K31" i="4"/>
  <c r="R30" i="4"/>
  <c r="Q30" i="4"/>
  <c r="N30" i="4"/>
  <c r="K30" i="4"/>
  <c r="R29" i="4"/>
  <c r="Q29" i="4"/>
  <c r="N29" i="4"/>
  <c r="K29" i="4"/>
  <c r="R28" i="4"/>
  <c r="Q28" i="4"/>
  <c r="N28" i="4"/>
  <c r="K28" i="4"/>
  <c r="R27" i="4"/>
  <c r="Q27" i="4"/>
  <c r="N27" i="4"/>
  <c r="K27" i="4"/>
  <c r="R26" i="4"/>
  <c r="Q26" i="4"/>
  <c r="K26" i="4"/>
  <c r="R25" i="4"/>
  <c r="Q25" i="4"/>
  <c r="K25" i="4"/>
  <c r="R24" i="4"/>
  <c r="Q24" i="4"/>
  <c r="K24" i="4"/>
  <c r="R23" i="4"/>
  <c r="Q23" i="4"/>
  <c r="N23" i="4"/>
  <c r="K23" i="4"/>
  <c r="R22" i="4"/>
  <c r="Q22" i="4"/>
  <c r="N22" i="4"/>
  <c r="K22" i="4"/>
  <c r="R21" i="4"/>
  <c r="Q21" i="4"/>
  <c r="N21" i="4"/>
  <c r="K21" i="4"/>
  <c r="R20" i="4"/>
  <c r="Q20" i="4"/>
  <c r="N20" i="4"/>
  <c r="K20" i="4"/>
  <c r="R19" i="4"/>
  <c r="Q19" i="4"/>
  <c r="N19" i="4"/>
  <c r="K19" i="4"/>
  <c r="R18" i="4"/>
  <c r="Q18" i="4"/>
  <c r="N18" i="4"/>
  <c r="K18" i="4"/>
  <c r="R17" i="4"/>
  <c r="Q17" i="4"/>
  <c r="N17" i="4"/>
  <c r="K17" i="4"/>
  <c r="R16" i="4"/>
  <c r="Q16" i="4"/>
  <c r="N16" i="4"/>
  <c r="K16" i="4"/>
  <c r="R15" i="4"/>
  <c r="Q15" i="4"/>
  <c r="N15" i="4"/>
  <c r="K15" i="4"/>
  <c r="R14" i="4"/>
  <c r="Q14" i="4"/>
  <c r="N14" i="4"/>
  <c r="K14" i="4"/>
  <c r="R13" i="4"/>
  <c r="Q13" i="4"/>
  <c r="N13" i="4"/>
  <c r="K13" i="4"/>
  <c r="R12" i="4"/>
  <c r="Q12" i="4"/>
  <c r="N12" i="4"/>
  <c r="K12" i="4"/>
  <c r="R11" i="4"/>
  <c r="Q11" i="4"/>
  <c r="N11" i="4"/>
  <c r="K11" i="4"/>
  <c r="R10" i="4"/>
  <c r="Q10" i="4"/>
  <c r="N10" i="4"/>
  <c r="K10" i="4"/>
  <c r="R9" i="4"/>
  <c r="Q9" i="4"/>
  <c r="N9" i="4"/>
  <c r="K9" i="4"/>
  <c r="R8" i="4"/>
  <c r="Q8" i="4"/>
  <c r="N8" i="4"/>
  <c r="K8" i="4"/>
  <c r="R7" i="4"/>
  <c r="Q7" i="4"/>
  <c r="N7" i="4"/>
  <c r="K7" i="4"/>
  <c r="R6" i="4"/>
  <c r="Q6" i="4"/>
  <c r="N6" i="4"/>
  <c r="K6" i="4"/>
  <c r="R5" i="4"/>
  <c r="Q5" i="4"/>
  <c r="N5" i="4"/>
  <c r="K5" i="4"/>
  <c r="R4" i="4"/>
  <c r="Q4" i="4"/>
  <c r="N4" i="4"/>
  <c r="K4" i="4"/>
  <c r="R3" i="4"/>
  <c r="Q3" i="4"/>
  <c r="N3" i="4"/>
  <c r="K3" i="4"/>
  <c r="R2" i="4"/>
  <c r="R162" i="4" s="1"/>
  <c r="Q2" i="4"/>
  <c r="Q162" i="4" s="1"/>
  <c r="K2" i="4"/>
  <c r="K162" i="4" s="1"/>
  <c r="I161" i="3"/>
  <c r="L159" i="3"/>
  <c r="N159" i="3" s="1"/>
  <c r="J159" i="3"/>
  <c r="I159" i="3"/>
  <c r="H159" i="3"/>
  <c r="G159" i="3"/>
  <c r="F159" i="3"/>
  <c r="E159" i="3"/>
  <c r="R158" i="3"/>
  <c r="Q158" i="3"/>
  <c r="N158" i="3"/>
  <c r="K158" i="3"/>
  <c r="R157" i="3"/>
  <c r="Q157" i="3"/>
  <c r="N157" i="3"/>
  <c r="K157" i="3"/>
  <c r="R156" i="3"/>
  <c r="Q156" i="3"/>
  <c r="N156" i="3"/>
  <c r="K156" i="3"/>
  <c r="R155" i="3"/>
  <c r="Q155" i="3"/>
  <c r="N155" i="3"/>
  <c r="K155" i="3"/>
  <c r="R154" i="3"/>
  <c r="Q154" i="3"/>
  <c r="N154" i="3"/>
  <c r="K154" i="3"/>
  <c r="R153" i="3"/>
  <c r="Q153" i="3"/>
  <c r="N153" i="3"/>
  <c r="K153" i="3"/>
  <c r="R152" i="3"/>
  <c r="Q152" i="3"/>
  <c r="N152" i="3"/>
  <c r="K152" i="3"/>
  <c r="R151" i="3"/>
  <c r="Q151" i="3"/>
  <c r="N151" i="3"/>
  <c r="K151" i="3"/>
  <c r="R150" i="3"/>
  <c r="Q150" i="3"/>
  <c r="N150" i="3"/>
  <c r="K150" i="3"/>
  <c r="R149" i="3"/>
  <c r="Q149" i="3"/>
  <c r="N149" i="3"/>
  <c r="K149" i="3"/>
  <c r="R148" i="3"/>
  <c r="Q148" i="3"/>
  <c r="K148" i="3"/>
  <c r="R147" i="3"/>
  <c r="Q147" i="3"/>
  <c r="N147" i="3"/>
  <c r="K147" i="3"/>
  <c r="R146" i="3"/>
  <c r="Q146" i="3"/>
  <c r="N146" i="3"/>
  <c r="K146" i="3"/>
  <c r="R145" i="3"/>
  <c r="Q145" i="3"/>
  <c r="N145" i="3"/>
  <c r="K145" i="3"/>
  <c r="R144" i="3"/>
  <c r="Q144" i="3"/>
  <c r="N144" i="3"/>
  <c r="K144" i="3"/>
  <c r="R143" i="3"/>
  <c r="Q143" i="3"/>
  <c r="N143" i="3"/>
  <c r="K143" i="3"/>
  <c r="R142" i="3"/>
  <c r="Q142" i="3"/>
  <c r="N142" i="3"/>
  <c r="K142" i="3"/>
  <c r="R141" i="3"/>
  <c r="Q141" i="3"/>
  <c r="N141" i="3"/>
  <c r="K141" i="3"/>
  <c r="R140" i="3"/>
  <c r="Q140" i="3"/>
  <c r="N140" i="3"/>
  <c r="K140" i="3"/>
  <c r="R139" i="3"/>
  <c r="Q139" i="3"/>
  <c r="N139" i="3"/>
  <c r="K139" i="3"/>
  <c r="R138" i="3"/>
  <c r="Q138" i="3"/>
  <c r="N138" i="3"/>
  <c r="K138" i="3"/>
  <c r="R137" i="3"/>
  <c r="Q137" i="3"/>
  <c r="N137" i="3"/>
  <c r="K137" i="3"/>
  <c r="R136" i="3"/>
  <c r="Q136" i="3"/>
  <c r="N136" i="3"/>
  <c r="K136" i="3"/>
  <c r="R135" i="3"/>
  <c r="Q135" i="3"/>
  <c r="N135" i="3"/>
  <c r="K135" i="3"/>
  <c r="R134" i="3"/>
  <c r="Q134" i="3"/>
  <c r="N134" i="3"/>
  <c r="K134" i="3"/>
  <c r="R133" i="3"/>
  <c r="Q133" i="3"/>
  <c r="N133" i="3"/>
  <c r="K133" i="3"/>
  <c r="R132" i="3"/>
  <c r="Q132" i="3"/>
  <c r="N132" i="3"/>
  <c r="K132" i="3"/>
  <c r="R131" i="3"/>
  <c r="Q131" i="3"/>
  <c r="K131" i="3"/>
  <c r="R130" i="3"/>
  <c r="Q130" i="3"/>
  <c r="N130" i="3"/>
  <c r="K130" i="3"/>
  <c r="R129" i="3"/>
  <c r="Q129" i="3"/>
  <c r="N129" i="3"/>
  <c r="K129" i="3"/>
  <c r="R128" i="3"/>
  <c r="Q128" i="3"/>
  <c r="N128" i="3"/>
  <c r="K128" i="3"/>
  <c r="R127" i="3"/>
  <c r="Q127" i="3"/>
  <c r="N127" i="3"/>
  <c r="K127" i="3"/>
  <c r="R126" i="3"/>
  <c r="Q126" i="3"/>
  <c r="N126" i="3"/>
  <c r="K126" i="3"/>
  <c r="R125" i="3"/>
  <c r="Q125" i="3"/>
  <c r="K125" i="3"/>
  <c r="R124" i="3"/>
  <c r="Q124" i="3"/>
  <c r="N124" i="3"/>
  <c r="K124" i="3"/>
  <c r="R123" i="3"/>
  <c r="Q123" i="3"/>
  <c r="N123" i="3"/>
  <c r="K123" i="3"/>
  <c r="R122" i="3"/>
  <c r="Q122" i="3"/>
  <c r="N122" i="3"/>
  <c r="K122" i="3"/>
  <c r="R121" i="3"/>
  <c r="Q121" i="3"/>
  <c r="K121" i="3"/>
  <c r="R120" i="3"/>
  <c r="Q120" i="3"/>
  <c r="N120" i="3"/>
  <c r="K120" i="3"/>
  <c r="R119" i="3"/>
  <c r="Q119" i="3"/>
  <c r="N119" i="3"/>
  <c r="K119" i="3"/>
  <c r="R118" i="3"/>
  <c r="Q118" i="3"/>
  <c r="K118" i="3"/>
  <c r="R117" i="3"/>
  <c r="Q117" i="3"/>
  <c r="N117" i="3"/>
  <c r="K117" i="3"/>
  <c r="R116" i="3"/>
  <c r="Q116" i="3"/>
  <c r="N116" i="3"/>
  <c r="K116" i="3"/>
  <c r="R115" i="3"/>
  <c r="Q115" i="3"/>
  <c r="N115" i="3"/>
  <c r="K115" i="3"/>
  <c r="R114" i="3"/>
  <c r="Q114" i="3"/>
  <c r="K114" i="3"/>
  <c r="R113" i="3"/>
  <c r="Q113" i="3"/>
  <c r="N113" i="3"/>
  <c r="K113" i="3"/>
  <c r="R112" i="3"/>
  <c r="Q112" i="3"/>
  <c r="N112" i="3"/>
  <c r="K112" i="3"/>
  <c r="R111" i="3"/>
  <c r="Q111" i="3"/>
  <c r="K111" i="3"/>
  <c r="R110" i="3"/>
  <c r="Q110" i="3"/>
  <c r="N110" i="3"/>
  <c r="K110" i="3"/>
  <c r="R109" i="3"/>
  <c r="Q109" i="3"/>
  <c r="N109" i="3"/>
  <c r="K109" i="3"/>
  <c r="R108" i="3"/>
  <c r="Q108" i="3"/>
  <c r="N108" i="3"/>
  <c r="K108" i="3"/>
  <c r="R107" i="3"/>
  <c r="Q107" i="3"/>
  <c r="N107" i="3"/>
  <c r="K107" i="3"/>
  <c r="R106" i="3"/>
  <c r="Q106" i="3"/>
  <c r="N106" i="3"/>
  <c r="K106" i="3"/>
  <c r="R105" i="3"/>
  <c r="Q105" i="3"/>
  <c r="N105" i="3"/>
  <c r="K105" i="3"/>
  <c r="R104" i="3"/>
  <c r="Q104" i="3"/>
  <c r="N104" i="3"/>
  <c r="K104" i="3"/>
  <c r="R103" i="3"/>
  <c r="Q103" i="3"/>
  <c r="N103" i="3"/>
  <c r="K103" i="3"/>
  <c r="R102" i="3"/>
  <c r="Q102" i="3"/>
  <c r="N102" i="3"/>
  <c r="K102" i="3"/>
  <c r="R101" i="3"/>
  <c r="Q101" i="3"/>
  <c r="K101" i="3"/>
  <c r="R100" i="3"/>
  <c r="Q100" i="3"/>
  <c r="N100" i="3"/>
  <c r="K100" i="3"/>
  <c r="R99" i="3"/>
  <c r="Q99" i="3"/>
  <c r="N99" i="3"/>
  <c r="K99" i="3"/>
  <c r="R98" i="3"/>
  <c r="Q98" i="3"/>
  <c r="N98" i="3"/>
  <c r="K98" i="3"/>
  <c r="R97" i="3"/>
  <c r="Q97" i="3"/>
  <c r="N97" i="3"/>
  <c r="K97" i="3"/>
  <c r="R96" i="3"/>
  <c r="Q96" i="3"/>
  <c r="N96" i="3"/>
  <c r="K96" i="3"/>
  <c r="R95" i="3"/>
  <c r="Q95" i="3"/>
  <c r="N95" i="3"/>
  <c r="K95" i="3"/>
  <c r="R94" i="3"/>
  <c r="Q94" i="3"/>
  <c r="N94" i="3"/>
  <c r="K94" i="3"/>
  <c r="R93" i="3"/>
  <c r="Q93" i="3"/>
  <c r="N93" i="3"/>
  <c r="K93" i="3"/>
  <c r="R92" i="3"/>
  <c r="Q92" i="3"/>
  <c r="N92" i="3"/>
  <c r="K92" i="3"/>
  <c r="R91" i="3"/>
  <c r="Q91" i="3"/>
  <c r="N91" i="3"/>
  <c r="K91" i="3"/>
  <c r="R90" i="3"/>
  <c r="Q90" i="3"/>
  <c r="N90" i="3"/>
  <c r="K90" i="3"/>
  <c r="R89" i="3"/>
  <c r="Q89" i="3"/>
  <c r="N89" i="3"/>
  <c r="K89" i="3"/>
  <c r="R88" i="3"/>
  <c r="Q88" i="3"/>
  <c r="N88" i="3"/>
  <c r="K88" i="3"/>
  <c r="R87" i="3"/>
  <c r="Q87" i="3"/>
  <c r="N87" i="3"/>
  <c r="K87" i="3"/>
  <c r="R86" i="3"/>
  <c r="Q86" i="3"/>
  <c r="N86" i="3"/>
  <c r="K86" i="3"/>
  <c r="R85" i="3"/>
  <c r="Q85" i="3"/>
  <c r="N85" i="3"/>
  <c r="K85" i="3"/>
  <c r="R84" i="3"/>
  <c r="Q84" i="3"/>
  <c r="N84" i="3"/>
  <c r="K84" i="3"/>
  <c r="R83" i="3"/>
  <c r="Q83" i="3"/>
  <c r="N83" i="3"/>
  <c r="K83" i="3"/>
  <c r="R82" i="3"/>
  <c r="Q82" i="3"/>
  <c r="N82" i="3"/>
  <c r="K82" i="3"/>
  <c r="R81" i="3"/>
  <c r="Q81" i="3"/>
  <c r="N81" i="3"/>
  <c r="K81" i="3"/>
  <c r="R80" i="3"/>
  <c r="Q80" i="3"/>
  <c r="N80" i="3"/>
  <c r="K80" i="3"/>
  <c r="R79" i="3"/>
  <c r="Q79" i="3"/>
  <c r="K79" i="3"/>
  <c r="R78" i="3"/>
  <c r="Q78" i="3"/>
  <c r="N78" i="3"/>
  <c r="K78" i="3"/>
  <c r="R77" i="3"/>
  <c r="Q77" i="3"/>
  <c r="N77" i="3"/>
  <c r="K77" i="3"/>
  <c r="R76" i="3"/>
  <c r="Q76" i="3"/>
  <c r="N76" i="3"/>
  <c r="K76" i="3"/>
  <c r="R75" i="3"/>
  <c r="Q75" i="3"/>
  <c r="N75" i="3"/>
  <c r="K75" i="3"/>
  <c r="R74" i="3"/>
  <c r="Q74" i="3"/>
  <c r="N74" i="3"/>
  <c r="K74" i="3"/>
  <c r="R73" i="3"/>
  <c r="Q73" i="3"/>
  <c r="N73" i="3"/>
  <c r="K73" i="3"/>
  <c r="R72" i="3"/>
  <c r="Q72" i="3"/>
  <c r="K72" i="3"/>
  <c r="R71" i="3"/>
  <c r="Q71" i="3"/>
  <c r="N71" i="3"/>
  <c r="K71" i="3"/>
  <c r="R70" i="3"/>
  <c r="Q70" i="3"/>
  <c r="N70" i="3"/>
  <c r="K70" i="3"/>
  <c r="R69" i="3"/>
  <c r="Q69" i="3"/>
  <c r="N69" i="3"/>
  <c r="K69" i="3"/>
  <c r="R68" i="3"/>
  <c r="Q68" i="3"/>
  <c r="N68" i="3"/>
  <c r="K68" i="3"/>
  <c r="R67" i="3"/>
  <c r="Q67" i="3"/>
  <c r="N67" i="3"/>
  <c r="K67" i="3"/>
  <c r="R66" i="3"/>
  <c r="Q66" i="3"/>
  <c r="N66" i="3"/>
  <c r="K66" i="3"/>
  <c r="R65" i="3"/>
  <c r="Q65" i="3"/>
  <c r="N65" i="3"/>
  <c r="K65" i="3"/>
  <c r="R64" i="3"/>
  <c r="Q64" i="3"/>
  <c r="N64" i="3"/>
  <c r="K64" i="3"/>
  <c r="R63" i="3"/>
  <c r="Q63" i="3"/>
  <c r="N63" i="3"/>
  <c r="K63" i="3"/>
  <c r="R62" i="3"/>
  <c r="Q62" i="3"/>
  <c r="N62" i="3"/>
  <c r="K62" i="3"/>
  <c r="R61" i="3"/>
  <c r="Q61" i="3"/>
  <c r="N61" i="3"/>
  <c r="K61" i="3"/>
  <c r="R60" i="3"/>
  <c r="Q60" i="3"/>
  <c r="N60" i="3"/>
  <c r="K60" i="3"/>
  <c r="R59" i="3"/>
  <c r="Q59" i="3"/>
  <c r="N59" i="3"/>
  <c r="K59" i="3"/>
  <c r="R58" i="3"/>
  <c r="Q58" i="3"/>
  <c r="N58" i="3"/>
  <c r="K58" i="3"/>
  <c r="R57" i="3"/>
  <c r="Q57" i="3"/>
  <c r="N57" i="3"/>
  <c r="K57" i="3"/>
  <c r="R56" i="3"/>
  <c r="Q56" i="3"/>
  <c r="N56" i="3"/>
  <c r="K56" i="3"/>
  <c r="R55" i="3"/>
  <c r="Q55" i="3"/>
  <c r="N55" i="3"/>
  <c r="K55" i="3"/>
  <c r="R54" i="3"/>
  <c r="Q54" i="3"/>
  <c r="N54" i="3"/>
  <c r="K54" i="3"/>
  <c r="R53" i="3"/>
  <c r="Q53" i="3"/>
  <c r="N53" i="3"/>
  <c r="K53" i="3"/>
  <c r="R52" i="3"/>
  <c r="Q52" i="3"/>
  <c r="N52" i="3"/>
  <c r="K52" i="3"/>
  <c r="R51" i="3"/>
  <c r="Q51" i="3"/>
  <c r="N51" i="3"/>
  <c r="K51" i="3"/>
  <c r="R50" i="3"/>
  <c r="Q50" i="3"/>
  <c r="K50" i="3"/>
  <c r="R49" i="3"/>
  <c r="Q49" i="3"/>
  <c r="N49" i="3"/>
  <c r="K49" i="3"/>
  <c r="R48" i="3"/>
  <c r="Q48" i="3"/>
  <c r="N48" i="3"/>
  <c r="K48" i="3"/>
  <c r="R47" i="3"/>
  <c r="Q47" i="3"/>
  <c r="N47" i="3"/>
  <c r="K47" i="3"/>
  <c r="R46" i="3"/>
  <c r="Q46" i="3"/>
  <c r="N46" i="3"/>
  <c r="K46" i="3"/>
  <c r="R45" i="3"/>
  <c r="Q45" i="3"/>
  <c r="N45" i="3"/>
  <c r="K45" i="3"/>
  <c r="R44" i="3"/>
  <c r="Q44" i="3"/>
  <c r="N44" i="3"/>
  <c r="K44" i="3"/>
  <c r="R43" i="3"/>
  <c r="Q43" i="3"/>
  <c r="N43" i="3"/>
  <c r="K43" i="3"/>
  <c r="R42" i="3"/>
  <c r="Q42" i="3"/>
  <c r="K42" i="3"/>
  <c r="R41" i="3"/>
  <c r="Q41" i="3"/>
  <c r="K41" i="3"/>
  <c r="R40" i="3"/>
  <c r="Q40" i="3"/>
  <c r="N40" i="3"/>
  <c r="K40" i="3"/>
  <c r="R39" i="3"/>
  <c r="Q39" i="3"/>
  <c r="N39" i="3"/>
  <c r="K39" i="3"/>
  <c r="R38" i="3"/>
  <c r="Q38" i="3"/>
  <c r="N38" i="3"/>
  <c r="K38" i="3"/>
  <c r="R37" i="3"/>
  <c r="Q37" i="3"/>
  <c r="N37" i="3"/>
  <c r="K37" i="3"/>
  <c r="R36" i="3"/>
  <c r="Q36" i="3"/>
  <c r="N36" i="3"/>
  <c r="K36" i="3"/>
  <c r="R35" i="3"/>
  <c r="Q35" i="3"/>
  <c r="N35" i="3"/>
  <c r="K35" i="3"/>
  <c r="R34" i="3"/>
  <c r="Q34" i="3"/>
  <c r="N34" i="3"/>
  <c r="K34" i="3"/>
  <c r="R33" i="3"/>
  <c r="Q33" i="3"/>
  <c r="Q159" i="3" s="1"/>
  <c r="N33" i="3"/>
  <c r="K33" i="3"/>
  <c r="R32" i="3"/>
  <c r="Q32" i="3"/>
  <c r="K32" i="3"/>
  <c r="R31" i="3"/>
  <c r="Q31" i="3"/>
  <c r="N31" i="3"/>
  <c r="K31" i="3"/>
  <c r="R30" i="3"/>
  <c r="Q30" i="3"/>
  <c r="N30" i="3"/>
  <c r="K30" i="3"/>
  <c r="R29" i="3"/>
  <c r="Q29" i="3"/>
  <c r="N29" i="3"/>
  <c r="K29" i="3"/>
  <c r="R28" i="3"/>
  <c r="Q28" i="3"/>
  <c r="N28" i="3"/>
  <c r="K28" i="3"/>
  <c r="R27" i="3"/>
  <c r="Q27" i="3"/>
  <c r="N27" i="3"/>
  <c r="K27" i="3"/>
  <c r="R26" i="3"/>
  <c r="Q26" i="3"/>
  <c r="N26" i="3"/>
  <c r="K26" i="3"/>
  <c r="R25" i="3"/>
  <c r="Q25" i="3"/>
  <c r="K25" i="3"/>
  <c r="R24" i="3"/>
  <c r="Q24" i="3"/>
  <c r="K24" i="3"/>
  <c r="R23" i="3"/>
  <c r="Q23" i="3"/>
  <c r="N23" i="3"/>
  <c r="K23" i="3"/>
  <c r="R22" i="3"/>
  <c r="Q22" i="3"/>
  <c r="N22" i="3"/>
  <c r="K22" i="3"/>
  <c r="R21" i="3"/>
  <c r="Q21" i="3"/>
  <c r="N21" i="3"/>
  <c r="K21" i="3"/>
  <c r="R20" i="3"/>
  <c r="Q20" i="3"/>
  <c r="N20" i="3"/>
  <c r="K20" i="3"/>
  <c r="R19" i="3"/>
  <c r="Q19" i="3"/>
  <c r="N19" i="3"/>
  <c r="K19" i="3"/>
  <c r="R18" i="3"/>
  <c r="Q18" i="3"/>
  <c r="N18" i="3"/>
  <c r="K18" i="3"/>
  <c r="R17" i="3"/>
  <c r="Q17" i="3"/>
  <c r="N17" i="3"/>
  <c r="K17" i="3"/>
  <c r="R16" i="3"/>
  <c r="Q16" i="3"/>
  <c r="N16" i="3"/>
  <c r="K16" i="3"/>
  <c r="R15" i="3"/>
  <c r="Q15" i="3"/>
  <c r="N15" i="3"/>
  <c r="K15" i="3"/>
  <c r="R14" i="3"/>
  <c r="Q14" i="3"/>
  <c r="N14" i="3"/>
  <c r="K14" i="3"/>
  <c r="R13" i="3"/>
  <c r="Q13" i="3"/>
  <c r="N13" i="3"/>
  <c r="K13" i="3"/>
  <c r="R12" i="3"/>
  <c r="Q12" i="3"/>
  <c r="N12" i="3"/>
  <c r="K12" i="3"/>
  <c r="R11" i="3"/>
  <c r="Q11" i="3"/>
  <c r="N11" i="3"/>
  <c r="K11" i="3"/>
  <c r="R10" i="3"/>
  <c r="Q10" i="3"/>
  <c r="N10" i="3"/>
  <c r="K10" i="3"/>
  <c r="R9" i="3"/>
  <c r="Q9" i="3"/>
  <c r="N9" i="3"/>
  <c r="K9" i="3"/>
  <c r="R8" i="3"/>
  <c r="Q8" i="3"/>
  <c r="N8" i="3"/>
  <c r="K8" i="3"/>
  <c r="R7" i="3"/>
  <c r="Q7" i="3"/>
  <c r="N7" i="3"/>
  <c r="K7" i="3"/>
  <c r="R6" i="3"/>
  <c r="Q6" i="3"/>
  <c r="N6" i="3"/>
  <c r="K6" i="3"/>
  <c r="R5" i="3"/>
  <c r="Q5" i="3"/>
  <c r="N5" i="3"/>
  <c r="K5" i="3"/>
  <c r="R4" i="3"/>
  <c r="Q4" i="3"/>
  <c r="N4" i="3"/>
  <c r="K4" i="3"/>
  <c r="R3" i="3"/>
  <c r="Q3" i="3"/>
  <c r="N3" i="3"/>
  <c r="K3" i="3"/>
  <c r="R2" i="3"/>
  <c r="R159" i="3" s="1"/>
  <c r="Q2" i="3"/>
  <c r="K2" i="3"/>
  <c r="K159" i="3" s="1"/>
  <c r="N163" i="2"/>
  <c r="L163" i="2"/>
  <c r="J163" i="2"/>
  <c r="I163" i="2"/>
  <c r="I165" i="2" s="1"/>
  <c r="H163" i="2"/>
  <c r="G163" i="2"/>
  <c r="F163" i="2"/>
  <c r="E163" i="2"/>
  <c r="R162" i="2"/>
  <c r="Q162" i="2"/>
  <c r="N162" i="2"/>
  <c r="K162" i="2"/>
  <c r="R161" i="2"/>
  <c r="Q161" i="2"/>
  <c r="N161" i="2"/>
  <c r="K161" i="2"/>
  <c r="R160" i="2"/>
  <c r="Q160" i="2"/>
  <c r="N160" i="2"/>
  <c r="K160" i="2"/>
  <c r="R159" i="2"/>
  <c r="Q159" i="2"/>
  <c r="N159" i="2"/>
  <c r="K159" i="2"/>
  <c r="R158" i="2"/>
  <c r="Q158" i="2"/>
  <c r="N158" i="2"/>
  <c r="K158" i="2"/>
  <c r="R157" i="2"/>
  <c r="Q157" i="2"/>
  <c r="N157" i="2"/>
  <c r="K157" i="2"/>
  <c r="R156" i="2"/>
  <c r="Q156" i="2"/>
  <c r="N156" i="2"/>
  <c r="K156" i="2"/>
  <c r="R155" i="2"/>
  <c r="Q155" i="2"/>
  <c r="N155" i="2"/>
  <c r="K155" i="2"/>
  <c r="R154" i="2"/>
  <c r="Q154" i="2"/>
  <c r="N154" i="2"/>
  <c r="K154" i="2"/>
  <c r="R153" i="2"/>
  <c r="Q153" i="2"/>
  <c r="N153" i="2"/>
  <c r="K153" i="2"/>
  <c r="R152" i="2"/>
  <c r="Q152" i="2"/>
  <c r="N152" i="2"/>
  <c r="K152" i="2"/>
  <c r="R151" i="2"/>
  <c r="Q151" i="2"/>
  <c r="N151" i="2"/>
  <c r="K151" i="2"/>
  <c r="R150" i="2"/>
  <c r="Q150" i="2"/>
  <c r="N150" i="2"/>
  <c r="K150" i="2"/>
  <c r="R149" i="2"/>
  <c r="Q149" i="2"/>
  <c r="N149" i="2"/>
  <c r="K149" i="2"/>
  <c r="R148" i="2"/>
  <c r="Q148" i="2"/>
  <c r="N148" i="2"/>
  <c r="K148" i="2"/>
  <c r="R147" i="2"/>
  <c r="Q147" i="2"/>
  <c r="N147" i="2"/>
  <c r="K147" i="2"/>
  <c r="R146" i="2"/>
  <c r="Q146" i="2"/>
  <c r="N146" i="2"/>
  <c r="K146" i="2"/>
  <c r="R145" i="2"/>
  <c r="Q145" i="2"/>
  <c r="N145" i="2"/>
  <c r="K145" i="2"/>
  <c r="R144" i="2"/>
  <c r="Q144" i="2"/>
  <c r="N144" i="2"/>
  <c r="K144" i="2"/>
  <c r="R143" i="2"/>
  <c r="Q143" i="2"/>
  <c r="N143" i="2"/>
  <c r="K143" i="2"/>
  <c r="R142" i="2"/>
  <c r="Q142" i="2"/>
  <c r="N142" i="2"/>
  <c r="K142" i="2"/>
  <c r="R141" i="2"/>
  <c r="Q141" i="2"/>
  <c r="N141" i="2"/>
  <c r="K141" i="2"/>
  <c r="R140" i="2"/>
  <c r="Q140" i="2"/>
  <c r="N140" i="2"/>
  <c r="K140" i="2"/>
  <c r="R139" i="2"/>
  <c r="Q139" i="2"/>
  <c r="N139" i="2"/>
  <c r="K139" i="2"/>
  <c r="R138" i="2"/>
  <c r="Q138" i="2"/>
  <c r="N138" i="2"/>
  <c r="K138" i="2"/>
  <c r="R137" i="2"/>
  <c r="Q137" i="2"/>
  <c r="N137" i="2"/>
  <c r="K137" i="2"/>
  <c r="R136" i="2"/>
  <c r="Q136" i="2"/>
  <c r="N136" i="2"/>
  <c r="K136" i="2"/>
  <c r="R135" i="2"/>
  <c r="Q135" i="2"/>
  <c r="N135" i="2"/>
  <c r="K135" i="2"/>
  <c r="R134" i="2"/>
  <c r="Q134" i="2"/>
  <c r="N134" i="2"/>
  <c r="K134" i="2"/>
  <c r="R133" i="2"/>
  <c r="Q133" i="2"/>
  <c r="N133" i="2"/>
  <c r="K133" i="2"/>
  <c r="R132" i="2"/>
  <c r="Q132" i="2"/>
  <c r="N132" i="2"/>
  <c r="K132" i="2"/>
  <c r="R131" i="2"/>
  <c r="Q131" i="2"/>
  <c r="N131" i="2"/>
  <c r="K131" i="2"/>
  <c r="R130" i="2"/>
  <c r="Q130" i="2"/>
  <c r="N130" i="2"/>
  <c r="K130" i="2"/>
  <c r="R129" i="2"/>
  <c r="Q129" i="2"/>
  <c r="N129" i="2"/>
  <c r="K129" i="2"/>
  <c r="R128" i="2"/>
  <c r="Q128" i="2"/>
  <c r="K128" i="2"/>
  <c r="R127" i="2"/>
  <c r="Q127" i="2"/>
  <c r="N127" i="2"/>
  <c r="K127" i="2"/>
  <c r="R126" i="2"/>
  <c r="Q126" i="2"/>
  <c r="N126" i="2"/>
  <c r="K126" i="2"/>
  <c r="R125" i="2"/>
  <c r="Q125" i="2"/>
  <c r="N125" i="2"/>
  <c r="K125" i="2"/>
  <c r="R124" i="2"/>
  <c r="Q124" i="2"/>
  <c r="N124" i="2"/>
  <c r="K124" i="2"/>
  <c r="R123" i="2"/>
  <c r="Q123" i="2"/>
  <c r="N123" i="2"/>
  <c r="K123" i="2"/>
  <c r="R122" i="2"/>
  <c r="Q122" i="2"/>
  <c r="N122" i="2"/>
  <c r="K122" i="2"/>
  <c r="R121" i="2"/>
  <c r="Q121" i="2"/>
  <c r="N121" i="2"/>
  <c r="K121" i="2"/>
  <c r="R120" i="2"/>
  <c r="Q120" i="2"/>
  <c r="N120" i="2"/>
  <c r="K120" i="2"/>
  <c r="R119" i="2"/>
  <c r="Q119" i="2"/>
  <c r="N119" i="2"/>
  <c r="K119" i="2"/>
  <c r="R118" i="2"/>
  <c r="Q118" i="2"/>
  <c r="N118" i="2"/>
  <c r="K118" i="2"/>
  <c r="R117" i="2"/>
  <c r="Q117" i="2"/>
  <c r="N117" i="2"/>
  <c r="K117" i="2"/>
  <c r="R116" i="2"/>
  <c r="Q116" i="2"/>
  <c r="N116" i="2"/>
  <c r="K116" i="2"/>
  <c r="R115" i="2"/>
  <c r="Q115" i="2"/>
  <c r="N115" i="2"/>
  <c r="K115" i="2"/>
  <c r="R114" i="2"/>
  <c r="Q114" i="2"/>
  <c r="N114" i="2"/>
  <c r="K114" i="2"/>
  <c r="R113" i="2"/>
  <c r="Q113" i="2"/>
  <c r="N113" i="2"/>
  <c r="K113" i="2"/>
  <c r="R112" i="2"/>
  <c r="Q112" i="2"/>
  <c r="K112" i="2"/>
  <c r="R111" i="2"/>
  <c r="Q111" i="2"/>
  <c r="N111" i="2"/>
  <c r="K111" i="2"/>
  <c r="R110" i="2"/>
  <c r="Q110" i="2"/>
  <c r="N110" i="2"/>
  <c r="K110" i="2"/>
  <c r="R109" i="2"/>
  <c r="Q109" i="2"/>
  <c r="N109" i="2"/>
  <c r="K109" i="2"/>
  <c r="R108" i="2"/>
  <c r="Q108" i="2"/>
  <c r="N108" i="2"/>
  <c r="K108" i="2"/>
  <c r="R107" i="2"/>
  <c r="Q107" i="2"/>
  <c r="N107" i="2"/>
  <c r="K107" i="2"/>
  <c r="R106" i="2"/>
  <c r="Q106" i="2"/>
  <c r="N106" i="2"/>
  <c r="K106" i="2"/>
  <c r="R105" i="2"/>
  <c r="Q105" i="2"/>
  <c r="N105" i="2"/>
  <c r="K105" i="2"/>
  <c r="R104" i="2"/>
  <c r="Q104" i="2"/>
  <c r="N104" i="2"/>
  <c r="K104" i="2"/>
  <c r="R103" i="2"/>
  <c r="Q103" i="2"/>
  <c r="N103" i="2"/>
  <c r="K103" i="2"/>
  <c r="R102" i="2"/>
  <c r="Q102" i="2"/>
  <c r="N102" i="2"/>
  <c r="K102" i="2"/>
  <c r="R101" i="2"/>
  <c r="Q101" i="2"/>
  <c r="N101" i="2"/>
  <c r="K101" i="2"/>
  <c r="R100" i="2"/>
  <c r="Q100" i="2"/>
  <c r="N100" i="2"/>
  <c r="K100" i="2"/>
  <c r="R99" i="2"/>
  <c r="Q99" i="2"/>
  <c r="N99" i="2"/>
  <c r="K99" i="2"/>
  <c r="R98" i="2"/>
  <c r="Q98" i="2"/>
  <c r="N98" i="2"/>
  <c r="K98" i="2"/>
  <c r="R97" i="2"/>
  <c r="Q97" i="2"/>
  <c r="N97" i="2"/>
  <c r="K97" i="2"/>
  <c r="R96" i="2"/>
  <c r="Q96" i="2"/>
  <c r="N96" i="2"/>
  <c r="K96" i="2"/>
  <c r="R95" i="2"/>
  <c r="Q95" i="2"/>
  <c r="N95" i="2"/>
  <c r="K95" i="2"/>
  <c r="R94" i="2"/>
  <c r="Q94" i="2"/>
  <c r="N94" i="2"/>
  <c r="K94" i="2"/>
  <c r="R93" i="2"/>
  <c r="Q93" i="2"/>
  <c r="N93" i="2"/>
  <c r="K93" i="2"/>
  <c r="R92" i="2"/>
  <c r="Q92" i="2"/>
  <c r="K92" i="2"/>
  <c r="R91" i="2"/>
  <c r="Q91" i="2"/>
  <c r="N91" i="2"/>
  <c r="K91" i="2"/>
  <c r="R90" i="2"/>
  <c r="Q90" i="2"/>
  <c r="N90" i="2"/>
  <c r="K90" i="2"/>
  <c r="R89" i="2"/>
  <c r="Q89" i="2"/>
  <c r="N89" i="2"/>
  <c r="K89" i="2"/>
  <c r="R88" i="2"/>
  <c r="Q88" i="2"/>
  <c r="N88" i="2"/>
  <c r="K88" i="2"/>
  <c r="R87" i="2"/>
  <c r="Q87" i="2"/>
  <c r="K87" i="2"/>
  <c r="R86" i="2"/>
  <c r="Q86" i="2"/>
  <c r="N86" i="2"/>
  <c r="K86" i="2"/>
  <c r="R85" i="2"/>
  <c r="Q85" i="2"/>
  <c r="N85" i="2"/>
  <c r="K85" i="2"/>
  <c r="R84" i="2"/>
  <c r="Q84" i="2"/>
  <c r="N84" i="2"/>
  <c r="K84" i="2"/>
  <c r="R83" i="2"/>
  <c r="Q83" i="2"/>
  <c r="N83" i="2"/>
  <c r="K83" i="2"/>
  <c r="R82" i="2"/>
  <c r="Q82" i="2"/>
  <c r="N82" i="2"/>
  <c r="K82" i="2"/>
  <c r="R81" i="2"/>
  <c r="Q81" i="2"/>
  <c r="N81" i="2"/>
  <c r="K81" i="2"/>
  <c r="R80" i="2"/>
  <c r="Q80" i="2"/>
  <c r="N80" i="2"/>
  <c r="K80" i="2"/>
  <c r="R79" i="2"/>
  <c r="Q79" i="2"/>
  <c r="K79" i="2"/>
  <c r="R78" i="2"/>
  <c r="Q78" i="2"/>
  <c r="N78" i="2"/>
  <c r="K78" i="2"/>
  <c r="R77" i="2"/>
  <c r="Q77" i="2"/>
  <c r="N77" i="2"/>
  <c r="K77" i="2"/>
  <c r="R76" i="2"/>
  <c r="Q76" i="2"/>
  <c r="N76" i="2"/>
  <c r="K76" i="2"/>
  <c r="R75" i="2"/>
  <c r="Q75" i="2"/>
  <c r="N75" i="2"/>
  <c r="K75" i="2"/>
  <c r="R74" i="2"/>
  <c r="Q74" i="2"/>
  <c r="N74" i="2"/>
  <c r="K74" i="2"/>
  <c r="R73" i="2"/>
  <c r="Q73" i="2"/>
  <c r="N73" i="2"/>
  <c r="K73" i="2"/>
  <c r="R72" i="2"/>
  <c r="Q72" i="2"/>
  <c r="N72" i="2"/>
  <c r="K72" i="2"/>
  <c r="R71" i="2"/>
  <c r="Q71" i="2"/>
  <c r="K71" i="2"/>
  <c r="R70" i="2"/>
  <c r="Q70" i="2"/>
  <c r="N70" i="2"/>
  <c r="K70" i="2"/>
  <c r="R69" i="2"/>
  <c r="Q69" i="2"/>
  <c r="N69" i="2"/>
  <c r="K69" i="2"/>
  <c r="R68" i="2"/>
  <c r="Q68" i="2"/>
  <c r="N68" i="2"/>
  <c r="K68" i="2"/>
  <c r="R67" i="2"/>
  <c r="Q67" i="2"/>
  <c r="N67" i="2"/>
  <c r="K67" i="2"/>
  <c r="R66" i="2"/>
  <c r="Q66" i="2"/>
  <c r="N66" i="2"/>
  <c r="K66" i="2"/>
  <c r="R65" i="2"/>
  <c r="Q65" i="2"/>
  <c r="N65" i="2"/>
  <c r="K65" i="2"/>
  <c r="R64" i="2"/>
  <c r="Q64" i="2"/>
  <c r="N64" i="2"/>
  <c r="K64" i="2"/>
  <c r="R63" i="2"/>
  <c r="Q63" i="2"/>
  <c r="N63" i="2"/>
  <c r="K63" i="2"/>
  <c r="R62" i="2"/>
  <c r="Q62" i="2"/>
  <c r="N62" i="2"/>
  <c r="K62" i="2"/>
  <c r="R61" i="2"/>
  <c r="Q61" i="2"/>
  <c r="N61" i="2"/>
  <c r="K61" i="2"/>
  <c r="R60" i="2"/>
  <c r="Q60" i="2"/>
  <c r="N60" i="2"/>
  <c r="K60" i="2"/>
  <c r="R59" i="2"/>
  <c r="Q59" i="2"/>
  <c r="N59" i="2"/>
  <c r="K59" i="2"/>
  <c r="R58" i="2"/>
  <c r="Q58" i="2"/>
  <c r="N58" i="2"/>
  <c r="K58" i="2"/>
  <c r="R57" i="2"/>
  <c r="Q57" i="2"/>
  <c r="N57" i="2"/>
  <c r="K57" i="2"/>
  <c r="R56" i="2"/>
  <c r="Q56" i="2"/>
  <c r="N56" i="2"/>
  <c r="K56" i="2"/>
  <c r="R55" i="2"/>
  <c r="Q55" i="2"/>
  <c r="N55" i="2"/>
  <c r="K55" i="2"/>
  <c r="R54" i="2"/>
  <c r="Q54" i="2"/>
  <c r="N54" i="2"/>
  <c r="K54" i="2"/>
  <c r="R53" i="2"/>
  <c r="Q53" i="2"/>
  <c r="N53" i="2"/>
  <c r="K53" i="2"/>
  <c r="R52" i="2"/>
  <c r="Q52" i="2"/>
  <c r="N52" i="2"/>
  <c r="K52" i="2"/>
  <c r="R51" i="2"/>
  <c r="Q51" i="2"/>
  <c r="N51" i="2"/>
  <c r="K51" i="2"/>
  <c r="R50" i="2"/>
  <c r="Q50" i="2"/>
  <c r="K50" i="2"/>
  <c r="R49" i="2"/>
  <c r="Q49" i="2"/>
  <c r="N49" i="2"/>
  <c r="K49" i="2"/>
  <c r="R48" i="2"/>
  <c r="Q48" i="2"/>
  <c r="N48" i="2"/>
  <c r="K48" i="2"/>
  <c r="R47" i="2"/>
  <c r="Q47" i="2"/>
  <c r="N47" i="2"/>
  <c r="K47" i="2"/>
  <c r="R46" i="2"/>
  <c r="Q46" i="2"/>
  <c r="N46" i="2"/>
  <c r="K46" i="2"/>
  <c r="R45" i="2"/>
  <c r="Q45" i="2"/>
  <c r="N45" i="2"/>
  <c r="K45" i="2"/>
  <c r="R44" i="2"/>
  <c r="Q44" i="2"/>
  <c r="N44" i="2"/>
  <c r="K44" i="2"/>
  <c r="R43" i="2"/>
  <c r="Q43" i="2"/>
  <c r="N43" i="2"/>
  <c r="K43" i="2"/>
  <c r="R42" i="2"/>
  <c r="Q42" i="2"/>
  <c r="K42" i="2"/>
  <c r="R41" i="2"/>
  <c r="Q41" i="2"/>
  <c r="N41" i="2"/>
  <c r="K41" i="2"/>
  <c r="R40" i="2"/>
  <c r="Q40" i="2"/>
  <c r="N40" i="2"/>
  <c r="K40" i="2"/>
  <c r="R39" i="2"/>
  <c r="Q39" i="2"/>
  <c r="N39" i="2"/>
  <c r="K39" i="2"/>
  <c r="R38" i="2"/>
  <c r="Q38" i="2"/>
  <c r="N38" i="2"/>
  <c r="K38" i="2"/>
  <c r="R37" i="2"/>
  <c r="Q37" i="2"/>
  <c r="N37" i="2"/>
  <c r="K37" i="2"/>
  <c r="R36" i="2"/>
  <c r="Q36" i="2"/>
  <c r="N36" i="2"/>
  <c r="K36" i="2"/>
  <c r="R35" i="2"/>
  <c r="Q35" i="2"/>
  <c r="N35" i="2"/>
  <c r="K35" i="2"/>
  <c r="R34" i="2"/>
  <c r="Q34" i="2"/>
  <c r="N34" i="2"/>
  <c r="K34" i="2"/>
  <c r="R33" i="2"/>
  <c r="Q33" i="2"/>
  <c r="N33" i="2"/>
  <c r="K33" i="2"/>
  <c r="R32" i="2"/>
  <c r="Q32" i="2"/>
  <c r="K32" i="2"/>
  <c r="R31" i="2"/>
  <c r="Q31" i="2"/>
  <c r="N31" i="2"/>
  <c r="K31" i="2"/>
  <c r="R30" i="2"/>
  <c r="Q30" i="2"/>
  <c r="N30" i="2"/>
  <c r="K30" i="2"/>
  <c r="R29" i="2"/>
  <c r="Q29" i="2"/>
  <c r="N29" i="2"/>
  <c r="K29" i="2"/>
  <c r="R28" i="2"/>
  <c r="Q28" i="2"/>
  <c r="N28" i="2"/>
  <c r="K28" i="2"/>
  <c r="R27" i="2"/>
  <c r="Q27" i="2"/>
  <c r="N27" i="2"/>
  <c r="K27" i="2"/>
  <c r="R26" i="2"/>
  <c r="Q26" i="2"/>
  <c r="N26" i="2"/>
  <c r="K26" i="2"/>
  <c r="R25" i="2"/>
  <c r="Q25" i="2"/>
  <c r="K25" i="2"/>
  <c r="R24" i="2"/>
  <c r="Q24" i="2"/>
  <c r="K24" i="2"/>
  <c r="R23" i="2"/>
  <c r="Q23" i="2"/>
  <c r="N23" i="2"/>
  <c r="K23" i="2"/>
  <c r="R22" i="2"/>
  <c r="Q22" i="2"/>
  <c r="N22" i="2"/>
  <c r="K22" i="2"/>
  <c r="R21" i="2"/>
  <c r="Q21" i="2"/>
  <c r="N21" i="2"/>
  <c r="K21" i="2"/>
  <c r="R20" i="2"/>
  <c r="Q20" i="2"/>
  <c r="N20" i="2"/>
  <c r="K20" i="2"/>
  <c r="R19" i="2"/>
  <c r="Q19" i="2"/>
  <c r="N19" i="2"/>
  <c r="K19" i="2"/>
  <c r="R18" i="2"/>
  <c r="Q18" i="2"/>
  <c r="N18" i="2"/>
  <c r="K18" i="2"/>
  <c r="R17" i="2"/>
  <c r="Q17" i="2"/>
  <c r="N17" i="2"/>
  <c r="K17" i="2"/>
  <c r="R16" i="2"/>
  <c r="Q16" i="2"/>
  <c r="N16" i="2"/>
  <c r="K16" i="2"/>
  <c r="R15" i="2"/>
  <c r="Q15" i="2"/>
  <c r="N15" i="2"/>
  <c r="K15" i="2"/>
  <c r="R14" i="2"/>
  <c r="Q14" i="2"/>
  <c r="N14" i="2"/>
  <c r="K14" i="2"/>
  <c r="R13" i="2"/>
  <c r="Q13" i="2"/>
  <c r="N13" i="2"/>
  <c r="K13" i="2"/>
  <c r="R12" i="2"/>
  <c r="Q12" i="2"/>
  <c r="N12" i="2"/>
  <c r="K12" i="2"/>
  <c r="R11" i="2"/>
  <c r="Q11" i="2"/>
  <c r="N11" i="2"/>
  <c r="K11" i="2"/>
  <c r="R10" i="2"/>
  <c r="Q10" i="2"/>
  <c r="N10" i="2"/>
  <c r="K10" i="2"/>
  <c r="R9" i="2"/>
  <c r="Q9" i="2"/>
  <c r="N9" i="2"/>
  <c r="K9" i="2"/>
  <c r="R8" i="2"/>
  <c r="Q8" i="2"/>
  <c r="N8" i="2"/>
  <c r="K8" i="2"/>
  <c r="R7" i="2"/>
  <c r="Q7" i="2"/>
  <c r="N7" i="2"/>
  <c r="K7" i="2"/>
  <c r="R6" i="2"/>
  <c r="Q6" i="2"/>
  <c r="N6" i="2"/>
  <c r="K6" i="2"/>
  <c r="R5" i="2"/>
  <c r="Q5" i="2"/>
  <c r="N5" i="2"/>
  <c r="K5" i="2"/>
  <c r="R4" i="2"/>
  <c r="Q4" i="2"/>
  <c r="N4" i="2"/>
  <c r="K4" i="2"/>
  <c r="R3" i="2"/>
  <c r="Q3" i="2"/>
  <c r="N3" i="2"/>
  <c r="K3" i="2"/>
  <c r="R2" i="2"/>
  <c r="R163" i="2" s="1"/>
  <c r="Q2" i="2"/>
  <c r="Q163" i="2" s="1"/>
  <c r="K2" i="2"/>
  <c r="K163" i="2" s="1"/>
  <c r="O146" i="1"/>
  <c r="M146" i="1"/>
  <c r="K146" i="1"/>
  <c r="J146" i="1"/>
  <c r="J148" i="1" s="1"/>
  <c r="I146" i="1"/>
  <c r="H146" i="1"/>
  <c r="G146" i="1"/>
  <c r="F146" i="1"/>
  <c r="S145" i="1"/>
  <c r="R145" i="1"/>
  <c r="O145" i="1"/>
  <c r="L145" i="1"/>
  <c r="S144" i="1"/>
  <c r="R144" i="1"/>
  <c r="O144" i="1"/>
  <c r="L144" i="1"/>
  <c r="S143" i="1"/>
  <c r="R143" i="1"/>
  <c r="O143" i="1"/>
  <c r="L143" i="1"/>
  <c r="S142" i="1"/>
  <c r="R142" i="1"/>
  <c r="O142" i="1"/>
  <c r="L142" i="1"/>
  <c r="S141" i="1"/>
  <c r="R141" i="1"/>
  <c r="O141" i="1"/>
  <c r="L141" i="1"/>
  <c r="S140" i="1"/>
  <c r="R140" i="1"/>
  <c r="O140" i="1"/>
  <c r="L140" i="1"/>
  <c r="S139" i="1"/>
  <c r="R139" i="1"/>
  <c r="O139" i="1"/>
  <c r="L139" i="1"/>
  <c r="S138" i="1"/>
  <c r="R138" i="1"/>
  <c r="O138" i="1"/>
  <c r="L138" i="1"/>
  <c r="S137" i="1"/>
  <c r="R137" i="1"/>
  <c r="O137" i="1"/>
  <c r="L137" i="1"/>
  <c r="S136" i="1"/>
  <c r="R136" i="1"/>
  <c r="O136" i="1"/>
  <c r="L136" i="1"/>
  <c r="S135" i="1"/>
  <c r="R135" i="1"/>
  <c r="O135" i="1"/>
  <c r="L135" i="1"/>
  <c r="S134" i="1"/>
  <c r="R134" i="1"/>
  <c r="O134" i="1"/>
  <c r="L134" i="1"/>
  <c r="S133" i="1"/>
  <c r="R133" i="1"/>
  <c r="O133" i="1"/>
  <c r="L133" i="1"/>
  <c r="S132" i="1"/>
  <c r="R132" i="1"/>
  <c r="O132" i="1"/>
  <c r="L132" i="1"/>
  <c r="S131" i="1"/>
  <c r="R131" i="1"/>
  <c r="O131" i="1"/>
  <c r="L131" i="1"/>
  <c r="S130" i="1"/>
  <c r="R130" i="1"/>
  <c r="O130" i="1"/>
  <c r="L130" i="1"/>
  <c r="S129" i="1"/>
  <c r="R129" i="1"/>
  <c r="O129" i="1"/>
  <c r="L129" i="1"/>
  <c r="S128" i="1"/>
  <c r="R128" i="1"/>
  <c r="O128" i="1"/>
  <c r="L128" i="1"/>
  <c r="S127" i="1"/>
  <c r="R127" i="1"/>
  <c r="O127" i="1"/>
  <c r="L127" i="1"/>
  <c r="S126" i="1"/>
  <c r="R126" i="1"/>
  <c r="O126" i="1"/>
  <c r="L126" i="1"/>
  <c r="S125" i="1"/>
  <c r="R125" i="1"/>
  <c r="O125" i="1"/>
  <c r="L125" i="1"/>
  <c r="S124" i="1"/>
  <c r="R124" i="1"/>
  <c r="O124" i="1"/>
  <c r="L124" i="1"/>
  <c r="S123" i="1"/>
  <c r="R123" i="1"/>
  <c r="O123" i="1"/>
  <c r="L123" i="1"/>
  <c r="S122" i="1"/>
  <c r="R122" i="1"/>
  <c r="O122" i="1"/>
  <c r="L122" i="1"/>
  <c r="S121" i="1"/>
  <c r="R121" i="1"/>
  <c r="O121" i="1"/>
  <c r="L121" i="1"/>
  <c r="S120" i="1"/>
  <c r="R120" i="1"/>
  <c r="L120" i="1"/>
  <c r="S119" i="1"/>
  <c r="R119" i="1"/>
  <c r="L119" i="1"/>
  <c r="S118" i="1"/>
  <c r="R118" i="1"/>
  <c r="O118" i="1"/>
  <c r="L118" i="1"/>
  <c r="S117" i="1"/>
  <c r="R117" i="1"/>
  <c r="O117" i="1"/>
  <c r="L117" i="1"/>
  <c r="S116" i="1"/>
  <c r="R116" i="1"/>
  <c r="O116" i="1"/>
  <c r="L116" i="1"/>
  <c r="S115" i="1"/>
  <c r="R115" i="1"/>
  <c r="O115" i="1"/>
  <c r="L115" i="1"/>
  <c r="S114" i="1"/>
  <c r="R114" i="1"/>
  <c r="O114" i="1"/>
  <c r="L114" i="1"/>
  <c r="S113" i="1"/>
  <c r="R113" i="1"/>
  <c r="O113" i="1"/>
  <c r="L113" i="1"/>
  <c r="S112" i="1"/>
  <c r="R112" i="1"/>
  <c r="O112" i="1"/>
  <c r="L112" i="1"/>
  <c r="S111" i="1"/>
  <c r="R111" i="1"/>
  <c r="O111" i="1"/>
  <c r="L111" i="1"/>
  <c r="S110" i="1"/>
  <c r="R110" i="1"/>
  <c r="O110" i="1"/>
  <c r="L110" i="1"/>
  <c r="S109" i="1"/>
  <c r="R109" i="1"/>
  <c r="O109" i="1"/>
  <c r="L109" i="1"/>
  <c r="S108" i="1"/>
  <c r="R108" i="1"/>
  <c r="O108" i="1"/>
  <c r="L108" i="1"/>
  <c r="S107" i="1"/>
  <c r="R107" i="1"/>
  <c r="O107" i="1"/>
  <c r="L107" i="1"/>
  <c r="S106" i="1"/>
  <c r="R106" i="1"/>
  <c r="O106" i="1"/>
  <c r="L106" i="1"/>
  <c r="S105" i="1"/>
  <c r="R105" i="1"/>
  <c r="O105" i="1"/>
  <c r="L105" i="1"/>
  <c r="S104" i="1"/>
  <c r="R104" i="1"/>
  <c r="O104" i="1"/>
  <c r="L104" i="1"/>
  <c r="S103" i="1"/>
  <c r="R103" i="1"/>
  <c r="O103" i="1"/>
  <c r="L103" i="1"/>
  <c r="S102" i="1"/>
  <c r="R102" i="1"/>
  <c r="O102" i="1"/>
  <c r="L102" i="1"/>
  <c r="S101" i="1"/>
  <c r="R101" i="1"/>
  <c r="O101" i="1"/>
  <c r="L101" i="1"/>
  <c r="S100" i="1"/>
  <c r="R100" i="1"/>
  <c r="O100" i="1"/>
  <c r="L100" i="1"/>
  <c r="S99" i="1"/>
  <c r="R99" i="1"/>
  <c r="O99" i="1"/>
  <c r="L99" i="1"/>
  <c r="S98" i="1"/>
  <c r="R98" i="1"/>
  <c r="O98" i="1"/>
  <c r="L98" i="1"/>
  <c r="S97" i="1"/>
  <c r="R97" i="1"/>
  <c r="O97" i="1"/>
  <c r="L97" i="1"/>
  <c r="S96" i="1"/>
  <c r="R96" i="1"/>
  <c r="O96" i="1"/>
  <c r="L96" i="1"/>
  <c r="S95" i="1"/>
  <c r="R95" i="1"/>
  <c r="O95" i="1"/>
  <c r="L95" i="1"/>
  <c r="S94" i="1"/>
  <c r="R94" i="1"/>
  <c r="O94" i="1"/>
  <c r="L94" i="1"/>
  <c r="S93" i="1"/>
  <c r="R93" i="1"/>
  <c r="O93" i="1"/>
  <c r="L93" i="1"/>
  <c r="S92" i="1"/>
  <c r="R92" i="1"/>
  <c r="O92" i="1"/>
  <c r="L92" i="1"/>
  <c r="S91" i="1"/>
  <c r="R91" i="1"/>
  <c r="O91" i="1"/>
  <c r="L91" i="1"/>
  <c r="S90" i="1"/>
  <c r="R90" i="1"/>
  <c r="O90" i="1"/>
  <c r="L90" i="1"/>
  <c r="S89" i="1"/>
  <c r="R89" i="1"/>
  <c r="L89" i="1"/>
  <c r="S88" i="1"/>
  <c r="R88" i="1"/>
  <c r="O88" i="1"/>
  <c r="L88" i="1"/>
  <c r="S87" i="1"/>
  <c r="R87" i="1"/>
  <c r="O87" i="1"/>
  <c r="L87" i="1"/>
  <c r="S86" i="1"/>
  <c r="R86" i="1"/>
  <c r="O86" i="1"/>
  <c r="L86" i="1"/>
  <c r="S85" i="1"/>
  <c r="R85" i="1"/>
  <c r="O85" i="1"/>
  <c r="L85" i="1"/>
  <c r="S84" i="1"/>
  <c r="R84" i="1"/>
  <c r="O84" i="1"/>
  <c r="L84" i="1"/>
  <c r="S83" i="1"/>
  <c r="R83" i="1"/>
  <c r="O83" i="1"/>
  <c r="L83" i="1"/>
  <c r="S82" i="1"/>
  <c r="R82" i="1"/>
  <c r="O82" i="1"/>
  <c r="L82" i="1"/>
  <c r="S81" i="1"/>
  <c r="R81" i="1"/>
  <c r="L81" i="1"/>
  <c r="S80" i="1"/>
  <c r="R80" i="1"/>
  <c r="O80" i="1"/>
  <c r="L80" i="1"/>
  <c r="S79" i="1"/>
  <c r="R79" i="1"/>
  <c r="O79" i="1"/>
  <c r="L79" i="1"/>
  <c r="S78" i="1"/>
  <c r="R78" i="1"/>
  <c r="O78" i="1"/>
  <c r="L78" i="1"/>
  <c r="S77" i="1"/>
  <c r="R77" i="1"/>
  <c r="O77" i="1"/>
  <c r="L77" i="1"/>
  <c r="S76" i="1"/>
  <c r="R76" i="1"/>
  <c r="O76" i="1"/>
  <c r="L76" i="1"/>
  <c r="S75" i="1"/>
  <c r="R75" i="1"/>
  <c r="L75" i="1"/>
  <c r="S74" i="1"/>
  <c r="R74" i="1"/>
  <c r="O74" i="1"/>
  <c r="L74" i="1"/>
  <c r="S73" i="1"/>
  <c r="R73" i="1"/>
  <c r="O73" i="1"/>
  <c r="L73" i="1"/>
  <c r="S72" i="1"/>
  <c r="R72" i="1"/>
  <c r="O72" i="1"/>
  <c r="L72" i="1"/>
  <c r="S71" i="1"/>
  <c r="R71" i="1"/>
  <c r="O71" i="1"/>
  <c r="L71" i="1"/>
  <c r="S70" i="1"/>
  <c r="R70" i="1"/>
  <c r="O70" i="1"/>
  <c r="L70" i="1"/>
  <c r="S69" i="1"/>
  <c r="R69" i="1"/>
  <c r="O69" i="1"/>
  <c r="L69" i="1"/>
  <c r="S68" i="1"/>
  <c r="R68" i="1"/>
  <c r="O68" i="1"/>
  <c r="L68" i="1"/>
  <c r="S67" i="1"/>
  <c r="R67" i="1"/>
  <c r="L67" i="1"/>
  <c r="S66" i="1"/>
  <c r="R66" i="1"/>
  <c r="O66" i="1"/>
  <c r="L66" i="1"/>
  <c r="S65" i="1"/>
  <c r="R65" i="1"/>
  <c r="O65" i="1"/>
  <c r="L65" i="1"/>
  <c r="S64" i="1"/>
  <c r="R64" i="1"/>
  <c r="O64" i="1"/>
  <c r="L64" i="1"/>
  <c r="S63" i="1"/>
  <c r="R63" i="1"/>
  <c r="O63" i="1"/>
  <c r="L63" i="1"/>
  <c r="S62" i="1"/>
  <c r="R62" i="1"/>
  <c r="O62" i="1"/>
  <c r="L62" i="1"/>
  <c r="S61" i="1"/>
  <c r="R61" i="1"/>
  <c r="O61" i="1"/>
  <c r="L61" i="1"/>
  <c r="S60" i="1"/>
  <c r="R60" i="1"/>
  <c r="O60" i="1"/>
  <c r="L60" i="1"/>
  <c r="S59" i="1"/>
  <c r="R59" i="1"/>
  <c r="O59" i="1"/>
  <c r="L59" i="1"/>
  <c r="S58" i="1"/>
  <c r="R58" i="1"/>
  <c r="O58" i="1"/>
  <c r="L58" i="1"/>
  <c r="S57" i="1"/>
  <c r="R57" i="1"/>
  <c r="O57" i="1"/>
  <c r="L57" i="1"/>
  <c r="S56" i="1"/>
  <c r="R56" i="1"/>
  <c r="O56" i="1"/>
  <c r="L56" i="1"/>
  <c r="S55" i="1"/>
  <c r="R55" i="1"/>
  <c r="O55" i="1"/>
  <c r="L55" i="1"/>
  <c r="S54" i="1"/>
  <c r="R54" i="1"/>
  <c r="O54" i="1"/>
  <c r="L54" i="1"/>
  <c r="S53" i="1"/>
  <c r="R53" i="1"/>
  <c r="O53" i="1"/>
  <c r="L53" i="1"/>
  <c r="S52" i="1"/>
  <c r="R52" i="1"/>
  <c r="O52" i="1"/>
  <c r="L52" i="1"/>
  <c r="S51" i="1"/>
  <c r="R51" i="1"/>
  <c r="O51" i="1"/>
  <c r="L51" i="1"/>
  <c r="S50" i="1"/>
  <c r="R50" i="1"/>
  <c r="O50" i="1"/>
  <c r="L50" i="1"/>
  <c r="S49" i="1"/>
  <c r="R49" i="1"/>
  <c r="O49" i="1"/>
  <c r="L49" i="1"/>
  <c r="S48" i="1"/>
  <c r="R48" i="1"/>
  <c r="O48" i="1"/>
  <c r="L48" i="1"/>
  <c r="S47" i="1"/>
  <c r="R47" i="1"/>
  <c r="O47" i="1"/>
  <c r="L47" i="1"/>
  <c r="S46" i="1"/>
  <c r="R46" i="1"/>
  <c r="L46" i="1"/>
  <c r="S45" i="1"/>
  <c r="R45" i="1"/>
  <c r="O45" i="1"/>
  <c r="L45" i="1"/>
  <c r="S44" i="1"/>
  <c r="R44" i="1"/>
  <c r="O44" i="1"/>
  <c r="L44" i="1"/>
  <c r="S43" i="1"/>
  <c r="R43" i="1"/>
  <c r="O43" i="1"/>
  <c r="L43" i="1"/>
  <c r="S42" i="1"/>
  <c r="R42" i="1"/>
  <c r="O42" i="1"/>
  <c r="L42" i="1"/>
  <c r="S41" i="1"/>
  <c r="R41" i="1"/>
  <c r="O41" i="1"/>
  <c r="L41" i="1"/>
  <c r="S40" i="1"/>
  <c r="R40" i="1"/>
  <c r="L40" i="1"/>
  <c r="S39" i="1"/>
  <c r="R39" i="1"/>
  <c r="O39" i="1"/>
  <c r="L39" i="1"/>
  <c r="S38" i="1"/>
  <c r="R38" i="1"/>
  <c r="O38" i="1"/>
  <c r="L38" i="1"/>
  <c r="S37" i="1"/>
  <c r="R37" i="1"/>
  <c r="L37" i="1"/>
  <c r="S36" i="1"/>
  <c r="R36" i="1"/>
  <c r="O36" i="1"/>
  <c r="L36" i="1"/>
  <c r="S35" i="1"/>
  <c r="R35" i="1"/>
  <c r="O35" i="1"/>
  <c r="L35" i="1"/>
  <c r="S34" i="1"/>
  <c r="R34" i="1"/>
  <c r="O34" i="1"/>
  <c r="L34" i="1"/>
  <c r="S33" i="1"/>
  <c r="R33" i="1"/>
  <c r="O33" i="1"/>
  <c r="L33" i="1"/>
  <c r="S32" i="1"/>
  <c r="R32" i="1"/>
  <c r="O32" i="1"/>
  <c r="L32" i="1"/>
  <c r="S31" i="1"/>
  <c r="R31" i="1"/>
  <c r="O31" i="1"/>
  <c r="L31" i="1"/>
  <c r="S30" i="1"/>
  <c r="R30" i="1"/>
  <c r="L30" i="1"/>
  <c r="S29" i="1"/>
  <c r="R29" i="1"/>
  <c r="O29" i="1"/>
  <c r="L29" i="1"/>
  <c r="S28" i="1"/>
  <c r="R28" i="1"/>
  <c r="O28" i="1"/>
  <c r="L28" i="1"/>
  <c r="S27" i="1"/>
  <c r="R27" i="1"/>
  <c r="O27" i="1"/>
  <c r="L27" i="1"/>
  <c r="S26" i="1"/>
  <c r="R26" i="1"/>
  <c r="O26" i="1"/>
  <c r="L26" i="1"/>
  <c r="S25" i="1"/>
  <c r="R25" i="1"/>
  <c r="O25" i="1"/>
  <c r="L25" i="1"/>
  <c r="L146" i="1" s="1"/>
  <c r="S24" i="1"/>
  <c r="R24" i="1"/>
  <c r="L24" i="1"/>
  <c r="S23" i="1"/>
  <c r="S146" i="1" s="1"/>
  <c r="R23" i="1"/>
  <c r="L23" i="1"/>
  <c r="S22" i="1"/>
  <c r="R22" i="1"/>
  <c r="O22" i="1"/>
  <c r="L22" i="1"/>
  <c r="S21" i="1"/>
  <c r="R21" i="1"/>
  <c r="O21" i="1"/>
  <c r="L21" i="1"/>
  <c r="S20" i="1"/>
  <c r="R20" i="1"/>
  <c r="O20" i="1"/>
  <c r="L20" i="1"/>
  <c r="S19" i="1"/>
  <c r="R19" i="1"/>
  <c r="O19" i="1"/>
  <c r="L19" i="1"/>
  <c r="S18" i="1"/>
  <c r="R18" i="1"/>
  <c r="O18" i="1"/>
  <c r="L18" i="1"/>
  <c r="S17" i="1"/>
  <c r="R17" i="1"/>
  <c r="O17" i="1"/>
  <c r="L17" i="1"/>
  <c r="S16" i="1"/>
  <c r="R16" i="1"/>
  <c r="O16" i="1"/>
  <c r="L16" i="1"/>
  <c r="S15" i="1"/>
  <c r="R15" i="1"/>
  <c r="O15" i="1"/>
  <c r="L15" i="1"/>
  <c r="S14" i="1"/>
  <c r="R14" i="1"/>
  <c r="O14" i="1"/>
  <c r="L14" i="1"/>
  <c r="S13" i="1"/>
  <c r="R13" i="1"/>
  <c r="O13" i="1"/>
  <c r="L13" i="1"/>
  <c r="S12" i="1"/>
  <c r="R12" i="1"/>
  <c r="O12" i="1"/>
  <c r="L12" i="1"/>
  <c r="S11" i="1"/>
  <c r="R11" i="1"/>
  <c r="O11" i="1"/>
  <c r="L11" i="1"/>
  <c r="S10" i="1"/>
  <c r="R10" i="1"/>
  <c r="O10" i="1"/>
  <c r="L10" i="1"/>
  <c r="S9" i="1"/>
  <c r="R9" i="1"/>
  <c r="O9" i="1"/>
  <c r="L9" i="1"/>
  <c r="S8" i="1"/>
  <c r="R8" i="1"/>
  <c r="O8" i="1"/>
  <c r="L8" i="1"/>
  <c r="S7" i="1"/>
  <c r="R7" i="1"/>
  <c r="O7" i="1"/>
  <c r="L7" i="1"/>
  <c r="S6" i="1"/>
  <c r="R6" i="1"/>
  <c r="O6" i="1"/>
  <c r="L6" i="1"/>
  <c r="S5" i="1"/>
  <c r="R5" i="1"/>
  <c r="O5" i="1"/>
  <c r="L5" i="1"/>
  <c r="S4" i="1"/>
  <c r="R4" i="1"/>
  <c r="O4" i="1"/>
  <c r="L4" i="1"/>
  <c r="S3" i="1"/>
  <c r="R3" i="1"/>
  <c r="O3" i="1"/>
  <c r="L3" i="1"/>
  <c r="S2" i="1"/>
  <c r="R2" i="1"/>
  <c r="R146" i="1" s="1"/>
  <c r="O2" i="1"/>
  <c r="L2" i="1"/>
  <c r="R151" i="1" l="1"/>
  <c r="R149" i="1"/>
  <c r="Q168" i="2"/>
  <c r="Q166" i="2"/>
  <c r="Q164" i="3"/>
  <c r="Q162" i="3"/>
  <c r="E7" i="9"/>
  <c r="Q166" i="5"/>
  <c r="Q164" i="5"/>
  <c r="Q167" i="4"/>
  <c r="Q165" i="4"/>
  <c r="Q165" i="6"/>
  <c r="Q163" i="6"/>
  <c r="I164" i="5"/>
  <c r="R14" i="7"/>
  <c r="R16" i="7"/>
  <c r="R18" i="7"/>
  <c r="R20" i="7"/>
  <c r="R27" i="7"/>
  <c r="R29" i="7"/>
  <c r="N36" i="7"/>
  <c r="N47" i="7"/>
  <c r="N49" i="7"/>
  <c r="N58" i="7"/>
  <c r="N60" i="7"/>
  <c r="N62" i="7"/>
  <c r="N64" i="7"/>
  <c r="R91" i="7"/>
  <c r="R93" i="7"/>
  <c r="R95" i="7"/>
  <c r="N100" i="7"/>
  <c r="N102" i="7"/>
  <c r="R106" i="7"/>
  <c r="R108" i="7"/>
  <c r="R110" i="7"/>
  <c r="N125" i="7"/>
  <c r="N127" i="7"/>
  <c r="N129" i="7"/>
  <c r="N131" i="7"/>
  <c r="N158" i="7"/>
  <c r="R2" i="7"/>
  <c r="N15" i="7"/>
  <c r="N17" i="7"/>
  <c r="N19" i="7"/>
  <c r="N26" i="7"/>
  <c r="N28" i="7"/>
  <c r="N39" i="7"/>
  <c r="N71" i="7"/>
  <c r="N90" i="7"/>
  <c r="N92" i="7"/>
  <c r="N94" i="7"/>
  <c r="N96" i="7"/>
  <c r="N107" i="7"/>
  <c r="N109" i="7"/>
  <c r="N111" i="7"/>
  <c r="N113" i="7"/>
  <c r="N115" i="7"/>
  <c r="N117" i="7"/>
  <c r="N142" i="7"/>
  <c r="N144" i="7"/>
  <c r="N48" i="7"/>
  <c r="N59" i="7"/>
  <c r="N61" i="7"/>
  <c r="N63" i="7"/>
  <c r="N101" i="7"/>
  <c r="N124" i="7"/>
  <c r="N126" i="7"/>
  <c r="N128" i="7"/>
  <c r="N130" i="7"/>
  <c r="N159" i="7"/>
  <c r="R160" i="7" l="1"/>
  <c r="Q165" i="7" l="1"/>
  <c r="Q16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ID#AAABVwVhv0Q
MT07    (2024-09-08 11:53:34)
Minimum Order Quantity
jumlah minimum pembelian ke supplier, all karton = 1000 pcs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4Y2JuRtUIs3I2i1to/44SAmgo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ID#AAABVw7FHH4
Oreo Caramel    (2024-09-09 07:20:49)
Inventory Cost 1 PCS karton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onr44SQmDY5c3QNCbZPaSaMpnA=="/>
    </ext>
  </extLst>
</comments>
</file>

<file path=xl/sharedStrings.xml><?xml version="1.0" encoding="utf-8"?>
<sst xmlns="http://schemas.openxmlformats.org/spreadsheetml/2006/main" count="3471" uniqueCount="223">
  <si>
    <t>ITEM</t>
  </si>
  <si>
    <t>KATEGORI</t>
  </si>
  <si>
    <t>UOM</t>
  </si>
  <si>
    <t>LEAD TIME (HARI)</t>
  </si>
  <si>
    <t>MOQ</t>
  </si>
  <si>
    <t>SALDO AWAL</t>
  </si>
  <si>
    <t>MASUK 1</t>
  </si>
  <si>
    <t>MASUK 2</t>
  </si>
  <si>
    <t>KOREKSI</t>
  </si>
  <si>
    <t>KELUAR 1</t>
  </si>
  <si>
    <t>KELUAR 2</t>
  </si>
  <si>
    <t>SALDO AKHIR</t>
  </si>
  <si>
    <t>SALDO RATA-RATA</t>
  </si>
  <si>
    <t>HARI KERJA</t>
  </si>
  <si>
    <t>DOI</t>
  </si>
  <si>
    <t>ORDERING COST</t>
  </si>
  <si>
    <t>KELUAR (in value)</t>
  </si>
  <si>
    <t>SALDO RATA-RATA (in value)</t>
  </si>
  <si>
    <t>Karton A</t>
  </si>
  <si>
    <t>Non B2B</t>
  </si>
  <si>
    <t>PCS</t>
  </si>
  <si>
    <t>Karton B</t>
  </si>
  <si>
    <t>B2B</t>
  </si>
  <si>
    <t>Karton C</t>
  </si>
  <si>
    <t>Karton D</t>
  </si>
  <si>
    <t>Karton E</t>
  </si>
  <si>
    <t>Karton F</t>
  </si>
  <si>
    <t>Karton G</t>
  </si>
  <si>
    <t>Karton H</t>
  </si>
  <si>
    <t>Karton I</t>
  </si>
  <si>
    <t>Karton J</t>
  </si>
  <si>
    <t>Karton K</t>
  </si>
  <si>
    <t>Karton L</t>
  </si>
  <si>
    <t>Karton M</t>
  </si>
  <si>
    <t>Karton N</t>
  </si>
  <si>
    <t>Karton O</t>
  </si>
  <si>
    <t>Karton P</t>
  </si>
  <si>
    <t>Karton Q</t>
  </si>
  <si>
    <t>Karton R</t>
  </si>
  <si>
    <t>Karton S</t>
  </si>
  <si>
    <t>Karton T</t>
  </si>
  <si>
    <t>Karton U</t>
  </si>
  <si>
    <t>Karton V</t>
  </si>
  <si>
    <t>Karton W</t>
  </si>
  <si>
    <t>Karton X</t>
  </si>
  <si>
    <t>Karton Y</t>
  </si>
  <si>
    <t>Karton Z</t>
  </si>
  <si>
    <t>Karton AA</t>
  </si>
  <si>
    <t>Karton AB</t>
  </si>
  <si>
    <t>Karton AC</t>
  </si>
  <si>
    <t>Karton AD</t>
  </si>
  <si>
    <t>Karton AE</t>
  </si>
  <si>
    <t>Karton AF</t>
  </si>
  <si>
    <t>Karton AG</t>
  </si>
  <si>
    <t>Karton AH</t>
  </si>
  <si>
    <t>Karton AI</t>
  </si>
  <si>
    <t>Karton AJ</t>
  </si>
  <si>
    <t>Karton AK</t>
  </si>
  <si>
    <t>Karton AL</t>
  </si>
  <si>
    <t>Karton AM</t>
  </si>
  <si>
    <t>Karton AN</t>
  </si>
  <si>
    <t>Karton AO</t>
  </si>
  <si>
    <t>Karton AP</t>
  </si>
  <si>
    <t>Karton AQ</t>
  </si>
  <si>
    <t>Karton AR</t>
  </si>
  <si>
    <t>Karton AS</t>
  </si>
  <si>
    <t>Karton AT</t>
  </si>
  <si>
    <t>Karton AU</t>
  </si>
  <si>
    <t>Karton AV</t>
  </si>
  <si>
    <t>Karton AW</t>
  </si>
  <si>
    <t>Karton AX</t>
  </si>
  <si>
    <t>Karton AY</t>
  </si>
  <si>
    <t>Karton AZ</t>
  </si>
  <si>
    <t>Karton BA</t>
  </si>
  <si>
    <t>Karton BB</t>
  </si>
  <si>
    <t>Karton BC</t>
  </si>
  <si>
    <t>Karton BD</t>
  </si>
  <si>
    <t>Karton BE</t>
  </si>
  <si>
    <t>Karton BF</t>
  </si>
  <si>
    <t>Karton BG</t>
  </si>
  <si>
    <t>Karton BH</t>
  </si>
  <si>
    <t>Karton BI</t>
  </si>
  <si>
    <t>Karton BJ</t>
  </si>
  <si>
    <t>Karton BK</t>
  </si>
  <si>
    <t>Karton BL</t>
  </si>
  <si>
    <t>Karton BM</t>
  </si>
  <si>
    <t>Karton BN</t>
  </si>
  <si>
    <t>Karton BO</t>
  </si>
  <si>
    <t>Karton BP</t>
  </si>
  <si>
    <t>Karton BQ</t>
  </si>
  <si>
    <t>Karton BR</t>
  </si>
  <si>
    <t>Karton BS</t>
  </si>
  <si>
    <t>Karton BT</t>
  </si>
  <si>
    <t>Karton BU</t>
  </si>
  <si>
    <t>Karton BV</t>
  </si>
  <si>
    <t>Karton BW</t>
  </si>
  <si>
    <t>Karton BX</t>
  </si>
  <si>
    <t>Karton BY</t>
  </si>
  <si>
    <t>Karton BZ</t>
  </si>
  <si>
    <t>Karton CA</t>
  </si>
  <si>
    <t>Karton CB</t>
  </si>
  <si>
    <t>Karton CC</t>
  </si>
  <si>
    <t>Karton CD</t>
  </si>
  <si>
    <t>Karton CE</t>
  </si>
  <si>
    <t>Karton CF</t>
  </si>
  <si>
    <t>Karton CG</t>
  </si>
  <si>
    <t>Karton CH</t>
  </si>
  <si>
    <t>Karton CI</t>
  </si>
  <si>
    <t>Karton CJ</t>
  </si>
  <si>
    <t>Karton CK</t>
  </si>
  <si>
    <t>Karton CL</t>
  </si>
  <si>
    <t>Karton CM</t>
  </si>
  <si>
    <t>Karton CN</t>
  </si>
  <si>
    <t>Karton CO</t>
  </si>
  <si>
    <t>Karton CP</t>
  </si>
  <si>
    <t>Karton CQ</t>
  </si>
  <si>
    <t>Karton CR</t>
  </si>
  <si>
    <t>Karton CS</t>
  </si>
  <si>
    <t>Karton CT</t>
  </si>
  <si>
    <t>Karton CU</t>
  </si>
  <si>
    <t>Karton CV</t>
  </si>
  <si>
    <t>Karton CW</t>
  </si>
  <si>
    <t>Karton CX</t>
  </si>
  <si>
    <t>Karton CY</t>
  </si>
  <si>
    <t>Karton CZ</t>
  </si>
  <si>
    <t>Karton DA</t>
  </si>
  <si>
    <t>Karton DB</t>
  </si>
  <si>
    <t>Karton DC</t>
  </si>
  <si>
    <t>Karton DD</t>
  </si>
  <si>
    <t>Karton DE</t>
  </si>
  <si>
    <t>Karton DF</t>
  </si>
  <si>
    <t>Karton DG</t>
  </si>
  <si>
    <t>Karton DH</t>
  </si>
  <si>
    <t>Karton DI</t>
  </si>
  <si>
    <t>Karton DJ</t>
  </si>
  <si>
    <t>Karton DK</t>
  </si>
  <si>
    <t>Karton DL</t>
  </si>
  <si>
    <t>Karton DM</t>
  </si>
  <si>
    <t>Karton DN</t>
  </si>
  <si>
    <t>Karton DO</t>
  </si>
  <si>
    <t>Karton DP</t>
  </si>
  <si>
    <t>Karton DQ</t>
  </si>
  <si>
    <t>Karton DR</t>
  </si>
  <si>
    <t>Karton DS</t>
  </si>
  <si>
    <t>Karton DT</t>
  </si>
  <si>
    <t>Karton DU</t>
  </si>
  <si>
    <t>Karton DV</t>
  </si>
  <si>
    <t>Karton DW</t>
  </si>
  <si>
    <t>Karton DX</t>
  </si>
  <si>
    <t>Karton DY</t>
  </si>
  <si>
    <t>Karton DZ</t>
  </si>
  <si>
    <t>Karton EA</t>
  </si>
  <si>
    <t>Karton EB</t>
  </si>
  <si>
    <t>Karton EC</t>
  </si>
  <si>
    <t>Karton ED</t>
  </si>
  <si>
    <t>Karton EE</t>
  </si>
  <si>
    <t>Karton EF</t>
  </si>
  <si>
    <t>Karton EG</t>
  </si>
  <si>
    <t>Karton EH</t>
  </si>
  <si>
    <t>Karton EI</t>
  </si>
  <si>
    <t>Karton EJ</t>
  </si>
  <si>
    <t>Karton EK</t>
  </si>
  <si>
    <t>Karton EL</t>
  </si>
  <si>
    <t>Karton EM</t>
  </si>
  <si>
    <t>Karton EN</t>
  </si>
  <si>
    <t>GRAND TOTAL</t>
  </si>
  <si>
    <t>BI RATE</t>
  </si>
  <si>
    <t>Ratio CC</t>
  </si>
  <si>
    <t>Target Ratio CC</t>
  </si>
  <si>
    <t>DOI (hari)</t>
  </si>
  <si>
    <t>Karton EO</t>
  </si>
  <si>
    <t>Karton EP</t>
  </si>
  <si>
    <t>Karton EQ</t>
  </si>
  <si>
    <t>Karton ER</t>
  </si>
  <si>
    <t>Karton ES</t>
  </si>
  <si>
    <t>Karton ET</t>
  </si>
  <si>
    <t>Karton EU</t>
  </si>
  <si>
    <t>Karton EV</t>
  </si>
  <si>
    <t>Karton EW</t>
  </si>
  <si>
    <t>Karton EX</t>
  </si>
  <si>
    <t>Karton EY</t>
  </si>
  <si>
    <t>Karton EZ</t>
  </si>
  <si>
    <t>Karton FA</t>
  </si>
  <si>
    <t>Karton FB</t>
  </si>
  <si>
    <t>Karton FC</t>
  </si>
  <si>
    <t>Karton FD</t>
  </si>
  <si>
    <t>Karton FE</t>
  </si>
  <si>
    <t>Karton FF</t>
  </si>
  <si>
    <t>Karton FG</t>
  </si>
  <si>
    <t>Karton FH</t>
  </si>
  <si>
    <t>Karton FI</t>
  </si>
  <si>
    <t>Karton FJ</t>
  </si>
  <si>
    <t>Karton FK</t>
  </si>
  <si>
    <t>Karton FL</t>
  </si>
  <si>
    <t>Karton FM</t>
  </si>
  <si>
    <t>Karton FN</t>
  </si>
  <si>
    <t>Karton FO</t>
  </si>
  <si>
    <t>Karton FP</t>
  </si>
  <si>
    <t>Karton FQ</t>
  </si>
  <si>
    <t>Karton FR</t>
  </si>
  <si>
    <t>Karton FS</t>
  </si>
  <si>
    <t>Karton FT</t>
  </si>
  <si>
    <t>Karton FU</t>
  </si>
  <si>
    <t>Karton FV</t>
  </si>
  <si>
    <t>Karton FW</t>
  </si>
  <si>
    <t>KARTON</t>
  </si>
  <si>
    <t>Januari</t>
  </si>
  <si>
    <t>Februari</t>
  </si>
  <si>
    <t>Maret</t>
  </si>
  <si>
    <t>April</t>
  </si>
  <si>
    <t>Mei</t>
  </si>
  <si>
    <t>Juni</t>
  </si>
  <si>
    <t>Juli</t>
  </si>
  <si>
    <t>Outbound (PCS)</t>
  </si>
  <si>
    <t>Outbound (IDR)</t>
  </si>
  <si>
    <t>AVERAGE</t>
  </si>
  <si>
    <t>Inventory Cost</t>
  </si>
  <si>
    <t>Ratio Inventory Cost</t>
  </si>
  <si>
    <t>Month</t>
  </si>
  <si>
    <t>Waste / Reject Operational</t>
  </si>
  <si>
    <t>Saldo rata-rata</t>
  </si>
  <si>
    <t>Persentase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</si>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</sst>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#\ "/>
    <numFmt numFmtId="165" formatCode="_-&quot;Rp&quot;* #,##0_-;\-&quot;Rp&quot;* #,##0_-;_-&quot;Rp&quot;* &quot;-&quot;??_-;_-@"/>
    <numFmt numFmtId="166" formatCode="_-* #,##0_-;\-* #,##0_-;_-* &quot;-&quot;??_-;_-@"/>
    <numFmt numFmtId="167" formatCode="_-&quot;Rp&quot;* #,##0.00_-;\-&quot;Rp&quot;* #,##0.00_-;_-&quot;Rp&quot;* &quot;-&quot;??_-;_-@"/>
    <numFmt numFmtId="168" formatCode="0.000%"/>
    <numFmt numFmtId="169" formatCode="[$Rp]#,##0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2" fillId="0" borderId="0" xfId="0" applyNumberFormat="1" applyFont="1"/>
    <xf numFmtId="10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5" fillId="0" borderId="0" xfId="0" applyNumberFormat="1" applyFont="1"/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9" fontId="7" fillId="0" borderId="3" xfId="0" applyNumberFormat="1" applyFont="1" applyBorder="1" applyAlignment="1">
      <alignment horizontal="center" vertical="center"/>
    </xf>
    <xf numFmtId="169" fontId="6" fillId="5" borderId="3" xfId="0" applyNumberFormat="1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.453125" customWidth="1"/>
    <col min="2" max="2" width="12.7265625" customWidth="1"/>
    <col min="3" max="3" width="8.54296875" customWidth="1"/>
    <col min="4" max="4" width="13.453125" customWidth="1"/>
    <col min="5" max="5" width="8.7265625" customWidth="1"/>
    <col min="6" max="6" width="10.81640625" customWidth="1"/>
    <col min="7" max="8" width="12.08984375" customWidth="1"/>
    <col min="9" max="9" width="11.26953125" customWidth="1"/>
    <col min="10" max="11" width="12.26953125" customWidth="1"/>
    <col min="12" max="12" width="10.81640625" customWidth="1"/>
    <col min="13" max="13" width="16.81640625" customWidth="1"/>
    <col min="14" max="14" width="9.26953125" customWidth="1"/>
    <col min="15" max="15" width="7.26953125" customWidth="1"/>
    <col min="16" max="16" width="5.7265625" customWidth="1"/>
    <col min="17" max="17" width="14.54296875" customWidth="1"/>
    <col min="18" max="18" width="18.08984375" customWidth="1"/>
    <col min="19" max="19" width="21.08984375" customWidth="1"/>
    <col min="20" max="20" width="16.54296875" customWidth="1"/>
    <col min="21" max="27" width="8.7265625" customWidth="1"/>
  </cols>
  <sheetData>
    <row r="1" spans="1:27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3" t="s">
        <v>15</v>
      </c>
      <c r="R1" s="1" t="s">
        <v>16</v>
      </c>
      <c r="S1" s="1" t="s">
        <v>17</v>
      </c>
      <c r="T1" s="2"/>
      <c r="U1" s="2"/>
      <c r="V1" s="2"/>
      <c r="W1" s="2"/>
      <c r="X1" s="2"/>
      <c r="Y1" s="2"/>
      <c r="Z1" s="2"/>
      <c r="AA1" s="2"/>
    </row>
    <row r="2" spans="1:27" ht="14.5" x14ac:dyDescent="0.35">
      <c r="A2" s="4" t="s">
        <v>18</v>
      </c>
      <c r="B2" s="4" t="s">
        <v>19</v>
      </c>
      <c r="C2" s="4" t="s">
        <v>20</v>
      </c>
      <c r="D2" s="4">
        <v>10</v>
      </c>
      <c r="E2" s="4">
        <v>1000</v>
      </c>
      <c r="F2" s="4">
        <v>35400</v>
      </c>
      <c r="G2" s="4">
        <v>136120</v>
      </c>
      <c r="H2" s="4">
        <v>0</v>
      </c>
      <c r="I2" s="4">
        <v>0</v>
      </c>
      <c r="J2" s="4">
        <v>169060</v>
      </c>
      <c r="K2" s="4">
        <v>50</v>
      </c>
      <c r="L2" s="4">
        <f t="shared" ref="L2:L145" si="0">(F2+G2+H2)-(J2+K2)</f>
        <v>2410</v>
      </c>
      <c r="M2" s="4">
        <v>31855.714285714297</v>
      </c>
      <c r="N2" s="4">
        <v>26</v>
      </c>
      <c r="O2" s="5">
        <f t="shared" ref="O2:O22" si="1">(M2/(J2+K2))*N2</f>
        <v>4.8976912744874443</v>
      </c>
      <c r="P2" s="4"/>
      <c r="Q2" s="6">
        <v>2129</v>
      </c>
      <c r="R2" s="7">
        <f t="shared" ref="R2:R145" si="2">Q2*(J2+K2)</f>
        <v>360035190</v>
      </c>
      <c r="S2" s="7">
        <f t="shared" ref="S2:S145" si="3">Q2*M2</f>
        <v>67820815.714285731</v>
      </c>
      <c r="T2" s="4"/>
      <c r="U2" s="4"/>
      <c r="V2" s="4"/>
      <c r="W2" s="4"/>
      <c r="X2" s="4"/>
      <c r="Y2" s="4"/>
      <c r="Z2" s="4"/>
      <c r="AA2" s="4"/>
    </row>
    <row r="3" spans="1:27" ht="14.5" x14ac:dyDescent="0.35">
      <c r="A3" s="4" t="s">
        <v>21</v>
      </c>
      <c r="B3" s="4" t="s">
        <v>22</v>
      </c>
      <c r="C3" s="4" t="s">
        <v>20</v>
      </c>
      <c r="D3" s="4">
        <v>10</v>
      </c>
      <c r="E3" s="4">
        <v>1000</v>
      </c>
      <c r="F3" s="4">
        <v>0</v>
      </c>
      <c r="G3" s="4">
        <v>294700</v>
      </c>
      <c r="H3" s="4">
        <v>0</v>
      </c>
      <c r="I3" s="4">
        <v>0</v>
      </c>
      <c r="J3" s="4">
        <v>254665</v>
      </c>
      <c r="K3" s="4">
        <v>962</v>
      </c>
      <c r="L3" s="4">
        <f t="shared" si="0"/>
        <v>39073</v>
      </c>
      <c r="M3" s="4">
        <v>44052.411764705903</v>
      </c>
      <c r="N3" s="4">
        <v>26</v>
      </c>
      <c r="O3" s="5">
        <f t="shared" si="1"/>
        <v>4.4806014461788211</v>
      </c>
      <c r="P3" s="4"/>
      <c r="Q3" s="6">
        <v>2129</v>
      </c>
      <c r="R3" s="7">
        <f t="shared" si="2"/>
        <v>544229883</v>
      </c>
      <c r="S3" s="7">
        <f t="shared" si="3"/>
        <v>93787584.647058874</v>
      </c>
      <c r="T3" s="4"/>
      <c r="U3" s="4"/>
      <c r="V3" s="4"/>
      <c r="W3" s="4"/>
      <c r="X3" s="4"/>
      <c r="Y3" s="4"/>
      <c r="Z3" s="4"/>
      <c r="AA3" s="4"/>
    </row>
    <row r="4" spans="1:27" ht="14.5" x14ac:dyDescent="0.35">
      <c r="A4" s="4" t="s">
        <v>23</v>
      </c>
      <c r="B4" s="4" t="s">
        <v>19</v>
      </c>
      <c r="C4" s="4" t="s">
        <v>20</v>
      </c>
      <c r="D4" s="4">
        <v>10</v>
      </c>
      <c r="E4" s="4">
        <v>1000</v>
      </c>
      <c r="F4" s="4">
        <v>1525</v>
      </c>
      <c r="G4" s="4">
        <v>20375</v>
      </c>
      <c r="H4" s="4">
        <v>0</v>
      </c>
      <c r="I4" s="4">
        <v>0</v>
      </c>
      <c r="J4" s="4">
        <v>16300</v>
      </c>
      <c r="K4" s="4">
        <v>0</v>
      </c>
      <c r="L4" s="4">
        <f t="shared" si="0"/>
        <v>5600</v>
      </c>
      <c r="M4" s="4">
        <v>6396.1538461538494</v>
      </c>
      <c r="N4" s="4">
        <v>26</v>
      </c>
      <c r="O4" s="5">
        <f t="shared" si="1"/>
        <v>10.202453987730065</v>
      </c>
      <c r="P4" s="4"/>
      <c r="Q4" s="6">
        <v>2129</v>
      </c>
      <c r="R4" s="7">
        <f t="shared" si="2"/>
        <v>34702700</v>
      </c>
      <c r="S4" s="7">
        <f t="shared" si="3"/>
        <v>13617411.538461545</v>
      </c>
      <c r="T4" s="4"/>
      <c r="U4" s="4"/>
      <c r="V4" s="4"/>
      <c r="W4" s="4"/>
      <c r="X4" s="4"/>
      <c r="Y4" s="4"/>
      <c r="Z4" s="4"/>
      <c r="AA4" s="4"/>
    </row>
    <row r="5" spans="1:27" ht="14.5" x14ac:dyDescent="0.35">
      <c r="A5" s="4" t="s">
        <v>24</v>
      </c>
      <c r="B5" s="4" t="s">
        <v>19</v>
      </c>
      <c r="C5" s="4" t="s">
        <v>20</v>
      </c>
      <c r="D5" s="4">
        <v>10</v>
      </c>
      <c r="E5" s="4">
        <v>1000</v>
      </c>
      <c r="F5" s="4">
        <v>1625</v>
      </c>
      <c r="G5" s="4">
        <v>0</v>
      </c>
      <c r="H5" s="4">
        <v>0</v>
      </c>
      <c r="I5" s="4">
        <v>0</v>
      </c>
      <c r="J5" s="4">
        <v>1050</v>
      </c>
      <c r="K5" s="4">
        <v>0</v>
      </c>
      <c r="L5" s="4">
        <f t="shared" si="0"/>
        <v>575</v>
      </c>
      <c r="M5" s="4">
        <v>1183.3333333333301</v>
      </c>
      <c r="N5" s="4">
        <v>26</v>
      </c>
      <c r="O5" s="5">
        <f t="shared" si="1"/>
        <v>29.301587301587219</v>
      </c>
      <c r="P5" s="4"/>
      <c r="Q5" s="6">
        <v>2131</v>
      </c>
      <c r="R5" s="7">
        <f t="shared" si="2"/>
        <v>2237550</v>
      </c>
      <c r="S5" s="7">
        <f t="shared" si="3"/>
        <v>2521683.3333333265</v>
      </c>
      <c r="T5" s="4"/>
      <c r="U5" s="4"/>
      <c r="V5" s="4"/>
      <c r="W5" s="4"/>
      <c r="X5" s="4"/>
      <c r="Y5" s="4"/>
      <c r="Z5" s="4"/>
      <c r="AA5" s="4"/>
    </row>
    <row r="6" spans="1:27" ht="14.5" x14ac:dyDescent="0.35">
      <c r="A6" s="4" t="s">
        <v>25</v>
      </c>
      <c r="B6" s="4" t="s">
        <v>19</v>
      </c>
      <c r="C6" s="4" t="s">
        <v>20</v>
      </c>
      <c r="D6" s="4">
        <v>10</v>
      </c>
      <c r="E6" s="4">
        <v>1000</v>
      </c>
      <c r="F6" s="4">
        <v>16982</v>
      </c>
      <c r="G6" s="4">
        <v>0</v>
      </c>
      <c r="H6" s="4">
        <v>0</v>
      </c>
      <c r="I6" s="4">
        <v>0</v>
      </c>
      <c r="J6" s="4">
        <v>3625</v>
      </c>
      <c r="K6" s="4">
        <v>0</v>
      </c>
      <c r="L6" s="4">
        <f t="shared" si="0"/>
        <v>13357</v>
      </c>
      <c r="M6" s="4">
        <v>14523.666666666701</v>
      </c>
      <c r="N6" s="4">
        <v>26</v>
      </c>
      <c r="O6" s="5">
        <f t="shared" si="1"/>
        <v>104.16974712643703</v>
      </c>
      <c r="P6" s="4"/>
      <c r="Q6" s="6">
        <v>2131</v>
      </c>
      <c r="R6" s="7">
        <f t="shared" si="2"/>
        <v>7724875</v>
      </c>
      <c r="S6" s="7">
        <f t="shared" si="3"/>
        <v>30949933.666666739</v>
      </c>
      <c r="T6" s="4"/>
      <c r="U6" s="4"/>
      <c r="V6" s="4"/>
      <c r="W6" s="4"/>
      <c r="X6" s="4"/>
      <c r="Y6" s="4"/>
      <c r="Z6" s="4"/>
      <c r="AA6" s="4"/>
    </row>
    <row r="7" spans="1:27" ht="14.5" x14ac:dyDescent="0.35">
      <c r="A7" s="4" t="s">
        <v>26</v>
      </c>
      <c r="B7" s="4" t="s">
        <v>22</v>
      </c>
      <c r="C7" s="4" t="s">
        <v>20</v>
      </c>
      <c r="D7" s="4">
        <v>10</v>
      </c>
      <c r="E7" s="4">
        <v>1000</v>
      </c>
      <c r="F7" s="4">
        <v>117751</v>
      </c>
      <c r="G7" s="4">
        <v>452861</v>
      </c>
      <c r="H7" s="4">
        <v>0</v>
      </c>
      <c r="I7" s="4">
        <v>0</v>
      </c>
      <c r="J7" s="4">
        <v>494755</v>
      </c>
      <c r="K7" s="4">
        <v>4522</v>
      </c>
      <c r="L7" s="4">
        <f t="shared" si="0"/>
        <v>71335</v>
      </c>
      <c r="M7" s="4">
        <v>54571.307692307702</v>
      </c>
      <c r="N7" s="4">
        <v>26</v>
      </c>
      <c r="O7" s="5">
        <f t="shared" si="1"/>
        <v>2.8418172677691946</v>
      </c>
      <c r="P7" s="4"/>
      <c r="Q7" s="6">
        <v>1910</v>
      </c>
      <c r="R7" s="7">
        <f t="shared" si="2"/>
        <v>953619070</v>
      </c>
      <c r="S7" s="7">
        <f t="shared" si="3"/>
        <v>104231197.69230771</v>
      </c>
      <c r="T7" s="4"/>
      <c r="U7" s="4"/>
      <c r="V7" s="4"/>
      <c r="W7" s="4"/>
      <c r="X7" s="4"/>
      <c r="Y7" s="4"/>
      <c r="Z7" s="4"/>
      <c r="AA7" s="4"/>
    </row>
    <row r="8" spans="1:27" ht="14.5" x14ac:dyDescent="0.35">
      <c r="A8" s="4" t="s">
        <v>27</v>
      </c>
      <c r="B8" s="4" t="s">
        <v>22</v>
      </c>
      <c r="C8" s="4" t="s">
        <v>20</v>
      </c>
      <c r="D8" s="4">
        <v>10</v>
      </c>
      <c r="E8" s="4">
        <v>1000</v>
      </c>
      <c r="F8" s="4">
        <v>6115</v>
      </c>
      <c r="G8" s="4">
        <v>57225</v>
      </c>
      <c r="H8" s="4">
        <v>0</v>
      </c>
      <c r="I8" s="4">
        <v>0</v>
      </c>
      <c r="J8" s="4">
        <v>47725</v>
      </c>
      <c r="K8" s="4">
        <v>0</v>
      </c>
      <c r="L8" s="4">
        <f t="shared" si="0"/>
        <v>15615</v>
      </c>
      <c r="M8" s="4">
        <v>18343.75</v>
      </c>
      <c r="N8" s="4">
        <v>26</v>
      </c>
      <c r="O8" s="5">
        <f t="shared" si="1"/>
        <v>9.9934520691461497</v>
      </c>
      <c r="P8" s="4"/>
      <c r="Q8" s="6">
        <v>2217</v>
      </c>
      <c r="R8" s="7">
        <f t="shared" si="2"/>
        <v>105806325</v>
      </c>
      <c r="S8" s="7">
        <f t="shared" si="3"/>
        <v>40668093.75</v>
      </c>
      <c r="T8" s="4"/>
      <c r="U8" s="4"/>
      <c r="V8" s="4"/>
      <c r="W8" s="4"/>
      <c r="X8" s="4"/>
      <c r="Y8" s="4"/>
      <c r="Z8" s="4"/>
      <c r="AA8" s="4"/>
    </row>
    <row r="9" spans="1:27" ht="14.5" x14ac:dyDescent="0.35">
      <c r="A9" s="4" t="s">
        <v>28</v>
      </c>
      <c r="B9" s="4" t="s">
        <v>19</v>
      </c>
      <c r="C9" s="4" t="s">
        <v>20</v>
      </c>
      <c r="D9" s="4">
        <v>10</v>
      </c>
      <c r="E9" s="4">
        <v>1000</v>
      </c>
      <c r="F9" s="4">
        <v>13125</v>
      </c>
      <c r="G9" s="4">
        <v>6985</v>
      </c>
      <c r="H9" s="4">
        <v>0</v>
      </c>
      <c r="I9" s="4">
        <v>0</v>
      </c>
      <c r="J9" s="4">
        <v>1700</v>
      </c>
      <c r="K9" s="4">
        <v>0</v>
      </c>
      <c r="L9" s="4">
        <f t="shared" si="0"/>
        <v>18410</v>
      </c>
      <c r="M9" s="4">
        <v>18363.75</v>
      </c>
      <c r="N9" s="4">
        <v>26</v>
      </c>
      <c r="O9" s="5">
        <f t="shared" si="1"/>
        <v>280.85735294117649</v>
      </c>
      <c r="P9" s="4"/>
      <c r="Q9" s="6">
        <v>2131</v>
      </c>
      <c r="R9" s="7">
        <f t="shared" si="2"/>
        <v>3622700</v>
      </c>
      <c r="S9" s="7">
        <f t="shared" si="3"/>
        <v>39133151.25</v>
      </c>
      <c r="T9" s="4"/>
      <c r="U9" s="4"/>
      <c r="V9" s="4"/>
      <c r="W9" s="4"/>
      <c r="X9" s="4"/>
      <c r="Y9" s="4"/>
      <c r="Z9" s="4"/>
      <c r="AA9" s="4"/>
    </row>
    <row r="10" spans="1:27" ht="14.5" x14ac:dyDescent="0.35">
      <c r="A10" s="4" t="s">
        <v>29</v>
      </c>
      <c r="B10" s="4" t="s">
        <v>19</v>
      </c>
      <c r="C10" s="4" t="s">
        <v>20</v>
      </c>
      <c r="D10" s="4">
        <v>10</v>
      </c>
      <c r="E10" s="4">
        <v>1000</v>
      </c>
      <c r="F10" s="4">
        <v>5524</v>
      </c>
      <c r="G10" s="4">
        <v>1050</v>
      </c>
      <c r="H10" s="4">
        <v>0</v>
      </c>
      <c r="I10" s="4">
        <v>0</v>
      </c>
      <c r="J10" s="4">
        <v>1150</v>
      </c>
      <c r="K10" s="4">
        <v>0</v>
      </c>
      <c r="L10" s="4">
        <f t="shared" si="0"/>
        <v>5424</v>
      </c>
      <c r="M10" s="4">
        <v>5674</v>
      </c>
      <c r="N10" s="4">
        <v>26</v>
      </c>
      <c r="O10" s="5">
        <f t="shared" si="1"/>
        <v>128.28173913043477</v>
      </c>
      <c r="P10" s="4"/>
      <c r="Q10" s="6">
        <v>2131</v>
      </c>
      <c r="R10" s="7">
        <f t="shared" si="2"/>
        <v>2450650</v>
      </c>
      <c r="S10" s="7">
        <f t="shared" si="3"/>
        <v>12091294</v>
      </c>
      <c r="T10" s="4"/>
      <c r="U10" s="4"/>
      <c r="V10" s="4"/>
      <c r="W10" s="4"/>
      <c r="X10" s="4"/>
      <c r="Y10" s="4"/>
      <c r="Z10" s="4"/>
      <c r="AA10" s="4"/>
    </row>
    <row r="11" spans="1:27" ht="14.5" x14ac:dyDescent="0.35">
      <c r="A11" s="4" t="s">
        <v>30</v>
      </c>
      <c r="B11" s="4" t="s">
        <v>22</v>
      </c>
      <c r="C11" s="4" t="s">
        <v>20</v>
      </c>
      <c r="D11" s="4">
        <v>10</v>
      </c>
      <c r="E11" s="4">
        <v>1000</v>
      </c>
      <c r="F11" s="4">
        <v>18100</v>
      </c>
      <c r="G11" s="4">
        <v>45175</v>
      </c>
      <c r="H11" s="4">
        <v>0</v>
      </c>
      <c r="I11" s="4">
        <v>0</v>
      </c>
      <c r="J11" s="4">
        <v>48295</v>
      </c>
      <c r="K11" s="4">
        <v>305</v>
      </c>
      <c r="L11" s="4">
        <f t="shared" si="0"/>
        <v>14675</v>
      </c>
      <c r="M11" s="4">
        <v>15035</v>
      </c>
      <c r="N11" s="4">
        <v>26</v>
      </c>
      <c r="O11" s="5">
        <f t="shared" si="1"/>
        <v>8.0434156378600825</v>
      </c>
      <c r="P11" s="4"/>
      <c r="Q11" s="6">
        <v>1691</v>
      </c>
      <c r="R11" s="7">
        <f t="shared" si="2"/>
        <v>82182600</v>
      </c>
      <c r="S11" s="7">
        <f t="shared" si="3"/>
        <v>25424185</v>
      </c>
      <c r="T11" s="4"/>
      <c r="U11" s="4"/>
      <c r="V11" s="4"/>
      <c r="W11" s="4"/>
      <c r="X11" s="4"/>
      <c r="Y11" s="4"/>
      <c r="Z11" s="4"/>
      <c r="AA11" s="4"/>
    </row>
    <row r="12" spans="1:27" ht="14.5" x14ac:dyDescent="0.35">
      <c r="A12" s="4" t="s">
        <v>31</v>
      </c>
      <c r="B12" s="4" t="s">
        <v>19</v>
      </c>
      <c r="C12" s="4" t="s">
        <v>20</v>
      </c>
      <c r="D12" s="4">
        <v>10</v>
      </c>
      <c r="E12" s="4">
        <v>1000</v>
      </c>
      <c r="F12" s="4">
        <v>16300</v>
      </c>
      <c r="G12" s="4">
        <v>430000</v>
      </c>
      <c r="H12" s="4">
        <v>0</v>
      </c>
      <c r="I12" s="4">
        <v>0</v>
      </c>
      <c r="J12" s="4">
        <v>407500</v>
      </c>
      <c r="K12" s="4">
        <v>0</v>
      </c>
      <c r="L12" s="4">
        <f t="shared" si="0"/>
        <v>38800</v>
      </c>
      <c r="M12" s="4">
        <v>34559.615384615405</v>
      </c>
      <c r="N12" s="4">
        <v>26</v>
      </c>
      <c r="O12" s="5">
        <f t="shared" si="1"/>
        <v>2.2050306748466268</v>
      </c>
      <c r="P12" s="4"/>
      <c r="Q12" s="6">
        <v>1694</v>
      </c>
      <c r="R12" s="7">
        <f t="shared" si="2"/>
        <v>690305000</v>
      </c>
      <c r="S12" s="7">
        <f t="shared" si="3"/>
        <v>58543988.461538494</v>
      </c>
      <c r="T12" s="4"/>
      <c r="U12" s="4"/>
      <c r="V12" s="4"/>
      <c r="W12" s="4"/>
      <c r="X12" s="4"/>
      <c r="Y12" s="4"/>
      <c r="Z12" s="4"/>
      <c r="AA12" s="4"/>
    </row>
    <row r="13" spans="1:27" ht="14.5" x14ac:dyDescent="0.35">
      <c r="A13" s="4" t="s">
        <v>32</v>
      </c>
      <c r="B13" s="4" t="s">
        <v>19</v>
      </c>
      <c r="C13" s="4" t="s">
        <v>20</v>
      </c>
      <c r="D13" s="4">
        <v>10</v>
      </c>
      <c r="E13" s="4">
        <v>1000</v>
      </c>
      <c r="F13" s="4">
        <v>0</v>
      </c>
      <c r="G13" s="4">
        <v>9975</v>
      </c>
      <c r="H13" s="4">
        <v>0</v>
      </c>
      <c r="I13" s="4">
        <v>0</v>
      </c>
      <c r="J13" s="4">
        <v>9025</v>
      </c>
      <c r="K13" s="4">
        <v>0</v>
      </c>
      <c r="L13" s="4">
        <f t="shared" si="0"/>
        <v>950</v>
      </c>
      <c r="M13" s="4">
        <v>1641.6666666666702</v>
      </c>
      <c r="N13" s="4">
        <v>26</v>
      </c>
      <c r="O13" s="5">
        <f t="shared" si="1"/>
        <v>4.7294552169898525</v>
      </c>
      <c r="P13" s="4"/>
      <c r="Q13" s="6">
        <v>1694</v>
      </c>
      <c r="R13" s="7">
        <f t="shared" si="2"/>
        <v>15288350</v>
      </c>
      <c r="S13" s="7">
        <f t="shared" si="3"/>
        <v>2780983.3333333391</v>
      </c>
      <c r="T13" s="4"/>
      <c r="U13" s="4"/>
      <c r="V13" s="4"/>
      <c r="W13" s="4"/>
      <c r="X13" s="4"/>
      <c r="Y13" s="4"/>
      <c r="Z13" s="4"/>
      <c r="AA13" s="4"/>
    </row>
    <row r="14" spans="1:27" ht="14.5" x14ac:dyDescent="0.35">
      <c r="A14" s="4" t="s">
        <v>33</v>
      </c>
      <c r="B14" s="4" t="s">
        <v>22</v>
      </c>
      <c r="C14" s="4" t="s">
        <v>20</v>
      </c>
      <c r="D14" s="4">
        <v>10</v>
      </c>
      <c r="E14" s="4">
        <v>1000</v>
      </c>
      <c r="F14" s="4">
        <v>35588</v>
      </c>
      <c r="G14" s="4">
        <v>48092</v>
      </c>
      <c r="H14" s="4">
        <v>0</v>
      </c>
      <c r="I14" s="4">
        <v>0</v>
      </c>
      <c r="J14" s="4">
        <v>20645</v>
      </c>
      <c r="K14" s="4">
        <v>0</v>
      </c>
      <c r="L14" s="4">
        <f t="shared" si="0"/>
        <v>63035</v>
      </c>
      <c r="M14" s="4">
        <v>66107.714285714304</v>
      </c>
      <c r="N14" s="4">
        <v>26</v>
      </c>
      <c r="O14" s="5">
        <f t="shared" si="1"/>
        <v>83.255053108673863</v>
      </c>
      <c r="P14" s="4"/>
      <c r="Q14" s="6">
        <v>1890</v>
      </c>
      <c r="R14" s="7">
        <f t="shared" si="2"/>
        <v>39019050</v>
      </c>
      <c r="S14" s="7">
        <f t="shared" si="3"/>
        <v>124943580.00000003</v>
      </c>
      <c r="T14" s="4"/>
      <c r="U14" s="4"/>
      <c r="V14" s="4"/>
      <c r="W14" s="4"/>
      <c r="X14" s="4"/>
      <c r="Y14" s="4"/>
      <c r="Z14" s="4"/>
      <c r="AA14" s="4"/>
    </row>
    <row r="15" spans="1:27" ht="14.5" x14ac:dyDescent="0.35">
      <c r="A15" s="4" t="s">
        <v>34</v>
      </c>
      <c r="B15" s="4" t="s">
        <v>22</v>
      </c>
      <c r="C15" s="4" t="s">
        <v>20</v>
      </c>
      <c r="D15" s="4">
        <v>10</v>
      </c>
      <c r="E15" s="4">
        <v>1000</v>
      </c>
      <c r="F15" s="4">
        <v>73500</v>
      </c>
      <c r="G15" s="4">
        <v>333100</v>
      </c>
      <c r="H15" s="4">
        <v>0</v>
      </c>
      <c r="I15" s="4">
        <v>0</v>
      </c>
      <c r="J15" s="4">
        <v>371950</v>
      </c>
      <c r="K15" s="4">
        <v>150</v>
      </c>
      <c r="L15" s="4">
        <f t="shared" si="0"/>
        <v>34500</v>
      </c>
      <c r="M15" s="4">
        <v>46570.192307692305</v>
      </c>
      <c r="N15" s="4">
        <v>26</v>
      </c>
      <c r="O15" s="5">
        <f t="shared" si="1"/>
        <v>3.2540311744154797</v>
      </c>
      <c r="P15" s="4"/>
      <c r="Q15" s="6">
        <v>2216</v>
      </c>
      <c r="R15" s="7">
        <f t="shared" si="2"/>
        <v>824573600</v>
      </c>
      <c r="S15" s="7">
        <f t="shared" si="3"/>
        <v>103199546.15384614</v>
      </c>
      <c r="T15" s="4"/>
      <c r="U15" s="4"/>
      <c r="V15" s="4"/>
      <c r="W15" s="4"/>
      <c r="X15" s="4"/>
      <c r="Y15" s="4"/>
      <c r="Z15" s="4"/>
      <c r="AA15" s="4"/>
    </row>
    <row r="16" spans="1:27" ht="14.5" x14ac:dyDescent="0.35">
      <c r="A16" s="4" t="s">
        <v>35</v>
      </c>
      <c r="B16" s="4" t="s">
        <v>19</v>
      </c>
      <c r="C16" s="4" t="s">
        <v>20</v>
      </c>
      <c r="D16" s="4">
        <v>10</v>
      </c>
      <c r="E16" s="4">
        <v>1000</v>
      </c>
      <c r="F16" s="4">
        <v>48550</v>
      </c>
      <c r="G16" s="4">
        <v>320725</v>
      </c>
      <c r="H16" s="4">
        <v>0</v>
      </c>
      <c r="I16" s="4">
        <v>0</v>
      </c>
      <c r="J16" s="4">
        <v>327115</v>
      </c>
      <c r="K16" s="4">
        <v>125</v>
      </c>
      <c r="L16" s="4">
        <f t="shared" si="0"/>
        <v>42035</v>
      </c>
      <c r="M16" s="4">
        <v>61236.730769230802</v>
      </c>
      <c r="N16" s="4">
        <v>26</v>
      </c>
      <c r="O16" s="5">
        <f t="shared" si="1"/>
        <v>4.8654045960151597</v>
      </c>
      <c r="P16" s="4"/>
      <c r="Q16" s="6">
        <v>2846</v>
      </c>
      <c r="R16" s="7">
        <f t="shared" si="2"/>
        <v>931325040</v>
      </c>
      <c r="S16" s="7">
        <f t="shared" si="3"/>
        <v>174279735.76923087</v>
      </c>
      <c r="T16" s="4"/>
      <c r="U16" s="4"/>
      <c r="V16" s="4"/>
      <c r="W16" s="4"/>
      <c r="X16" s="4"/>
      <c r="Y16" s="4"/>
      <c r="Z16" s="4"/>
      <c r="AA16" s="4"/>
    </row>
    <row r="17" spans="1:27" ht="14.5" x14ac:dyDescent="0.35">
      <c r="A17" s="4" t="s">
        <v>36</v>
      </c>
      <c r="B17" s="4" t="s">
        <v>22</v>
      </c>
      <c r="C17" s="4" t="s">
        <v>20</v>
      </c>
      <c r="D17" s="4">
        <v>10</v>
      </c>
      <c r="E17" s="4">
        <v>1000</v>
      </c>
      <c r="F17" s="4">
        <v>25358</v>
      </c>
      <c r="G17" s="4">
        <v>178750</v>
      </c>
      <c r="H17" s="4">
        <v>0</v>
      </c>
      <c r="I17" s="4">
        <v>0</v>
      </c>
      <c r="J17" s="4">
        <v>188750</v>
      </c>
      <c r="K17" s="4">
        <v>0</v>
      </c>
      <c r="L17" s="4">
        <f t="shared" si="0"/>
        <v>15358</v>
      </c>
      <c r="M17" s="4">
        <v>20558</v>
      </c>
      <c r="N17" s="4">
        <v>26</v>
      </c>
      <c r="O17" s="5">
        <f t="shared" si="1"/>
        <v>2.8318304635761589</v>
      </c>
      <c r="P17" s="4"/>
      <c r="Q17" s="6">
        <v>2129</v>
      </c>
      <c r="R17" s="7">
        <f t="shared" si="2"/>
        <v>401848750</v>
      </c>
      <c r="S17" s="7">
        <f t="shared" si="3"/>
        <v>43767982</v>
      </c>
      <c r="T17" s="4"/>
      <c r="U17" s="4"/>
      <c r="V17" s="4"/>
      <c r="W17" s="4"/>
      <c r="X17" s="4"/>
      <c r="Y17" s="4"/>
      <c r="Z17" s="4"/>
      <c r="AA17" s="4"/>
    </row>
    <row r="18" spans="1:27" ht="14.5" x14ac:dyDescent="0.35">
      <c r="A18" s="4" t="s">
        <v>37</v>
      </c>
      <c r="B18" s="4" t="s">
        <v>19</v>
      </c>
      <c r="C18" s="4" t="s">
        <v>20</v>
      </c>
      <c r="D18" s="4">
        <v>10</v>
      </c>
      <c r="E18" s="4">
        <v>1000</v>
      </c>
      <c r="F18" s="4">
        <v>2444</v>
      </c>
      <c r="G18" s="4">
        <v>3090</v>
      </c>
      <c r="H18" s="4">
        <v>0</v>
      </c>
      <c r="I18" s="4">
        <v>0</v>
      </c>
      <c r="J18" s="4">
        <v>4634</v>
      </c>
      <c r="K18" s="4">
        <v>0</v>
      </c>
      <c r="L18" s="4">
        <f t="shared" si="0"/>
        <v>900</v>
      </c>
      <c r="M18" s="4">
        <v>3419</v>
      </c>
      <c r="N18" s="4">
        <v>26</v>
      </c>
      <c r="O18" s="5">
        <f t="shared" si="1"/>
        <v>19.182995252481657</v>
      </c>
      <c r="P18" s="4"/>
      <c r="Q18" s="6">
        <v>2129</v>
      </c>
      <c r="R18" s="7">
        <f t="shared" si="2"/>
        <v>9865786</v>
      </c>
      <c r="S18" s="7">
        <f t="shared" si="3"/>
        <v>7279051</v>
      </c>
      <c r="T18" s="4"/>
      <c r="U18" s="4"/>
      <c r="V18" s="4"/>
      <c r="W18" s="4"/>
      <c r="X18" s="4"/>
      <c r="Y18" s="4"/>
      <c r="Z18" s="4"/>
      <c r="AA18" s="4"/>
    </row>
    <row r="19" spans="1:27" ht="14.5" x14ac:dyDescent="0.35">
      <c r="A19" s="4" t="s">
        <v>38</v>
      </c>
      <c r="B19" s="4" t="s">
        <v>22</v>
      </c>
      <c r="C19" s="4" t="s">
        <v>20</v>
      </c>
      <c r="D19" s="4">
        <v>10</v>
      </c>
      <c r="E19" s="4">
        <v>1000</v>
      </c>
      <c r="F19" s="4">
        <v>21587</v>
      </c>
      <c r="G19" s="4">
        <v>111325</v>
      </c>
      <c r="H19" s="4">
        <v>0</v>
      </c>
      <c r="I19" s="4">
        <v>0</v>
      </c>
      <c r="J19" s="4">
        <v>105818</v>
      </c>
      <c r="K19" s="4">
        <v>567</v>
      </c>
      <c r="L19" s="4">
        <f t="shared" si="0"/>
        <v>26527</v>
      </c>
      <c r="M19" s="4">
        <v>20419.52</v>
      </c>
      <c r="N19" s="4">
        <v>26</v>
      </c>
      <c r="O19" s="5">
        <f t="shared" si="1"/>
        <v>4.9904358697184756</v>
      </c>
      <c r="P19" s="4"/>
      <c r="Q19" s="6">
        <v>2263</v>
      </c>
      <c r="R19" s="7">
        <f t="shared" si="2"/>
        <v>240749255</v>
      </c>
      <c r="S19" s="7">
        <f t="shared" si="3"/>
        <v>46209373.759999998</v>
      </c>
      <c r="T19" s="4"/>
      <c r="U19" s="4"/>
      <c r="V19" s="4"/>
      <c r="W19" s="4"/>
      <c r="X19" s="4"/>
      <c r="Y19" s="4"/>
      <c r="Z19" s="4"/>
      <c r="AA19" s="4"/>
    </row>
    <row r="20" spans="1:27" ht="14.5" x14ac:dyDescent="0.35">
      <c r="A20" s="4" t="s">
        <v>39</v>
      </c>
      <c r="B20" s="4" t="s">
        <v>19</v>
      </c>
      <c r="C20" s="4" t="s">
        <v>20</v>
      </c>
      <c r="D20" s="4">
        <v>10</v>
      </c>
      <c r="E20" s="4">
        <v>1000</v>
      </c>
      <c r="F20" s="4">
        <v>18214</v>
      </c>
      <c r="G20" s="4">
        <v>57254</v>
      </c>
      <c r="H20" s="4">
        <v>0</v>
      </c>
      <c r="I20" s="4">
        <v>0</v>
      </c>
      <c r="J20" s="4">
        <v>46579</v>
      </c>
      <c r="K20" s="4">
        <v>0</v>
      </c>
      <c r="L20" s="4">
        <f t="shared" si="0"/>
        <v>28889</v>
      </c>
      <c r="M20" s="4">
        <v>24394.684210526299</v>
      </c>
      <c r="N20" s="4">
        <v>26</v>
      </c>
      <c r="O20" s="5">
        <f t="shared" si="1"/>
        <v>13.616904387678648</v>
      </c>
      <c r="P20" s="4"/>
      <c r="Q20" s="6">
        <v>2263</v>
      </c>
      <c r="R20" s="7">
        <f t="shared" si="2"/>
        <v>105408277</v>
      </c>
      <c r="S20" s="7">
        <f t="shared" si="3"/>
        <v>55205170.368421011</v>
      </c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35">
      <c r="A21" s="4" t="s">
        <v>40</v>
      </c>
      <c r="B21" s="4" t="s">
        <v>19</v>
      </c>
      <c r="C21" s="4" t="s">
        <v>20</v>
      </c>
      <c r="D21" s="4">
        <v>10</v>
      </c>
      <c r="E21" s="4">
        <v>1000</v>
      </c>
      <c r="F21" s="4">
        <v>1300</v>
      </c>
      <c r="G21" s="4">
        <v>3000</v>
      </c>
      <c r="H21" s="4">
        <v>0</v>
      </c>
      <c r="I21" s="4">
        <v>0</v>
      </c>
      <c r="J21" s="4">
        <v>2000</v>
      </c>
      <c r="K21" s="4">
        <v>0</v>
      </c>
      <c r="L21" s="4">
        <f t="shared" si="0"/>
        <v>2300</v>
      </c>
      <c r="M21" s="4">
        <v>2050</v>
      </c>
      <c r="N21" s="4">
        <v>26</v>
      </c>
      <c r="O21" s="5">
        <f t="shared" si="1"/>
        <v>26.65</v>
      </c>
      <c r="P21" s="4"/>
      <c r="Q21" s="6">
        <v>2732</v>
      </c>
      <c r="R21" s="7">
        <f t="shared" si="2"/>
        <v>5464000</v>
      </c>
      <c r="S21" s="7">
        <f t="shared" si="3"/>
        <v>5600600</v>
      </c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35">
      <c r="A22" s="4" t="s">
        <v>41</v>
      </c>
      <c r="B22" s="4" t="s">
        <v>19</v>
      </c>
      <c r="C22" s="4" t="s">
        <v>20</v>
      </c>
      <c r="D22" s="4">
        <v>10</v>
      </c>
      <c r="E22" s="4">
        <v>1000</v>
      </c>
      <c r="F22" s="4">
        <v>6425</v>
      </c>
      <c r="G22" s="4">
        <v>5156</v>
      </c>
      <c r="H22" s="4">
        <v>0</v>
      </c>
      <c r="I22" s="4">
        <v>0</v>
      </c>
      <c r="J22" s="4">
        <v>4762</v>
      </c>
      <c r="K22" s="4">
        <v>0</v>
      </c>
      <c r="L22" s="4">
        <f t="shared" si="0"/>
        <v>6819</v>
      </c>
      <c r="M22" s="4">
        <v>9160.3333333333303</v>
      </c>
      <c r="N22" s="4">
        <v>26</v>
      </c>
      <c r="O22" s="5">
        <f t="shared" si="1"/>
        <v>50.014419711605754</v>
      </c>
      <c r="P22" s="4"/>
      <c r="Q22" s="6">
        <v>2962</v>
      </c>
      <c r="R22" s="7">
        <f t="shared" si="2"/>
        <v>14105044</v>
      </c>
      <c r="S22" s="7">
        <f t="shared" si="3"/>
        <v>27132907.333333325</v>
      </c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35">
      <c r="A23" s="4" t="s">
        <v>42</v>
      </c>
      <c r="B23" s="4" t="s">
        <v>19</v>
      </c>
      <c r="C23" s="4" t="s">
        <v>20</v>
      </c>
      <c r="D23" s="4">
        <v>10</v>
      </c>
      <c r="E23" s="4">
        <v>1000</v>
      </c>
      <c r="F23" s="4">
        <v>124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f t="shared" si="0"/>
        <v>124</v>
      </c>
      <c r="M23" s="4">
        <v>0</v>
      </c>
      <c r="N23" s="4">
        <v>26</v>
      </c>
      <c r="O23" s="5">
        <v>0</v>
      </c>
      <c r="P23" s="4"/>
      <c r="Q23" s="6">
        <v>2263</v>
      </c>
      <c r="R23" s="7">
        <f t="shared" si="2"/>
        <v>0</v>
      </c>
      <c r="S23" s="7">
        <f t="shared" si="3"/>
        <v>0</v>
      </c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35">
      <c r="A24" s="4" t="s">
        <v>43</v>
      </c>
      <c r="B24" s="4" t="s">
        <v>19</v>
      </c>
      <c r="C24" s="4" t="s">
        <v>20</v>
      </c>
      <c r="D24" s="4">
        <v>10</v>
      </c>
      <c r="E24" s="4">
        <v>1000</v>
      </c>
      <c r="F24" s="4">
        <v>770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f t="shared" si="0"/>
        <v>770</v>
      </c>
      <c r="M24" s="4">
        <v>0</v>
      </c>
      <c r="N24" s="4">
        <v>26</v>
      </c>
      <c r="O24" s="5">
        <v>0</v>
      </c>
      <c r="P24" s="4"/>
      <c r="Q24" s="6">
        <v>2263</v>
      </c>
      <c r="R24" s="7">
        <f t="shared" si="2"/>
        <v>0</v>
      </c>
      <c r="S24" s="7">
        <f t="shared" si="3"/>
        <v>0</v>
      </c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35">
      <c r="A25" s="4" t="s">
        <v>44</v>
      </c>
      <c r="B25" s="4" t="s">
        <v>19</v>
      </c>
      <c r="C25" s="4" t="s">
        <v>20</v>
      </c>
      <c r="D25" s="4">
        <v>10</v>
      </c>
      <c r="E25" s="4">
        <v>1000</v>
      </c>
      <c r="F25" s="4">
        <v>41315</v>
      </c>
      <c r="G25" s="4">
        <v>83750</v>
      </c>
      <c r="H25" s="4">
        <v>0</v>
      </c>
      <c r="I25" s="4">
        <v>0</v>
      </c>
      <c r="J25" s="4">
        <v>113750</v>
      </c>
      <c r="K25" s="4">
        <v>0</v>
      </c>
      <c r="L25" s="4">
        <f t="shared" si="0"/>
        <v>11315</v>
      </c>
      <c r="M25" s="4">
        <v>17565</v>
      </c>
      <c r="N25" s="4">
        <v>26</v>
      </c>
      <c r="O25" s="5">
        <f t="shared" ref="O25:O29" si="4">(M25/(J25+K25))*N25</f>
        <v>4.0148571428571422</v>
      </c>
      <c r="P25" s="4"/>
      <c r="Q25" s="6">
        <v>2268</v>
      </c>
      <c r="R25" s="7">
        <f t="shared" si="2"/>
        <v>257985000</v>
      </c>
      <c r="S25" s="7">
        <f t="shared" si="3"/>
        <v>39837420</v>
      </c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35">
      <c r="A26" s="4" t="s">
        <v>45</v>
      </c>
      <c r="B26" s="4" t="s">
        <v>19</v>
      </c>
      <c r="C26" s="4" t="s">
        <v>20</v>
      </c>
      <c r="D26" s="4">
        <v>10</v>
      </c>
      <c r="E26" s="4">
        <v>1000</v>
      </c>
      <c r="F26" s="4">
        <v>10250</v>
      </c>
      <c r="G26" s="4">
        <v>8283</v>
      </c>
      <c r="H26" s="4">
        <v>0</v>
      </c>
      <c r="I26" s="4">
        <v>0</v>
      </c>
      <c r="J26" s="4">
        <v>11833</v>
      </c>
      <c r="K26" s="4">
        <v>0</v>
      </c>
      <c r="L26" s="4">
        <f t="shared" si="0"/>
        <v>6700</v>
      </c>
      <c r="M26" s="4">
        <v>10366.5714285714</v>
      </c>
      <c r="N26" s="4">
        <v>26</v>
      </c>
      <c r="O26" s="5">
        <f t="shared" si="4"/>
        <v>22.777897164105163</v>
      </c>
      <c r="P26" s="4"/>
      <c r="Q26" s="6">
        <v>1956</v>
      </c>
      <c r="R26" s="7">
        <f t="shared" si="2"/>
        <v>23145348</v>
      </c>
      <c r="S26" s="7">
        <f t="shared" si="3"/>
        <v>20277013.714285661</v>
      </c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35">
      <c r="A27" s="4" t="s">
        <v>46</v>
      </c>
      <c r="B27" s="4" t="s">
        <v>22</v>
      </c>
      <c r="C27" s="4" t="s">
        <v>20</v>
      </c>
      <c r="D27" s="4">
        <v>10</v>
      </c>
      <c r="E27" s="4">
        <v>1000</v>
      </c>
      <c r="F27" s="4">
        <v>56525</v>
      </c>
      <c r="G27" s="4">
        <v>253500</v>
      </c>
      <c r="H27" s="4">
        <v>0</v>
      </c>
      <c r="I27" s="4">
        <v>0</v>
      </c>
      <c r="J27" s="4">
        <v>281324</v>
      </c>
      <c r="K27" s="4">
        <v>96</v>
      </c>
      <c r="L27" s="4">
        <f t="shared" si="0"/>
        <v>28605</v>
      </c>
      <c r="M27" s="4">
        <v>41401.038461538497</v>
      </c>
      <c r="N27" s="4">
        <v>26</v>
      </c>
      <c r="O27" s="5">
        <f t="shared" si="4"/>
        <v>3.8249840096652719</v>
      </c>
      <c r="P27" s="4"/>
      <c r="Q27" s="6">
        <v>2031</v>
      </c>
      <c r="R27" s="7">
        <f t="shared" si="2"/>
        <v>571564020</v>
      </c>
      <c r="S27" s="7">
        <f t="shared" si="3"/>
        <v>84085509.115384683</v>
      </c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35">
      <c r="A28" s="4" t="s">
        <v>47</v>
      </c>
      <c r="B28" s="4" t="s">
        <v>19</v>
      </c>
      <c r="C28" s="4" t="s">
        <v>20</v>
      </c>
      <c r="D28" s="4">
        <v>10</v>
      </c>
      <c r="E28" s="4">
        <v>1000</v>
      </c>
      <c r="F28" s="4">
        <v>2065</v>
      </c>
      <c r="G28" s="4">
        <v>0</v>
      </c>
      <c r="H28" s="4">
        <v>0</v>
      </c>
      <c r="I28" s="4">
        <v>0</v>
      </c>
      <c r="J28" s="4">
        <v>50</v>
      </c>
      <c r="K28" s="4">
        <v>0</v>
      </c>
      <c r="L28" s="4">
        <f t="shared" si="0"/>
        <v>2015</v>
      </c>
      <c r="M28" s="4">
        <v>2015</v>
      </c>
      <c r="N28" s="4">
        <v>26</v>
      </c>
      <c r="O28" s="5">
        <f t="shared" si="4"/>
        <v>1047.8</v>
      </c>
      <c r="P28" s="4"/>
      <c r="Q28" s="6">
        <v>2179</v>
      </c>
      <c r="R28" s="7">
        <f t="shared" si="2"/>
        <v>108950</v>
      </c>
      <c r="S28" s="7">
        <f t="shared" si="3"/>
        <v>4390685</v>
      </c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35">
      <c r="A29" s="4" t="s">
        <v>48</v>
      </c>
      <c r="B29" s="4" t="s">
        <v>19</v>
      </c>
      <c r="C29" s="4" t="s">
        <v>20</v>
      </c>
      <c r="D29" s="4">
        <v>10</v>
      </c>
      <c r="E29" s="4">
        <v>1000</v>
      </c>
      <c r="F29" s="4">
        <v>23868</v>
      </c>
      <c r="G29" s="4">
        <v>0</v>
      </c>
      <c r="H29" s="4">
        <v>0</v>
      </c>
      <c r="I29" s="4">
        <v>0</v>
      </c>
      <c r="J29" s="4">
        <v>14830</v>
      </c>
      <c r="K29" s="4">
        <v>0</v>
      </c>
      <c r="L29" s="4">
        <f t="shared" si="0"/>
        <v>9038</v>
      </c>
      <c r="M29" s="4">
        <v>14628</v>
      </c>
      <c r="N29" s="4">
        <v>26</v>
      </c>
      <c r="O29" s="5">
        <f t="shared" si="4"/>
        <v>25.645853000674311</v>
      </c>
      <c r="P29" s="4"/>
      <c r="Q29" s="6">
        <v>2179</v>
      </c>
      <c r="R29" s="7">
        <f t="shared" si="2"/>
        <v>32314570</v>
      </c>
      <c r="S29" s="7">
        <f t="shared" si="3"/>
        <v>31874412</v>
      </c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35">
      <c r="A30" s="4" t="s">
        <v>49</v>
      </c>
      <c r="B30" s="4" t="s">
        <v>19</v>
      </c>
      <c r="C30" s="4" t="s">
        <v>20</v>
      </c>
      <c r="D30" s="4">
        <v>10</v>
      </c>
      <c r="E30" s="4">
        <v>1000</v>
      </c>
      <c r="F30" s="4">
        <v>1495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f t="shared" si="0"/>
        <v>1495</v>
      </c>
      <c r="M30" s="4">
        <v>0</v>
      </c>
      <c r="N30" s="4">
        <v>26</v>
      </c>
      <c r="O30" s="5">
        <v>0</v>
      </c>
      <c r="P30" s="4"/>
      <c r="Q30" s="6">
        <v>2179</v>
      </c>
      <c r="R30" s="7">
        <f t="shared" si="2"/>
        <v>0</v>
      </c>
      <c r="S30" s="7">
        <f t="shared" si="3"/>
        <v>0</v>
      </c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35">
      <c r="A31" s="4" t="s">
        <v>50</v>
      </c>
      <c r="B31" s="4" t="s">
        <v>22</v>
      </c>
      <c r="C31" s="4" t="s">
        <v>20</v>
      </c>
      <c r="D31" s="4">
        <v>10</v>
      </c>
      <c r="E31" s="4">
        <v>1000</v>
      </c>
      <c r="F31" s="4">
        <v>30650</v>
      </c>
      <c r="G31" s="4">
        <v>74310</v>
      </c>
      <c r="H31" s="4">
        <v>0</v>
      </c>
      <c r="I31" s="4">
        <v>0</v>
      </c>
      <c r="J31" s="4">
        <v>67750</v>
      </c>
      <c r="K31" s="4">
        <v>100</v>
      </c>
      <c r="L31" s="4">
        <f t="shared" si="0"/>
        <v>37110</v>
      </c>
      <c r="M31" s="4">
        <v>40269.772727272706</v>
      </c>
      <c r="N31" s="4">
        <v>26</v>
      </c>
      <c r="O31" s="5">
        <f t="shared" ref="O31:O36" si="5">(M31/(J31+K31))*N31</f>
        <v>15.431305687680034</v>
      </c>
      <c r="P31" s="4"/>
      <c r="Q31" s="6">
        <v>2179</v>
      </c>
      <c r="R31" s="7">
        <f t="shared" si="2"/>
        <v>147845150</v>
      </c>
      <c r="S31" s="7">
        <f t="shared" si="3"/>
        <v>87747834.772727221</v>
      </c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35">
      <c r="A32" s="4" t="s">
        <v>51</v>
      </c>
      <c r="B32" s="4" t="s">
        <v>19</v>
      </c>
      <c r="C32" s="4" t="s">
        <v>20</v>
      </c>
      <c r="D32" s="4">
        <v>10</v>
      </c>
      <c r="E32" s="4">
        <v>1000</v>
      </c>
      <c r="F32" s="4">
        <v>45487</v>
      </c>
      <c r="G32" s="4">
        <v>13669</v>
      </c>
      <c r="H32" s="4">
        <v>0</v>
      </c>
      <c r="I32" s="4">
        <v>0</v>
      </c>
      <c r="J32" s="4">
        <v>3000</v>
      </c>
      <c r="K32" s="4">
        <v>0</v>
      </c>
      <c r="L32" s="4">
        <f t="shared" si="0"/>
        <v>56156</v>
      </c>
      <c r="M32" s="4">
        <v>57656</v>
      </c>
      <c r="N32" s="4">
        <v>26</v>
      </c>
      <c r="O32" s="5">
        <f t="shared" si="5"/>
        <v>499.68533333333335</v>
      </c>
      <c r="P32" s="4"/>
      <c r="Q32" s="6">
        <v>2179</v>
      </c>
      <c r="R32" s="7">
        <f t="shared" si="2"/>
        <v>6537000</v>
      </c>
      <c r="S32" s="7">
        <f t="shared" si="3"/>
        <v>125632424</v>
      </c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35">
      <c r="A33" s="4" t="s">
        <v>52</v>
      </c>
      <c r="B33" s="4" t="s">
        <v>19</v>
      </c>
      <c r="C33" s="4" t="s">
        <v>20</v>
      </c>
      <c r="D33" s="4">
        <v>10</v>
      </c>
      <c r="E33" s="4">
        <v>1000</v>
      </c>
      <c r="F33" s="4">
        <v>12478</v>
      </c>
      <c r="G33" s="4">
        <v>86950</v>
      </c>
      <c r="H33" s="4">
        <v>0</v>
      </c>
      <c r="I33" s="4">
        <v>0</v>
      </c>
      <c r="J33" s="4">
        <v>89450</v>
      </c>
      <c r="K33" s="4">
        <v>0</v>
      </c>
      <c r="L33" s="4">
        <f t="shared" si="0"/>
        <v>9978</v>
      </c>
      <c r="M33" s="4">
        <v>13333.2631578947</v>
      </c>
      <c r="N33" s="4">
        <v>26</v>
      </c>
      <c r="O33" s="5">
        <f t="shared" si="5"/>
        <v>3.8755152834573754</v>
      </c>
      <c r="P33" s="4"/>
      <c r="Q33" s="6">
        <v>2268</v>
      </c>
      <c r="R33" s="7">
        <f t="shared" si="2"/>
        <v>202872600</v>
      </c>
      <c r="S33" s="7">
        <f t="shared" si="3"/>
        <v>30239840.84210518</v>
      </c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35">
      <c r="A34" s="4" t="s">
        <v>53</v>
      </c>
      <c r="B34" s="4" t="s">
        <v>19</v>
      </c>
      <c r="C34" s="4" t="s">
        <v>20</v>
      </c>
      <c r="D34" s="4">
        <v>10</v>
      </c>
      <c r="E34" s="4">
        <v>1000</v>
      </c>
      <c r="F34" s="4">
        <v>1099</v>
      </c>
      <c r="G34" s="4">
        <v>5097</v>
      </c>
      <c r="H34" s="4">
        <v>0</v>
      </c>
      <c r="I34" s="4">
        <v>0</v>
      </c>
      <c r="J34" s="4">
        <v>3600</v>
      </c>
      <c r="K34" s="4">
        <v>0</v>
      </c>
      <c r="L34" s="4">
        <f t="shared" si="0"/>
        <v>2596</v>
      </c>
      <c r="M34" s="4">
        <v>4527.25</v>
      </c>
      <c r="N34" s="4">
        <v>26</v>
      </c>
      <c r="O34" s="5">
        <f t="shared" si="5"/>
        <v>32.696805555555557</v>
      </c>
      <c r="P34" s="4"/>
      <c r="Q34" s="6">
        <v>1956</v>
      </c>
      <c r="R34" s="7">
        <f t="shared" si="2"/>
        <v>7041600</v>
      </c>
      <c r="S34" s="7">
        <f t="shared" si="3"/>
        <v>8855301</v>
      </c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35">
      <c r="A35" s="4" t="s">
        <v>54</v>
      </c>
      <c r="B35" s="4" t="s">
        <v>19</v>
      </c>
      <c r="C35" s="4" t="s">
        <v>20</v>
      </c>
      <c r="D35" s="4">
        <v>10</v>
      </c>
      <c r="E35" s="4">
        <v>1000</v>
      </c>
      <c r="F35" s="4">
        <v>12450</v>
      </c>
      <c r="G35" s="4">
        <v>9875</v>
      </c>
      <c r="H35" s="4">
        <v>0</v>
      </c>
      <c r="I35" s="4">
        <v>0</v>
      </c>
      <c r="J35" s="4">
        <v>4775</v>
      </c>
      <c r="K35" s="4">
        <v>15</v>
      </c>
      <c r="L35" s="4">
        <f t="shared" si="0"/>
        <v>17535</v>
      </c>
      <c r="M35" s="4">
        <v>18415</v>
      </c>
      <c r="N35" s="4">
        <v>26</v>
      </c>
      <c r="O35" s="5">
        <f t="shared" si="5"/>
        <v>99.956158663883087</v>
      </c>
      <c r="P35" s="4"/>
      <c r="Q35" s="6">
        <v>2218</v>
      </c>
      <c r="R35" s="7">
        <f t="shared" si="2"/>
        <v>10624220</v>
      </c>
      <c r="S35" s="7">
        <f t="shared" si="3"/>
        <v>40844470</v>
      </c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35">
      <c r="A36" s="4" t="s">
        <v>55</v>
      </c>
      <c r="B36" s="4" t="s">
        <v>19</v>
      </c>
      <c r="C36" s="4" t="s">
        <v>20</v>
      </c>
      <c r="D36" s="4">
        <v>10</v>
      </c>
      <c r="E36" s="4">
        <v>1000</v>
      </c>
      <c r="F36" s="4">
        <v>1588</v>
      </c>
      <c r="G36" s="4">
        <v>22850</v>
      </c>
      <c r="H36" s="4">
        <v>0</v>
      </c>
      <c r="I36" s="4">
        <v>0</v>
      </c>
      <c r="J36" s="4">
        <v>15750</v>
      </c>
      <c r="K36" s="4">
        <v>0</v>
      </c>
      <c r="L36" s="4">
        <f t="shared" si="0"/>
        <v>8688</v>
      </c>
      <c r="M36" s="4">
        <v>6410.2222222222199</v>
      </c>
      <c r="N36" s="4">
        <v>26</v>
      </c>
      <c r="O36" s="5">
        <f t="shared" si="5"/>
        <v>10.581954144620807</v>
      </c>
      <c r="P36" s="4"/>
      <c r="Q36" s="6">
        <v>2218</v>
      </c>
      <c r="R36" s="7">
        <f t="shared" si="2"/>
        <v>34933500</v>
      </c>
      <c r="S36" s="7">
        <f t="shared" si="3"/>
        <v>14217872.888888884</v>
      </c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35">
      <c r="A37" s="4" t="s">
        <v>56</v>
      </c>
      <c r="B37" s="4" t="s">
        <v>19</v>
      </c>
      <c r="C37" s="4" t="s">
        <v>20</v>
      </c>
      <c r="D37" s="4">
        <v>10</v>
      </c>
      <c r="E37" s="4">
        <v>1000</v>
      </c>
      <c r="F37" s="4">
        <v>150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f t="shared" si="0"/>
        <v>150</v>
      </c>
      <c r="M37" s="4">
        <v>0</v>
      </c>
      <c r="N37" s="4">
        <v>26</v>
      </c>
      <c r="O37" s="5">
        <v>0</v>
      </c>
      <c r="P37" s="4"/>
      <c r="Q37" s="6">
        <v>2245</v>
      </c>
      <c r="R37" s="7">
        <f t="shared" si="2"/>
        <v>0</v>
      </c>
      <c r="S37" s="7">
        <f t="shared" si="3"/>
        <v>0</v>
      </c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35">
      <c r="A38" s="4" t="s">
        <v>57</v>
      </c>
      <c r="B38" s="4" t="s">
        <v>22</v>
      </c>
      <c r="C38" s="4" t="s">
        <v>20</v>
      </c>
      <c r="D38" s="4">
        <v>10</v>
      </c>
      <c r="E38" s="4">
        <v>1000</v>
      </c>
      <c r="F38" s="4">
        <v>19250</v>
      </c>
      <c r="G38" s="4">
        <v>55950</v>
      </c>
      <c r="H38" s="4">
        <v>0</v>
      </c>
      <c r="I38" s="4">
        <v>0</v>
      </c>
      <c r="J38" s="4">
        <v>65570</v>
      </c>
      <c r="K38" s="4">
        <v>200</v>
      </c>
      <c r="L38" s="4">
        <f t="shared" si="0"/>
        <v>9430</v>
      </c>
      <c r="M38" s="4">
        <v>14286.4</v>
      </c>
      <c r="N38" s="4">
        <v>26</v>
      </c>
      <c r="O38" s="5">
        <f t="shared" ref="O38:O39" si="6">(M38/(J38+K38))*N38</f>
        <v>5.647656986467994</v>
      </c>
      <c r="P38" s="4"/>
      <c r="Q38" s="6">
        <v>2245</v>
      </c>
      <c r="R38" s="7">
        <f t="shared" si="2"/>
        <v>147653650</v>
      </c>
      <c r="S38" s="7">
        <f t="shared" si="3"/>
        <v>32072968</v>
      </c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35">
      <c r="A39" s="4" t="s">
        <v>58</v>
      </c>
      <c r="B39" s="4" t="s">
        <v>22</v>
      </c>
      <c r="C39" s="4" t="s">
        <v>20</v>
      </c>
      <c r="D39" s="4">
        <v>10</v>
      </c>
      <c r="E39" s="4">
        <v>1000</v>
      </c>
      <c r="F39" s="4">
        <v>16007</v>
      </c>
      <c r="G39" s="4">
        <v>89959</v>
      </c>
      <c r="H39" s="4">
        <v>0</v>
      </c>
      <c r="I39" s="4">
        <v>0</v>
      </c>
      <c r="J39" s="4">
        <v>90319</v>
      </c>
      <c r="K39" s="4">
        <v>688</v>
      </c>
      <c r="L39" s="4">
        <f t="shared" si="0"/>
        <v>14959</v>
      </c>
      <c r="M39" s="4">
        <v>21175.9523809524</v>
      </c>
      <c r="N39" s="4">
        <v>26</v>
      </c>
      <c r="O39" s="5">
        <f t="shared" si="6"/>
        <v>6.0498067390943815</v>
      </c>
      <c r="P39" s="4"/>
      <c r="Q39" s="6">
        <v>1419</v>
      </c>
      <c r="R39" s="7">
        <f t="shared" si="2"/>
        <v>129138933</v>
      </c>
      <c r="S39" s="7">
        <f t="shared" si="3"/>
        <v>30048676.428571455</v>
      </c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35">
      <c r="A40" s="4" t="s">
        <v>59</v>
      </c>
      <c r="B40" s="4" t="s">
        <v>19</v>
      </c>
      <c r="C40" s="4" t="s">
        <v>20</v>
      </c>
      <c r="D40" s="4">
        <v>10</v>
      </c>
      <c r="E40" s="4">
        <v>1000</v>
      </c>
      <c r="F40" s="4">
        <v>1205</v>
      </c>
      <c r="G40" s="4">
        <v>4929</v>
      </c>
      <c r="H40" s="4">
        <v>0</v>
      </c>
      <c r="I40" s="4">
        <v>0</v>
      </c>
      <c r="J40" s="4">
        <v>0</v>
      </c>
      <c r="K40" s="4">
        <v>0</v>
      </c>
      <c r="L40" s="4">
        <f t="shared" si="0"/>
        <v>6134</v>
      </c>
      <c r="M40" s="4">
        <v>6134</v>
      </c>
      <c r="N40" s="4">
        <v>26</v>
      </c>
      <c r="O40" s="5">
        <v>0</v>
      </c>
      <c r="P40" s="4"/>
      <c r="Q40" s="6">
        <v>2765</v>
      </c>
      <c r="R40" s="7">
        <f t="shared" si="2"/>
        <v>0</v>
      </c>
      <c r="S40" s="7">
        <f t="shared" si="3"/>
        <v>16960510</v>
      </c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35">
      <c r="A41" s="4" t="s">
        <v>60</v>
      </c>
      <c r="B41" s="4" t="s">
        <v>19</v>
      </c>
      <c r="C41" s="4" t="s">
        <v>20</v>
      </c>
      <c r="D41" s="4">
        <v>10</v>
      </c>
      <c r="E41" s="4">
        <v>1000</v>
      </c>
      <c r="F41" s="4">
        <v>11832</v>
      </c>
      <c r="G41" s="4">
        <v>26245</v>
      </c>
      <c r="H41" s="4">
        <v>0</v>
      </c>
      <c r="I41" s="4">
        <v>0</v>
      </c>
      <c r="J41" s="4">
        <v>9080</v>
      </c>
      <c r="K41" s="4">
        <v>0</v>
      </c>
      <c r="L41" s="4">
        <f t="shared" si="0"/>
        <v>28997</v>
      </c>
      <c r="M41" s="4">
        <v>24112.5</v>
      </c>
      <c r="N41" s="4">
        <v>26</v>
      </c>
      <c r="O41" s="5">
        <f t="shared" ref="O41:O45" si="7">(M41/(J41+K41))*N41</f>
        <v>69.044603524229075</v>
      </c>
      <c r="P41" s="4"/>
      <c r="Q41" s="6">
        <v>4592</v>
      </c>
      <c r="R41" s="7">
        <f t="shared" si="2"/>
        <v>41695360</v>
      </c>
      <c r="S41" s="7">
        <f t="shared" si="3"/>
        <v>110724600</v>
      </c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35">
      <c r="A42" s="4" t="s">
        <v>61</v>
      </c>
      <c r="B42" s="4" t="s">
        <v>19</v>
      </c>
      <c r="C42" s="4" t="s">
        <v>20</v>
      </c>
      <c r="D42" s="4">
        <v>10</v>
      </c>
      <c r="E42" s="4">
        <v>1000</v>
      </c>
      <c r="F42" s="4">
        <v>23086</v>
      </c>
      <c r="G42" s="4">
        <v>9925</v>
      </c>
      <c r="H42" s="4">
        <v>0</v>
      </c>
      <c r="I42" s="4">
        <v>0</v>
      </c>
      <c r="J42" s="4">
        <v>22778</v>
      </c>
      <c r="K42" s="4">
        <v>0</v>
      </c>
      <c r="L42" s="4">
        <f t="shared" si="0"/>
        <v>10233</v>
      </c>
      <c r="M42" s="4">
        <v>19296</v>
      </c>
      <c r="N42" s="4">
        <v>26</v>
      </c>
      <c r="O42" s="5">
        <f t="shared" si="7"/>
        <v>22.025463166213015</v>
      </c>
      <c r="P42" s="4"/>
      <c r="Q42" s="6">
        <v>2297</v>
      </c>
      <c r="R42" s="7">
        <f t="shared" si="2"/>
        <v>52321066</v>
      </c>
      <c r="S42" s="7">
        <f t="shared" si="3"/>
        <v>44322912</v>
      </c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35">
      <c r="A43" s="4" t="s">
        <v>62</v>
      </c>
      <c r="B43" s="4" t="s">
        <v>19</v>
      </c>
      <c r="C43" s="4" t="s">
        <v>20</v>
      </c>
      <c r="D43" s="4">
        <v>10</v>
      </c>
      <c r="E43" s="4">
        <v>1000</v>
      </c>
      <c r="F43" s="4">
        <v>375</v>
      </c>
      <c r="G43" s="4">
        <v>1975</v>
      </c>
      <c r="H43" s="4">
        <v>0</v>
      </c>
      <c r="I43" s="4">
        <v>0</v>
      </c>
      <c r="J43" s="4">
        <v>1350</v>
      </c>
      <c r="K43" s="4">
        <v>0</v>
      </c>
      <c r="L43" s="4">
        <f t="shared" si="0"/>
        <v>1000</v>
      </c>
      <c r="M43" s="4">
        <v>620</v>
      </c>
      <c r="N43" s="4">
        <v>26</v>
      </c>
      <c r="O43" s="5">
        <f t="shared" si="7"/>
        <v>11.94074074074074</v>
      </c>
      <c r="P43" s="4"/>
      <c r="Q43" s="6">
        <v>2616</v>
      </c>
      <c r="R43" s="7">
        <f t="shared" si="2"/>
        <v>3531600</v>
      </c>
      <c r="S43" s="7">
        <f t="shared" si="3"/>
        <v>1621920</v>
      </c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35">
      <c r="A44" s="4" t="s">
        <v>63</v>
      </c>
      <c r="B44" s="4" t="s">
        <v>19</v>
      </c>
      <c r="C44" s="4" t="s">
        <v>20</v>
      </c>
      <c r="D44" s="4">
        <v>10</v>
      </c>
      <c r="E44" s="4">
        <v>1000</v>
      </c>
      <c r="F44" s="4">
        <v>4500</v>
      </c>
      <c r="G44" s="4">
        <v>3900</v>
      </c>
      <c r="H44" s="4">
        <v>0</v>
      </c>
      <c r="I44" s="4">
        <v>0</v>
      </c>
      <c r="J44" s="4">
        <v>8400</v>
      </c>
      <c r="K44" s="4">
        <v>0</v>
      </c>
      <c r="L44" s="4">
        <f t="shared" si="0"/>
        <v>0</v>
      </c>
      <c r="M44" s="4">
        <v>1300</v>
      </c>
      <c r="N44" s="4">
        <v>26</v>
      </c>
      <c r="O44" s="5">
        <f t="shared" si="7"/>
        <v>4.0238095238095237</v>
      </c>
      <c r="P44" s="4"/>
      <c r="Q44" s="6">
        <v>2616</v>
      </c>
      <c r="R44" s="7">
        <f t="shared" si="2"/>
        <v>21974400</v>
      </c>
      <c r="S44" s="7">
        <f t="shared" si="3"/>
        <v>3400800</v>
      </c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35">
      <c r="A45" s="4" t="s">
        <v>64</v>
      </c>
      <c r="B45" s="4" t="s">
        <v>19</v>
      </c>
      <c r="C45" s="4" t="s">
        <v>20</v>
      </c>
      <c r="D45" s="4">
        <v>10</v>
      </c>
      <c r="E45" s="4">
        <v>1000</v>
      </c>
      <c r="F45" s="4">
        <v>29925</v>
      </c>
      <c r="G45" s="4">
        <v>50950</v>
      </c>
      <c r="H45" s="4">
        <v>0</v>
      </c>
      <c r="I45" s="4">
        <v>0</v>
      </c>
      <c r="J45" s="4">
        <v>70725</v>
      </c>
      <c r="K45" s="4">
        <v>0</v>
      </c>
      <c r="L45" s="4">
        <f t="shared" si="0"/>
        <v>10150</v>
      </c>
      <c r="M45" s="4">
        <v>20597.826086956498</v>
      </c>
      <c r="N45" s="4">
        <v>26</v>
      </c>
      <c r="O45" s="5">
        <f t="shared" si="7"/>
        <v>7.5721948145757363</v>
      </c>
      <c r="P45" s="4"/>
      <c r="Q45" s="6">
        <v>1968</v>
      </c>
      <c r="R45" s="7">
        <f t="shared" si="2"/>
        <v>139186800</v>
      </c>
      <c r="S45" s="7">
        <f t="shared" si="3"/>
        <v>40536521.739130385</v>
      </c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35">
      <c r="A46" s="4" t="s">
        <v>65</v>
      </c>
      <c r="B46" s="4" t="s">
        <v>19</v>
      </c>
      <c r="C46" s="4" t="s">
        <v>20</v>
      </c>
      <c r="D46" s="4">
        <v>10</v>
      </c>
      <c r="E46" s="4">
        <v>1000</v>
      </c>
      <c r="F46" s="4">
        <v>6420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f t="shared" si="0"/>
        <v>6420</v>
      </c>
      <c r="M46" s="4">
        <v>0</v>
      </c>
      <c r="N46" s="4">
        <v>26</v>
      </c>
      <c r="O46" s="5">
        <v>0</v>
      </c>
      <c r="P46" s="4"/>
      <c r="Q46" s="6">
        <v>2503</v>
      </c>
      <c r="R46" s="7">
        <f t="shared" si="2"/>
        <v>0</v>
      </c>
      <c r="S46" s="7">
        <f t="shared" si="3"/>
        <v>0</v>
      </c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35">
      <c r="A47" s="4" t="s">
        <v>66</v>
      </c>
      <c r="B47" s="4" t="s">
        <v>19</v>
      </c>
      <c r="C47" s="4" t="s">
        <v>20</v>
      </c>
      <c r="D47" s="4">
        <v>10</v>
      </c>
      <c r="E47" s="4">
        <v>1000</v>
      </c>
      <c r="F47" s="4">
        <v>37500</v>
      </c>
      <c r="G47" s="4">
        <v>110000</v>
      </c>
      <c r="H47" s="4">
        <v>0</v>
      </c>
      <c r="I47" s="4">
        <v>0</v>
      </c>
      <c r="J47" s="4">
        <v>116250</v>
      </c>
      <c r="K47" s="4">
        <v>80</v>
      </c>
      <c r="L47" s="4">
        <f t="shared" si="0"/>
        <v>31170</v>
      </c>
      <c r="M47" s="4">
        <v>26842.307692307699</v>
      </c>
      <c r="N47" s="4">
        <v>26</v>
      </c>
      <c r="O47" s="5">
        <f t="shared" ref="O47:O66" si="8">(M47/(J47+K47))*N47</f>
        <v>5.9993123012120702</v>
      </c>
      <c r="P47" s="4"/>
      <c r="Q47" s="6">
        <v>2503</v>
      </c>
      <c r="R47" s="7">
        <f t="shared" si="2"/>
        <v>291173990</v>
      </c>
      <c r="S47" s="7">
        <f t="shared" si="3"/>
        <v>67186296.153846174</v>
      </c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35">
      <c r="A48" s="4" t="s">
        <v>67</v>
      </c>
      <c r="B48" s="4" t="s">
        <v>19</v>
      </c>
      <c r="C48" s="4" t="s">
        <v>20</v>
      </c>
      <c r="D48" s="4">
        <v>10</v>
      </c>
      <c r="E48" s="4">
        <v>1000</v>
      </c>
      <c r="F48" s="4">
        <v>29236</v>
      </c>
      <c r="G48" s="4">
        <v>0</v>
      </c>
      <c r="H48" s="4">
        <v>0</v>
      </c>
      <c r="I48" s="4">
        <v>0</v>
      </c>
      <c r="J48" s="4">
        <v>19375</v>
      </c>
      <c r="K48" s="4">
        <v>0</v>
      </c>
      <c r="L48" s="4">
        <f t="shared" si="0"/>
        <v>9861</v>
      </c>
      <c r="M48" s="4">
        <v>17631.833333333303</v>
      </c>
      <c r="N48" s="4">
        <v>26</v>
      </c>
      <c r="O48" s="5">
        <f t="shared" si="8"/>
        <v>23.660782795698886</v>
      </c>
      <c r="P48" s="4"/>
      <c r="Q48" s="6">
        <v>2103</v>
      </c>
      <c r="R48" s="7">
        <f t="shared" si="2"/>
        <v>40745625</v>
      </c>
      <c r="S48" s="7">
        <f t="shared" si="3"/>
        <v>37079745.499999933</v>
      </c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35">
      <c r="A49" s="4" t="s">
        <v>68</v>
      </c>
      <c r="B49" s="4" t="s">
        <v>19</v>
      </c>
      <c r="C49" s="4" t="s">
        <v>20</v>
      </c>
      <c r="D49" s="4">
        <v>10</v>
      </c>
      <c r="E49" s="4">
        <v>1000</v>
      </c>
      <c r="F49" s="4">
        <v>25104</v>
      </c>
      <c r="G49" s="4">
        <v>0</v>
      </c>
      <c r="H49" s="4">
        <v>0</v>
      </c>
      <c r="I49" s="4">
        <v>0</v>
      </c>
      <c r="J49" s="4">
        <v>19025</v>
      </c>
      <c r="K49" s="4">
        <v>0</v>
      </c>
      <c r="L49" s="4">
        <f t="shared" si="0"/>
        <v>6079</v>
      </c>
      <c r="M49" s="4">
        <v>15533.166666666701</v>
      </c>
      <c r="N49" s="4">
        <v>26</v>
      </c>
      <c r="O49" s="5">
        <f t="shared" si="8"/>
        <v>21.227980727113493</v>
      </c>
      <c r="P49" s="4"/>
      <c r="Q49" s="6">
        <v>2802</v>
      </c>
      <c r="R49" s="7">
        <f t="shared" si="2"/>
        <v>53308050</v>
      </c>
      <c r="S49" s="7">
        <f t="shared" si="3"/>
        <v>43523933.000000097</v>
      </c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35">
      <c r="A50" s="4" t="s">
        <v>69</v>
      </c>
      <c r="B50" s="4" t="s">
        <v>19</v>
      </c>
      <c r="C50" s="4" t="s">
        <v>20</v>
      </c>
      <c r="D50" s="4">
        <v>10</v>
      </c>
      <c r="E50" s="4">
        <v>1000</v>
      </c>
      <c r="F50" s="4">
        <v>27500</v>
      </c>
      <c r="G50" s="4">
        <v>113750</v>
      </c>
      <c r="H50" s="4">
        <v>0</v>
      </c>
      <c r="I50" s="4">
        <v>0</v>
      </c>
      <c r="J50" s="4">
        <v>113750</v>
      </c>
      <c r="K50" s="4">
        <v>0</v>
      </c>
      <c r="L50" s="4">
        <f t="shared" si="0"/>
        <v>27500</v>
      </c>
      <c r="M50" s="4">
        <v>22954.5454545455</v>
      </c>
      <c r="N50" s="4">
        <v>26</v>
      </c>
      <c r="O50" s="5">
        <f t="shared" si="8"/>
        <v>5.2467532467532569</v>
      </c>
      <c r="P50" s="4"/>
      <c r="Q50" s="6">
        <v>2126</v>
      </c>
      <c r="R50" s="7">
        <f t="shared" si="2"/>
        <v>241832500</v>
      </c>
      <c r="S50" s="7">
        <f t="shared" si="3"/>
        <v>48801363.63636373</v>
      </c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35">
      <c r="A51" s="4" t="s">
        <v>70</v>
      </c>
      <c r="B51" s="4" t="s">
        <v>22</v>
      </c>
      <c r="C51" s="4" t="s">
        <v>20</v>
      </c>
      <c r="D51" s="4">
        <v>10</v>
      </c>
      <c r="E51" s="4">
        <v>1000</v>
      </c>
      <c r="F51" s="4">
        <v>16800</v>
      </c>
      <c r="G51" s="4">
        <v>81900</v>
      </c>
      <c r="H51" s="4">
        <v>0</v>
      </c>
      <c r="I51" s="4">
        <v>0</v>
      </c>
      <c r="J51" s="4">
        <v>75750</v>
      </c>
      <c r="K51" s="4">
        <v>25</v>
      </c>
      <c r="L51" s="4">
        <f t="shared" si="0"/>
        <v>22925</v>
      </c>
      <c r="M51" s="4">
        <v>19192.708333333299</v>
      </c>
      <c r="N51" s="4">
        <v>26</v>
      </c>
      <c r="O51" s="5">
        <f t="shared" si="8"/>
        <v>6.5854228527438572</v>
      </c>
      <c r="P51" s="4"/>
      <c r="Q51" s="6">
        <v>2846</v>
      </c>
      <c r="R51" s="7">
        <f t="shared" si="2"/>
        <v>215655650</v>
      </c>
      <c r="S51" s="7">
        <f t="shared" si="3"/>
        <v>54622447.916666567</v>
      </c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35">
      <c r="A52" s="4" t="s">
        <v>71</v>
      </c>
      <c r="B52" s="4" t="s">
        <v>19</v>
      </c>
      <c r="C52" s="4" t="s">
        <v>20</v>
      </c>
      <c r="D52" s="4">
        <v>10</v>
      </c>
      <c r="E52" s="4">
        <v>1000</v>
      </c>
      <c r="F52" s="4">
        <v>9192</v>
      </c>
      <c r="G52" s="4">
        <v>19800</v>
      </c>
      <c r="H52" s="4">
        <v>0</v>
      </c>
      <c r="I52" s="4">
        <v>0</v>
      </c>
      <c r="J52" s="4">
        <v>23564</v>
      </c>
      <c r="K52" s="4">
        <v>25</v>
      </c>
      <c r="L52" s="4">
        <f t="shared" si="0"/>
        <v>5403</v>
      </c>
      <c r="M52" s="4">
        <v>6054.6666666666697</v>
      </c>
      <c r="N52" s="4">
        <v>26</v>
      </c>
      <c r="O52" s="5">
        <f t="shared" si="8"/>
        <v>6.6735060126895345</v>
      </c>
      <c r="P52" s="4"/>
      <c r="Q52" s="6">
        <v>2514</v>
      </c>
      <c r="R52" s="7">
        <f t="shared" si="2"/>
        <v>59302746</v>
      </c>
      <c r="S52" s="7">
        <f t="shared" si="3"/>
        <v>15221432.000000007</v>
      </c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35">
      <c r="A53" s="4" t="s">
        <v>72</v>
      </c>
      <c r="B53" s="4" t="s">
        <v>19</v>
      </c>
      <c r="C53" s="4" t="s">
        <v>20</v>
      </c>
      <c r="D53" s="4">
        <v>10</v>
      </c>
      <c r="E53" s="4">
        <v>1000</v>
      </c>
      <c r="F53" s="4">
        <v>21500</v>
      </c>
      <c r="G53" s="4">
        <v>40111</v>
      </c>
      <c r="H53" s="4">
        <v>0</v>
      </c>
      <c r="I53" s="4">
        <v>0</v>
      </c>
      <c r="J53" s="4">
        <v>37327</v>
      </c>
      <c r="K53" s="4">
        <v>0</v>
      </c>
      <c r="L53" s="4">
        <f t="shared" si="0"/>
        <v>24284</v>
      </c>
      <c r="M53" s="4">
        <v>17117.1538461538</v>
      </c>
      <c r="N53" s="4">
        <v>26</v>
      </c>
      <c r="O53" s="5">
        <f t="shared" si="8"/>
        <v>11.922897634420092</v>
      </c>
      <c r="P53" s="4"/>
      <c r="Q53" s="6">
        <v>1956</v>
      </c>
      <c r="R53" s="7">
        <f t="shared" si="2"/>
        <v>73011612</v>
      </c>
      <c r="S53" s="7">
        <f t="shared" si="3"/>
        <v>33481152.923076835</v>
      </c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35">
      <c r="A54" s="4" t="s">
        <v>73</v>
      </c>
      <c r="B54" s="4" t="s">
        <v>19</v>
      </c>
      <c r="C54" s="4" t="s">
        <v>20</v>
      </c>
      <c r="D54" s="4">
        <v>10</v>
      </c>
      <c r="E54" s="4">
        <v>1000</v>
      </c>
      <c r="F54" s="4">
        <v>13737</v>
      </c>
      <c r="G54" s="4">
        <v>79249</v>
      </c>
      <c r="H54" s="4">
        <v>0</v>
      </c>
      <c r="I54" s="4">
        <v>0</v>
      </c>
      <c r="J54" s="4">
        <v>27400</v>
      </c>
      <c r="K54" s="4">
        <v>25</v>
      </c>
      <c r="L54" s="4">
        <f t="shared" si="0"/>
        <v>65561</v>
      </c>
      <c r="M54" s="4">
        <v>47637.684210526299</v>
      </c>
      <c r="N54" s="4">
        <v>26</v>
      </c>
      <c r="O54" s="5">
        <f t="shared" si="8"/>
        <v>45.162435349997587</v>
      </c>
      <c r="P54" s="4"/>
      <c r="Q54" s="6">
        <v>3391</v>
      </c>
      <c r="R54" s="7">
        <f t="shared" si="2"/>
        <v>92998175</v>
      </c>
      <c r="S54" s="7">
        <f t="shared" si="3"/>
        <v>161539387.15789467</v>
      </c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35">
      <c r="A55" s="4" t="s">
        <v>74</v>
      </c>
      <c r="B55" s="4" t="s">
        <v>19</v>
      </c>
      <c r="C55" s="4" t="s">
        <v>20</v>
      </c>
      <c r="D55" s="4">
        <v>10</v>
      </c>
      <c r="E55" s="4">
        <v>1000</v>
      </c>
      <c r="F55" s="4">
        <v>6775</v>
      </c>
      <c r="G55" s="4">
        <v>39150</v>
      </c>
      <c r="H55" s="4">
        <v>0</v>
      </c>
      <c r="I55" s="4">
        <v>0</v>
      </c>
      <c r="J55" s="4">
        <v>33375</v>
      </c>
      <c r="K55" s="4">
        <v>0</v>
      </c>
      <c r="L55" s="4">
        <f t="shared" si="0"/>
        <v>12550</v>
      </c>
      <c r="M55" s="4">
        <v>14231.8181818182</v>
      </c>
      <c r="N55" s="4">
        <v>26</v>
      </c>
      <c r="O55" s="5">
        <f t="shared" si="8"/>
        <v>11.086959482465115</v>
      </c>
      <c r="P55" s="4"/>
      <c r="Q55" s="6">
        <v>3549</v>
      </c>
      <c r="R55" s="7">
        <f t="shared" si="2"/>
        <v>118447875</v>
      </c>
      <c r="S55" s="7">
        <f t="shared" si="3"/>
        <v>50508722.727272794</v>
      </c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35">
      <c r="A56" s="4" t="s">
        <v>75</v>
      </c>
      <c r="B56" s="4" t="s">
        <v>19</v>
      </c>
      <c r="C56" s="4" t="s">
        <v>20</v>
      </c>
      <c r="D56" s="4">
        <v>10</v>
      </c>
      <c r="E56" s="4">
        <v>1000</v>
      </c>
      <c r="F56" s="4">
        <v>39927</v>
      </c>
      <c r="G56" s="4">
        <v>15035</v>
      </c>
      <c r="H56" s="4">
        <v>0</v>
      </c>
      <c r="I56" s="4">
        <v>0</v>
      </c>
      <c r="J56" s="4">
        <v>34417</v>
      </c>
      <c r="K56" s="4">
        <v>0</v>
      </c>
      <c r="L56" s="4">
        <f t="shared" si="0"/>
        <v>20545</v>
      </c>
      <c r="M56" s="4">
        <v>25428.888888888898</v>
      </c>
      <c r="N56" s="4">
        <v>26</v>
      </c>
      <c r="O56" s="5">
        <f t="shared" si="8"/>
        <v>19.210015722204474</v>
      </c>
      <c r="P56" s="4"/>
      <c r="Q56" s="6">
        <v>2129</v>
      </c>
      <c r="R56" s="7">
        <f t="shared" si="2"/>
        <v>73273793</v>
      </c>
      <c r="S56" s="7">
        <f t="shared" si="3"/>
        <v>54138104.444444463</v>
      </c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35">
      <c r="A57" s="4" t="s">
        <v>76</v>
      </c>
      <c r="B57" s="4" t="s">
        <v>19</v>
      </c>
      <c r="C57" s="4" t="s">
        <v>20</v>
      </c>
      <c r="D57" s="4">
        <v>10</v>
      </c>
      <c r="E57" s="4">
        <v>1000</v>
      </c>
      <c r="F57" s="4">
        <v>21700</v>
      </c>
      <c r="G57" s="4">
        <v>0</v>
      </c>
      <c r="H57" s="4">
        <v>0</v>
      </c>
      <c r="I57" s="4">
        <v>0</v>
      </c>
      <c r="J57" s="4">
        <v>16174</v>
      </c>
      <c r="K57" s="4">
        <v>0</v>
      </c>
      <c r="L57" s="4">
        <f t="shared" si="0"/>
        <v>5526</v>
      </c>
      <c r="M57" s="4">
        <v>11897.666666666701</v>
      </c>
      <c r="N57" s="4">
        <v>26</v>
      </c>
      <c r="O57" s="5">
        <f t="shared" si="8"/>
        <v>19.125716169984806</v>
      </c>
      <c r="P57" s="4"/>
      <c r="Q57" s="6">
        <v>2129</v>
      </c>
      <c r="R57" s="7">
        <f t="shared" si="2"/>
        <v>34434446</v>
      </c>
      <c r="S57" s="7">
        <f t="shared" si="3"/>
        <v>25330132.333333407</v>
      </c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35">
      <c r="A58" s="4" t="s">
        <v>77</v>
      </c>
      <c r="B58" s="4" t="s">
        <v>19</v>
      </c>
      <c r="C58" s="4" t="s">
        <v>20</v>
      </c>
      <c r="D58" s="4">
        <v>10</v>
      </c>
      <c r="E58" s="4">
        <v>1000</v>
      </c>
      <c r="F58" s="4">
        <v>269</v>
      </c>
      <c r="G58" s="4">
        <v>1363</v>
      </c>
      <c r="H58" s="4">
        <v>0</v>
      </c>
      <c r="I58" s="4">
        <v>0</v>
      </c>
      <c r="J58" s="4">
        <v>200</v>
      </c>
      <c r="K58" s="4">
        <v>0</v>
      </c>
      <c r="L58" s="4">
        <f t="shared" si="0"/>
        <v>1432</v>
      </c>
      <c r="M58" s="4">
        <v>556.66666666666708</v>
      </c>
      <c r="N58" s="4">
        <v>26</v>
      </c>
      <c r="O58" s="5">
        <f t="shared" si="8"/>
        <v>72.366666666666717</v>
      </c>
      <c r="P58" s="4"/>
      <c r="Q58" s="6">
        <v>2131</v>
      </c>
      <c r="R58" s="7">
        <f t="shared" si="2"/>
        <v>426200</v>
      </c>
      <c r="S58" s="7">
        <f t="shared" si="3"/>
        <v>1186256.6666666674</v>
      </c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35">
      <c r="A59" s="4" t="s">
        <v>78</v>
      </c>
      <c r="B59" s="4" t="s">
        <v>19</v>
      </c>
      <c r="C59" s="4" t="s">
        <v>20</v>
      </c>
      <c r="D59" s="4">
        <v>10</v>
      </c>
      <c r="E59" s="4">
        <v>1000</v>
      </c>
      <c r="F59" s="4">
        <v>4897</v>
      </c>
      <c r="G59" s="4">
        <v>1575</v>
      </c>
      <c r="H59" s="4">
        <v>0</v>
      </c>
      <c r="I59" s="4">
        <v>0</v>
      </c>
      <c r="J59" s="4">
        <v>3126</v>
      </c>
      <c r="K59" s="4">
        <v>0</v>
      </c>
      <c r="L59" s="4">
        <f t="shared" si="0"/>
        <v>3346</v>
      </c>
      <c r="M59" s="4">
        <v>4116.6000000000004</v>
      </c>
      <c r="N59" s="4">
        <v>26</v>
      </c>
      <c r="O59" s="5">
        <f t="shared" si="8"/>
        <v>34.239155470249521</v>
      </c>
      <c r="P59" s="4"/>
      <c r="Q59" s="6">
        <v>2131</v>
      </c>
      <c r="R59" s="7">
        <f t="shared" si="2"/>
        <v>6661506</v>
      </c>
      <c r="S59" s="7">
        <f t="shared" si="3"/>
        <v>8772474.6000000015</v>
      </c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35">
      <c r="A60" s="4" t="s">
        <v>79</v>
      </c>
      <c r="B60" s="4" t="s">
        <v>19</v>
      </c>
      <c r="C60" s="4" t="s">
        <v>20</v>
      </c>
      <c r="D60" s="4">
        <v>10</v>
      </c>
      <c r="E60" s="4">
        <v>1000</v>
      </c>
      <c r="F60" s="4">
        <v>23514</v>
      </c>
      <c r="G60" s="4">
        <v>40398</v>
      </c>
      <c r="H60" s="4">
        <v>0</v>
      </c>
      <c r="I60" s="4">
        <v>0</v>
      </c>
      <c r="J60" s="4">
        <v>40425</v>
      </c>
      <c r="K60" s="4">
        <v>0</v>
      </c>
      <c r="L60" s="4">
        <f t="shared" si="0"/>
        <v>23487</v>
      </c>
      <c r="M60" s="4">
        <v>26070.388888888898</v>
      </c>
      <c r="N60" s="4">
        <v>26</v>
      </c>
      <c r="O60" s="5">
        <f t="shared" si="8"/>
        <v>16.767597059025636</v>
      </c>
      <c r="P60" s="4"/>
      <c r="Q60" s="6">
        <v>2245</v>
      </c>
      <c r="R60" s="7">
        <f t="shared" si="2"/>
        <v>90754125</v>
      </c>
      <c r="S60" s="7">
        <f t="shared" si="3"/>
        <v>58528023.055555575</v>
      </c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35">
      <c r="A61" s="4" t="s">
        <v>80</v>
      </c>
      <c r="B61" s="4" t="s">
        <v>19</v>
      </c>
      <c r="C61" s="4" t="s">
        <v>20</v>
      </c>
      <c r="D61" s="4">
        <v>10</v>
      </c>
      <c r="E61" s="4">
        <v>1000</v>
      </c>
      <c r="F61" s="4">
        <v>22896</v>
      </c>
      <c r="G61" s="4">
        <v>43487</v>
      </c>
      <c r="H61" s="4">
        <v>0</v>
      </c>
      <c r="I61" s="4">
        <v>0</v>
      </c>
      <c r="J61" s="4">
        <v>37530</v>
      </c>
      <c r="K61" s="4">
        <v>0</v>
      </c>
      <c r="L61" s="4">
        <f t="shared" si="0"/>
        <v>28853</v>
      </c>
      <c r="M61" s="4">
        <v>25322.333333333303</v>
      </c>
      <c r="N61" s="4">
        <v>26</v>
      </c>
      <c r="O61" s="5">
        <f t="shared" si="8"/>
        <v>17.542783550937006</v>
      </c>
      <c r="P61" s="4"/>
      <c r="Q61" s="6">
        <v>2121</v>
      </c>
      <c r="R61" s="7">
        <f t="shared" si="2"/>
        <v>79601130</v>
      </c>
      <c r="S61" s="7">
        <f t="shared" si="3"/>
        <v>53708668.999999933</v>
      </c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35">
      <c r="A62" s="4" t="s">
        <v>81</v>
      </c>
      <c r="B62" s="4" t="s">
        <v>19</v>
      </c>
      <c r="C62" s="4" t="s">
        <v>20</v>
      </c>
      <c r="D62" s="4">
        <v>10</v>
      </c>
      <c r="E62" s="4">
        <v>1000</v>
      </c>
      <c r="F62" s="4">
        <v>4</v>
      </c>
      <c r="G62" s="4">
        <v>1470</v>
      </c>
      <c r="H62" s="4">
        <v>0</v>
      </c>
      <c r="I62" s="4">
        <v>0</v>
      </c>
      <c r="J62" s="4">
        <v>1474</v>
      </c>
      <c r="K62" s="4">
        <v>0</v>
      </c>
      <c r="L62" s="4">
        <f t="shared" si="0"/>
        <v>0</v>
      </c>
      <c r="M62" s="4">
        <v>857.66666666666708</v>
      </c>
      <c r="N62" s="4">
        <v>26</v>
      </c>
      <c r="O62" s="5">
        <f t="shared" si="8"/>
        <v>15.128448665762106</v>
      </c>
      <c r="P62" s="4"/>
      <c r="Q62" s="6">
        <v>2131</v>
      </c>
      <c r="R62" s="7">
        <f t="shared" si="2"/>
        <v>3141094</v>
      </c>
      <c r="S62" s="7">
        <f t="shared" si="3"/>
        <v>1827687.6666666674</v>
      </c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35">
      <c r="A63" s="4" t="s">
        <v>82</v>
      </c>
      <c r="B63" s="4" t="s">
        <v>19</v>
      </c>
      <c r="C63" s="4" t="s">
        <v>20</v>
      </c>
      <c r="D63" s="4">
        <v>10</v>
      </c>
      <c r="E63" s="4">
        <v>1000</v>
      </c>
      <c r="F63" s="4">
        <v>1241</v>
      </c>
      <c r="G63" s="4">
        <v>2000</v>
      </c>
      <c r="H63" s="4">
        <v>0</v>
      </c>
      <c r="I63" s="4">
        <v>0</v>
      </c>
      <c r="J63" s="4">
        <v>600</v>
      </c>
      <c r="K63" s="4">
        <v>0</v>
      </c>
      <c r="L63" s="4">
        <f t="shared" si="0"/>
        <v>2641</v>
      </c>
      <c r="M63" s="4">
        <v>2974.3333333333298</v>
      </c>
      <c r="N63" s="4">
        <v>26</v>
      </c>
      <c r="O63" s="5">
        <f t="shared" si="8"/>
        <v>128.88777777777761</v>
      </c>
      <c r="P63" s="4"/>
      <c r="Q63" s="6">
        <v>4592</v>
      </c>
      <c r="R63" s="7">
        <f t="shared" si="2"/>
        <v>2755200</v>
      </c>
      <c r="S63" s="7">
        <f t="shared" si="3"/>
        <v>13658138.666666651</v>
      </c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35">
      <c r="A64" s="4" t="s">
        <v>83</v>
      </c>
      <c r="B64" s="4" t="s">
        <v>19</v>
      </c>
      <c r="C64" s="4" t="s">
        <v>20</v>
      </c>
      <c r="D64" s="4">
        <v>10</v>
      </c>
      <c r="E64" s="4">
        <v>1000</v>
      </c>
      <c r="F64" s="4">
        <v>7800</v>
      </c>
      <c r="G64" s="4">
        <v>17369</v>
      </c>
      <c r="H64" s="4">
        <v>0</v>
      </c>
      <c r="I64" s="4">
        <v>0</v>
      </c>
      <c r="J64" s="4">
        <v>7375</v>
      </c>
      <c r="K64" s="4">
        <v>0</v>
      </c>
      <c r="L64" s="4">
        <f t="shared" si="0"/>
        <v>17794</v>
      </c>
      <c r="M64" s="4">
        <v>15176.1</v>
      </c>
      <c r="N64" s="4">
        <v>26</v>
      </c>
      <c r="O64" s="5">
        <f t="shared" si="8"/>
        <v>53.502183050847464</v>
      </c>
      <c r="P64" s="4"/>
      <c r="Q64" s="6">
        <v>2297</v>
      </c>
      <c r="R64" s="7">
        <f t="shared" si="2"/>
        <v>16940375</v>
      </c>
      <c r="S64" s="7">
        <f t="shared" si="3"/>
        <v>34859501.700000003</v>
      </c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35">
      <c r="A65" s="4" t="s">
        <v>84</v>
      </c>
      <c r="B65" s="4" t="s">
        <v>19</v>
      </c>
      <c r="C65" s="4" t="s">
        <v>20</v>
      </c>
      <c r="D65" s="4">
        <v>10</v>
      </c>
      <c r="E65" s="4">
        <v>1000</v>
      </c>
      <c r="F65" s="4">
        <v>400</v>
      </c>
      <c r="G65" s="4">
        <v>1975</v>
      </c>
      <c r="H65" s="4">
        <v>0</v>
      </c>
      <c r="I65" s="4">
        <v>0</v>
      </c>
      <c r="J65" s="4">
        <v>675</v>
      </c>
      <c r="K65" s="4">
        <v>0</v>
      </c>
      <c r="L65" s="4">
        <f t="shared" si="0"/>
        <v>1700</v>
      </c>
      <c r="M65" s="4">
        <v>733.33333333333303</v>
      </c>
      <c r="N65" s="4">
        <v>26</v>
      </c>
      <c r="O65" s="5">
        <f t="shared" si="8"/>
        <v>28.2469135802469</v>
      </c>
      <c r="P65" s="4"/>
      <c r="Q65" s="6">
        <v>4592</v>
      </c>
      <c r="R65" s="7">
        <f t="shared" si="2"/>
        <v>3099600</v>
      </c>
      <c r="S65" s="7">
        <f t="shared" si="3"/>
        <v>3367466.6666666651</v>
      </c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35">
      <c r="A66" s="4" t="s">
        <v>85</v>
      </c>
      <c r="B66" s="4" t="s">
        <v>22</v>
      </c>
      <c r="C66" s="4" t="s">
        <v>20</v>
      </c>
      <c r="D66" s="4">
        <v>10</v>
      </c>
      <c r="E66" s="4">
        <v>1000</v>
      </c>
      <c r="F66" s="4">
        <v>27055</v>
      </c>
      <c r="G66" s="4">
        <v>125400</v>
      </c>
      <c r="H66" s="4">
        <v>0</v>
      </c>
      <c r="I66" s="4">
        <v>0</v>
      </c>
      <c r="J66" s="4">
        <v>128485</v>
      </c>
      <c r="K66" s="4">
        <v>15</v>
      </c>
      <c r="L66" s="4">
        <f t="shared" si="0"/>
        <v>23955</v>
      </c>
      <c r="M66" s="4">
        <v>24197.142857142899</v>
      </c>
      <c r="N66" s="4">
        <v>26</v>
      </c>
      <c r="O66" s="5">
        <f t="shared" si="8"/>
        <v>4.895919955530859</v>
      </c>
      <c r="P66" s="4"/>
      <c r="Q66" s="6">
        <v>1419</v>
      </c>
      <c r="R66" s="7">
        <f t="shared" si="2"/>
        <v>182341500</v>
      </c>
      <c r="S66" s="7">
        <f t="shared" si="3"/>
        <v>34335745.714285776</v>
      </c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35">
      <c r="A67" s="4" t="s">
        <v>86</v>
      </c>
      <c r="B67" s="4" t="s">
        <v>19</v>
      </c>
      <c r="C67" s="4" t="s">
        <v>20</v>
      </c>
      <c r="D67" s="4">
        <v>10</v>
      </c>
      <c r="E67" s="4">
        <v>1000</v>
      </c>
      <c r="F67" s="4">
        <v>5410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f t="shared" si="0"/>
        <v>5410</v>
      </c>
      <c r="M67" s="4">
        <v>0</v>
      </c>
      <c r="N67" s="4">
        <v>26</v>
      </c>
      <c r="O67" s="5">
        <v>0</v>
      </c>
      <c r="P67" s="4"/>
      <c r="Q67" s="6">
        <v>4592</v>
      </c>
      <c r="R67" s="7">
        <f t="shared" si="2"/>
        <v>0</v>
      </c>
      <c r="S67" s="7">
        <f t="shared" si="3"/>
        <v>0</v>
      </c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35">
      <c r="A68" s="4" t="s">
        <v>87</v>
      </c>
      <c r="B68" s="4" t="s">
        <v>19</v>
      </c>
      <c r="C68" s="4" t="s">
        <v>20</v>
      </c>
      <c r="D68" s="4">
        <v>10</v>
      </c>
      <c r="E68" s="4">
        <v>1000</v>
      </c>
      <c r="F68" s="4">
        <v>0</v>
      </c>
      <c r="G68" s="4">
        <v>6425</v>
      </c>
      <c r="H68" s="4">
        <v>0</v>
      </c>
      <c r="I68" s="4">
        <v>0</v>
      </c>
      <c r="J68" s="4">
        <v>5075</v>
      </c>
      <c r="K68" s="4">
        <v>0</v>
      </c>
      <c r="L68" s="4">
        <f t="shared" si="0"/>
        <v>1350</v>
      </c>
      <c r="M68" s="4">
        <v>2587.5</v>
      </c>
      <c r="N68" s="4">
        <v>26</v>
      </c>
      <c r="O68" s="5">
        <f t="shared" ref="O68:O74" si="9">(M68/(J68+K68))*N68</f>
        <v>13.25615763546798</v>
      </c>
      <c r="P68" s="4"/>
      <c r="Q68" s="6">
        <v>2103</v>
      </c>
      <c r="R68" s="7">
        <f t="shared" si="2"/>
        <v>10672725</v>
      </c>
      <c r="S68" s="7">
        <f t="shared" si="3"/>
        <v>5441512.5</v>
      </c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35">
      <c r="A69" s="4" t="s">
        <v>88</v>
      </c>
      <c r="B69" s="4" t="s">
        <v>19</v>
      </c>
      <c r="C69" s="4" t="s">
        <v>20</v>
      </c>
      <c r="D69" s="4">
        <v>10</v>
      </c>
      <c r="E69" s="4">
        <v>1000</v>
      </c>
      <c r="F69" s="4">
        <v>24000</v>
      </c>
      <c r="G69" s="4">
        <v>0</v>
      </c>
      <c r="H69" s="4">
        <v>0</v>
      </c>
      <c r="I69" s="4">
        <v>0</v>
      </c>
      <c r="J69" s="4">
        <v>7750</v>
      </c>
      <c r="K69" s="4">
        <v>0</v>
      </c>
      <c r="L69" s="4">
        <f t="shared" si="0"/>
        <v>16250</v>
      </c>
      <c r="M69" s="4">
        <v>18800</v>
      </c>
      <c r="N69" s="4">
        <v>26</v>
      </c>
      <c r="O69" s="5">
        <f t="shared" si="9"/>
        <v>63.070967741935483</v>
      </c>
      <c r="P69" s="4"/>
      <c r="Q69" s="6">
        <v>2103</v>
      </c>
      <c r="R69" s="7">
        <f t="shared" si="2"/>
        <v>16298250</v>
      </c>
      <c r="S69" s="7">
        <f t="shared" si="3"/>
        <v>39536400</v>
      </c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35">
      <c r="A70" s="4" t="s">
        <v>89</v>
      </c>
      <c r="B70" s="4" t="s">
        <v>19</v>
      </c>
      <c r="C70" s="4" t="s">
        <v>20</v>
      </c>
      <c r="D70" s="4">
        <v>10</v>
      </c>
      <c r="E70" s="4">
        <v>1000</v>
      </c>
      <c r="F70" s="4">
        <v>2819</v>
      </c>
      <c r="G70" s="4">
        <v>1539</v>
      </c>
      <c r="H70" s="4">
        <v>0</v>
      </c>
      <c r="I70" s="4">
        <v>0</v>
      </c>
      <c r="J70" s="4">
        <v>1704</v>
      </c>
      <c r="K70" s="4">
        <v>0</v>
      </c>
      <c r="L70" s="4">
        <f t="shared" si="0"/>
        <v>2654</v>
      </c>
      <c r="M70" s="4">
        <v>2659</v>
      </c>
      <c r="N70" s="4">
        <v>26</v>
      </c>
      <c r="O70" s="5">
        <f t="shared" si="9"/>
        <v>40.571596244131456</v>
      </c>
      <c r="P70" s="4"/>
      <c r="Q70" s="6">
        <v>4592</v>
      </c>
      <c r="R70" s="7">
        <f t="shared" si="2"/>
        <v>7824768</v>
      </c>
      <c r="S70" s="7">
        <f t="shared" si="3"/>
        <v>12210128</v>
      </c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35">
      <c r="A71" s="4" t="s">
        <v>90</v>
      </c>
      <c r="B71" s="4" t="s">
        <v>19</v>
      </c>
      <c r="C71" s="4" t="s">
        <v>20</v>
      </c>
      <c r="D71" s="4">
        <v>10</v>
      </c>
      <c r="E71" s="4">
        <v>1000</v>
      </c>
      <c r="F71" s="4">
        <v>2914</v>
      </c>
      <c r="G71" s="4">
        <v>1500</v>
      </c>
      <c r="H71" s="4">
        <v>0</v>
      </c>
      <c r="I71" s="4">
        <v>0</v>
      </c>
      <c r="J71" s="4">
        <v>2914</v>
      </c>
      <c r="K71" s="4">
        <v>0</v>
      </c>
      <c r="L71" s="4">
        <f t="shared" si="0"/>
        <v>1500</v>
      </c>
      <c r="M71" s="4">
        <v>1157.8</v>
      </c>
      <c r="N71" s="4">
        <v>26</v>
      </c>
      <c r="O71" s="5">
        <f t="shared" si="9"/>
        <v>10.330404941660946</v>
      </c>
      <c r="P71" s="4"/>
      <c r="Q71" s="6">
        <v>2297</v>
      </c>
      <c r="R71" s="7">
        <f t="shared" si="2"/>
        <v>6693458</v>
      </c>
      <c r="S71" s="7">
        <f t="shared" si="3"/>
        <v>2659466.6</v>
      </c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35">
      <c r="A72" s="4" t="s">
        <v>91</v>
      </c>
      <c r="B72" s="4" t="s">
        <v>19</v>
      </c>
      <c r="C72" s="4" t="s">
        <v>20</v>
      </c>
      <c r="D72" s="4">
        <v>10</v>
      </c>
      <c r="E72" s="4">
        <v>1000</v>
      </c>
      <c r="F72" s="4">
        <v>775</v>
      </c>
      <c r="G72" s="4">
        <v>0</v>
      </c>
      <c r="H72" s="4">
        <v>0</v>
      </c>
      <c r="I72" s="4">
        <v>0</v>
      </c>
      <c r="J72" s="4">
        <v>150</v>
      </c>
      <c r="K72" s="4">
        <v>0</v>
      </c>
      <c r="L72" s="4">
        <f t="shared" si="0"/>
        <v>625</v>
      </c>
      <c r="M72" s="4">
        <v>625</v>
      </c>
      <c r="N72" s="4">
        <v>26</v>
      </c>
      <c r="O72" s="5">
        <f t="shared" si="9"/>
        <v>108.33333333333334</v>
      </c>
      <c r="P72" s="4"/>
      <c r="Q72" s="6">
        <v>2616</v>
      </c>
      <c r="R72" s="7">
        <f t="shared" si="2"/>
        <v>392400</v>
      </c>
      <c r="S72" s="7">
        <f t="shared" si="3"/>
        <v>1635000</v>
      </c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35">
      <c r="A73" s="4" t="s">
        <v>92</v>
      </c>
      <c r="B73" s="4" t="s">
        <v>22</v>
      </c>
      <c r="C73" s="4" t="s">
        <v>20</v>
      </c>
      <c r="D73" s="4">
        <v>10</v>
      </c>
      <c r="E73" s="4">
        <v>1000</v>
      </c>
      <c r="F73" s="4">
        <v>24025</v>
      </c>
      <c r="G73" s="4">
        <v>106420</v>
      </c>
      <c r="H73" s="4">
        <v>0</v>
      </c>
      <c r="I73" s="4">
        <v>0</v>
      </c>
      <c r="J73" s="4">
        <v>77325</v>
      </c>
      <c r="K73" s="4">
        <v>0</v>
      </c>
      <c r="L73" s="4">
        <f t="shared" si="0"/>
        <v>53120</v>
      </c>
      <c r="M73" s="4">
        <v>52321.875</v>
      </c>
      <c r="N73" s="4">
        <v>26</v>
      </c>
      <c r="O73" s="5">
        <f t="shared" si="9"/>
        <v>17.592870999030065</v>
      </c>
      <c r="P73" s="4"/>
      <c r="Q73" s="6">
        <v>1419</v>
      </c>
      <c r="R73" s="7">
        <f t="shared" si="2"/>
        <v>109724175</v>
      </c>
      <c r="S73" s="7">
        <f t="shared" si="3"/>
        <v>74244740.625</v>
      </c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35">
      <c r="A74" s="4" t="s">
        <v>93</v>
      </c>
      <c r="B74" s="4" t="s">
        <v>19</v>
      </c>
      <c r="C74" s="4" t="s">
        <v>20</v>
      </c>
      <c r="D74" s="4">
        <v>10</v>
      </c>
      <c r="E74" s="4">
        <v>1000</v>
      </c>
      <c r="F74" s="4">
        <v>2038</v>
      </c>
      <c r="G74" s="4">
        <v>1050</v>
      </c>
      <c r="H74" s="4">
        <v>0</v>
      </c>
      <c r="I74" s="4">
        <v>0</v>
      </c>
      <c r="J74" s="4">
        <v>300</v>
      </c>
      <c r="K74" s="4">
        <v>5</v>
      </c>
      <c r="L74" s="4">
        <f t="shared" si="0"/>
        <v>2783</v>
      </c>
      <c r="M74" s="4">
        <v>2436.3333333333298</v>
      </c>
      <c r="N74" s="4">
        <v>26</v>
      </c>
      <c r="O74" s="5">
        <f t="shared" si="9"/>
        <v>207.68743169398877</v>
      </c>
      <c r="P74" s="4"/>
      <c r="Q74" s="6">
        <v>2616</v>
      </c>
      <c r="R74" s="7">
        <f t="shared" si="2"/>
        <v>797880</v>
      </c>
      <c r="S74" s="7">
        <f t="shared" si="3"/>
        <v>6373447.9999999907</v>
      </c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35">
      <c r="A75" s="4" t="s">
        <v>94</v>
      </c>
      <c r="B75" s="4" t="s">
        <v>19</v>
      </c>
      <c r="C75" s="4" t="s">
        <v>20</v>
      </c>
      <c r="D75" s="4">
        <v>10</v>
      </c>
      <c r="E75" s="4">
        <v>1000</v>
      </c>
      <c r="F75" s="4">
        <v>360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f t="shared" si="0"/>
        <v>360</v>
      </c>
      <c r="M75" s="4">
        <v>0</v>
      </c>
      <c r="N75" s="4">
        <v>26</v>
      </c>
      <c r="O75" s="5">
        <v>0</v>
      </c>
      <c r="P75" s="4"/>
      <c r="Q75" s="6">
        <v>7550</v>
      </c>
      <c r="R75" s="7">
        <f t="shared" si="2"/>
        <v>0</v>
      </c>
      <c r="S75" s="7">
        <f t="shared" si="3"/>
        <v>0</v>
      </c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35">
      <c r="A76" s="4" t="s">
        <v>95</v>
      </c>
      <c r="B76" s="4" t="s">
        <v>19</v>
      </c>
      <c r="C76" s="4" t="s">
        <v>20</v>
      </c>
      <c r="D76" s="4">
        <v>10</v>
      </c>
      <c r="E76" s="4">
        <v>1000</v>
      </c>
      <c r="F76" s="4">
        <v>22910</v>
      </c>
      <c r="G76" s="4">
        <v>32760</v>
      </c>
      <c r="H76" s="4">
        <v>0</v>
      </c>
      <c r="I76" s="4">
        <v>0</v>
      </c>
      <c r="J76" s="4">
        <v>43550</v>
      </c>
      <c r="K76" s="4">
        <v>0</v>
      </c>
      <c r="L76" s="4">
        <f t="shared" si="0"/>
        <v>12120</v>
      </c>
      <c r="M76" s="4">
        <v>29909.583333333303</v>
      </c>
      <c r="N76" s="4">
        <v>26</v>
      </c>
      <c r="O76" s="5">
        <f t="shared" ref="O76:O80" si="10">(M76/(J76+K76))*N76</f>
        <v>17.856467661691525</v>
      </c>
      <c r="P76" s="4"/>
      <c r="Q76" s="6">
        <v>7550</v>
      </c>
      <c r="R76" s="7">
        <f t="shared" si="2"/>
        <v>328802500</v>
      </c>
      <c r="S76" s="7">
        <f t="shared" si="3"/>
        <v>225817354.16666645</v>
      </c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35">
      <c r="A77" s="4" t="s">
        <v>96</v>
      </c>
      <c r="B77" s="4" t="s">
        <v>19</v>
      </c>
      <c r="C77" s="4" t="s">
        <v>20</v>
      </c>
      <c r="D77" s="4">
        <v>10</v>
      </c>
      <c r="E77" s="4">
        <v>1000</v>
      </c>
      <c r="F77" s="4">
        <v>3310</v>
      </c>
      <c r="G77" s="4">
        <v>6094</v>
      </c>
      <c r="H77" s="4">
        <v>0</v>
      </c>
      <c r="I77" s="4">
        <v>0</v>
      </c>
      <c r="J77" s="4">
        <v>2340</v>
      </c>
      <c r="K77" s="4">
        <v>0</v>
      </c>
      <c r="L77" s="4">
        <f t="shared" si="0"/>
        <v>7064</v>
      </c>
      <c r="M77" s="4">
        <v>7130.4000000000005</v>
      </c>
      <c r="N77" s="4">
        <v>26</v>
      </c>
      <c r="O77" s="5">
        <f t="shared" si="10"/>
        <v>79.226666666666674</v>
      </c>
      <c r="P77" s="4"/>
      <c r="Q77" s="6">
        <v>4592</v>
      </c>
      <c r="R77" s="7">
        <f t="shared" si="2"/>
        <v>10745280</v>
      </c>
      <c r="S77" s="7">
        <f t="shared" si="3"/>
        <v>32742796.800000001</v>
      </c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35">
      <c r="A78" s="4" t="s">
        <v>97</v>
      </c>
      <c r="B78" s="4" t="s">
        <v>19</v>
      </c>
      <c r="C78" s="4" t="s">
        <v>20</v>
      </c>
      <c r="D78" s="4">
        <v>10</v>
      </c>
      <c r="E78" s="4">
        <v>1000</v>
      </c>
      <c r="F78" s="4">
        <v>3400</v>
      </c>
      <c r="G78" s="4">
        <v>12010</v>
      </c>
      <c r="H78" s="4">
        <v>0</v>
      </c>
      <c r="I78" s="4">
        <v>0</v>
      </c>
      <c r="J78" s="4">
        <v>11700</v>
      </c>
      <c r="K78" s="4">
        <v>0</v>
      </c>
      <c r="L78" s="4">
        <f t="shared" si="0"/>
        <v>3710</v>
      </c>
      <c r="M78" s="4">
        <v>2450.4545454545505</v>
      </c>
      <c r="N78" s="4">
        <v>26</v>
      </c>
      <c r="O78" s="5">
        <f t="shared" si="10"/>
        <v>5.4454545454545569</v>
      </c>
      <c r="P78" s="4"/>
      <c r="Q78" s="6">
        <v>2297</v>
      </c>
      <c r="R78" s="7">
        <f t="shared" si="2"/>
        <v>26874900</v>
      </c>
      <c r="S78" s="7">
        <f t="shared" si="3"/>
        <v>5628694.0909091029</v>
      </c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35">
      <c r="A79" s="4" t="s">
        <v>98</v>
      </c>
      <c r="B79" s="4" t="s">
        <v>19</v>
      </c>
      <c r="C79" s="4" t="s">
        <v>20</v>
      </c>
      <c r="D79" s="4">
        <v>10</v>
      </c>
      <c r="E79" s="4">
        <v>1000</v>
      </c>
      <c r="F79" s="4">
        <v>550</v>
      </c>
      <c r="G79" s="4">
        <v>1050</v>
      </c>
      <c r="H79" s="4">
        <v>0</v>
      </c>
      <c r="I79" s="4">
        <v>0</v>
      </c>
      <c r="J79" s="4">
        <v>850</v>
      </c>
      <c r="K79" s="4">
        <v>0</v>
      </c>
      <c r="L79" s="4">
        <f t="shared" si="0"/>
        <v>750</v>
      </c>
      <c r="M79" s="4">
        <v>708.33333333333303</v>
      </c>
      <c r="N79" s="4">
        <v>26</v>
      </c>
      <c r="O79" s="5">
        <f t="shared" si="10"/>
        <v>21.666666666666657</v>
      </c>
      <c r="P79" s="4"/>
      <c r="Q79" s="6">
        <v>2616</v>
      </c>
      <c r="R79" s="7">
        <f t="shared" si="2"/>
        <v>2223600</v>
      </c>
      <c r="S79" s="7">
        <f t="shared" si="3"/>
        <v>1852999.9999999993</v>
      </c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35">
      <c r="A80" s="4" t="s">
        <v>99</v>
      </c>
      <c r="B80" s="4" t="s">
        <v>22</v>
      </c>
      <c r="C80" s="4" t="s">
        <v>20</v>
      </c>
      <c r="D80" s="4">
        <v>10</v>
      </c>
      <c r="E80" s="4">
        <v>1000</v>
      </c>
      <c r="F80" s="4">
        <v>12350</v>
      </c>
      <c r="G80" s="4">
        <v>63325</v>
      </c>
      <c r="H80" s="4">
        <v>0</v>
      </c>
      <c r="I80" s="4">
        <v>0</v>
      </c>
      <c r="J80" s="4">
        <v>73675</v>
      </c>
      <c r="K80" s="4">
        <v>10</v>
      </c>
      <c r="L80" s="4">
        <f t="shared" si="0"/>
        <v>1990</v>
      </c>
      <c r="M80" s="4">
        <v>13069.210526315801</v>
      </c>
      <c r="N80" s="4">
        <v>26</v>
      </c>
      <c r="O80" s="5">
        <f t="shared" si="10"/>
        <v>4.6115148766263259</v>
      </c>
      <c r="P80" s="4"/>
      <c r="Q80" s="6">
        <v>1419</v>
      </c>
      <c r="R80" s="7">
        <f t="shared" si="2"/>
        <v>104559015</v>
      </c>
      <c r="S80" s="7">
        <f t="shared" si="3"/>
        <v>18545209.736842122</v>
      </c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35">
      <c r="A81" s="4" t="s">
        <v>100</v>
      </c>
      <c r="B81" s="4" t="s">
        <v>19</v>
      </c>
      <c r="C81" s="4" t="s">
        <v>20</v>
      </c>
      <c r="D81" s="4">
        <v>10</v>
      </c>
      <c r="E81" s="4">
        <v>1000</v>
      </c>
      <c r="F81" s="4">
        <v>1315</v>
      </c>
      <c r="G81" s="4">
        <v>1521</v>
      </c>
      <c r="H81" s="4">
        <v>0</v>
      </c>
      <c r="I81" s="4">
        <v>0</v>
      </c>
      <c r="J81" s="4">
        <v>0</v>
      </c>
      <c r="K81" s="4">
        <v>0</v>
      </c>
      <c r="L81" s="4">
        <f t="shared" si="0"/>
        <v>2836</v>
      </c>
      <c r="M81" s="4">
        <v>2836</v>
      </c>
      <c r="N81" s="4">
        <v>26</v>
      </c>
      <c r="O81" s="5">
        <v>0</v>
      </c>
      <c r="P81" s="4"/>
      <c r="Q81" s="6">
        <v>2616</v>
      </c>
      <c r="R81" s="7">
        <f t="shared" si="2"/>
        <v>0</v>
      </c>
      <c r="S81" s="7">
        <f t="shared" si="3"/>
        <v>7418976</v>
      </c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35">
      <c r="A82" s="4" t="s">
        <v>101</v>
      </c>
      <c r="B82" s="4" t="s">
        <v>19</v>
      </c>
      <c r="C82" s="4" t="s">
        <v>20</v>
      </c>
      <c r="D82" s="4">
        <v>10</v>
      </c>
      <c r="E82" s="4">
        <v>1000</v>
      </c>
      <c r="F82" s="4">
        <v>1627</v>
      </c>
      <c r="G82" s="4">
        <v>1030</v>
      </c>
      <c r="H82" s="4">
        <v>0</v>
      </c>
      <c r="I82" s="4">
        <v>0</v>
      </c>
      <c r="J82" s="4">
        <v>1232</v>
      </c>
      <c r="K82" s="4">
        <v>0</v>
      </c>
      <c r="L82" s="4">
        <f t="shared" si="0"/>
        <v>1425</v>
      </c>
      <c r="M82" s="4">
        <v>1126</v>
      </c>
      <c r="N82" s="4">
        <v>26</v>
      </c>
      <c r="O82" s="5">
        <f t="shared" ref="O82:O88" si="11">(M82/(J82+K82))*N82</f>
        <v>23.762987012987015</v>
      </c>
      <c r="P82" s="4"/>
      <c r="Q82" s="6">
        <v>4592</v>
      </c>
      <c r="R82" s="7">
        <f t="shared" si="2"/>
        <v>5657344</v>
      </c>
      <c r="S82" s="7">
        <f t="shared" si="3"/>
        <v>5170592</v>
      </c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35">
      <c r="A83" s="4" t="s">
        <v>102</v>
      </c>
      <c r="B83" s="4" t="s">
        <v>19</v>
      </c>
      <c r="C83" s="4" t="s">
        <v>20</v>
      </c>
      <c r="D83" s="4">
        <v>10</v>
      </c>
      <c r="E83" s="4">
        <v>1000</v>
      </c>
      <c r="F83" s="4">
        <v>21465</v>
      </c>
      <c r="G83" s="4">
        <v>0</v>
      </c>
      <c r="H83" s="4">
        <v>0</v>
      </c>
      <c r="I83" s="4">
        <v>0</v>
      </c>
      <c r="J83" s="4">
        <v>3300</v>
      </c>
      <c r="K83" s="4">
        <v>0</v>
      </c>
      <c r="L83" s="4">
        <f t="shared" si="0"/>
        <v>18165</v>
      </c>
      <c r="M83" s="4">
        <v>18998.333333333303</v>
      </c>
      <c r="N83" s="4">
        <v>26</v>
      </c>
      <c r="O83" s="5">
        <f t="shared" si="11"/>
        <v>149.68383838383815</v>
      </c>
      <c r="P83" s="4"/>
      <c r="Q83" s="6">
        <v>2297</v>
      </c>
      <c r="R83" s="7">
        <f t="shared" si="2"/>
        <v>7580100</v>
      </c>
      <c r="S83" s="7">
        <f t="shared" si="3"/>
        <v>43639171.666666597</v>
      </c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35">
      <c r="A84" s="4" t="s">
        <v>103</v>
      </c>
      <c r="B84" s="4" t="s">
        <v>19</v>
      </c>
      <c r="C84" s="4" t="s">
        <v>20</v>
      </c>
      <c r="D84" s="4">
        <v>10</v>
      </c>
      <c r="E84" s="4">
        <v>1000</v>
      </c>
      <c r="F84" s="4">
        <v>975</v>
      </c>
      <c r="G84" s="4">
        <v>1000</v>
      </c>
      <c r="H84" s="4">
        <v>0</v>
      </c>
      <c r="I84" s="4">
        <v>0</v>
      </c>
      <c r="J84" s="4">
        <v>500</v>
      </c>
      <c r="K84" s="4">
        <v>0</v>
      </c>
      <c r="L84" s="4">
        <f t="shared" si="0"/>
        <v>1475</v>
      </c>
      <c r="M84" s="4">
        <v>950</v>
      </c>
      <c r="N84" s="4">
        <v>26</v>
      </c>
      <c r="O84" s="5">
        <f t="shared" si="11"/>
        <v>49.4</v>
      </c>
      <c r="P84" s="4"/>
      <c r="Q84" s="6">
        <v>2616</v>
      </c>
      <c r="R84" s="7">
        <f t="shared" si="2"/>
        <v>1308000</v>
      </c>
      <c r="S84" s="7">
        <f t="shared" si="3"/>
        <v>2485200</v>
      </c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35">
      <c r="A85" s="4" t="s">
        <v>104</v>
      </c>
      <c r="B85" s="4" t="s">
        <v>22</v>
      </c>
      <c r="C85" s="4" t="s">
        <v>20</v>
      </c>
      <c r="D85" s="4">
        <v>10</v>
      </c>
      <c r="E85" s="4">
        <v>1000</v>
      </c>
      <c r="F85" s="4">
        <v>20575</v>
      </c>
      <c r="G85" s="4">
        <v>76075</v>
      </c>
      <c r="H85" s="4">
        <v>0</v>
      </c>
      <c r="I85" s="4">
        <v>0</v>
      </c>
      <c r="J85" s="4">
        <v>77550</v>
      </c>
      <c r="K85" s="4">
        <v>0</v>
      </c>
      <c r="L85" s="4">
        <f t="shared" si="0"/>
        <v>19100</v>
      </c>
      <c r="M85" s="4">
        <v>26010.416666666697</v>
      </c>
      <c r="N85" s="4">
        <v>26</v>
      </c>
      <c r="O85" s="5">
        <f t="shared" si="11"/>
        <v>8.720449172576842</v>
      </c>
      <c r="P85" s="4"/>
      <c r="Q85" s="6">
        <v>1419</v>
      </c>
      <c r="R85" s="7">
        <f t="shared" si="2"/>
        <v>110043450</v>
      </c>
      <c r="S85" s="7">
        <f t="shared" si="3"/>
        <v>36908781.250000045</v>
      </c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35">
      <c r="A86" s="4" t="s">
        <v>105</v>
      </c>
      <c r="B86" s="4" t="s">
        <v>19</v>
      </c>
      <c r="C86" s="4" t="s">
        <v>20</v>
      </c>
      <c r="D86" s="4">
        <v>10</v>
      </c>
      <c r="E86" s="4">
        <v>1000</v>
      </c>
      <c r="F86" s="4">
        <v>1844</v>
      </c>
      <c r="G86" s="4">
        <v>0</v>
      </c>
      <c r="H86" s="4">
        <v>0</v>
      </c>
      <c r="I86" s="4">
        <v>0</v>
      </c>
      <c r="J86" s="4">
        <v>700</v>
      </c>
      <c r="K86" s="4">
        <v>5</v>
      </c>
      <c r="L86" s="4">
        <f t="shared" si="0"/>
        <v>1139</v>
      </c>
      <c r="M86" s="4">
        <v>1141.5</v>
      </c>
      <c r="N86" s="4">
        <v>26</v>
      </c>
      <c r="O86" s="5">
        <f t="shared" si="11"/>
        <v>42.097872340425532</v>
      </c>
      <c r="P86" s="4"/>
      <c r="Q86" s="6">
        <v>1419</v>
      </c>
      <c r="R86" s="7">
        <f t="shared" si="2"/>
        <v>1000395</v>
      </c>
      <c r="S86" s="7">
        <f t="shared" si="3"/>
        <v>1619788.5</v>
      </c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35">
      <c r="A87" s="4" t="s">
        <v>106</v>
      </c>
      <c r="B87" s="4" t="s">
        <v>19</v>
      </c>
      <c r="C87" s="4" t="s">
        <v>20</v>
      </c>
      <c r="D87" s="4">
        <v>10</v>
      </c>
      <c r="E87" s="4">
        <v>1000</v>
      </c>
      <c r="F87" s="4">
        <v>8396</v>
      </c>
      <c r="G87" s="4">
        <v>29939</v>
      </c>
      <c r="H87" s="4">
        <v>0</v>
      </c>
      <c r="I87" s="4">
        <v>0</v>
      </c>
      <c r="J87" s="4">
        <v>24964</v>
      </c>
      <c r="K87" s="4">
        <v>0</v>
      </c>
      <c r="L87" s="4">
        <f t="shared" si="0"/>
        <v>13371</v>
      </c>
      <c r="M87" s="4">
        <v>12207.666666666701</v>
      </c>
      <c r="N87" s="4">
        <v>26</v>
      </c>
      <c r="O87" s="5">
        <f t="shared" si="11"/>
        <v>12.714281899268315</v>
      </c>
      <c r="P87" s="4"/>
      <c r="Q87" s="6">
        <v>1968</v>
      </c>
      <c r="R87" s="7">
        <f t="shared" si="2"/>
        <v>49129152</v>
      </c>
      <c r="S87" s="7">
        <f t="shared" si="3"/>
        <v>24024688.000000067</v>
      </c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35">
      <c r="A88" s="4" t="s">
        <v>107</v>
      </c>
      <c r="B88" s="4" t="s">
        <v>19</v>
      </c>
      <c r="C88" s="4" t="s">
        <v>20</v>
      </c>
      <c r="D88" s="4">
        <v>10</v>
      </c>
      <c r="E88" s="4">
        <v>1000</v>
      </c>
      <c r="F88" s="4">
        <v>2218</v>
      </c>
      <c r="G88" s="4">
        <v>220</v>
      </c>
      <c r="H88" s="4">
        <v>0</v>
      </c>
      <c r="I88" s="4">
        <v>0</v>
      </c>
      <c r="J88" s="4">
        <v>2413</v>
      </c>
      <c r="K88" s="4">
        <v>0</v>
      </c>
      <c r="L88" s="4">
        <f t="shared" si="0"/>
        <v>25</v>
      </c>
      <c r="M88" s="4">
        <v>512.75</v>
      </c>
      <c r="N88" s="4">
        <v>26</v>
      </c>
      <c r="O88" s="5">
        <f t="shared" si="11"/>
        <v>5.5248653128885206</v>
      </c>
      <c r="P88" s="4"/>
      <c r="Q88" s="6">
        <v>2129</v>
      </c>
      <c r="R88" s="7">
        <f t="shared" si="2"/>
        <v>5137277</v>
      </c>
      <c r="S88" s="7">
        <f t="shared" si="3"/>
        <v>1091644.75</v>
      </c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35">
      <c r="A89" s="4" t="s">
        <v>108</v>
      </c>
      <c r="B89" s="4" t="s">
        <v>19</v>
      </c>
      <c r="C89" s="4" t="s">
        <v>20</v>
      </c>
      <c r="D89" s="4">
        <v>10</v>
      </c>
      <c r="E89" s="4">
        <v>1000</v>
      </c>
      <c r="F89" s="4">
        <v>110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f t="shared" si="0"/>
        <v>110</v>
      </c>
      <c r="M89" s="4">
        <v>0</v>
      </c>
      <c r="N89" s="4">
        <v>26</v>
      </c>
      <c r="O89" s="5">
        <v>0</v>
      </c>
      <c r="P89" s="4"/>
      <c r="Q89" s="6">
        <v>2129</v>
      </c>
      <c r="R89" s="7">
        <f t="shared" si="2"/>
        <v>0</v>
      </c>
      <c r="S89" s="7">
        <f t="shared" si="3"/>
        <v>0</v>
      </c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35">
      <c r="A90" s="4" t="s">
        <v>109</v>
      </c>
      <c r="B90" s="4" t="s">
        <v>19</v>
      </c>
      <c r="C90" s="4" t="s">
        <v>20</v>
      </c>
      <c r="D90" s="4">
        <v>10</v>
      </c>
      <c r="E90" s="4">
        <v>1000</v>
      </c>
      <c r="F90" s="4">
        <v>18833</v>
      </c>
      <c r="G90" s="4">
        <v>13005</v>
      </c>
      <c r="H90" s="4">
        <v>0</v>
      </c>
      <c r="I90" s="4">
        <v>0</v>
      </c>
      <c r="J90" s="4">
        <v>10500</v>
      </c>
      <c r="K90" s="4">
        <v>0</v>
      </c>
      <c r="L90" s="4">
        <f t="shared" si="0"/>
        <v>21338</v>
      </c>
      <c r="M90" s="4">
        <v>14139.1111111111</v>
      </c>
      <c r="N90" s="4">
        <v>26</v>
      </c>
      <c r="O90" s="5">
        <f t="shared" ref="O90:O118" si="12">(M90/(J90+K90))*N90</f>
        <v>35.011132275132255</v>
      </c>
      <c r="P90" s="4"/>
      <c r="Q90" s="6">
        <v>1968</v>
      </c>
      <c r="R90" s="7">
        <f t="shared" si="2"/>
        <v>20664000</v>
      </c>
      <c r="S90" s="7">
        <f t="shared" si="3"/>
        <v>27825770.666666646</v>
      </c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35">
      <c r="A91" s="4" t="s">
        <v>110</v>
      </c>
      <c r="B91" s="4" t="s">
        <v>19</v>
      </c>
      <c r="C91" s="4" t="s">
        <v>20</v>
      </c>
      <c r="D91" s="4">
        <v>10</v>
      </c>
      <c r="E91" s="4">
        <v>1000</v>
      </c>
      <c r="F91" s="4">
        <v>7287</v>
      </c>
      <c r="G91" s="4">
        <v>11159</v>
      </c>
      <c r="H91" s="4">
        <v>0</v>
      </c>
      <c r="I91" s="4">
        <v>0</v>
      </c>
      <c r="J91" s="4">
        <v>13462</v>
      </c>
      <c r="K91" s="4">
        <v>0</v>
      </c>
      <c r="L91" s="4">
        <f t="shared" si="0"/>
        <v>4984</v>
      </c>
      <c r="M91" s="4">
        <v>8059.1</v>
      </c>
      <c r="N91" s="4">
        <v>26</v>
      </c>
      <c r="O91" s="5">
        <f t="shared" si="12"/>
        <v>15.565042341405437</v>
      </c>
      <c r="P91" s="4"/>
      <c r="Q91" s="6">
        <v>2157</v>
      </c>
      <c r="R91" s="7">
        <f t="shared" si="2"/>
        <v>29037534</v>
      </c>
      <c r="S91" s="7">
        <f t="shared" si="3"/>
        <v>17383478.699999999</v>
      </c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35">
      <c r="A92" s="4" t="s">
        <v>111</v>
      </c>
      <c r="B92" s="4" t="s">
        <v>19</v>
      </c>
      <c r="C92" s="4" t="s">
        <v>20</v>
      </c>
      <c r="D92" s="4">
        <v>10</v>
      </c>
      <c r="E92" s="4">
        <v>1000</v>
      </c>
      <c r="F92" s="4">
        <v>9625</v>
      </c>
      <c r="G92" s="4">
        <v>16115</v>
      </c>
      <c r="H92" s="4">
        <v>0</v>
      </c>
      <c r="I92" s="4">
        <v>0</v>
      </c>
      <c r="J92" s="4">
        <v>8654</v>
      </c>
      <c r="K92" s="4">
        <v>0</v>
      </c>
      <c r="L92" s="4">
        <f t="shared" si="0"/>
        <v>17086</v>
      </c>
      <c r="M92" s="4">
        <v>14734.333333333299</v>
      </c>
      <c r="N92" s="4">
        <v>26</v>
      </c>
      <c r="O92" s="5">
        <f t="shared" si="12"/>
        <v>44.267698944611254</v>
      </c>
      <c r="P92" s="4"/>
      <c r="Q92" s="6">
        <v>2031</v>
      </c>
      <c r="R92" s="7">
        <f t="shared" si="2"/>
        <v>17576274</v>
      </c>
      <c r="S92" s="7">
        <f t="shared" si="3"/>
        <v>29925430.999999929</v>
      </c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35">
      <c r="A93" s="4" t="s">
        <v>112</v>
      </c>
      <c r="B93" s="4" t="s">
        <v>19</v>
      </c>
      <c r="C93" s="4" t="s">
        <v>20</v>
      </c>
      <c r="D93" s="4">
        <v>10</v>
      </c>
      <c r="E93" s="4">
        <v>1000</v>
      </c>
      <c r="F93" s="4">
        <v>7338</v>
      </c>
      <c r="G93" s="4">
        <v>20121</v>
      </c>
      <c r="H93" s="4">
        <v>0</v>
      </c>
      <c r="I93" s="4">
        <v>0</v>
      </c>
      <c r="J93" s="4">
        <v>15844</v>
      </c>
      <c r="K93" s="4">
        <v>0</v>
      </c>
      <c r="L93" s="4">
        <f t="shared" si="0"/>
        <v>11615</v>
      </c>
      <c r="M93" s="4">
        <v>13202.5</v>
      </c>
      <c r="N93" s="4">
        <v>26</v>
      </c>
      <c r="O93" s="5">
        <f t="shared" si="12"/>
        <v>21.665299166877052</v>
      </c>
      <c r="P93" s="4"/>
      <c r="Q93" s="6">
        <v>2031</v>
      </c>
      <c r="R93" s="7">
        <f t="shared" si="2"/>
        <v>32179164</v>
      </c>
      <c r="S93" s="7">
        <f t="shared" si="3"/>
        <v>26814277.5</v>
      </c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35">
      <c r="A94" s="4" t="s">
        <v>113</v>
      </c>
      <c r="B94" s="4" t="s">
        <v>19</v>
      </c>
      <c r="C94" s="4" t="s">
        <v>20</v>
      </c>
      <c r="D94" s="4">
        <v>10</v>
      </c>
      <c r="E94" s="4">
        <v>1000</v>
      </c>
      <c r="F94" s="4">
        <v>1050</v>
      </c>
      <c r="G94" s="4">
        <v>2075</v>
      </c>
      <c r="H94" s="4">
        <v>0</v>
      </c>
      <c r="I94" s="4">
        <v>0</v>
      </c>
      <c r="J94" s="4">
        <v>1625</v>
      </c>
      <c r="K94" s="4">
        <v>0</v>
      </c>
      <c r="L94" s="4">
        <f t="shared" si="0"/>
        <v>1500</v>
      </c>
      <c r="M94" s="4">
        <v>1787.5</v>
      </c>
      <c r="N94" s="4">
        <v>26</v>
      </c>
      <c r="O94" s="5">
        <f t="shared" si="12"/>
        <v>28.6</v>
      </c>
      <c r="P94" s="4"/>
      <c r="Q94" s="6">
        <v>2642</v>
      </c>
      <c r="R94" s="7">
        <f t="shared" si="2"/>
        <v>4293250</v>
      </c>
      <c r="S94" s="7">
        <f t="shared" si="3"/>
        <v>4722575</v>
      </c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35">
      <c r="A95" s="4" t="s">
        <v>114</v>
      </c>
      <c r="B95" s="4" t="s">
        <v>19</v>
      </c>
      <c r="C95" s="4" t="s">
        <v>20</v>
      </c>
      <c r="D95" s="4">
        <v>10</v>
      </c>
      <c r="E95" s="4">
        <v>1000</v>
      </c>
      <c r="F95" s="4">
        <v>2000</v>
      </c>
      <c r="G95" s="4">
        <v>4095</v>
      </c>
      <c r="H95" s="4">
        <v>0</v>
      </c>
      <c r="I95" s="4">
        <v>0</v>
      </c>
      <c r="J95" s="4">
        <v>2000</v>
      </c>
      <c r="K95" s="4">
        <v>0</v>
      </c>
      <c r="L95" s="4">
        <f t="shared" si="0"/>
        <v>4095</v>
      </c>
      <c r="M95" s="4">
        <v>1615</v>
      </c>
      <c r="N95" s="4">
        <v>26</v>
      </c>
      <c r="O95" s="5">
        <f t="shared" si="12"/>
        <v>20.995000000000001</v>
      </c>
      <c r="P95" s="4"/>
      <c r="Q95" s="6">
        <v>2642</v>
      </c>
      <c r="R95" s="7">
        <f t="shared" si="2"/>
        <v>5284000</v>
      </c>
      <c r="S95" s="7">
        <f t="shared" si="3"/>
        <v>4266830</v>
      </c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35">
      <c r="A96" s="4" t="s">
        <v>115</v>
      </c>
      <c r="B96" s="4" t="s">
        <v>19</v>
      </c>
      <c r="C96" s="4" t="s">
        <v>20</v>
      </c>
      <c r="D96" s="4">
        <v>10</v>
      </c>
      <c r="E96" s="4">
        <v>1000</v>
      </c>
      <c r="F96" s="4">
        <v>550</v>
      </c>
      <c r="G96" s="4">
        <v>0</v>
      </c>
      <c r="H96" s="4">
        <v>0</v>
      </c>
      <c r="I96" s="4">
        <v>0</v>
      </c>
      <c r="J96" s="4">
        <v>225</v>
      </c>
      <c r="K96" s="4">
        <v>0</v>
      </c>
      <c r="L96" s="4">
        <f t="shared" si="0"/>
        <v>325</v>
      </c>
      <c r="M96" s="4">
        <v>387.5</v>
      </c>
      <c r="N96" s="4">
        <v>26</v>
      </c>
      <c r="O96" s="5">
        <f t="shared" si="12"/>
        <v>44.777777777777779</v>
      </c>
      <c r="P96" s="4"/>
      <c r="Q96" s="6">
        <v>2488</v>
      </c>
      <c r="R96" s="7">
        <f t="shared" si="2"/>
        <v>559800</v>
      </c>
      <c r="S96" s="7">
        <f t="shared" si="3"/>
        <v>964100</v>
      </c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35">
      <c r="A97" s="4" t="s">
        <v>116</v>
      </c>
      <c r="B97" s="4" t="s">
        <v>19</v>
      </c>
      <c r="C97" s="4" t="s">
        <v>20</v>
      </c>
      <c r="D97" s="4">
        <v>10</v>
      </c>
      <c r="E97" s="4">
        <v>1000</v>
      </c>
      <c r="F97" s="4">
        <v>0</v>
      </c>
      <c r="G97" s="4">
        <v>5700</v>
      </c>
      <c r="H97" s="4">
        <v>0</v>
      </c>
      <c r="I97" s="4">
        <v>0</v>
      </c>
      <c r="J97" s="4">
        <v>3250</v>
      </c>
      <c r="K97" s="4">
        <v>0</v>
      </c>
      <c r="L97" s="4">
        <f t="shared" si="0"/>
        <v>2450</v>
      </c>
      <c r="M97" s="4">
        <v>2590</v>
      </c>
      <c r="N97" s="4">
        <v>26</v>
      </c>
      <c r="O97" s="5">
        <f t="shared" si="12"/>
        <v>20.720000000000002</v>
      </c>
      <c r="P97" s="4"/>
      <c r="Q97" s="6">
        <v>2431</v>
      </c>
      <c r="R97" s="7">
        <f t="shared" si="2"/>
        <v>7900750</v>
      </c>
      <c r="S97" s="7">
        <f t="shared" si="3"/>
        <v>6296290</v>
      </c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35">
      <c r="A98" s="4" t="s">
        <v>117</v>
      </c>
      <c r="B98" s="4" t="s">
        <v>19</v>
      </c>
      <c r="C98" s="4" t="s">
        <v>20</v>
      </c>
      <c r="D98" s="4">
        <v>10</v>
      </c>
      <c r="E98" s="4">
        <v>1000</v>
      </c>
      <c r="F98" s="4">
        <v>2920</v>
      </c>
      <c r="G98" s="4">
        <v>3096</v>
      </c>
      <c r="H98" s="4">
        <v>0</v>
      </c>
      <c r="I98" s="4">
        <v>0</v>
      </c>
      <c r="J98" s="4">
        <v>2976</v>
      </c>
      <c r="K98" s="4">
        <v>0</v>
      </c>
      <c r="L98" s="4">
        <f t="shared" si="0"/>
        <v>3040</v>
      </c>
      <c r="M98" s="4">
        <v>2998.4</v>
      </c>
      <c r="N98" s="4">
        <v>26</v>
      </c>
      <c r="O98" s="5">
        <f t="shared" si="12"/>
        <v>26.195698924731182</v>
      </c>
      <c r="P98" s="4"/>
      <c r="Q98" s="6">
        <v>4592</v>
      </c>
      <c r="R98" s="7">
        <f t="shared" si="2"/>
        <v>13665792</v>
      </c>
      <c r="S98" s="7">
        <f t="shared" si="3"/>
        <v>13768652.800000001</v>
      </c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35">
      <c r="A99" s="4" t="s">
        <v>118</v>
      </c>
      <c r="B99" s="4" t="s">
        <v>19</v>
      </c>
      <c r="C99" s="4" t="s">
        <v>20</v>
      </c>
      <c r="D99" s="4">
        <v>10</v>
      </c>
      <c r="E99" s="4">
        <v>1000</v>
      </c>
      <c r="F99" s="4">
        <v>2850</v>
      </c>
      <c r="G99" s="4">
        <v>1000</v>
      </c>
      <c r="H99" s="4">
        <v>0</v>
      </c>
      <c r="I99" s="4">
        <v>0</v>
      </c>
      <c r="J99" s="4">
        <v>1700</v>
      </c>
      <c r="K99" s="4">
        <v>0</v>
      </c>
      <c r="L99" s="4">
        <f t="shared" si="0"/>
        <v>2150</v>
      </c>
      <c r="M99" s="4">
        <v>1765</v>
      </c>
      <c r="N99" s="4">
        <v>26</v>
      </c>
      <c r="O99" s="5">
        <f t="shared" si="12"/>
        <v>26.994117647058825</v>
      </c>
      <c r="P99" s="4"/>
      <c r="Q99" s="6">
        <v>2297</v>
      </c>
      <c r="R99" s="7">
        <f t="shared" si="2"/>
        <v>3904900</v>
      </c>
      <c r="S99" s="7">
        <f t="shared" si="3"/>
        <v>4054205</v>
      </c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35">
      <c r="A100" s="4" t="s">
        <v>119</v>
      </c>
      <c r="B100" s="4" t="s">
        <v>19</v>
      </c>
      <c r="C100" s="4" t="s">
        <v>20</v>
      </c>
      <c r="D100" s="4">
        <v>10</v>
      </c>
      <c r="E100" s="4">
        <v>1000</v>
      </c>
      <c r="F100" s="4">
        <v>1375</v>
      </c>
      <c r="G100" s="4">
        <v>0</v>
      </c>
      <c r="H100" s="4">
        <v>0</v>
      </c>
      <c r="I100" s="4">
        <v>0</v>
      </c>
      <c r="J100" s="4">
        <v>425</v>
      </c>
      <c r="K100" s="4">
        <v>0</v>
      </c>
      <c r="L100" s="4">
        <f t="shared" si="0"/>
        <v>950</v>
      </c>
      <c r="M100" s="4">
        <v>1141.6666666666702</v>
      </c>
      <c r="N100" s="4">
        <v>26</v>
      </c>
      <c r="O100" s="5">
        <f t="shared" si="12"/>
        <v>69.843137254902175</v>
      </c>
      <c r="P100" s="4"/>
      <c r="Q100" s="6">
        <v>2616</v>
      </c>
      <c r="R100" s="7">
        <f t="shared" si="2"/>
        <v>1111800</v>
      </c>
      <c r="S100" s="7">
        <f t="shared" si="3"/>
        <v>2986600.0000000093</v>
      </c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35">
      <c r="A101" s="4" t="s">
        <v>120</v>
      </c>
      <c r="B101" s="4" t="s">
        <v>19</v>
      </c>
      <c r="C101" s="4" t="s">
        <v>20</v>
      </c>
      <c r="D101" s="4">
        <v>10</v>
      </c>
      <c r="E101" s="4">
        <v>1000</v>
      </c>
      <c r="F101" s="4">
        <v>3895</v>
      </c>
      <c r="G101" s="4">
        <v>20190</v>
      </c>
      <c r="H101" s="4">
        <v>0</v>
      </c>
      <c r="I101" s="4">
        <v>0</v>
      </c>
      <c r="J101" s="4">
        <v>16040</v>
      </c>
      <c r="K101" s="4">
        <v>0</v>
      </c>
      <c r="L101" s="4">
        <f t="shared" si="0"/>
        <v>8045</v>
      </c>
      <c r="M101" s="4">
        <v>6438.9285714285697</v>
      </c>
      <c r="N101" s="4">
        <v>26</v>
      </c>
      <c r="O101" s="5">
        <f t="shared" si="12"/>
        <v>10.437166013537581</v>
      </c>
      <c r="P101" s="4"/>
      <c r="Q101" s="6">
        <v>1419</v>
      </c>
      <c r="R101" s="7">
        <f t="shared" si="2"/>
        <v>22760760</v>
      </c>
      <c r="S101" s="7">
        <f t="shared" si="3"/>
        <v>9136839.6428571399</v>
      </c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35">
      <c r="A102" s="4" t="s">
        <v>121</v>
      </c>
      <c r="B102" s="4" t="s">
        <v>19</v>
      </c>
      <c r="C102" s="4" t="s">
        <v>20</v>
      </c>
      <c r="D102" s="4">
        <v>10</v>
      </c>
      <c r="E102" s="4">
        <v>1000</v>
      </c>
      <c r="F102" s="4">
        <v>1375</v>
      </c>
      <c r="G102" s="4">
        <v>0</v>
      </c>
      <c r="H102" s="4">
        <v>0</v>
      </c>
      <c r="I102" s="4">
        <v>0</v>
      </c>
      <c r="J102" s="4">
        <v>400</v>
      </c>
      <c r="K102" s="4">
        <v>0</v>
      </c>
      <c r="L102" s="4">
        <f t="shared" si="0"/>
        <v>975</v>
      </c>
      <c r="M102" s="4">
        <v>1125</v>
      </c>
      <c r="N102" s="4">
        <v>26</v>
      </c>
      <c r="O102" s="5">
        <f t="shared" si="12"/>
        <v>73.125</v>
      </c>
      <c r="P102" s="4"/>
      <c r="Q102" s="6">
        <v>2616</v>
      </c>
      <c r="R102" s="7">
        <f t="shared" si="2"/>
        <v>1046400</v>
      </c>
      <c r="S102" s="7">
        <f t="shared" si="3"/>
        <v>2943000</v>
      </c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35">
      <c r="A103" s="4" t="s">
        <v>122</v>
      </c>
      <c r="B103" s="4" t="s">
        <v>19</v>
      </c>
      <c r="C103" s="4" t="s">
        <v>20</v>
      </c>
      <c r="D103" s="4">
        <v>10</v>
      </c>
      <c r="E103" s="4">
        <v>1000</v>
      </c>
      <c r="F103" s="4">
        <v>5227</v>
      </c>
      <c r="G103" s="4">
        <v>5857</v>
      </c>
      <c r="H103" s="4">
        <v>0</v>
      </c>
      <c r="I103" s="4">
        <v>0</v>
      </c>
      <c r="J103" s="4">
        <v>8434</v>
      </c>
      <c r="K103" s="4">
        <v>0</v>
      </c>
      <c r="L103" s="4">
        <f t="shared" si="0"/>
        <v>2650</v>
      </c>
      <c r="M103" s="4">
        <v>4211.3333333333303</v>
      </c>
      <c r="N103" s="4">
        <v>26</v>
      </c>
      <c r="O103" s="5">
        <f t="shared" si="12"/>
        <v>12.982531025215389</v>
      </c>
      <c r="P103" s="4"/>
      <c r="Q103" s="6">
        <v>2246</v>
      </c>
      <c r="R103" s="7">
        <f t="shared" si="2"/>
        <v>18942764</v>
      </c>
      <c r="S103" s="7">
        <f t="shared" si="3"/>
        <v>9458654.6666666605</v>
      </c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35">
      <c r="A104" s="4" t="s">
        <v>123</v>
      </c>
      <c r="B104" s="4" t="s">
        <v>19</v>
      </c>
      <c r="C104" s="4" t="s">
        <v>20</v>
      </c>
      <c r="D104" s="4">
        <v>10</v>
      </c>
      <c r="E104" s="4">
        <v>1000</v>
      </c>
      <c r="F104" s="4">
        <v>7899</v>
      </c>
      <c r="G104" s="4">
        <v>2566</v>
      </c>
      <c r="H104" s="4">
        <v>0</v>
      </c>
      <c r="I104" s="4">
        <v>0</v>
      </c>
      <c r="J104" s="4">
        <v>5974</v>
      </c>
      <c r="K104" s="4">
        <v>0</v>
      </c>
      <c r="L104" s="4">
        <f t="shared" si="0"/>
        <v>4491</v>
      </c>
      <c r="M104" s="4">
        <v>6657.2</v>
      </c>
      <c r="N104" s="4">
        <v>26</v>
      </c>
      <c r="O104" s="5">
        <f t="shared" si="12"/>
        <v>28.973418145296286</v>
      </c>
      <c r="P104" s="4"/>
      <c r="Q104" s="6">
        <v>2355</v>
      </c>
      <c r="R104" s="7">
        <f t="shared" si="2"/>
        <v>14068770</v>
      </c>
      <c r="S104" s="7">
        <f t="shared" si="3"/>
        <v>15677706</v>
      </c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35">
      <c r="A105" s="4" t="s">
        <v>124</v>
      </c>
      <c r="B105" s="4" t="s">
        <v>19</v>
      </c>
      <c r="C105" s="4" t="s">
        <v>20</v>
      </c>
      <c r="D105" s="4">
        <v>10</v>
      </c>
      <c r="E105" s="4">
        <v>1000</v>
      </c>
      <c r="F105" s="4">
        <v>1575</v>
      </c>
      <c r="G105" s="4">
        <v>10174</v>
      </c>
      <c r="H105" s="4">
        <v>0</v>
      </c>
      <c r="I105" s="4">
        <v>0</v>
      </c>
      <c r="J105" s="4">
        <v>10474</v>
      </c>
      <c r="K105" s="4">
        <v>0</v>
      </c>
      <c r="L105" s="4">
        <f t="shared" si="0"/>
        <v>1275</v>
      </c>
      <c r="M105" s="4">
        <v>3995.5</v>
      </c>
      <c r="N105" s="4">
        <v>26</v>
      </c>
      <c r="O105" s="5">
        <f t="shared" si="12"/>
        <v>9.9181783463815165</v>
      </c>
      <c r="P105" s="4"/>
      <c r="Q105" s="6">
        <v>2031</v>
      </c>
      <c r="R105" s="7">
        <f t="shared" si="2"/>
        <v>21272694</v>
      </c>
      <c r="S105" s="7">
        <f t="shared" si="3"/>
        <v>8114860.5</v>
      </c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35">
      <c r="A106" s="4" t="s">
        <v>125</v>
      </c>
      <c r="B106" s="4" t="s">
        <v>19</v>
      </c>
      <c r="C106" s="4" t="s">
        <v>20</v>
      </c>
      <c r="D106" s="4">
        <v>10</v>
      </c>
      <c r="E106" s="4">
        <v>1000</v>
      </c>
      <c r="F106" s="4">
        <v>0</v>
      </c>
      <c r="G106" s="4">
        <v>6750</v>
      </c>
      <c r="H106" s="4">
        <v>0</v>
      </c>
      <c r="I106" s="4">
        <v>0</v>
      </c>
      <c r="J106" s="4">
        <v>3500</v>
      </c>
      <c r="K106" s="4">
        <v>0</v>
      </c>
      <c r="L106" s="4">
        <f t="shared" si="0"/>
        <v>3250</v>
      </c>
      <c r="M106" s="4">
        <v>3125</v>
      </c>
      <c r="N106" s="4">
        <v>26</v>
      </c>
      <c r="O106" s="5">
        <f t="shared" si="12"/>
        <v>23.214285714285715</v>
      </c>
      <c r="P106" s="4"/>
      <c r="Q106" s="6">
        <v>2108</v>
      </c>
      <c r="R106" s="7">
        <f t="shared" si="2"/>
        <v>7378000</v>
      </c>
      <c r="S106" s="7">
        <f t="shared" si="3"/>
        <v>6587500</v>
      </c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35">
      <c r="A107" s="4" t="s">
        <v>126</v>
      </c>
      <c r="B107" s="4" t="s">
        <v>19</v>
      </c>
      <c r="C107" s="4" t="s">
        <v>20</v>
      </c>
      <c r="D107" s="4">
        <v>10</v>
      </c>
      <c r="E107" s="4">
        <v>1000</v>
      </c>
      <c r="F107" s="4">
        <v>1000</v>
      </c>
      <c r="G107" s="4">
        <v>975</v>
      </c>
      <c r="H107" s="4">
        <v>0</v>
      </c>
      <c r="I107" s="4">
        <v>0</v>
      </c>
      <c r="J107" s="4">
        <v>1450</v>
      </c>
      <c r="K107" s="4">
        <v>0</v>
      </c>
      <c r="L107" s="4">
        <f t="shared" si="0"/>
        <v>525</v>
      </c>
      <c r="M107" s="4">
        <v>790</v>
      </c>
      <c r="N107" s="4">
        <v>26</v>
      </c>
      <c r="O107" s="5">
        <f t="shared" si="12"/>
        <v>14.165517241379309</v>
      </c>
      <c r="P107" s="4"/>
      <c r="Q107" s="6">
        <v>2173</v>
      </c>
      <c r="R107" s="7">
        <f t="shared" si="2"/>
        <v>3150850</v>
      </c>
      <c r="S107" s="7">
        <f t="shared" si="3"/>
        <v>1716670</v>
      </c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35">
      <c r="A108" s="4" t="s">
        <v>127</v>
      </c>
      <c r="B108" s="4" t="s">
        <v>19</v>
      </c>
      <c r="C108" s="4" t="s">
        <v>20</v>
      </c>
      <c r="D108" s="4">
        <v>10</v>
      </c>
      <c r="E108" s="4">
        <v>1000</v>
      </c>
      <c r="F108" s="4">
        <v>1500</v>
      </c>
      <c r="G108" s="4">
        <v>5150</v>
      </c>
      <c r="H108" s="4">
        <v>0</v>
      </c>
      <c r="I108" s="4">
        <v>0</v>
      </c>
      <c r="J108" s="4">
        <v>5300</v>
      </c>
      <c r="K108" s="4">
        <v>0</v>
      </c>
      <c r="L108" s="4">
        <f t="shared" si="0"/>
        <v>1350</v>
      </c>
      <c r="M108" s="4">
        <v>3800</v>
      </c>
      <c r="N108" s="4">
        <v>26</v>
      </c>
      <c r="O108" s="5">
        <f t="shared" si="12"/>
        <v>18.641509433962263</v>
      </c>
      <c r="P108" s="4"/>
      <c r="Q108" s="6">
        <v>2356</v>
      </c>
      <c r="R108" s="7">
        <f t="shared" si="2"/>
        <v>12486800</v>
      </c>
      <c r="S108" s="7">
        <f t="shared" si="3"/>
        <v>8952800</v>
      </c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35">
      <c r="A109" s="4" t="s">
        <v>128</v>
      </c>
      <c r="B109" s="4" t="s">
        <v>19</v>
      </c>
      <c r="C109" s="4" t="s">
        <v>20</v>
      </c>
      <c r="D109" s="4">
        <v>10</v>
      </c>
      <c r="E109" s="4">
        <v>1000</v>
      </c>
      <c r="F109" s="4">
        <v>750</v>
      </c>
      <c r="G109" s="4">
        <v>0</v>
      </c>
      <c r="H109" s="4">
        <v>0</v>
      </c>
      <c r="I109" s="4">
        <v>0</v>
      </c>
      <c r="J109" s="4">
        <v>250</v>
      </c>
      <c r="K109" s="4">
        <v>0</v>
      </c>
      <c r="L109" s="4">
        <f t="shared" si="0"/>
        <v>500</v>
      </c>
      <c r="M109" s="4">
        <v>575</v>
      </c>
      <c r="N109" s="4">
        <v>26</v>
      </c>
      <c r="O109" s="5">
        <f t="shared" si="12"/>
        <v>59.8</v>
      </c>
      <c r="P109" s="4"/>
      <c r="Q109" s="6">
        <v>1993</v>
      </c>
      <c r="R109" s="7">
        <f t="shared" si="2"/>
        <v>498250</v>
      </c>
      <c r="S109" s="7">
        <f t="shared" si="3"/>
        <v>1145975</v>
      </c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35">
      <c r="A110" s="4" t="s">
        <v>129</v>
      </c>
      <c r="B110" s="4" t="s">
        <v>19</v>
      </c>
      <c r="C110" s="4" t="s">
        <v>20</v>
      </c>
      <c r="D110" s="4">
        <v>10</v>
      </c>
      <c r="E110" s="4">
        <v>1000</v>
      </c>
      <c r="F110" s="4">
        <v>935</v>
      </c>
      <c r="G110" s="4">
        <v>1050</v>
      </c>
      <c r="H110" s="4">
        <v>0</v>
      </c>
      <c r="I110" s="4">
        <v>0</v>
      </c>
      <c r="J110" s="4">
        <v>900</v>
      </c>
      <c r="K110" s="4">
        <v>0</v>
      </c>
      <c r="L110" s="4">
        <f t="shared" si="0"/>
        <v>1085</v>
      </c>
      <c r="M110" s="4">
        <v>799.66666666666708</v>
      </c>
      <c r="N110" s="4">
        <v>26</v>
      </c>
      <c r="O110" s="5">
        <f t="shared" si="12"/>
        <v>23.101481481481493</v>
      </c>
      <c r="P110" s="4"/>
      <c r="Q110" s="6">
        <v>2205</v>
      </c>
      <c r="R110" s="7">
        <f t="shared" si="2"/>
        <v>1984500</v>
      </c>
      <c r="S110" s="7">
        <f t="shared" si="3"/>
        <v>1763265.0000000009</v>
      </c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35">
      <c r="A111" s="4" t="s">
        <v>130</v>
      </c>
      <c r="B111" s="4" t="s">
        <v>19</v>
      </c>
      <c r="C111" s="4" t="s">
        <v>20</v>
      </c>
      <c r="D111" s="4">
        <v>10</v>
      </c>
      <c r="E111" s="4">
        <v>1000</v>
      </c>
      <c r="F111" s="4">
        <v>2304</v>
      </c>
      <c r="G111" s="4">
        <v>5704</v>
      </c>
      <c r="H111" s="4">
        <v>0</v>
      </c>
      <c r="I111" s="4">
        <v>0</v>
      </c>
      <c r="J111" s="4">
        <v>4192</v>
      </c>
      <c r="K111" s="4">
        <v>0</v>
      </c>
      <c r="L111" s="4">
        <f t="shared" si="0"/>
        <v>3816</v>
      </c>
      <c r="M111" s="4">
        <v>3063.2000000000003</v>
      </c>
      <c r="N111" s="4">
        <v>26</v>
      </c>
      <c r="O111" s="5">
        <f t="shared" si="12"/>
        <v>18.998854961832063</v>
      </c>
      <c r="P111" s="4"/>
      <c r="Q111" s="6">
        <v>2503</v>
      </c>
      <c r="R111" s="7">
        <f t="shared" si="2"/>
        <v>10492576</v>
      </c>
      <c r="S111" s="7">
        <f t="shared" si="3"/>
        <v>7667189.6000000006</v>
      </c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35">
      <c r="A112" s="4" t="s">
        <v>131</v>
      </c>
      <c r="B112" s="4" t="s">
        <v>19</v>
      </c>
      <c r="C112" s="4" t="s">
        <v>20</v>
      </c>
      <c r="D112" s="4">
        <v>10</v>
      </c>
      <c r="E112" s="4">
        <v>1000</v>
      </c>
      <c r="F112" s="4">
        <v>1125</v>
      </c>
      <c r="G112" s="4">
        <v>6300</v>
      </c>
      <c r="H112" s="4">
        <v>0</v>
      </c>
      <c r="I112" s="4">
        <v>0</v>
      </c>
      <c r="J112" s="4">
        <v>4800</v>
      </c>
      <c r="K112" s="4">
        <v>0</v>
      </c>
      <c r="L112" s="4">
        <f t="shared" si="0"/>
        <v>2625</v>
      </c>
      <c r="M112" s="4">
        <v>2435</v>
      </c>
      <c r="N112" s="4">
        <v>26</v>
      </c>
      <c r="O112" s="5">
        <f t="shared" si="12"/>
        <v>13.189583333333335</v>
      </c>
      <c r="P112" s="4"/>
      <c r="Q112" s="6">
        <v>2355</v>
      </c>
      <c r="R112" s="7">
        <f t="shared" si="2"/>
        <v>11304000</v>
      </c>
      <c r="S112" s="7">
        <f t="shared" si="3"/>
        <v>5734425</v>
      </c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35">
      <c r="A113" s="4" t="s">
        <v>132</v>
      </c>
      <c r="B113" s="4" t="s">
        <v>19</v>
      </c>
      <c r="C113" s="4" t="s">
        <v>20</v>
      </c>
      <c r="D113" s="4">
        <v>10</v>
      </c>
      <c r="E113" s="4">
        <v>1000</v>
      </c>
      <c r="F113" s="4">
        <v>2105</v>
      </c>
      <c r="G113" s="4">
        <v>4075</v>
      </c>
      <c r="H113" s="4">
        <v>0</v>
      </c>
      <c r="I113" s="4">
        <v>0</v>
      </c>
      <c r="J113" s="4">
        <v>3615</v>
      </c>
      <c r="K113" s="4">
        <v>0</v>
      </c>
      <c r="L113" s="4">
        <f t="shared" si="0"/>
        <v>2565</v>
      </c>
      <c r="M113" s="4">
        <v>2333.75</v>
      </c>
      <c r="N113" s="4">
        <v>26</v>
      </c>
      <c r="O113" s="5">
        <f t="shared" si="12"/>
        <v>16.784923928077458</v>
      </c>
      <c r="P113" s="4"/>
      <c r="Q113" s="6">
        <v>2216</v>
      </c>
      <c r="R113" s="7">
        <f t="shared" si="2"/>
        <v>8010840</v>
      </c>
      <c r="S113" s="7">
        <f t="shared" si="3"/>
        <v>5171590</v>
      </c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35">
      <c r="A114" s="4" t="s">
        <v>133</v>
      </c>
      <c r="B114" s="4" t="s">
        <v>19</v>
      </c>
      <c r="C114" s="4" t="s">
        <v>20</v>
      </c>
      <c r="D114" s="4">
        <v>10</v>
      </c>
      <c r="E114" s="4">
        <v>1000</v>
      </c>
      <c r="F114" s="4">
        <v>4093</v>
      </c>
      <c r="G114" s="4">
        <v>0</v>
      </c>
      <c r="H114" s="4">
        <v>0</v>
      </c>
      <c r="I114" s="4">
        <v>0</v>
      </c>
      <c r="J114" s="4">
        <v>900</v>
      </c>
      <c r="K114" s="4">
        <v>0</v>
      </c>
      <c r="L114" s="4">
        <f t="shared" si="0"/>
        <v>3193</v>
      </c>
      <c r="M114" s="4">
        <v>3193</v>
      </c>
      <c r="N114" s="4">
        <v>26</v>
      </c>
      <c r="O114" s="5">
        <f t="shared" si="12"/>
        <v>92.242222222222225</v>
      </c>
      <c r="P114" s="4"/>
      <c r="Q114" s="6">
        <v>1968</v>
      </c>
      <c r="R114" s="7">
        <f t="shared" si="2"/>
        <v>1771200</v>
      </c>
      <c r="S114" s="7">
        <f t="shared" si="3"/>
        <v>6283824</v>
      </c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35">
      <c r="A115" s="4" t="s">
        <v>134</v>
      </c>
      <c r="B115" s="4" t="s">
        <v>19</v>
      </c>
      <c r="C115" s="4" t="s">
        <v>20</v>
      </c>
      <c r="D115" s="4">
        <v>10</v>
      </c>
      <c r="E115" s="4">
        <v>1000</v>
      </c>
      <c r="F115" s="4">
        <v>3950</v>
      </c>
      <c r="G115" s="4">
        <v>0</v>
      </c>
      <c r="H115" s="4">
        <v>0</v>
      </c>
      <c r="I115" s="4">
        <v>0</v>
      </c>
      <c r="J115" s="4">
        <v>950</v>
      </c>
      <c r="K115" s="4">
        <v>0</v>
      </c>
      <c r="L115" s="4">
        <f t="shared" si="0"/>
        <v>3000</v>
      </c>
      <c r="M115" s="4">
        <v>3275</v>
      </c>
      <c r="N115" s="4">
        <v>26</v>
      </c>
      <c r="O115" s="5">
        <f t="shared" si="12"/>
        <v>89.631578947368411</v>
      </c>
      <c r="P115" s="4"/>
      <c r="Q115" s="6">
        <v>2297</v>
      </c>
      <c r="R115" s="7">
        <f t="shared" si="2"/>
        <v>2182150</v>
      </c>
      <c r="S115" s="7">
        <f t="shared" si="3"/>
        <v>7522675</v>
      </c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35">
      <c r="A116" s="4" t="s">
        <v>135</v>
      </c>
      <c r="B116" s="4" t="s">
        <v>19</v>
      </c>
      <c r="C116" s="4" t="s">
        <v>20</v>
      </c>
      <c r="D116" s="4">
        <v>10</v>
      </c>
      <c r="E116" s="4">
        <v>1000</v>
      </c>
      <c r="F116" s="4">
        <v>325</v>
      </c>
      <c r="G116" s="4">
        <v>0</v>
      </c>
      <c r="H116" s="4">
        <v>0</v>
      </c>
      <c r="I116" s="4">
        <v>0</v>
      </c>
      <c r="J116" s="4">
        <v>150</v>
      </c>
      <c r="K116" s="4">
        <v>0</v>
      </c>
      <c r="L116" s="4">
        <f t="shared" si="0"/>
        <v>175</v>
      </c>
      <c r="M116" s="4">
        <v>212.5</v>
      </c>
      <c r="N116" s="4">
        <v>26</v>
      </c>
      <c r="O116" s="5">
        <f t="shared" si="12"/>
        <v>36.833333333333336</v>
      </c>
      <c r="P116" s="4"/>
      <c r="Q116" s="6">
        <v>2616</v>
      </c>
      <c r="R116" s="7">
        <f t="shared" si="2"/>
        <v>392400</v>
      </c>
      <c r="S116" s="7">
        <f t="shared" si="3"/>
        <v>555900</v>
      </c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35">
      <c r="A117" s="4" t="s">
        <v>136</v>
      </c>
      <c r="B117" s="4" t="s">
        <v>19</v>
      </c>
      <c r="C117" s="4" t="s">
        <v>20</v>
      </c>
      <c r="D117" s="4">
        <v>10</v>
      </c>
      <c r="E117" s="4">
        <v>1000</v>
      </c>
      <c r="F117" s="4">
        <v>1325</v>
      </c>
      <c r="G117" s="4">
        <v>5900</v>
      </c>
      <c r="H117" s="4">
        <v>0</v>
      </c>
      <c r="I117" s="4">
        <v>0</v>
      </c>
      <c r="J117" s="4">
        <v>4325</v>
      </c>
      <c r="K117" s="4">
        <v>0</v>
      </c>
      <c r="L117" s="4">
        <f t="shared" si="0"/>
        <v>2900</v>
      </c>
      <c r="M117" s="4">
        <v>3540</v>
      </c>
      <c r="N117" s="4">
        <v>26</v>
      </c>
      <c r="O117" s="5">
        <f t="shared" si="12"/>
        <v>21.280924855491332</v>
      </c>
      <c r="P117" s="4"/>
      <c r="Q117" s="6">
        <v>1419</v>
      </c>
      <c r="R117" s="7">
        <f t="shared" si="2"/>
        <v>6137175</v>
      </c>
      <c r="S117" s="7">
        <f t="shared" si="3"/>
        <v>5023260</v>
      </c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35">
      <c r="A118" s="4" t="s">
        <v>137</v>
      </c>
      <c r="B118" s="4" t="s">
        <v>19</v>
      </c>
      <c r="C118" s="4" t="s">
        <v>20</v>
      </c>
      <c r="D118" s="4">
        <v>10</v>
      </c>
      <c r="E118" s="4">
        <v>1000</v>
      </c>
      <c r="F118" s="4">
        <v>800</v>
      </c>
      <c r="G118" s="4">
        <v>1571</v>
      </c>
      <c r="H118" s="4">
        <v>0</v>
      </c>
      <c r="I118" s="4">
        <v>0</v>
      </c>
      <c r="J118" s="4">
        <v>1575</v>
      </c>
      <c r="K118" s="4">
        <v>0</v>
      </c>
      <c r="L118" s="4">
        <f t="shared" si="0"/>
        <v>796</v>
      </c>
      <c r="M118" s="4">
        <v>10.5</v>
      </c>
      <c r="N118" s="4">
        <v>26</v>
      </c>
      <c r="O118" s="5">
        <f t="shared" si="12"/>
        <v>0.17333333333333334</v>
      </c>
      <c r="P118" s="4"/>
      <c r="Q118" s="6">
        <v>2355</v>
      </c>
      <c r="R118" s="7">
        <f t="shared" si="2"/>
        <v>3709125</v>
      </c>
      <c r="S118" s="7">
        <f t="shared" si="3"/>
        <v>24727.5</v>
      </c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35">
      <c r="A119" s="4" t="s">
        <v>138</v>
      </c>
      <c r="B119" s="4" t="s">
        <v>19</v>
      </c>
      <c r="C119" s="4" t="s">
        <v>20</v>
      </c>
      <c r="D119" s="4">
        <v>10</v>
      </c>
      <c r="E119" s="4">
        <v>1000</v>
      </c>
      <c r="F119" s="4">
        <v>1150</v>
      </c>
      <c r="G119" s="4">
        <v>1750</v>
      </c>
      <c r="H119" s="4">
        <v>0</v>
      </c>
      <c r="I119" s="4">
        <v>0</v>
      </c>
      <c r="J119" s="4">
        <v>0</v>
      </c>
      <c r="K119" s="4">
        <v>0</v>
      </c>
      <c r="L119" s="4">
        <f t="shared" si="0"/>
        <v>2900</v>
      </c>
      <c r="M119" s="4">
        <v>2900</v>
      </c>
      <c r="N119" s="4">
        <v>26</v>
      </c>
      <c r="O119" s="5">
        <v>0</v>
      </c>
      <c r="P119" s="4"/>
      <c r="Q119" s="6">
        <v>2372</v>
      </c>
      <c r="R119" s="7">
        <f t="shared" si="2"/>
        <v>0</v>
      </c>
      <c r="S119" s="7">
        <f t="shared" si="3"/>
        <v>6878800</v>
      </c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35">
      <c r="A120" s="4" t="s">
        <v>139</v>
      </c>
      <c r="B120" s="4" t="s">
        <v>19</v>
      </c>
      <c r="C120" s="4" t="s">
        <v>20</v>
      </c>
      <c r="D120" s="4">
        <v>10</v>
      </c>
      <c r="E120" s="4">
        <v>1000</v>
      </c>
      <c r="F120" s="4">
        <v>750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f t="shared" si="0"/>
        <v>750</v>
      </c>
      <c r="M120" s="4">
        <v>0</v>
      </c>
      <c r="N120" s="4">
        <v>26</v>
      </c>
      <c r="O120" s="5">
        <v>0</v>
      </c>
      <c r="P120" s="4"/>
      <c r="Q120" s="6">
        <v>3482</v>
      </c>
      <c r="R120" s="7">
        <f t="shared" si="2"/>
        <v>0</v>
      </c>
      <c r="S120" s="7">
        <f t="shared" si="3"/>
        <v>0</v>
      </c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35">
      <c r="A121" s="4" t="s">
        <v>140</v>
      </c>
      <c r="B121" s="4" t="s">
        <v>19</v>
      </c>
      <c r="C121" s="4" t="s">
        <v>20</v>
      </c>
      <c r="D121" s="4">
        <v>10</v>
      </c>
      <c r="E121" s="4">
        <v>1000</v>
      </c>
      <c r="F121" s="4">
        <v>700</v>
      </c>
      <c r="G121" s="4">
        <v>1050</v>
      </c>
      <c r="H121" s="4">
        <v>0</v>
      </c>
      <c r="I121" s="4">
        <v>0</v>
      </c>
      <c r="J121" s="4">
        <v>625</v>
      </c>
      <c r="K121" s="4">
        <v>0</v>
      </c>
      <c r="L121" s="4">
        <f t="shared" si="0"/>
        <v>1125</v>
      </c>
      <c r="M121" s="4">
        <v>1375</v>
      </c>
      <c r="N121" s="4">
        <v>26</v>
      </c>
      <c r="O121" s="5">
        <f t="shared" ref="O121:O146" si="13">(M121/(J121+K121))*N121</f>
        <v>57.2</v>
      </c>
      <c r="P121" s="4"/>
      <c r="Q121" s="6">
        <v>2555</v>
      </c>
      <c r="R121" s="7">
        <f t="shared" si="2"/>
        <v>1596875</v>
      </c>
      <c r="S121" s="7">
        <f t="shared" si="3"/>
        <v>3513125</v>
      </c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35">
      <c r="A122" s="4" t="s">
        <v>141</v>
      </c>
      <c r="B122" s="4" t="s">
        <v>19</v>
      </c>
      <c r="C122" s="4" t="s">
        <v>20</v>
      </c>
      <c r="D122" s="4">
        <v>10</v>
      </c>
      <c r="E122" s="4">
        <v>1000</v>
      </c>
      <c r="F122" s="4">
        <v>1250</v>
      </c>
      <c r="G122" s="4">
        <v>1050</v>
      </c>
      <c r="H122" s="4">
        <v>0</v>
      </c>
      <c r="I122" s="4">
        <v>0</v>
      </c>
      <c r="J122" s="4">
        <v>1250</v>
      </c>
      <c r="K122" s="4">
        <v>0</v>
      </c>
      <c r="L122" s="4">
        <f t="shared" si="0"/>
        <v>1050</v>
      </c>
      <c r="M122" s="4">
        <v>1012.5</v>
      </c>
      <c r="N122" s="4">
        <v>26</v>
      </c>
      <c r="O122" s="5">
        <f t="shared" si="13"/>
        <v>21.060000000000002</v>
      </c>
      <c r="P122" s="4"/>
      <c r="Q122" s="6">
        <v>3665</v>
      </c>
      <c r="R122" s="7">
        <f t="shared" si="2"/>
        <v>4581250</v>
      </c>
      <c r="S122" s="7">
        <f t="shared" si="3"/>
        <v>3710812.5</v>
      </c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35">
      <c r="A123" s="4" t="s">
        <v>142</v>
      </c>
      <c r="B123" s="4" t="s">
        <v>19</v>
      </c>
      <c r="C123" s="4" t="s">
        <v>20</v>
      </c>
      <c r="D123" s="4">
        <v>10</v>
      </c>
      <c r="E123" s="4">
        <v>1000</v>
      </c>
      <c r="F123" s="4">
        <v>0</v>
      </c>
      <c r="G123" s="4">
        <v>3064</v>
      </c>
      <c r="H123" s="4">
        <v>0</v>
      </c>
      <c r="I123" s="4">
        <v>0</v>
      </c>
      <c r="J123" s="4">
        <v>1389</v>
      </c>
      <c r="K123" s="4">
        <v>0</v>
      </c>
      <c r="L123" s="4">
        <f t="shared" si="0"/>
        <v>1675</v>
      </c>
      <c r="M123" s="4">
        <v>1781.2</v>
      </c>
      <c r="N123" s="4">
        <v>26</v>
      </c>
      <c r="O123" s="5">
        <f t="shared" si="13"/>
        <v>33.341396688264943</v>
      </c>
      <c r="P123" s="4"/>
      <c r="Q123" s="6">
        <v>1904</v>
      </c>
      <c r="R123" s="7">
        <f t="shared" si="2"/>
        <v>2644656</v>
      </c>
      <c r="S123" s="7">
        <f t="shared" si="3"/>
        <v>3391404.8000000003</v>
      </c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35">
      <c r="A124" s="4" t="s">
        <v>143</v>
      </c>
      <c r="B124" s="4" t="s">
        <v>19</v>
      </c>
      <c r="C124" s="4" t="s">
        <v>20</v>
      </c>
      <c r="D124" s="4">
        <v>10</v>
      </c>
      <c r="E124" s="4">
        <v>1000</v>
      </c>
      <c r="F124" s="4">
        <v>1000</v>
      </c>
      <c r="G124" s="4">
        <v>2275</v>
      </c>
      <c r="H124" s="4">
        <v>0</v>
      </c>
      <c r="I124" s="4">
        <v>0</v>
      </c>
      <c r="J124" s="4">
        <v>2375</v>
      </c>
      <c r="K124" s="4">
        <v>0</v>
      </c>
      <c r="L124" s="4">
        <f t="shared" si="0"/>
        <v>900</v>
      </c>
      <c r="M124" s="4">
        <v>1543.75</v>
      </c>
      <c r="N124" s="4">
        <v>26</v>
      </c>
      <c r="O124" s="5">
        <f t="shared" si="13"/>
        <v>16.900000000000002</v>
      </c>
      <c r="P124" s="4"/>
      <c r="Q124" s="6">
        <v>994</v>
      </c>
      <c r="R124" s="7">
        <f t="shared" si="2"/>
        <v>2360750</v>
      </c>
      <c r="S124" s="7">
        <f t="shared" si="3"/>
        <v>1534487.5</v>
      </c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35">
      <c r="A125" s="4" t="s">
        <v>144</v>
      </c>
      <c r="B125" s="4" t="s">
        <v>19</v>
      </c>
      <c r="C125" s="4" t="s">
        <v>20</v>
      </c>
      <c r="D125" s="4">
        <v>10</v>
      </c>
      <c r="E125" s="4">
        <v>1000</v>
      </c>
      <c r="F125" s="4">
        <v>1925</v>
      </c>
      <c r="G125" s="4">
        <v>3075</v>
      </c>
      <c r="H125" s="4">
        <v>0</v>
      </c>
      <c r="I125" s="4">
        <v>0</v>
      </c>
      <c r="J125" s="4">
        <v>3500</v>
      </c>
      <c r="K125" s="4">
        <v>0</v>
      </c>
      <c r="L125" s="4">
        <f t="shared" si="0"/>
        <v>1500</v>
      </c>
      <c r="M125" s="4">
        <v>1955</v>
      </c>
      <c r="N125" s="4">
        <v>26</v>
      </c>
      <c r="O125" s="5">
        <f t="shared" si="13"/>
        <v>14.522857142857143</v>
      </c>
      <c r="P125" s="4"/>
      <c r="Q125" s="6">
        <v>994</v>
      </c>
      <c r="R125" s="7">
        <f t="shared" si="2"/>
        <v>3479000</v>
      </c>
      <c r="S125" s="7">
        <f t="shared" si="3"/>
        <v>1943270</v>
      </c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35">
      <c r="A126" s="4" t="s">
        <v>145</v>
      </c>
      <c r="B126" s="4" t="s">
        <v>19</v>
      </c>
      <c r="C126" s="4" t="s">
        <v>20</v>
      </c>
      <c r="D126" s="4">
        <v>10</v>
      </c>
      <c r="E126" s="4">
        <v>1000</v>
      </c>
      <c r="F126" s="4">
        <v>1420</v>
      </c>
      <c r="G126" s="4">
        <v>1020</v>
      </c>
      <c r="H126" s="4">
        <v>0</v>
      </c>
      <c r="I126" s="4">
        <v>0</v>
      </c>
      <c r="J126" s="4">
        <v>400</v>
      </c>
      <c r="K126" s="4">
        <v>0</v>
      </c>
      <c r="L126" s="4">
        <f t="shared" si="0"/>
        <v>2040</v>
      </c>
      <c r="M126" s="4">
        <v>1530</v>
      </c>
      <c r="N126" s="4">
        <v>26</v>
      </c>
      <c r="O126" s="5">
        <f t="shared" si="13"/>
        <v>99.45</v>
      </c>
      <c r="P126" s="4"/>
      <c r="Q126" s="6">
        <v>3489</v>
      </c>
      <c r="R126" s="7">
        <f t="shared" si="2"/>
        <v>1395600</v>
      </c>
      <c r="S126" s="7">
        <f t="shared" si="3"/>
        <v>5338170</v>
      </c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35">
      <c r="A127" s="4" t="s">
        <v>146</v>
      </c>
      <c r="B127" s="4" t="s">
        <v>19</v>
      </c>
      <c r="C127" s="4" t="s">
        <v>20</v>
      </c>
      <c r="D127" s="4">
        <v>10</v>
      </c>
      <c r="E127" s="4">
        <v>1000</v>
      </c>
      <c r="F127" s="4">
        <v>3650</v>
      </c>
      <c r="G127" s="4">
        <v>1031</v>
      </c>
      <c r="H127" s="4">
        <v>0</v>
      </c>
      <c r="I127" s="4">
        <v>0</v>
      </c>
      <c r="J127" s="4">
        <v>4681</v>
      </c>
      <c r="K127" s="4">
        <v>0</v>
      </c>
      <c r="L127" s="4">
        <f t="shared" si="0"/>
        <v>0</v>
      </c>
      <c r="M127" s="4">
        <v>2024.42857142857</v>
      </c>
      <c r="N127" s="4">
        <v>26</v>
      </c>
      <c r="O127" s="5">
        <f t="shared" si="13"/>
        <v>11.244422742393255</v>
      </c>
      <c r="P127" s="4"/>
      <c r="Q127" s="6">
        <v>6112</v>
      </c>
      <c r="R127" s="7">
        <f t="shared" si="2"/>
        <v>28610272</v>
      </c>
      <c r="S127" s="7">
        <f t="shared" si="3"/>
        <v>12373307.42857142</v>
      </c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35">
      <c r="A128" s="4" t="s">
        <v>147</v>
      </c>
      <c r="B128" s="4" t="s">
        <v>19</v>
      </c>
      <c r="C128" s="4" t="s">
        <v>20</v>
      </c>
      <c r="D128" s="4">
        <v>10</v>
      </c>
      <c r="E128" s="4">
        <v>1000</v>
      </c>
      <c r="F128" s="4">
        <v>0</v>
      </c>
      <c r="G128" s="4">
        <v>7539</v>
      </c>
      <c r="H128" s="4">
        <v>0</v>
      </c>
      <c r="I128" s="4">
        <v>0</v>
      </c>
      <c r="J128" s="4">
        <v>6714</v>
      </c>
      <c r="K128" s="4">
        <v>0</v>
      </c>
      <c r="L128" s="4">
        <f t="shared" si="0"/>
        <v>825</v>
      </c>
      <c r="M128" s="4">
        <v>4691</v>
      </c>
      <c r="N128" s="4">
        <v>26</v>
      </c>
      <c r="O128" s="5">
        <f t="shared" si="13"/>
        <v>18.165921954125707</v>
      </c>
      <c r="P128" s="4"/>
      <c r="Q128" s="6">
        <v>6112</v>
      </c>
      <c r="R128" s="7">
        <f t="shared" si="2"/>
        <v>41035968</v>
      </c>
      <c r="S128" s="7">
        <f t="shared" si="3"/>
        <v>28671392</v>
      </c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35">
      <c r="A129" s="4" t="s">
        <v>148</v>
      </c>
      <c r="B129" s="4" t="s">
        <v>19</v>
      </c>
      <c r="C129" s="4" t="s">
        <v>20</v>
      </c>
      <c r="D129" s="4">
        <v>10</v>
      </c>
      <c r="E129" s="4">
        <v>1000</v>
      </c>
      <c r="F129" s="4">
        <v>1522</v>
      </c>
      <c r="G129" s="4">
        <v>1000</v>
      </c>
      <c r="H129" s="4">
        <v>0</v>
      </c>
      <c r="I129" s="4">
        <v>0</v>
      </c>
      <c r="J129" s="4">
        <v>325</v>
      </c>
      <c r="K129" s="4">
        <v>0</v>
      </c>
      <c r="L129" s="4">
        <f t="shared" si="0"/>
        <v>2197</v>
      </c>
      <c r="M129" s="4">
        <v>2187</v>
      </c>
      <c r="N129" s="4">
        <v>26</v>
      </c>
      <c r="O129" s="5">
        <f t="shared" si="13"/>
        <v>174.96</v>
      </c>
      <c r="P129" s="4"/>
      <c r="Q129" s="6">
        <v>2392</v>
      </c>
      <c r="R129" s="7">
        <f t="shared" si="2"/>
        <v>777400</v>
      </c>
      <c r="S129" s="7">
        <f t="shared" si="3"/>
        <v>5231304</v>
      </c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35">
      <c r="A130" s="4" t="s">
        <v>149</v>
      </c>
      <c r="B130" s="4" t="s">
        <v>19</v>
      </c>
      <c r="C130" s="4" t="s">
        <v>20</v>
      </c>
      <c r="D130" s="4">
        <v>10</v>
      </c>
      <c r="E130" s="4">
        <v>1000</v>
      </c>
      <c r="F130" s="4">
        <v>320</v>
      </c>
      <c r="G130" s="4">
        <v>1024</v>
      </c>
      <c r="H130" s="4">
        <v>0</v>
      </c>
      <c r="I130" s="4">
        <v>0</v>
      </c>
      <c r="J130" s="4">
        <v>545</v>
      </c>
      <c r="K130" s="4">
        <v>0</v>
      </c>
      <c r="L130" s="4">
        <f t="shared" si="0"/>
        <v>799</v>
      </c>
      <c r="M130" s="4">
        <v>1022.75</v>
      </c>
      <c r="N130" s="4">
        <v>26</v>
      </c>
      <c r="O130" s="5">
        <f t="shared" si="13"/>
        <v>48.791743119266052</v>
      </c>
      <c r="P130" s="4"/>
      <c r="Q130" s="6">
        <v>2651</v>
      </c>
      <c r="R130" s="7">
        <f t="shared" si="2"/>
        <v>1444795</v>
      </c>
      <c r="S130" s="7">
        <f t="shared" si="3"/>
        <v>2711310.25</v>
      </c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35">
      <c r="A131" s="4" t="s">
        <v>150</v>
      </c>
      <c r="B131" s="4" t="s">
        <v>19</v>
      </c>
      <c r="C131" s="4" t="s">
        <v>20</v>
      </c>
      <c r="D131" s="4">
        <v>10</v>
      </c>
      <c r="E131" s="4">
        <v>1000</v>
      </c>
      <c r="F131" s="4">
        <v>1946</v>
      </c>
      <c r="G131" s="4">
        <v>0</v>
      </c>
      <c r="H131" s="4">
        <v>0</v>
      </c>
      <c r="I131" s="4">
        <v>0</v>
      </c>
      <c r="J131" s="4">
        <v>380</v>
      </c>
      <c r="K131" s="4">
        <v>0</v>
      </c>
      <c r="L131" s="4">
        <f t="shared" si="0"/>
        <v>1566</v>
      </c>
      <c r="M131" s="4">
        <v>1719.3333333333301</v>
      </c>
      <c r="N131" s="4">
        <v>26</v>
      </c>
      <c r="O131" s="5">
        <f t="shared" si="13"/>
        <v>117.63859649122786</v>
      </c>
      <c r="P131" s="4"/>
      <c r="Q131" s="6">
        <v>4343</v>
      </c>
      <c r="R131" s="7">
        <f t="shared" si="2"/>
        <v>1650340</v>
      </c>
      <c r="S131" s="7">
        <f t="shared" si="3"/>
        <v>7467064.6666666521</v>
      </c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35">
      <c r="A132" s="4" t="s">
        <v>151</v>
      </c>
      <c r="B132" s="4" t="s">
        <v>19</v>
      </c>
      <c r="C132" s="4" t="s">
        <v>20</v>
      </c>
      <c r="D132" s="4">
        <v>10</v>
      </c>
      <c r="E132" s="4">
        <v>1000</v>
      </c>
      <c r="F132" s="4">
        <v>1500</v>
      </c>
      <c r="G132" s="4">
        <v>1021</v>
      </c>
      <c r="H132" s="4">
        <v>0</v>
      </c>
      <c r="I132" s="4">
        <v>0</v>
      </c>
      <c r="J132" s="4">
        <v>734</v>
      </c>
      <c r="K132" s="4">
        <v>0</v>
      </c>
      <c r="L132" s="4">
        <f t="shared" si="0"/>
        <v>1787</v>
      </c>
      <c r="M132" s="4">
        <v>1188.8</v>
      </c>
      <c r="N132" s="4">
        <v>26</v>
      </c>
      <c r="O132" s="5">
        <f t="shared" si="13"/>
        <v>42.110081743869209</v>
      </c>
      <c r="P132" s="4"/>
      <c r="Q132" s="6">
        <v>2970</v>
      </c>
      <c r="R132" s="7">
        <f t="shared" si="2"/>
        <v>2179980</v>
      </c>
      <c r="S132" s="7">
        <f t="shared" si="3"/>
        <v>3530736</v>
      </c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35">
      <c r="A133" s="4" t="s">
        <v>152</v>
      </c>
      <c r="B133" s="4" t="s">
        <v>19</v>
      </c>
      <c r="C133" s="4" t="s">
        <v>20</v>
      </c>
      <c r="D133" s="4">
        <v>10</v>
      </c>
      <c r="E133" s="4">
        <v>1000</v>
      </c>
      <c r="F133" s="4">
        <v>2950</v>
      </c>
      <c r="G133" s="4">
        <v>0</v>
      </c>
      <c r="H133" s="4">
        <v>0</v>
      </c>
      <c r="I133" s="4">
        <v>0</v>
      </c>
      <c r="J133" s="4">
        <v>1116</v>
      </c>
      <c r="K133" s="4">
        <v>0</v>
      </c>
      <c r="L133" s="4">
        <f t="shared" si="0"/>
        <v>1834</v>
      </c>
      <c r="M133" s="4">
        <v>2331.1428571428601</v>
      </c>
      <c r="N133" s="4">
        <v>26</v>
      </c>
      <c r="O133" s="5">
        <f t="shared" si="13"/>
        <v>54.309779825908926</v>
      </c>
      <c r="P133" s="4"/>
      <c r="Q133" s="6">
        <v>2970</v>
      </c>
      <c r="R133" s="7">
        <f t="shared" si="2"/>
        <v>3314520</v>
      </c>
      <c r="S133" s="7">
        <f t="shared" si="3"/>
        <v>6923494.2857142948</v>
      </c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35">
      <c r="A134" s="4" t="s">
        <v>153</v>
      </c>
      <c r="B134" s="4" t="s">
        <v>19</v>
      </c>
      <c r="C134" s="4" t="s">
        <v>20</v>
      </c>
      <c r="D134" s="4">
        <v>10</v>
      </c>
      <c r="E134" s="4">
        <v>1000</v>
      </c>
      <c r="F134" s="4">
        <v>1300</v>
      </c>
      <c r="G134" s="4">
        <v>0</v>
      </c>
      <c r="H134" s="4">
        <v>0</v>
      </c>
      <c r="I134" s="4">
        <v>0</v>
      </c>
      <c r="J134" s="4">
        <v>70</v>
      </c>
      <c r="K134" s="4">
        <v>0</v>
      </c>
      <c r="L134" s="4">
        <f t="shared" si="0"/>
        <v>1230</v>
      </c>
      <c r="M134" s="4">
        <v>1230</v>
      </c>
      <c r="N134" s="4">
        <v>26</v>
      </c>
      <c r="O134" s="5">
        <f t="shared" si="13"/>
        <v>456.85714285714289</v>
      </c>
      <c r="P134" s="4"/>
      <c r="Q134" s="6">
        <v>2607</v>
      </c>
      <c r="R134" s="7">
        <f t="shared" si="2"/>
        <v>182490</v>
      </c>
      <c r="S134" s="7">
        <f t="shared" si="3"/>
        <v>3206610</v>
      </c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35">
      <c r="A135" s="4" t="s">
        <v>154</v>
      </c>
      <c r="B135" s="4" t="s">
        <v>19</v>
      </c>
      <c r="C135" s="4" t="s">
        <v>20</v>
      </c>
      <c r="D135" s="4">
        <v>10</v>
      </c>
      <c r="E135" s="4">
        <v>1000</v>
      </c>
      <c r="F135" s="4">
        <v>1225</v>
      </c>
      <c r="G135" s="4">
        <v>4250</v>
      </c>
      <c r="H135" s="4">
        <v>0</v>
      </c>
      <c r="I135" s="4">
        <v>0</v>
      </c>
      <c r="J135" s="4">
        <v>1925</v>
      </c>
      <c r="K135" s="4">
        <v>0</v>
      </c>
      <c r="L135" s="4">
        <f t="shared" si="0"/>
        <v>3550</v>
      </c>
      <c r="M135" s="4">
        <v>1367.8571428571402</v>
      </c>
      <c r="N135" s="4">
        <v>26</v>
      </c>
      <c r="O135" s="5">
        <f t="shared" si="13"/>
        <v>18.474953617810726</v>
      </c>
      <c r="P135" s="4"/>
      <c r="Q135" s="6">
        <v>1928</v>
      </c>
      <c r="R135" s="7">
        <f t="shared" si="2"/>
        <v>3711400</v>
      </c>
      <c r="S135" s="7">
        <f t="shared" si="3"/>
        <v>2637228.5714285662</v>
      </c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35">
      <c r="A136" s="4" t="s">
        <v>155</v>
      </c>
      <c r="B136" s="4" t="s">
        <v>19</v>
      </c>
      <c r="C136" s="4" t="s">
        <v>20</v>
      </c>
      <c r="D136" s="4">
        <v>10</v>
      </c>
      <c r="E136" s="4">
        <v>1000</v>
      </c>
      <c r="F136" s="4">
        <v>0</v>
      </c>
      <c r="G136" s="4">
        <v>15000</v>
      </c>
      <c r="H136" s="4">
        <v>0</v>
      </c>
      <c r="I136" s="4">
        <v>0</v>
      </c>
      <c r="J136" s="4">
        <v>8750</v>
      </c>
      <c r="K136" s="4">
        <v>75</v>
      </c>
      <c r="L136" s="4">
        <f t="shared" si="0"/>
        <v>6175</v>
      </c>
      <c r="M136" s="4">
        <v>10579.166666666701</v>
      </c>
      <c r="N136" s="4">
        <v>26</v>
      </c>
      <c r="O136" s="5">
        <f t="shared" si="13"/>
        <v>31.168083097261668</v>
      </c>
      <c r="P136" s="4"/>
      <c r="Q136" s="6">
        <v>2129</v>
      </c>
      <c r="R136" s="7">
        <f t="shared" si="2"/>
        <v>18788425</v>
      </c>
      <c r="S136" s="7">
        <f t="shared" si="3"/>
        <v>22523045.833333407</v>
      </c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35">
      <c r="A137" s="4" t="s">
        <v>156</v>
      </c>
      <c r="B137" s="4" t="s">
        <v>19</v>
      </c>
      <c r="C137" s="4" t="s">
        <v>20</v>
      </c>
      <c r="D137" s="4">
        <v>10</v>
      </c>
      <c r="E137" s="4">
        <v>1000</v>
      </c>
      <c r="F137" s="4">
        <v>24132</v>
      </c>
      <c r="G137" s="4">
        <v>29325</v>
      </c>
      <c r="H137" s="4">
        <v>0</v>
      </c>
      <c r="I137" s="4">
        <v>0</v>
      </c>
      <c r="J137" s="4">
        <v>4075</v>
      </c>
      <c r="K137" s="4">
        <v>0</v>
      </c>
      <c r="L137" s="4">
        <f t="shared" si="0"/>
        <v>49382</v>
      </c>
      <c r="M137" s="4">
        <v>41642</v>
      </c>
      <c r="N137" s="4">
        <v>26</v>
      </c>
      <c r="O137" s="5">
        <f t="shared" si="13"/>
        <v>265.69128834355826</v>
      </c>
      <c r="P137" s="4"/>
      <c r="Q137" s="6">
        <v>2177</v>
      </c>
      <c r="R137" s="7">
        <f t="shared" si="2"/>
        <v>8871275</v>
      </c>
      <c r="S137" s="7">
        <f t="shared" si="3"/>
        <v>90654634</v>
      </c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35">
      <c r="A138" s="4" t="s">
        <v>157</v>
      </c>
      <c r="B138" s="4" t="s">
        <v>19</v>
      </c>
      <c r="C138" s="4" t="s">
        <v>20</v>
      </c>
      <c r="D138" s="4">
        <v>10</v>
      </c>
      <c r="E138" s="4">
        <v>1000</v>
      </c>
      <c r="F138" s="4">
        <v>1275</v>
      </c>
      <c r="G138" s="4">
        <v>26000</v>
      </c>
      <c r="H138" s="4">
        <v>0</v>
      </c>
      <c r="I138" s="4">
        <v>0</v>
      </c>
      <c r="J138" s="4">
        <v>22250</v>
      </c>
      <c r="K138" s="4">
        <v>45</v>
      </c>
      <c r="L138" s="4">
        <f t="shared" si="0"/>
        <v>4980</v>
      </c>
      <c r="M138" s="4">
        <v>6200.4545454545505</v>
      </c>
      <c r="N138" s="4">
        <v>26</v>
      </c>
      <c r="O138" s="5">
        <f t="shared" si="13"/>
        <v>7.2308507818711956</v>
      </c>
      <c r="P138" s="4"/>
      <c r="Q138" s="6">
        <v>2177</v>
      </c>
      <c r="R138" s="7">
        <f t="shared" si="2"/>
        <v>48536215</v>
      </c>
      <c r="S138" s="7">
        <f t="shared" si="3"/>
        <v>13498389.545454556</v>
      </c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35">
      <c r="A139" s="4" t="s">
        <v>158</v>
      </c>
      <c r="B139" s="4" t="s">
        <v>19</v>
      </c>
      <c r="C139" s="4" t="s">
        <v>20</v>
      </c>
      <c r="D139" s="4">
        <v>10</v>
      </c>
      <c r="E139" s="4">
        <v>1000</v>
      </c>
      <c r="F139" s="4">
        <v>20520</v>
      </c>
      <c r="G139" s="4">
        <v>5000</v>
      </c>
      <c r="H139" s="4">
        <v>0</v>
      </c>
      <c r="I139" s="4">
        <v>0</v>
      </c>
      <c r="J139" s="4">
        <v>14750</v>
      </c>
      <c r="K139" s="4">
        <v>0</v>
      </c>
      <c r="L139" s="4">
        <f t="shared" si="0"/>
        <v>10770</v>
      </c>
      <c r="M139" s="4">
        <v>13311.666666666701</v>
      </c>
      <c r="N139" s="4">
        <v>26</v>
      </c>
      <c r="O139" s="5">
        <f t="shared" si="13"/>
        <v>23.464632768361643</v>
      </c>
      <c r="P139" s="4"/>
      <c r="Q139" s="6">
        <v>2177</v>
      </c>
      <c r="R139" s="7">
        <f t="shared" si="2"/>
        <v>32110750</v>
      </c>
      <c r="S139" s="7">
        <f t="shared" si="3"/>
        <v>28979498.333333407</v>
      </c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35">
      <c r="A140" s="4" t="s">
        <v>159</v>
      </c>
      <c r="B140" s="4" t="s">
        <v>19</v>
      </c>
      <c r="C140" s="4" t="s">
        <v>20</v>
      </c>
      <c r="D140" s="4">
        <v>10</v>
      </c>
      <c r="E140" s="4">
        <v>1000</v>
      </c>
      <c r="F140" s="4">
        <v>1501</v>
      </c>
      <c r="G140" s="4">
        <v>7733</v>
      </c>
      <c r="H140" s="4">
        <v>0</v>
      </c>
      <c r="I140" s="4">
        <v>0</v>
      </c>
      <c r="J140" s="4">
        <v>8083</v>
      </c>
      <c r="K140" s="4">
        <v>280</v>
      </c>
      <c r="L140" s="4">
        <f t="shared" si="0"/>
        <v>871</v>
      </c>
      <c r="M140" s="4">
        <v>3706.25</v>
      </c>
      <c r="N140" s="4">
        <v>26</v>
      </c>
      <c r="O140" s="5">
        <f t="shared" si="13"/>
        <v>11.522479971302165</v>
      </c>
      <c r="P140" s="4"/>
      <c r="Q140" s="6">
        <v>1948</v>
      </c>
      <c r="R140" s="7">
        <f t="shared" si="2"/>
        <v>16291124</v>
      </c>
      <c r="S140" s="7">
        <f t="shared" si="3"/>
        <v>7219775</v>
      </c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35">
      <c r="A141" s="4" t="s">
        <v>160</v>
      </c>
      <c r="B141" s="4" t="s">
        <v>19</v>
      </c>
      <c r="C141" s="4" t="s">
        <v>20</v>
      </c>
      <c r="D141" s="4">
        <v>10</v>
      </c>
      <c r="E141" s="4">
        <v>1000</v>
      </c>
      <c r="F141" s="4">
        <v>3000</v>
      </c>
      <c r="G141" s="4">
        <v>4075</v>
      </c>
      <c r="H141" s="4">
        <v>0</v>
      </c>
      <c r="I141" s="4">
        <v>0</v>
      </c>
      <c r="J141" s="4">
        <v>5575</v>
      </c>
      <c r="K141" s="4">
        <v>0</v>
      </c>
      <c r="L141" s="4">
        <f t="shared" si="0"/>
        <v>1500</v>
      </c>
      <c r="M141" s="4">
        <v>4440</v>
      </c>
      <c r="N141" s="4">
        <v>26</v>
      </c>
      <c r="O141" s="5">
        <f t="shared" si="13"/>
        <v>20.706726457399103</v>
      </c>
      <c r="P141" s="4"/>
      <c r="Q141" s="6">
        <v>1989</v>
      </c>
      <c r="R141" s="7">
        <f t="shared" si="2"/>
        <v>11088675</v>
      </c>
      <c r="S141" s="7">
        <f t="shared" si="3"/>
        <v>8831160</v>
      </c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35">
      <c r="A142" s="4" t="s">
        <v>161</v>
      </c>
      <c r="B142" s="4" t="s">
        <v>19</v>
      </c>
      <c r="C142" s="4" t="s">
        <v>20</v>
      </c>
      <c r="D142" s="4">
        <v>10</v>
      </c>
      <c r="E142" s="4">
        <v>1000</v>
      </c>
      <c r="F142" s="4">
        <v>17200</v>
      </c>
      <c r="G142" s="4">
        <v>15000</v>
      </c>
      <c r="H142" s="4">
        <v>0</v>
      </c>
      <c r="I142" s="4">
        <v>0</v>
      </c>
      <c r="J142" s="4">
        <v>19425</v>
      </c>
      <c r="K142" s="4">
        <v>0</v>
      </c>
      <c r="L142" s="4">
        <f t="shared" si="0"/>
        <v>12775</v>
      </c>
      <c r="M142" s="4">
        <v>12127.083333333299</v>
      </c>
      <c r="N142" s="4">
        <v>26</v>
      </c>
      <c r="O142" s="5">
        <f t="shared" si="13"/>
        <v>16.231874731874687</v>
      </c>
      <c r="P142" s="4"/>
      <c r="Q142" s="6">
        <v>2181</v>
      </c>
      <c r="R142" s="7">
        <f t="shared" si="2"/>
        <v>42365925</v>
      </c>
      <c r="S142" s="7">
        <f t="shared" si="3"/>
        <v>26449168.749999925</v>
      </c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35">
      <c r="A143" s="4" t="s">
        <v>162</v>
      </c>
      <c r="B143" s="4" t="s">
        <v>19</v>
      </c>
      <c r="C143" s="4" t="s">
        <v>20</v>
      </c>
      <c r="D143" s="4">
        <v>10</v>
      </c>
      <c r="E143" s="4">
        <v>1000</v>
      </c>
      <c r="F143" s="4">
        <v>29700</v>
      </c>
      <c r="G143" s="4">
        <v>172150</v>
      </c>
      <c r="H143" s="4">
        <v>0</v>
      </c>
      <c r="I143" s="4">
        <v>0</v>
      </c>
      <c r="J143" s="4">
        <v>186715</v>
      </c>
      <c r="K143" s="4">
        <v>1505</v>
      </c>
      <c r="L143" s="4">
        <f t="shared" si="0"/>
        <v>13630</v>
      </c>
      <c r="M143" s="4">
        <v>26353.200000000001</v>
      </c>
      <c r="N143" s="4">
        <v>26</v>
      </c>
      <c r="O143" s="5">
        <f t="shared" si="13"/>
        <v>3.6403315269365635</v>
      </c>
      <c r="P143" s="4"/>
      <c r="Q143" s="6">
        <v>2208</v>
      </c>
      <c r="R143" s="7">
        <f t="shared" si="2"/>
        <v>415589760</v>
      </c>
      <c r="S143" s="7">
        <f t="shared" si="3"/>
        <v>58187865.600000001</v>
      </c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35">
      <c r="A144" s="4" t="s">
        <v>163</v>
      </c>
      <c r="B144" s="4" t="s">
        <v>19</v>
      </c>
      <c r="C144" s="4" t="s">
        <v>20</v>
      </c>
      <c r="D144" s="4">
        <v>10</v>
      </c>
      <c r="E144" s="4">
        <v>1000</v>
      </c>
      <c r="F144" s="4">
        <v>11379</v>
      </c>
      <c r="G144" s="4">
        <v>19158</v>
      </c>
      <c r="H144" s="4">
        <v>0</v>
      </c>
      <c r="I144" s="4">
        <v>0</v>
      </c>
      <c r="J144" s="4">
        <v>29059</v>
      </c>
      <c r="K144" s="4">
        <v>0</v>
      </c>
      <c r="L144" s="4">
        <f t="shared" si="0"/>
        <v>1478</v>
      </c>
      <c r="M144" s="4">
        <v>3490.1538461538503</v>
      </c>
      <c r="N144" s="4">
        <v>26</v>
      </c>
      <c r="O144" s="5">
        <f t="shared" si="13"/>
        <v>3.1227502666987887</v>
      </c>
      <c r="P144" s="4"/>
      <c r="Q144" s="6">
        <v>2245</v>
      </c>
      <c r="R144" s="7">
        <f t="shared" si="2"/>
        <v>65237455</v>
      </c>
      <c r="S144" s="7">
        <f t="shared" si="3"/>
        <v>7835395.3846153943</v>
      </c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35">
      <c r="A145" s="4" t="s">
        <v>164</v>
      </c>
      <c r="B145" s="4" t="s">
        <v>19</v>
      </c>
      <c r="C145" s="4" t="s">
        <v>20</v>
      </c>
      <c r="D145" s="4">
        <v>10</v>
      </c>
      <c r="E145" s="4">
        <v>1000</v>
      </c>
      <c r="F145" s="4">
        <v>23188</v>
      </c>
      <c r="G145" s="4">
        <v>36250</v>
      </c>
      <c r="H145" s="4">
        <v>0</v>
      </c>
      <c r="I145" s="4">
        <v>0</v>
      </c>
      <c r="J145" s="4">
        <v>43675</v>
      </c>
      <c r="K145" s="4">
        <v>25</v>
      </c>
      <c r="L145" s="4">
        <f t="shared" si="0"/>
        <v>15738</v>
      </c>
      <c r="M145" s="4">
        <v>11051</v>
      </c>
      <c r="N145" s="4">
        <v>26</v>
      </c>
      <c r="O145" s="5">
        <f t="shared" si="13"/>
        <v>6.574965675057209</v>
      </c>
      <c r="P145" s="4"/>
      <c r="Q145" s="6">
        <v>2355</v>
      </c>
      <c r="R145" s="7">
        <f t="shared" si="2"/>
        <v>102913500</v>
      </c>
      <c r="S145" s="7">
        <f t="shared" si="3"/>
        <v>26025105</v>
      </c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35">
      <c r="A146" s="8" t="s">
        <v>165</v>
      </c>
      <c r="B146" s="8"/>
      <c r="C146" s="8"/>
      <c r="D146" s="8"/>
      <c r="E146" s="8"/>
      <c r="F146" s="9">
        <f t="shared" ref="F146:M146" si="14">SUM(F2:F145)</f>
        <v>1567274</v>
      </c>
      <c r="G146" s="9">
        <f t="shared" si="14"/>
        <v>4904533</v>
      </c>
      <c r="H146" s="9">
        <f t="shared" si="14"/>
        <v>0</v>
      </c>
      <c r="I146" s="9">
        <f t="shared" si="14"/>
        <v>0</v>
      </c>
      <c r="J146" s="9">
        <f t="shared" si="14"/>
        <v>4978002</v>
      </c>
      <c r="K146" s="9">
        <f t="shared" si="14"/>
        <v>9900</v>
      </c>
      <c r="L146" s="9">
        <f t="shared" si="14"/>
        <v>1483905</v>
      </c>
      <c r="M146" s="9">
        <f t="shared" si="14"/>
        <v>1631152.9294163552</v>
      </c>
      <c r="N146" s="9">
        <v>26</v>
      </c>
      <c r="O146" s="9">
        <f t="shared" si="13"/>
        <v>8.5025680466106266</v>
      </c>
      <c r="P146" s="4"/>
      <c r="Q146" s="10"/>
      <c r="R146" s="10">
        <f t="shared" ref="R146:S146" si="15">SUM(R2:R145)</f>
        <v>10834932241</v>
      </c>
      <c r="S146" s="10">
        <f t="shared" si="15"/>
        <v>3829358861.5137086</v>
      </c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11">
        <f>J146+K146</f>
        <v>4987902</v>
      </c>
      <c r="K148" s="4"/>
      <c r="L148" s="4"/>
      <c r="M148" s="4"/>
      <c r="N148" s="4"/>
      <c r="O148" s="4"/>
      <c r="P148" s="4"/>
      <c r="Q148" s="12" t="s">
        <v>166</v>
      </c>
      <c r="R148" s="13">
        <v>5.1999999999999998E-3</v>
      </c>
      <c r="S148" s="4"/>
      <c r="T148" s="14"/>
      <c r="U148" s="4"/>
      <c r="V148" s="4"/>
      <c r="W148" s="4"/>
      <c r="X148" s="4"/>
      <c r="Y148" s="4"/>
      <c r="Z148" s="4"/>
      <c r="AA148" s="4"/>
    </row>
    <row r="149" spans="1:27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2" t="s">
        <v>167</v>
      </c>
      <c r="R149" s="15">
        <f>(S146*R148)/R146</f>
        <v>1.8378210068098646E-3</v>
      </c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2" t="s">
        <v>168</v>
      </c>
      <c r="R150" s="15">
        <v>1.5100000000000001E-3</v>
      </c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 t="s">
        <v>169</v>
      </c>
      <c r="R151" s="17">
        <f>(S146/R146)*N146</f>
        <v>9.1891050340493248</v>
      </c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A1:S145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6" customWidth="1"/>
    <col min="2" max="2" width="13.08984375" customWidth="1"/>
    <col min="3" max="3" width="9.08984375" customWidth="1"/>
    <col min="4" max="4" width="12.26953125" customWidth="1"/>
    <col min="5" max="5" width="14.26953125" customWidth="1"/>
    <col min="6" max="6" width="12.7265625" customWidth="1"/>
    <col min="7" max="7" width="13.08984375" customWidth="1"/>
    <col min="8" max="8" width="13.26953125" customWidth="1"/>
    <col min="9" max="9" width="14.453125" customWidth="1"/>
    <col min="10" max="10" width="13.54296875" customWidth="1"/>
    <col min="11" max="11" width="11.54296875" customWidth="1"/>
    <col min="12" max="12" width="11.7265625" customWidth="1"/>
    <col min="13" max="15" width="9.08984375" customWidth="1"/>
    <col min="16" max="16" width="15.54296875" customWidth="1"/>
    <col min="17" max="18" width="19.08984375" customWidth="1"/>
    <col min="19" max="27" width="8.7265625" customWidth="1"/>
  </cols>
  <sheetData>
    <row r="1" spans="1:2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8"/>
      <c r="P1" s="3" t="s">
        <v>15</v>
      </c>
      <c r="Q1" s="1" t="s">
        <v>16</v>
      </c>
      <c r="R1" s="1" t="s">
        <v>17</v>
      </c>
      <c r="S1" s="18"/>
      <c r="T1" s="18"/>
      <c r="U1" s="18"/>
      <c r="V1" s="18"/>
      <c r="W1" s="18"/>
      <c r="X1" s="18"/>
      <c r="Y1" s="18"/>
      <c r="Z1" s="18"/>
      <c r="AA1" s="18"/>
    </row>
    <row r="2" spans="1:27" ht="14.5" x14ac:dyDescent="0.35">
      <c r="A2" s="4" t="s">
        <v>18</v>
      </c>
      <c r="B2" s="19" t="s">
        <v>19</v>
      </c>
      <c r="C2" s="19" t="s">
        <v>20</v>
      </c>
      <c r="D2" s="19">
        <v>10</v>
      </c>
      <c r="E2" s="19">
        <v>2410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f t="shared" ref="K2:K162" si="0">(E2+F2+G2)-(I2+J2)</f>
        <v>2410</v>
      </c>
      <c r="L2" s="20">
        <v>0</v>
      </c>
      <c r="M2" s="19">
        <v>23</v>
      </c>
      <c r="N2" s="20">
        <v>0</v>
      </c>
      <c r="O2" s="18"/>
      <c r="P2" s="6">
        <v>2129</v>
      </c>
      <c r="Q2" s="7">
        <f t="shared" ref="Q2:Q162" si="1">P2*(I2+J2)</f>
        <v>0</v>
      </c>
      <c r="R2" s="7">
        <f t="shared" ref="R2:R162" si="2">P2*L2</f>
        <v>0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 ht="14.5" x14ac:dyDescent="0.35">
      <c r="A3" s="4" t="s">
        <v>21</v>
      </c>
      <c r="B3" s="19" t="s">
        <v>22</v>
      </c>
      <c r="C3" s="19" t="s">
        <v>20</v>
      </c>
      <c r="D3" s="19">
        <v>10</v>
      </c>
      <c r="E3" s="19">
        <v>39073</v>
      </c>
      <c r="F3" s="19">
        <v>474185</v>
      </c>
      <c r="G3" s="19">
        <v>0</v>
      </c>
      <c r="H3" s="19">
        <v>0</v>
      </c>
      <c r="I3" s="19">
        <v>468070</v>
      </c>
      <c r="J3" s="19">
        <v>30</v>
      </c>
      <c r="K3" s="19">
        <f t="shared" si="0"/>
        <v>45158</v>
      </c>
      <c r="L3" s="20">
        <v>29499.956521739099</v>
      </c>
      <c r="M3" s="19">
        <v>23</v>
      </c>
      <c r="N3" s="20">
        <f t="shared" ref="N3:N23" si="3">(L3/(I3+J3))*M3</f>
        <v>1.4494744712668217</v>
      </c>
      <c r="O3" s="18"/>
      <c r="P3" s="6">
        <v>2129</v>
      </c>
      <c r="Q3" s="7">
        <f t="shared" si="1"/>
        <v>996584900</v>
      </c>
      <c r="R3" s="7">
        <f t="shared" si="2"/>
        <v>62805407.434782542</v>
      </c>
      <c r="S3" s="18"/>
      <c r="T3" s="18"/>
      <c r="U3" s="18"/>
      <c r="V3" s="18"/>
      <c r="W3" s="18"/>
      <c r="X3" s="18"/>
      <c r="Y3" s="18"/>
      <c r="Z3" s="18"/>
      <c r="AA3" s="18"/>
    </row>
    <row r="4" spans="1:27" ht="14.5" x14ac:dyDescent="0.35">
      <c r="A4" s="4" t="s">
        <v>23</v>
      </c>
      <c r="B4" s="19" t="s">
        <v>19</v>
      </c>
      <c r="C4" s="19" t="s">
        <v>20</v>
      </c>
      <c r="D4" s="19">
        <v>10</v>
      </c>
      <c r="E4" s="19">
        <v>5600</v>
      </c>
      <c r="F4" s="19">
        <v>21379</v>
      </c>
      <c r="G4" s="19">
        <v>0</v>
      </c>
      <c r="H4" s="19">
        <v>0</v>
      </c>
      <c r="I4" s="19">
        <v>20954</v>
      </c>
      <c r="J4" s="19">
        <v>0</v>
      </c>
      <c r="K4" s="19">
        <f t="shared" si="0"/>
        <v>6025</v>
      </c>
      <c r="L4" s="20">
        <v>3035.4285714285702</v>
      </c>
      <c r="M4" s="19">
        <v>23</v>
      </c>
      <c r="N4" s="20">
        <f t="shared" si="3"/>
        <v>3.3318152688201352</v>
      </c>
      <c r="O4" s="18"/>
      <c r="P4" s="6">
        <v>2129</v>
      </c>
      <c r="Q4" s="7">
        <f t="shared" si="1"/>
        <v>44611066</v>
      </c>
      <c r="R4" s="7">
        <f t="shared" si="2"/>
        <v>6462427.4285714263</v>
      </c>
      <c r="S4" s="18"/>
      <c r="T4" s="18"/>
      <c r="U4" s="18"/>
      <c r="V4" s="18"/>
      <c r="W4" s="18"/>
      <c r="X4" s="18"/>
      <c r="Y4" s="18"/>
      <c r="Z4" s="18"/>
      <c r="AA4" s="18"/>
    </row>
    <row r="5" spans="1:27" ht="14.5" x14ac:dyDescent="0.35">
      <c r="A5" s="4" t="s">
        <v>24</v>
      </c>
      <c r="B5" s="19" t="s">
        <v>19</v>
      </c>
      <c r="C5" s="19" t="s">
        <v>20</v>
      </c>
      <c r="D5" s="19">
        <v>10</v>
      </c>
      <c r="E5" s="19">
        <v>575</v>
      </c>
      <c r="F5" s="19">
        <v>1050</v>
      </c>
      <c r="G5" s="19">
        <v>0</v>
      </c>
      <c r="H5" s="19">
        <v>0</v>
      </c>
      <c r="I5" s="19">
        <v>100</v>
      </c>
      <c r="J5" s="19">
        <v>0</v>
      </c>
      <c r="K5" s="19">
        <f t="shared" si="0"/>
        <v>1525</v>
      </c>
      <c r="L5" s="20">
        <v>1575</v>
      </c>
      <c r="M5" s="19">
        <v>23</v>
      </c>
      <c r="N5" s="20">
        <f t="shared" si="3"/>
        <v>362.25</v>
      </c>
      <c r="O5" s="18"/>
      <c r="P5" s="6">
        <v>2131</v>
      </c>
      <c r="Q5" s="7">
        <f t="shared" si="1"/>
        <v>213100</v>
      </c>
      <c r="R5" s="7">
        <f t="shared" si="2"/>
        <v>3356325</v>
      </c>
      <c r="S5" s="18"/>
      <c r="T5" s="18"/>
      <c r="U5" s="18"/>
      <c r="V5" s="18"/>
      <c r="W5" s="18"/>
      <c r="X5" s="18"/>
      <c r="Y5" s="18"/>
      <c r="Z5" s="18"/>
      <c r="AA5" s="18"/>
    </row>
    <row r="6" spans="1:27" ht="14.5" x14ac:dyDescent="0.35">
      <c r="A6" s="4" t="s">
        <v>25</v>
      </c>
      <c r="B6" s="19" t="s">
        <v>19</v>
      </c>
      <c r="C6" s="19" t="s">
        <v>20</v>
      </c>
      <c r="D6" s="19">
        <v>10</v>
      </c>
      <c r="E6" s="19">
        <v>13357</v>
      </c>
      <c r="F6" s="19">
        <v>5025</v>
      </c>
      <c r="G6" s="19">
        <v>0</v>
      </c>
      <c r="H6" s="19">
        <v>0</v>
      </c>
      <c r="I6" s="19">
        <v>10307</v>
      </c>
      <c r="J6" s="19">
        <v>0</v>
      </c>
      <c r="K6" s="19">
        <f t="shared" si="0"/>
        <v>8075</v>
      </c>
      <c r="L6" s="20">
        <v>12243.857142857099</v>
      </c>
      <c r="M6" s="19">
        <v>23</v>
      </c>
      <c r="N6" s="20">
        <f t="shared" si="3"/>
        <v>27.322083466160208</v>
      </c>
      <c r="O6" s="18"/>
      <c r="P6" s="6">
        <v>2131</v>
      </c>
      <c r="Q6" s="7">
        <f t="shared" si="1"/>
        <v>21964217</v>
      </c>
      <c r="R6" s="7">
        <f t="shared" si="2"/>
        <v>26091659.571428478</v>
      </c>
      <c r="S6" s="18"/>
      <c r="T6" s="18"/>
      <c r="U6" s="18"/>
      <c r="V6" s="18"/>
      <c r="W6" s="18"/>
      <c r="X6" s="18"/>
      <c r="Y6" s="18"/>
      <c r="Z6" s="18"/>
      <c r="AA6" s="18"/>
    </row>
    <row r="7" spans="1:27" ht="14.5" x14ac:dyDescent="0.35">
      <c r="A7" s="4" t="s">
        <v>26</v>
      </c>
      <c r="B7" s="19" t="s">
        <v>22</v>
      </c>
      <c r="C7" s="19" t="s">
        <v>20</v>
      </c>
      <c r="D7" s="19">
        <v>10</v>
      </c>
      <c r="E7" s="19">
        <v>71335</v>
      </c>
      <c r="F7" s="19">
        <v>940675</v>
      </c>
      <c r="G7" s="19">
        <v>0</v>
      </c>
      <c r="H7" s="19">
        <v>0</v>
      </c>
      <c r="I7" s="19">
        <v>918586</v>
      </c>
      <c r="J7" s="19">
        <v>16814</v>
      </c>
      <c r="K7" s="19">
        <f t="shared" si="0"/>
        <v>76610</v>
      </c>
      <c r="L7" s="20">
        <v>75210.0869565217</v>
      </c>
      <c r="M7" s="19">
        <v>23</v>
      </c>
      <c r="N7" s="20">
        <f t="shared" si="3"/>
        <v>1.8492965576224067</v>
      </c>
      <c r="O7" s="18"/>
      <c r="P7" s="6">
        <v>1910</v>
      </c>
      <c r="Q7" s="7">
        <f t="shared" si="1"/>
        <v>1786614000</v>
      </c>
      <c r="R7" s="7">
        <f t="shared" si="2"/>
        <v>143651266.08695644</v>
      </c>
      <c r="S7" s="18"/>
      <c r="T7" s="18"/>
      <c r="U7" s="18"/>
      <c r="V7" s="18"/>
      <c r="W7" s="18"/>
      <c r="X7" s="18"/>
      <c r="Y7" s="18"/>
      <c r="Z7" s="18"/>
      <c r="AA7" s="18"/>
    </row>
    <row r="8" spans="1:27" ht="14.5" x14ac:dyDescent="0.35">
      <c r="A8" s="4" t="s">
        <v>170</v>
      </c>
      <c r="B8" s="19" t="s">
        <v>22</v>
      </c>
      <c r="C8" s="19" t="s">
        <v>20</v>
      </c>
      <c r="D8" s="19">
        <v>10</v>
      </c>
      <c r="E8" s="19">
        <v>0</v>
      </c>
      <c r="F8" s="19">
        <v>36250</v>
      </c>
      <c r="G8" s="19">
        <v>0</v>
      </c>
      <c r="H8" s="19">
        <v>0</v>
      </c>
      <c r="I8" s="19">
        <v>10000</v>
      </c>
      <c r="J8" s="19">
        <v>0</v>
      </c>
      <c r="K8" s="19">
        <f t="shared" si="0"/>
        <v>26250</v>
      </c>
      <c r="L8" s="20">
        <v>22500</v>
      </c>
      <c r="M8" s="19">
        <v>23</v>
      </c>
      <c r="N8" s="20">
        <f t="shared" si="3"/>
        <v>51.75</v>
      </c>
      <c r="O8" s="18"/>
      <c r="P8" s="6">
        <v>1910</v>
      </c>
      <c r="Q8" s="7">
        <f t="shared" si="1"/>
        <v>19100000</v>
      </c>
      <c r="R8" s="7">
        <f t="shared" si="2"/>
        <v>42975000</v>
      </c>
      <c r="S8" s="18"/>
      <c r="T8" s="18"/>
      <c r="U8" s="18"/>
      <c r="V8" s="18"/>
      <c r="W8" s="18"/>
      <c r="X8" s="18"/>
      <c r="Y8" s="18"/>
      <c r="Z8" s="18"/>
      <c r="AA8" s="18"/>
    </row>
    <row r="9" spans="1:27" ht="14.5" x14ac:dyDescent="0.35">
      <c r="A9" s="4" t="s">
        <v>27</v>
      </c>
      <c r="B9" s="19" t="s">
        <v>22</v>
      </c>
      <c r="C9" s="19" t="s">
        <v>20</v>
      </c>
      <c r="D9" s="19">
        <v>10</v>
      </c>
      <c r="E9" s="19">
        <v>15615</v>
      </c>
      <c r="F9" s="19">
        <v>46492</v>
      </c>
      <c r="G9" s="19">
        <v>0</v>
      </c>
      <c r="H9" s="19">
        <v>0</v>
      </c>
      <c r="I9" s="19">
        <v>47717</v>
      </c>
      <c r="J9" s="19">
        <v>0</v>
      </c>
      <c r="K9" s="19">
        <f t="shared" si="0"/>
        <v>14390</v>
      </c>
      <c r="L9" s="20">
        <v>9154.1176470588198</v>
      </c>
      <c r="M9" s="19">
        <v>23</v>
      </c>
      <c r="N9" s="20">
        <f t="shared" si="3"/>
        <v>4.4123625936742226</v>
      </c>
      <c r="O9" s="18"/>
      <c r="P9" s="6">
        <v>2217</v>
      </c>
      <c r="Q9" s="7">
        <f t="shared" si="1"/>
        <v>105788589</v>
      </c>
      <c r="R9" s="7">
        <f t="shared" si="2"/>
        <v>20294678.823529404</v>
      </c>
      <c r="S9" s="18"/>
      <c r="T9" s="18"/>
      <c r="U9" s="18"/>
      <c r="V9" s="18"/>
      <c r="W9" s="18"/>
      <c r="X9" s="18"/>
      <c r="Y9" s="18"/>
      <c r="Z9" s="18"/>
      <c r="AA9" s="18"/>
    </row>
    <row r="10" spans="1:27" ht="14.5" x14ac:dyDescent="0.35">
      <c r="A10" s="4" t="s">
        <v>28</v>
      </c>
      <c r="B10" s="19" t="s">
        <v>19</v>
      </c>
      <c r="C10" s="19" t="s">
        <v>20</v>
      </c>
      <c r="D10" s="19">
        <v>10</v>
      </c>
      <c r="E10" s="19">
        <v>18410</v>
      </c>
      <c r="F10" s="19">
        <v>7325</v>
      </c>
      <c r="G10" s="19">
        <v>0</v>
      </c>
      <c r="H10" s="19">
        <v>0</v>
      </c>
      <c r="I10" s="19">
        <v>15000</v>
      </c>
      <c r="J10" s="19">
        <v>0</v>
      </c>
      <c r="K10" s="19">
        <f t="shared" si="0"/>
        <v>10735</v>
      </c>
      <c r="L10" s="20">
        <v>11644.090909090901</v>
      </c>
      <c r="M10" s="19">
        <v>23</v>
      </c>
      <c r="N10" s="20">
        <f t="shared" si="3"/>
        <v>17.854272727272715</v>
      </c>
      <c r="O10" s="18"/>
      <c r="P10" s="6">
        <v>2131</v>
      </c>
      <c r="Q10" s="7">
        <f t="shared" si="1"/>
        <v>31965000</v>
      </c>
      <c r="R10" s="7">
        <f t="shared" si="2"/>
        <v>24813557.727272708</v>
      </c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4.5" x14ac:dyDescent="0.35">
      <c r="A11" s="4" t="s">
        <v>29</v>
      </c>
      <c r="B11" s="19" t="s">
        <v>19</v>
      </c>
      <c r="C11" s="19" t="s">
        <v>20</v>
      </c>
      <c r="D11" s="19">
        <v>10</v>
      </c>
      <c r="E11" s="19">
        <v>5424</v>
      </c>
      <c r="F11" s="19">
        <v>0</v>
      </c>
      <c r="G11" s="19">
        <v>0</v>
      </c>
      <c r="H11" s="19">
        <v>0</v>
      </c>
      <c r="I11" s="19">
        <v>937</v>
      </c>
      <c r="J11" s="19">
        <v>0</v>
      </c>
      <c r="K11" s="19">
        <f t="shared" si="0"/>
        <v>4487</v>
      </c>
      <c r="L11" s="20">
        <v>4854.2</v>
      </c>
      <c r="M11" s="19">
        <v>23</v>
      </c>
      <c r="N11" s="20">
        <f t="shared" si="3"/>
        <v>119.15325506937033</v>
      </c>
      <c r="O11" s="18"/>
      <c r="P11" s="6">
        <v>2131</v>
      </c>
      <c r="Q11" s="7">
        <f t="shared" si="1"/>
        <v>1996747</v>
      </c>
      <c r="R11" s="7">
        <f t="shared" si="2"/>
        <v>10344300.199999999</v>
      </c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4.5" x14ac:dyDescent="0.35">
      <c r="A12" s="4" t="s">
        <v>30</v>
      </c>
      <c r="B12" s="19" t="s">
        <v>22</v>
      </c>
      <c r="C12" s="19" t="s">
        <v>20</v>
      </c>
      <c r="D12" s="19">
        <v>10</v>
      </c>
      <c r="E12" s="19">
        <v>14675</v>
      </c>
      <c r="F12" s="19">
        <v>34225</v>
      </c>
      <c r="G12" s="19">
        <v>0</v>
      </c>
      <c r="H12" s="19">
        <v>0</v>
      </c>
      <c r="I12" s="19">
        <v>15775</v>
      </c>
      <c r="J12" s="19">
        <v>0</v>
      </c>
      <c r="K12" s="19">
        <f t="shared" si="0"/>
        <v>33125</v>
      </c>
      <c r="L12" s="20">
        <v>34621.875</v>
      </c>
      <c r="M12" s="19">
        <v>23</v>
      </c>
      <c r="N12" s="20">
        <f t="shared" si="3"/>
        <v>50.478803486529316</v>
      </c>
      <c r="O12" s="18"/>
      <c r="P12" s="6">
        <v>1691</v>
      </c>
      <c r="Q12" s="7">
        <f t="shared" si="1"/>
        <v>26675525</v>
      </c>
      <c r="R12" s="7">
        <f t="shared" si="2"/>
        <v>58545590.625</v>
      </c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4.5" x14ac:dyDescent="0.35">
      <c r="A13" s="4" t="s">
        <v>31</v>
      </c>
      <c r="B13" s="19" t="s">
        <v>19</v>
      </c>
      <c r="C13" s="19" t="s">
        <v>20</v>
      </c>
      <c r="D13" s="19">
        <v>10</v>
      </c>
      <c r="E13" s="19">
        <v>38800</v>
      </c>
      <c r="F13" s="19">
        <v>348750</v>
      </c>
      <c r="G13" s="19">
        <v>0</v>
      </c>
      <c r="H13" s="19">
        <v>0</v>
      </c>
      <c r="I13" s="19">
        <v>363750</v>
      </c>
      <c r="J13" s="19">
        <v>20</v>
      </c>
      <c r="K13" s="19">
        <f t="shared" si="0"/>
        <v>23780</v>
      </c>
      <c r="L13" s="20">
        <v>39410.454545454508</v>
      </c>
      <c r="M13" s="19">
        <v>23</v>
      </c>
      <c r="N13" s="20">
        <f t="shared" si="3"/>
        <v>2.4917955151481808</v>
      </c>
      <c r="O13" s="18"/>
      <c r="P13" s="6">
        <v>1694</v>
      </c>
      <c r="Q13" s="7">
        <f t="shared" si="1"/>
        <v>616226380</v>
      </c>
      <c r="R13" s="7">
        <f t="shared" si="2"/>
        <v>66761309.999999933</v>
      </c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4.5" x14ac:dyDescent="0.35">
      <c r="A14" s="4" t="s">
        <v>32</v>
      </c>
      <c r="B14" s="19" t="s">
        <v>19</v>
      </c>
      <c r="C14" s="19" t="s">
        <v>20</v>
      </c>
      <c r="D14" s="19">
        <v>10</v>
      </c>
      <c r="E14" s="19">
        <v>950</v>
      </c>
      <c r="F14" s="19">
        <v>12226</v>
      </c>
      <c r="G14" s="19">
        <v>0</v>
      </c>
      <c r="H14" s="19">
        <v>0</v>
      </c>
      <c r="I14" s="19">
        <v>7056</v>
      </c>
      <c r="J14" s="19">
        <v>0</v>
      </c>
      <c r="K14" s="19">
        <f t="shared" si="0"/>
        <v>6120</v>
      </c>
      <c r="L14" s="20">
        <v>2259.5</v>
      </c>
      <c r="M14" s="19">
        <v>23</v>
      </c>
      <c r="N14" s="20">
        <f t="shared" si="3"/>
        <v>7.3651502267573701</v>
      </c>
      <c r="O14" s="18"/>
      <c r="P14" s="6">
        <v>1694</v>
      </c>
      <c r="Q14" s="7">
        <f t="shared" si="1"/>
        <v>11952864</v>
      </c>
      <c r="R14" s="7">
        <f t="shared" si="2"/>
        <v>3827593</v>
      </c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5" x14ac:dyDescent="0.35">
      <c r="A15" s="4" t="s">
        <v>33</v>
      </c>
      <c r="B15" s="19" t="s">
        <v>22</v>
      </c>
      <c r="C15" s="19" t="s">
        <v>20</v>
      </c>
      <c r="D15" s="19">
        <v>10</v>
      </c>
      <c r="E15" s="19">
        <v>63035</v>
      </c>
      <c r="F15" s="19">
        <v>66123</v>
      </c>
      <c r="G15" s="19">
        <v>0</v>
      </c>
      <c r="H15" s="19">
        <v>0</v>
      </c>
      <c r="I15" s="19">
        <v>115061</v>
      </c>
      <c r="J15" s="19">
        <v>0</v>
      </c>
      <c r="K15" s="19">
        <f t="shared" si="0"/>
        <v>14097</v>
      </c>
      <c r="L15" s="20">
        <v>22183.850000000002</v>
      </c>
      <c r="M15" s="19">
        <v>23</v>
      </c>
      <c r="N15" s="20">
        <f t="shared" si="3"/>
        <v>4.4344178305420607</v>
      </c>
      <c r="O15" s="18"/>
      <c r="P15" s="6">
        <v>1890</v>
      </c>
      <c r="Q15" s="7">
        <f t="shared" si="1"/>
        <v>217465290</v>
      </c>
      <c r="R15" s="7">
        <f t="shared" si="2"/>
        <v>41927476.500000007</v>
      </c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5" x14ac:dyDescent="0.35">
      <c r="A16" s="4" t="s">
        <v>34</v>
      </c>
      <c r="B16" s="19" t="s">
        <v>22</v>
      </c>
      <c r="C16" s="19" t="s">
        <v>20</v>
      </c>
      <c r="D16" s="19">
        <v>10</v>
      </c>
      <c r="E16" s="19">
        <v>34500</v>
      </c>
      <c r="F16" s="19">
        <v>306850</v>
      </c>
      <c r="G16" s="19">
        <v>0</v>
      </c>
      <c r="H16" s="19">
        <v>0</v>
      </c>
      <c r="I16" s="19">
        <v>316350</v>
      </c>
      <c r="J16" s="19">
        <v>50</v>
      </c>
      <c r="K16" s="19">
        <f t="shared" si="0"/>
        <v>24950</v>
      </c>
      <c r="L16" s="20">
        <v>37006.818181818198</v>
      </c>
      <c r="M16" s="19">
        <v>23</v>
      </c>
      <c r="N16" s="20">
        <f t="shared" si="3"/>
        <v>2.6901290081599827</v>
      </c>
      <c r="O16" s="18"/>
      <c r="P16" s="6">
        <v>2216</v>
      </c>
      <c r="Q16" s="7">
        <f t="shared" si="1"/>
        <v>701142400</v>
      </c>
      <c r="R16" s="7">
        <f t="shared" si="2"/>
        <v>82007109.090909123</v>
      </c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5" x14ac:dyDescent="0.35">
      <c r="A17" s="4" t="s">
        <v>35</v>
      </c>
      <c r="B17" s="19" t="s">
        <v>19</v>
      </c>
      <c r="C17" s="19" t="s">
        <v>20</v>
      </c>
      <c r="D17" s="19">
        <v>10</v>
      </c>
      <c r="E17" s="19">
        <v>42035</v>
      </c>
      <c r="F17" s="19">
        <v>279675</v>
      </c>
      <c r="G17" s="19">
        <v>0</v>
      </c>
      <c r="H17" s="19">
        <v>0</v>
      </c>
      <c r="I17" s="19">
        <v>270725</v>
      </c>
      <c r="J17" s="19">
        <v>130</v>
      </c>
      <c r="K17" s="19">
        <f t="shared" si="0"/>
        <v>50855</v>
      </c>
      <c r="L17" s="20">
        <v>56168.181818181802</v>
      </c>
      <c r="M17" s="19">
        <v>23</v>
      </c>
      <c r="N17" s="20">
        <f t="shared" si="3"/>
        <v>4.7695932577142068</v>
      </c>
      <c r="O17" s="18"/>
      <c r="P17" s="6">
        <v>2846</v>
      </c>
      <c r="Q17" s="7">
        <f t="shared" si="1"/>
        <v>770853330</v>
      </c>
      <c r="R17" s="7">
        <f t="shared" si="2"/>
        <v>159854645.45454541</v>
      </c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5" x14ac:dyDescent="0.35">
      <c r="A18" s="4" t="s">
        <v>36</v>
      </c>
      <c r="B18" s="19" t="s">
        <v>22</v>
      </c>
      <c r="C18" s="19" t="s">
        <v>20</v>
      </c>
      <c r="D18" s="19">
        <v>10</v>
      </c>
      <c r="E18" s="19">
        <v>15358</v>
      </c>
      <c r="F18" s="19">
        <v>186250</v>
      </c>
      <c r="G18" s="19">
        <v>0</v>
      </c>
      <c r="H18" s="19">
        <v>0</v>
      </c>
      <c r="I18" s="19">
        <v>166200</v>
      </c>
      <c r="J18" s="19">
        <v>50</v>
      </c>
      <c r="K18" s="19">
        <f t="shared" si="0"/>
        <v>35358</v>
      </c>
      <c r="L18" s="20">
        <v>23698.909090909099</v>
      </c>
      <c r="M18" s="19">
        <v>23</v>
      </c>
      <c r="N18" s="20">
        <f t="shared" si="3"/>
        <v>3.2786460697197555</v>
      </c>
      <c r="O18" s="18"/>
      <c r="P18" s="6">
        <v>2129</v>
      </c>
      <c r="Q18" s="7">
        <f t="shared" si="1"/>
        <v>353946250</v>
      </c>
      <c r="R18" s="7">
        <f t="shared" si="2"/>
        <v>50454977.454545476</v>
      </c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5" x14ac:dyDescent="0.35">
      <c r="A19" s="4" t="s">
        <v>37</v>
      </c>
      <c r="B19" s="19" t="s">
        <v>19</v>
      </c>
      <c r="C19" s="19" t="s">
        <v>20</v>
      </c>
      <c r="D19" s="19">
        <v>10</v>
      </c>
      <c r="E19" s="19">
        <v>900</v>
      </c>
      <c r="F19" s="19">
        <v>3875</v>
      </c>
      <c r="G19" s="19">
        <v>0</v>
      </c>
      <c r="H19" s="19">
        <v>0</v>
      </c>
      <c r="I19" s="19">
        <v>4750</v>
      </c>
      <c r="J19" s="19">
        <v>0</v>
      </c>
      <c r="K19" s="19">
        <f t="shared" si="0"/>
        <v>25</v>
      </c>
      <c r="L19" s="20">
        <v>1525</v>
      </c>
      <c r="M19" s="19">
        <v>23</v>
      </c>
      <c r="N19" s="20">
        <f t="shared" si="3"/>
        <v>7.3842105263157896</v>
      </c>
      <c r="O19" s="18"/>
      <c r="P19" s="6">
        <v>2129</v>
      </c>
      <c r="Q19" s="7">
        <f t="shared" si="1"/>
        <v>10112750</v>
      </c>
      <c r="R19" s="7">
        <f t="shared" si="2"/>
        <v>3246725</v>
      </c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5" x14ac:dyDescent="0.35">
      <c r="A20" s="4" t="s">
        <v>38</v>
      </c>
      <c r="B20" s="19" t="s">
        <v>22</v>
      </c>
      <c r="C20" s="19" t="s">
        <v>20</v>
      </c>
      <c r="D20" s="19">
        <v>10</v>
      </c>
      <c r="E20" s="19">
        <v>26527</v>
      </c>
      <c r="F20" s="19">
        <v>102385</v>
      </c>
      <c r="G20" s="19">
        <v>0</v>
      </c>
      <c r="H20" s="19">
        <v>0</v>
      </c>
      <c r="I20" s="19">
        <v>98365</v>
      </c>
      <c r="J20" s="19">
        <v>40</v>
      </c>
      <c r="K20" s="19">
        <f t="shared" si="0"/>
        <v>30507</v>
      </c>
      <c r="L20" s="20">
        <v>25525.1578947368</v>
      </c>
      <c r="M20" s="19">
        <v>23</v>
      </c>
      <c r="N20" s="20">
        <f t="shared" si="3"/>
        <v>5.9659431083679326</v>
      </c>
      <c r="O20" s="18"/>
      <c r="P20" s="6">
        <v>2263</v>
      </c>
      <c r="Q20" s="7">
        <f t="shared" si="1"/>
        <v>222690515</v>
      </c>
      <c r="R20" s="7">
        <f t="shared" si="2"/>
        <v>57763432.315789379</v>
      </c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75" customHeight="1" x14ac:dyDescent="0.35">
      <c r="A21" s="4" t="s">
        <v>39</v>
      </c>
      <c r="B21" s="19" t="s">
        <v>19</v>
      </c>
      <c r="C21" s="19" t="s">
        <v>20</v>
      </c>
      <c r="D21" s="19">
        <v>10</v>
      </c>
      <c r="E21" s="19">
        <v>28889</v>
      </c>
      <c r="F21" s="19">
        <v>39677</v>
      </c>
      <c r="G21" s="19">
        <v>0</v>
      </c>
      <c r="H21" s="19">
        <v>0</v>
      </c>
      <c r="I21" s="19">
        <v>51020</v>
      </c>
      <c r="J21" s="19">
        <v>0</v>
      </c>
      <c r="K21" s="19">
        <f t="shared" si="0"/>
        <v>17546</v>
      </c>
      <c r="L21" s="20">
        <v>23900.65</v>
      </c>
      <c r="M21" s="19">
        <v>23</v>
      </c>
      <c r="N21" s="20">
        <f t="shared" si="3"/>
        <v>10.774499215993728</v>
      </c>
      <c r="O21" s="18"/>
      <c r="P21" s="6">
        <v>2263</v>
      </c>
      <c r="Q21" s="7">
        <f t="shared" si="1"/>
        <v>115458260</v>
      </c>
      <c r="R21" s="7">
        <f t="shared" si="2"/>
        <v>54087170.950000003</v>
      </c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35">
      <c r="A22" s="4" t="s">
        <v>40</v>
      </c>
      <c r="B22" s="19" t="s">
        <v>19</v>
      </c>
      <c r="C22" s="19" t="s">
        <v>20</v>
      </c>
      <c r="D22" s="19">
        <v>10</v>
      </c>
      <c r="E22" s="19">
        <v>2300</v>
      </c>
      <c r="F22" s="19">
        <v>2000</v>
      </c>
      <c r="G22" s="19">
        <v>0</v>
      </c>
      <c r="H22" s="19">
        <v>0</v>
      </c>
      <c r="I22" s="19">
        <v>2000</v>
      </c>
      <c r="J22" s="19">
        <v>0</v>
      </c>
      <c r="K22" s="19">
        <f t="shared" si="0"/>
        <v>2300</v>
      </c>
      <c r="L22" s="20">
        <v>1300</v>
      </c>
      <c r="M22" s="19">
        <v>23</v>
      </c>
      <c r="N22" s="20">
        <f t="shared" si="3"/>
        <v>14.950000000000001</v>
      </c>
      <c r="O22" s="18"/>
      <c r="P22" s="6">
        <v>2732</v>
      </c>
      <c r="Q22" s="7">
        <f t="shared" si="1"/>
        <v>5464000</v>
      </c>
      <c r="R22" s="7">
        <f t="shared" si="2"/>
        <v>3551600</v>
      </c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35">
      <c r="A23" s="4" t="s">
        <v>41</v>
      </c>
      <c r="B23" s="19" t="s">
        <v>19</v>
      </c>
      <c r="C23" s="19" t="s">
        <v>20</v>
      </c>
      <c r="D23" s="19">
        <v>10</v>
      </c>
      <c r="E23" s="19">
        <v>6819</v>
      </c>
      <c r="F23" s="19">
        <v>23991</v>
      </c>
      <c r="G23" s="19">
        <v>0</v>
      </c>
      <c r="H23" s="19">
        <v>0</v>
      </c>
      <c r="I23" s="19">
        <v>19451</v>
      </c>
      <c r="J23" s="19">
        <v>0</v>
      </c>
      <c r="K23" s="19">
        <f t="shared" si="0"/>
        <v>11359</v>
      </c>
      <c r="L23" s="20">
        <v>10234</v>
      </c>
      <c r="M23" s="19">
        <v>23</v>
      </c>
      <c r="N23" s="20">
        <f t="shared" si="3"/>
        <v>12.10128013983857</v>
      </c>
      <c r="O23" s="18"/>
      <c r="P23" s="6">
        <v>2962</v>
      </c>
      <c r="Q23" s="7">
        <f t="shared" si="1"/>
        <v>57613862</v>
      </c>
      <c r="R23" s="7">
        <f t="shared" si="2"/>
        <v>30313108</v>
      </c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35">
      <c r="A24" s="4" t="s">
        <v>42</v>
      </c>
      <c r="B24" s="19" t="s">
        <v>19</v>
      </c>
      <c r="C24" s="19" t="s">
        <v>20</v>
      </c>
      <c r="D24" s="19">
        <v>10</v>
      </c>
      <c r="E24" s="19">
        <v>124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f t="shared" si="0"/>
        <v>124</v>
      </c>
      <c r="L24" s="20">
        <v>0</v>
      </c>
      <c r="M24" s="19">
        <v>23</v>
      </c>
      <c r="N24" s="20">
        <v>0</v>
      </c>
      <c r="O24" s="18"/>
      <c r="P24" s="6">
        <v>2263</v>
      </c>
      <c r="Q24" s="7">
        <f t="shared" si="1"/>
        <v>0</v>
      </c>
      <c r="R24" s="7">
        <f t="shared" si="2"/>
        <v>0</v>
      </c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35">
      <c r="A25" s="4" t="s">
        <v>43</v>
      </c>
      <c r="B25" s="19" t="s">
        <v>19</v>
      </c>
      <c r="C25" s="19" t="s">
        <v>20</v>
      </c>
      <c r="D25" s="19">
        <v>10</v>
      </c>
      <c r="E25" s="19">
        <v>770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f t="shared" si="0"/>
        <v>770</v>
      </c>
      <c r="L25" s="20">
        <v>0</v>
      </c>
      <c r="M25" s="19">
        <v>23</v>
      </c>
      <c r="N25" s="20">
        <v>0</v>
      </c>
      <c r="O25" s="18"/>
      <c r="P25" s="6">
        <v>2263</v>
      </c>
      <c r="Q25" s="7">
        <f t="shared" si="1"/>
        <v>0</v>
      </c>
      <c r="R25" s="7">
        <f t="shared" si="2"/>
        <v>0</v>
      </c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35">
      <c r="A26" s="4" t="s">
        <v>44</v>
      </c>
      <c r="B26" s="19" t="s">
        <v>19</v>
      </c>
      <c r="C26" s="19" t="s">
        <v>20</v>
      </c>
      <c r="D26" s="19">
        <v>10</v>
      </c>
      <c r="E26" s="19">
        <v>12550</v>
      </c>
      <c r="F26" s="19">
        <v>13025</v>
      </c>
      <c r="G26" s="19">
        <v>0</v>
      </c>
      <c r="H26" s="19">
        <v>0</v>
      </c>
      <c r="I26" s="19">
        <v>24275</v>
      </c>
      <c r="J26" s="19">
        <v>0</v>
      </c>
      <c r="K26" s="19">
        <f t="shared" si="0"/>
        <v>1300</v>
      </c>
      <c r="L26" s="20">
        <v>10150</v>
      </c>
      <c r="M26" s="19">
        <v>23</v>
      </c>
      <c r="N26" s="20">
        <f t="shared" ref="N26:N31" si="4">(L26/(I26+J26))*M26</f>
        <v>9.6168898043254369</v>
      </c>
      <c r="O26" s="18"/>
      <c r="P26" s="6">
        <v>2268</v>
      </c>
      <c r="Q26" s="7">
        <f t="shared" si="1"/>
        <v>55055700</v>
      </c>
      <c r="R26" s="7">
        <f t="shared" si="2"/>
        <v>23020200</v>
      </c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customHeight="1" x14ac:dyDescent="0.35">
      <c r="A27" s="4" t="s">
        <v>171</v>
      </c>
      <c r="B27" s="19" t="s">
        <v>22</v>
      </c>
      <c r="C27" s="19" t="s">
        <v>20</v>
      </c>
      <c r="D27" s="19">
        <v>10</v>
      </c>
      <c r="E27" s="19">
        <v>5</v>
      </c>
      <c r="F27" s="19">
        <v>60225</v>
      </c>
      <c r="G27" s="19">
        <v>0</v>
      </c>
      <c r="H27" s="19">
        <v>0</v>
      </c>
      <c r="I27" s="19">
        <v>50225</v>
      </c>
      <c r="J27" s="19">
        <v>0</v>
      </c>
      <c r="K27" s="19">
        <f t="shared" si="0"/>
        <v>10005</v>
      </c>
      <c r="L27" s="20">
        <v>12107.083333333299</v>
      </c>
      <c r="M27" s="19">
        <v>23</v>
      </c>
      <c r="N27" s="20">
        <f t="shared" si="4"/>
        <v>5.5443089430894155</v>
      </c>
      <c r="O27" s="18"/>
      <c r="P27" s="6">
        <v>2268</v>
      </c>
      <c r="Q27" s="7">
        <f t="shared" si="1"/>
        <v>113910300</v>
      </c>
      <c r="R27" s="7">
        <f t="shared" si="2"/>
        <v>27458864.999999922</v>
      </c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75" customHeight="1" x14ac:dyDescent="0.35">
      <c r="A28" s="4" t="s">
        <v>45</v>
      </c>
      <c r="B28" s="19" t="s">
        <v>19</v>
      </c>
      <c r="C28" s="19" t="s">
        <v>20</v>
      </c>
      <c r="D28" s="19">
        <v>10</v>
      </c>
      <c r="E28" s="19">
        <v>6700</v>
      </c>
      <c r="F28" s="19">
        <v>10217</v>
      </c>
      <c r="G28" s="19">
        <v>0</v>
      </c>
      <c r="H28" s="19">
        <v>0</v>
      </c>
      <c r="I28" s="19">
        <v>13450</v>
      </c>
      <c r="J28" s="19">
        <v>0</v>
      </c>
      <c r="K28" s="19">
        <f t="shared" si="0"/>
        <v>3467</v>
      </c>
      <c r="L28" s="20">
        <v>6977.25</v>
      </c>
      <c r="M28" s="19">
        <v>23</v>
      </c>
      <c r="N28" s="20">
        <f t="shared" si="4"/>
        <v>11.93135687732342</v>
      </c>
      <c r="O28" s="18"/>
      <c r="P28" s="6">
        <v>1956</v>
      </c>
      <c r="Q28" s="7">
        <f t="shared" si="1"/>
        <v>26308200</v>
      </c>
      <c r="R28" s="7">
        <f t="shared" si="2"/>
        <v>13647501</v>
      </c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35">
      <c r="A29" s="4" t="s">
        <v>46</v>
      </c>
      <c r="B29" s="19" t="s">
        <v>22</v>
      </c>
      <c r="C29" s="19" t="s">
        <v>20</v>
      </c>
      <c r="D29" s="19">
        <v>10</v>
      </c>
      <c r="E29" s="19">
        <v>28605</v>
      </c>
      <c r="F29" s="19">
        <v>273000</v>
      </c>
      <c r="G29" s="19">
        <v>0</v>
      </c>
      <c r="H29" s="19">
        <v>0</v>
      </c>
      <c r="I29" s="19">
        <v>295000</v>
      </c>
      <c r="J29" s="19">
        <v>631</v>
      </c>
      <c r="K29" s="19">
        <f t="shared" si="0"/>
        <v>5974</v>
      </c>
      <c r="L29" s="20">
        <v>35464.115384615405</v>
      </c>
      <c r="M29" s="19">
        <v>23</v>
      </c>
      <c r="N29" s="20">
        <f t="shared" si="4"/>
        <v>2.7590971645265694</v>
      </c>
      <c r="O29" s="18"/>
      <c r="P29" s="6">
        <v>2031</v>
      </c>
      <c r="Q29" s="7">
        <f t="shared" si="1"/>
        <v>600426561</v>
      </c>
      <c r="R29" s="7">
        <f t="shared" si="2"/>
        <v>72027618.346153885</v>
      </c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35">
      <c r="A30" s="4" t="s">
        <v>47</v>
      </c>
      <c r="B30" s="19" t="s">
        <v>19</v>
      </c>
      <c r="C30" s="19" t="s">
        <v>20</v>
      </c>
      <c r="D30" s="19">
        <v>10</v>
      </c>
      <c r="E30" s="19">
        <v>2015</v>
      </c>
      <c r="F30" s="19">
        <v>1050</v>
      </c>
      <c r="G30" s="19">
        <v>0</v>
      </c>
      <c r="H30" s="19">
        <v>0</v>
      </c>
      <c r="I30" s="19">
        <v>200</v>
      </c>
      <c r="J30" s="19">
        <v>0</v>
      </c>
      <c r="K30" s="19">
        <f t="shared" si="0"/>
        <v>2865</v>
      </c>
      <c r="L30" s="20">
        <v>2965</v>
      </c>
      <c r="M30" s="19">
        <v>23</v>
      </c>
      <c r="N30" s="20">
        <f t="shared" si="4"/>
        <v>340.97499999999997</v>
      </c>
      <c r="O30" s="18"/>
      <c r="P30" s="6">
        <v>2179</v>
      </c>
      <c r="Q30" s="7">
        <f t="shared" si="1"/>
        <v>435800</v>
      </c>
      <c r="R30" s="7">
        <f t="shared" si="2"/>
        <v>6460735</v>
      </c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35">
      <c r="A31" s="4" t="s">
        <v>48</v>
      </c>
      <c r="B31" s="19" t="s">
        <v>19</v>
      </c>
      <c r="C31" s="19" t="s">
        <v>20</v>
      </c>
      <c r="D31" s="19">
        <v>10</v>
      </c>
      <c r="E31" s="19">
        <v>9038</v>
      </c>
      <c r="F31" s="19">
        <v>0</v>
      </c>
      <c r="G31" s="19">
        <v>0</v>
      </c>
      <c r="H31" s="19">
        <v>0</v>
      </c>
      <c r="I31" s="19">
        <v>3030</v>
      </c>
      <c r="J31" s="19">
        <v>0</v>
      </c>
      <c r="K31" s="19">
        <f t="shared" si="0"/>
        <v>6008</v>
      </c>
      <c r="L31" s="20">
        <v>6758</v>
      </c>
      <c r="M31" s="19">
        <v>23</v>
      </c>
      <c r="N31" s="20">
        <f t="shared" si="4"/>
        <v>51.298349834983497</v>
      </c>
      <c r="O31" s="18"/>
      <c r="P31" s="6">
        <v>2179</v>
      </c>
      <c r="Q31" s="7">
        <f t="shared" si="1"/>
        <v>6602370</v>
      </c>
      <c r="R31" s="7">
        <f t="shared" si="2"/>
        <v>14725682</v>
      </c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35">
      <c r="A32" s="4" t="s">
        <v>49</v>
      </c>
      <c r="B32" s="19" t="s">
        <v>19</v>
      </c>
      <c r="C32" s="19" t="s">
        <v>20</v>
      </c>
      <c r="D32" s="19">
        <v>10</v>
      </c>
      <c r="E32" s="19">
        <v>1495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f t="shared" si="0"/>
        <v>1495</v>
      </c>
      <c r="L32" s="20">
        <v>0</v>
      </c>
      <c r="M32" s="19">
        <v>23</v>
      </c>
      <c r="N32" s="20">
        <v>0</v>
      </c>
      <c r="O32" s="18"/>
      <c r="P32" s="6">
        <v>2179</v>
      </c>
      <c r="Q32" s="7">
        <f t="shared" si="1"/>
        <v>0</v>
      </c>
      <c r="R32" s="7">
        <f t="shared" si="2"/>
        <v>0</v>
      </c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35">
      <c r="A33" s="4" t="s">
        <v>50</v>
      </c>
      <c r="B33" s="19" t="s">
        <v>22</v>
      </c>
      <c r="C33" s="19" t="s">
        <v>20</v>
      </c>
      <c r="D33" s="19">
        <v>10</v>
      </c>
      <c r="E33" s="19">
        <v>38360</v>
      </c>
      <c r="F33" s="19">
        <v>55300</v>
      </c>
      <c r="G33" s="19">
        <v>0</v>
      </c>
      <c r="H33" s="19">
        <v>0</v>
      </c>
      <c r="I33" s="19">
        <v>75285</v>
      </c>
      <c r="J33" s="19">
        <v>0</v>
      </c>
      <c r="K33" s="19">
        <f t="shared" si="0"/>
        <v>18375</v>
      </c>
      <c r="L33" s="20">
        <v>32518.684210526299</v>
      </c>
      <c r="M33" s="19">
        <v>23</v>
      </c>
      <c r="N33" s="20">
        <f t="shared" ref="N33:N41" si="5">(L33/(I33+J33))*M33</f>
        <v>9.9346448408329007</v>
      </c>
      <c r="O33" s="18"/>
      <c r="P33" s="6">
        <v>2179</v>
      </c>
      <c r="Q33" s="7">
        <f t="shared" si="1"/>
        <v>164046015</v>
      </c>
      <c r="R33" s="7">
        <f t="shared" si="2"/>
        <v>70858212.894736812</v>
      </c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35">
      <c r="A34" s="4" t="s">
        <v>172</v>
      </c>
      <c r="B34" s="19" t="s">
        <v>19</v>
      </c>
      <c r="C34" s="19" t="s">
        <v>20</v>
      </c>
      <c r="D34" s="19">
        <v>10</v>
      </c>
      <c r="E34" s="19">
        <v>900</v>
      </c>
      <c r="F34" s="19">
        <v>1050</v>
      </c>
      <c r="G34" s="19">
        <v>0</v>
      </c>
      <c r="H34" s="19">
        <v>0</v>
      </c>
      <c r="I34" s="19">
        <v>700</v>
      </c>
      <c r="J34" s="19">
        <v>0</v>
      </c>
      <c r="K34" s="19">
        <f t="shared" si="0"/>
        <v>1250</v>
      </c>
      <c r="L34" s="20">
        <v>725</v>
      </c>
      <c r="M34" s="19">
        <v>23</v>
      </c>
      <c r="N34" s="20">
        <f t="shared" si="5"/>
        <v>23.821428571428573</v>
      </c>
      <c r="O34" s="18"/>
      <c r="P34" s="6">
        <v>3145</v>
      </c>
      <c r="Q34" s="7">
        <f t="shared" si="1"/>
        <v>2201500</v>
      </c>
      <c r="R34" s="7">
        <f t="shared" si="2"/>
        <v>2280125</v>
      </c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35">
      <c r="A35" s="4" t="s">
        <v>51</v>
      </c>
      <c r="B35" s="19" t="s">
        <v>19</v>
      </c>
      <c r="C35" s="19" t="s">
        <v>20</v>
      </c>
      <c r="D35" s="19">
        <v>10</v>
      </c>
      <c r="E35" s="19">
        <v>56156</v>
      </c>
      <c r="F35" s="19">
        <v>0</v>
      </c>
      <c r="G35" s="19">
        <v>0</v>
      </c>
      <c r="H35" s="19">
        <v>0</v>
      </c>
      <c r="I35" s="19">
        <v>31744</v>
      </c>
      <c r="J35" s="19">
        <v>0</v>
      </c>
      <c r="K35" s="19">
        <f t="shared" si="0"/>
        <v>24412</v>
      </c>
      <c r="L35" s="20">
        <v>39712.181818181802</v>
      </c>
      <c r="M35" s="19">
        <v>23</v>
      </c>
      <c r="N35" s="20">
        <f t="shared" si="5"/>
        <v>28.773317219574768</v>
      </c>
      <c r="O35" s="18"/>
      <c r="P35" s="6">
        <v>2179</v>
      </c>
      <c r="Q35" s="7">
        <f t="shared" si="1"/>
        <v>69170176</v>
      </c>
      <c r="R35" s="7">
        <f t="shared" si="2"/>
        <v>86532844.181818143</v>
      </c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35">
      <c r="A36" s="4" t="s">
        <v>52</v>
      </c>
      <c r="B36" s="19" t="s">
        <v>19</v>
      </c>
      <c r="C36" s="19" t="s">
        <v>20</v>
      </c>
      <c r="D36" s="19">
        <v>10</v>
      </c>
      <c r="E36" s="19">
        <v>9978</v>
      </c>
      <c r="F36" s="19">
        <v>7500</v>
      </c>
      <c r="G36" s="19">
        <v>0</v>
      </c>
      <c r="H36" s="19">
        <v>0</v>
      </c>
      <c r="I36" s="19">
        <v>16750</v>
      </c>
      <c r="J36" s="19">
        <v>0</v>
      </c>
      <c r="K36" s="19">
        <f t="shared" si="0"/>
        <v>728</v>
      </c>
      <c r="L36" s="20">
        <v>9759.25</v>
      </c>
      <c r="M36" s="19">
        <v>23</v>
      </c>
      <c r="N36" s="20">
        <f t="shared" si="5"/>
        <v>13.400761194029851</v>
      </c>
      <c r="O36" s="18"/>
      <c r="P36" s="6">
        <v>2268</v>
      </c>
      <c r="Q36" s="7">
        <f t="shared" si="1"/>
        <v>37989000</v>
      </c>
      <c r="R36" s="7">
        <f t="shared" si="2"/>
        <v>22133979</v>
      </c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35">
      <c r="A37" s="4" t="s">
        <v>173</v>
      </c>
      <c r="B37" s="19" t="s">
        <v>19</v>
      </c>
      <c r="C37" s="19" t="s">
        <v>20</v>
      </c>
      <c r="D37" s="19">
        <v>10</v>
      </c>
      <c r="E37" s="19">
        <v>0</v>
      </c>
      <c r="F37" s="19">
        <v>20000</v>
      </c>
      <c r="G37" s="19">
        <v>0</v>
      </c>
      <c r="H37" s="19">
        <v>0</v>
      </c>
      <c r="I37" s="19">
        <v>11250</v>
      </c>
      <c r="J37" s="19">
        <v>0</v>
      </c>
      <c r="K37" s="19">
        <f t="shared" si="0"/>
        <v>8750</v>
      </c>
      <c r="L37" s="20">
        <v>9375</v>
      </c>
      <c r="M37" s="19">
        <v>23</v>
      </c>
      <c r="N37" s="20">
        <f t="shared" si="5"/>
        <v>19.166666666666668</v>
      </c>
      <c r="O37" s="18"/>
      <c r="P37" s="6">
        <v>2268</v>
      </c>
      <c r="Q37" s="7">
        <f t="shared" si="1"/>
        <v>25515000</v>
      </c>
      <c r="R37" s="7">
        <f t="shared" si="2"/>
        <v>21262500</v>
      </c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35">
      <c r="A38" s="4" t="s">
        <v>53</v>
      </c>
      <c r="B38" s="19" t="s">
        <v>19</v>
      </c>
      <c r="C38" s="19" t="s">
        <v>20</v>
      </c>
      <c r="D38" s="19">
        <v>10</v>
      </c>
      <c r="E38" s="19">
        <v>2621</v>
      </c>
      <c r="F38" s="19">
        <v>7159</v>
      </c>
      <c r="G38" s="19">
        <v>0</v>
      </c>
      <c r="H38" s="19">
        <v>0</v>
      </c>
      <c r="I38" s="19">
        <v>1868</v>
      </c>
      <c r="J38" s="19">
        <v>0</v>
      </c>
      <c r="K38" s="19">
        <f t="shared" si="0"/>
        <v>7912</v>
      </c>
      <c r="L38" s="20">
        <v>6858.5</v>
      </c>
      <c r="M38" s="19">
        <v>23</v>
      </c>
      <c r="N38" s="20">
        <f t="shared" si="5"/>
        <v>84.446199143468945</v>
      </c>
      <c r="O38" s="18"/>
      <c r="P38" s="6">
        <v>1956</v>
      </c>
      <c r="Q38" s="7">
        <f t="shared" si="1"/>
        <v>3653808</v>
      </c>
      <c r="R38" s="7">
        <f t="shared" si="2"/>
        <v>13415226</v>
      </c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35">
      <c r="A39" s="4" t="s">
        <v>54</v>
      </c>
      <c r="B39" s="19" t="s">
        <v>19</v>
      </c>
      <c r="C39" s="19" t="s">
        <v>20</v>
      </c>
      <c r="D39" s="19">
        <v>10</v>
      </c>
      <c r="E39" s="19">
        <v>17535</v>
      </c>
      <c r="F39" s="19">
        <v>0</v>
      </c>
      <c r="G39" s="19">
        <v>0</v>
      </c>
      <c r="H39" s="19">
        <v>0</v>
      </c>
      <c r="I39" s="19">
        <v>8675</v>
      </c>
      <c r="J39" s="19">
        <v>0</v>
      </c>
      <c r="K39" s="19">
        <f t="shared" si="0"/>
        <v>8860</v>
      </c>
      <c r="L39" s="20">
        <v>13093.333333333299</v>
      </c>
      <c r="M39" s="19">
        <v>23</v>
      </c>
      <c r="N39" s="20">
        <f t="shared" si="5"/>
        <v>34.714313160422577</v>
      </c>
      <c r="O39" s="18"/>
      <c r="P39" s="6">
        <v>2218</v>
      </c>
      <c r="Q39" s="7">
        <f t="shared" si="1"/>
        <v>19241150</v>
      </c>
      <c r="R39" s="7">
        <f t="shared" si="2"/>
        <v>29041013.333333258</v>
      </c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35">
      <c r="A40" s="4" t="s">
        <v>174</v>
      </c>
      <c r="B40" s="19" t="s">
        <v>19</v>
      </c>
      <c r="C40" s="19" t="s">
        <v>20</v>
      </c>
      <c r="D40" s="19">
        <v>10</v>
      </c>
      <c r="E40" s="19">
        <v>6000</v>
      </c>
      <c r="F40" s="19">
        <v>3000</v>
      </c>
      <c r="G40" s="19">
        <v>0</v>
      </c>
      <c r="H40" s="19">
        <v>0</v>
      </c>
      <c r="I40" s="19">
        <v>4725</v>
      </c>
      <c r="J40" s="19">
        <v>0</v>
      </c>
      <c r="K40" s="19">
        <f t="shared" si="0"/>
        <v>4275</v>
      </c>
      <c r="L40" s="20">
        <v>2775</v>
      </c>
      <c r="M40" s="19">
        <v>23</v>
      </c>
      <c r="N40" s="20">
        <f t="shared" si="5"/>
        <v>13.507936507936508</v>
      </c>
      <c r="O40" s="18"/>
      <c r="P40" s="6">
        <v>2218</v>
      </c>
      <c r="Q40" s="7">
        <f t="shared" si="1"/>
        <v>10480050</v>
      </c>
      <c r="R40" s="7">
        <f t="shared" si="2"/>
        <v>6154950</v>
      </c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75" customHeight="1" x14ac:dyDescent="0.35">
      <c r="A41" s="4" t="s">
        <v>55</v>
      </c>
      <c r="B41" s="19" t="s">
        <v>19</v>
      </c>
      <c r="C41" s="19" t="s">
        <v>20</v>
      </c>
      <c r="D41" s="19">
        <v>10</v>
      </c>
      <c r="E41" s="19">
        <v>8688</v>
      </c>
      <c r="F41" s="19">
        <v>0</v>
      </c>
      <c r="G41" s="19">
        <v>0</v>
      </c>
      <c r="H41" s="19">
        <v>0</v>
      </c>
      <c r="I41" s="19">
        <v>8587</v>
      </c>
      <c r="J41" s="19">
        <v>13</v>
      </c>
      <c r="K41" s="19">
        <f t="shared" si="0"/>
        <v>88</v>
      </c>
      <c r="L41" s="20">
        <v>3083.6666666666702</v>
      </c>
      <c r="M41" s="19">
        <v>23</v>
      </c>
      <c r="N41" s="20">
        <f t="shared" si="5"/>
        <v>8.2470155038759785</v>
      </c>
      <c r="O41" s="18"/>
      <c r="P41" s="6">
        <v>2218</v>
      </c>
      <c r="Q41" s="7">
        <f t="shared" si="1"/>
        <v>19074800</v>
      </c>
      <c r="R41" s="7">
        <f t="shared" si="2"/>
        <v>6839572.6666666744</v>
      </c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75" customHeight="1" x14ac:dyDescent="0.35">
      <c r="A42" s="4" t="s">
        <v>56</v>
      </c>
      <c r="B42" s="19" t="s">
        <v>19</v>
      </c>
      <c r="C42" s="19" t="s">
        <v>20</v>
      </c>
      <c r="D42" s="19">
        <v>10</v>
      </c>
      <c r="E42" s="19">
        <v>150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f t="shared" si="0"/>
        <v>150</v>
      </c>
      <c r="L42" s="20">
        <v>0</v>
      </c>
      <c r="M42" s="19">
        <v>23</v>
      </c>
      <c r="N42" s="20">
        <v>0</v>
      </c>
      <c r="O42" s="18"/>
      <c r="P42" s="6">
        <v>2245</v>
      </c>
      <c r="Q42" s="7">
        <f t="shared" si="1"/>
        <v>0</v>
      </c>
      <c r="R42" s="7">
        <f t="shared" si="2"/>
        <v>0</v>
      </c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75" customHeight="1" x14ac:dyDescent="0.35">
      <c r="A43" s="4" t="s">
        <v>57</v>
      </c>
      <c r="B43" s="19" t="s">
        <v>22</v>
      </c>
      <c r="C43" s="19" t="s">
        <v>20</v>
      </c>
      <c r="D43" s="19">
        <v>10</v>
      </c>
      <c r="E43" s="19">
        <v>9430</v>
      </c>
      <c r="F43" s="19">
        <v>126000</v>
      </c>
      <c r="G43" s="19">
        <v>0</v>
      </c>
      <c r="H43" s="19">
        <v>0</v>
      </c>
      <c r="I43" s="19">
        <v>118930</v>
      </c>
      <c r="J43" s="19">
        <v>50</v>
      </c>
      <c r="K43" s="19">
        <f t="shared" si="0"/>
        <v>16450</v>
      </c>
      <c r="L43" s="20">
        <v>14919.545454545501</v>
      </c>
      <c r="M43" s="19">
        <v>23</v>
      </c>
      <c r="N43" s="20">
        <f t="shared" ref="N43:N49" si="6">(L43/(I43+J43))*M43</f>
        <v>2.884094347407518</v>
      </c>
      <c r="O43" s="18"/>
      <c r="P43" s="6">
        <v>2245</v>
      </c>
      <c r="Q43" s="7">
        <f t="shared" si="1"/>
        <v>267110100</v>
      </c>
      <c r="R43" s="7">
        <f t="shared" si="2"/>
        <v>33494379.545454651</v>
      </c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75" customHeight="1" x14ac:dyDescent="0.35">
      <c r="A44" s="4" t="s">
        <v>58</v>
      </c>
      <c r="B44" s="19" t="s">
        <v>22</v>
      </c>
      <c r="C44" s="19" t="s">
        <v>20</v>
      </c>
      <c r="D44" s="19">
        <v>10</v>
      </c>
      <c r="E44" s="19">
        <v>14959</v>
      </c>
      <c r="F44" s="19">
        <v>170300</v>
      </c>
      <c r="G44" s="19">
        <v>0</v>
      </c>
      <c r="H44" s="19">
        <v>0</v>
      </c>
      <c r="I44" s="19">
        <v>125787</v>
      </c>
      <c r="J44" s="19">
        <v>3402</v>
      </c>
      <c r="K44" s="19">
        <f t="shared" si="0"/>
        <v>56070</v>
      </c>
      <c r="L44" s="20">
        <v>16996.3636363636</v>
      </c>
      <c r="M44" s="19">
        <v>23</v>
      </c>
      <c r="N44" s="20">
        <f t="shared" si="6"/>
        <v>3.0259260744828338</v>
      </c>
      <c r="O44" s="18"/>
      <c r="P44" s="6">
        <v>1419</v>
      </c>
      <c r="Q44" s="7">
        <f t="shared" si="1"/>
        <v>183319191</v>
      </c>
      <c r="R44" s="7">
        <f t="shared" si="2"/>
        <v>24117839.999999948</v>
      </c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75" customHeight="1" x14ac:dyDescent="0.35">
      <c r="A45" s="4" t="s">
        <v>59</v>
      </c>
      <c r="B45" s="19" t="s">
        <v>19</v>
      </c>
      <c r="C45" s="19" t="s">
        <v>20</v>
      </c>
      <c r="D45" s="19">
        <v>10</v>
      </c>
      <c r="E45" s="19">
        <v>6134</v>
      </c>
      <c r="F45" s="19">
        <v>0</v>
      </c>
      <c r="G45" s="19">
        <v>0</v>
      </c>
      <c r="H45" s="19">
        <v>0</v>
      </c>
      <c r="I45" s="19">
        <v>3750</v>
      </c>
      <c r="J45" s="19">
        <v>0</v>
      </c>
      <c r="K45" s="19">
        <f t="shared" si="0"/>
        <v>2384</v>
      </c>
      <c r="L45" s="20">
        <v>3634</v>
      </c>
      <c r="M45" s="19">
        <v>23</v>
      </c>
      <c r="N45" s="20">
        <f t="shared" si="6"/>
        <v>22.288533333333334</v>
      </c>
      <c r="O45" s="18"/>
      <c r="P45" s="6">
        <v>2765</v>
      </c>
      <c r="Q45" s="7">
        <f t="shared" si="1"/>
        <v>10368750</v>
      </c>
      <c r="R45" s="7">
        <f t="shared" si="2"/>
        <v>10048010</v>
      </c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75" customHeight="1" x14ac:dyDescent="0.35">
      <c r="A46" s="4" t="s">
        <v>60</v>
      </c>
      <c r="B46" s="19" t="s">
        <v>19</v>
      </c>
      <c r="C46" s="19" t="s">
        <v>20</v>
      </c>
      <c r="D46" s="19">
        <v>10</v>
      </c>
      <c r="E46" s="19">
        <v>28997</v>
      </c>
      <c r="F46" s="19">
        <v>27969</v>
      </c>
      <c r="G46" s="19">
        <v>0</v>
      </c>
      <c r="H46" s="19">
        <v>0</v>
      </c>
      <c r="I46" s="19">
        <v>21179</v>
      </c>
      <c r="J46" s="19">
        <v>0</v>
      </c>
      <c r="K46" s="19">
        <f t="shared" si="0"/>
        <v>35787</v>
      </c>
      <c r="L46" s="20">
        <v>36690.375</v>
      </c>
      <c r="M46" s="19">
        <v>23</v>
      </c>
      <c r="N46" s="20">
        <f t="shared" si="6"/>
        <v>39.845064686717976</v>
      </c>
      <c r="O46" s="18"/>
      <c r="P46" s="6">
        <v>4592</v>
      </c>
      <c r="Q46" s="7">
        <f t="shared" si="1"/>
        <v>97253968</v>
      </c>
      <c r="R46" s="7">
        <f t="shared" si="2"/>
        <v>168482202</v>
      </c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75" customHeight="1" x14ac:dyDescent="0.35">
      <c r="A47" s="4" t="s">
        <v>61</v>
      </c>
      <c r="B47" s="19" t="s">
        <v>19</v>
      </c>
      <c r="C47" s="19" t="s">
        <v>20</v>
      </c>
      <c r="D47" s="19">
        <v>10</v>
      </c>
      <c r="E47" s="19">
        <v>13358</v>
      </c>
      <c r="F47" s="19">
        <v>45904</v>
      </c>
      <c r="G47" s="19">
        <v>0</v>
      </c>
      <c r="H47" s="19">
        <v>0</v>
      </c>
      <c r="I47" s="19">
        <v>37550</v>
      </c>
      <c r="J47" s="19">
        <v>0</v>
      </c>
      <c r="K47" s="19">
        <f t="shared" si="0"/>
        <v>21712</v>
      </c>
      <c r="L47" s="20">
        <v>23207.75</v>
      </c>
      <c r="M47" s="19">
        <v>23</v>
      </c>
      <c r="N47" s="20">
        <f t="shared" si="6"/>
        <v>14.215133155792277</v>
      </c>
      <c r="O47" s="18"/>
      <c r="P47" s="6">
        <v>2297</v>
      </c>
      <c r="Q47" s="7">
        <f t="shared" si="1"/>
        <v>86252350</v>
      </c>
      <c r="R47" s="7">
        <f t="shared" si="2"/>
        <v>53308201.75</v>
      </c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75" customHeight="1" x14ac:dyDescent="0.35">
      <c r="A48" s="4" t="s">
        <v>62</v>
      </c>
      <c r="B48" s="19" t="s">
        <v>19</v>
      </c>
      <c r="C48" s="19" t="s">
        <v>20</v>
      </c>
      <c r="D48" s="19">
        <v>10</v>
      </c>
      <c r="E48" s="19">
        <v>1000</v>
      </c>
      <c r="F48" s="19">
        <v>1000</v>
      </c>
      <c r="G48" s="19">
        <v>0</v>
      </c>
      <c r="H48" s="19">
        <v>0</v>
      </c>
      <c r="I48" s="19">
        <v>975</v>
      </c>
      <c r="J48" s="19">
        <v>0</v>
      </c>
      <c r="K48" s="19">
        <f t="shared" si="0"/>
        <v>1025</v>
      </c>
      <c r="L48" s="20">
        <v>1025</v>
      </c>
      <c r="M48" s="19">
        <v>23</v>
      </c>
      <c r="N48" s="20">
        <f t="shared" si="6"/>
        <v>24.179487179487179</v>
      </c>
      <c r="O48" s="18"/>
      <c r="P48" s="6">
        <v>2616</v>
      </c>
      <c r="Q48" s="7">
        <f t="shared" si="1"/>
        <v>2550600</v>
      </c>
      <c r="R48" s="7">
        <f t="shared" si="2"/>
        <v>2681400</v>
      </c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75" customHeight="1" x14ac:dyDescent="0.35">
      <c r="A49" s="4" t="s">
        <v>64</v>
      </c>
      <c r="B49" s="19" t="s">
        <v>19</v>
      </c>
      <c r="C49" s="19" t="s">
        <v>20</v>
      </c>
      <c r="D49" s="19">
        <v>10</v>
      </c>
      <c r="E49" s="19">
        <v>11400</v>
      </c>
      <c r="F49" s="19">
        <v>76950</v>
      </c>
      <c r="G49" s="19">
        <v>0</v>
      </c>
      <c r="H49" s="19">
        <v>0</v>
      </c>
      <c r="I49" s="19">
        <v>67500</v>
      </c>
      <c r="J49" s="19">
        <v>0</v>
      </c>
      <c r="K49" s="19">
        <f t="shared" si="0"/>
        <v>20850</v>
      </c>
      <c r="L49" s="20">
        <v>17975</v>
      </c>
      <c r="M49" s="19">
        <v>23</v>
      </c>
      <c r="N49" s="20">
        <f t="shared" si="6"/>
        <v>6.1248148148148154</v>
      </c>
      <c r="O49" s="18"/>
      <c r="P49" s="6">
        <v>1968</v>
      </c>
      <c r="Q49" s="7">
        <f t="shared" si="1"/>
        <v>132840000</v>
      </c>
      <c r="R49" s="7">
        <f t="shared" si="2"/>
        <v>35374800</v>
      </c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75" customHeight="1" x14ac:dyDescent="0.35">
      <c r="A50" s="4" t="s">
        <v>65</v>
      </c>
      <c r="B50" s="19" t="s">
        <v>19</v>
      </c>
      <c r="C50" s="19" t="s">
        <v>20</v>
      </c>
      <c r="D50" s="19">
        <v>10</v>
      </c>
      <c r="E50" s="19">
        <v>6420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f t="shared" si="0"/>
        <v>6420</v>
      </c>
      <c r="L50" s="20">
        <v>0</v>
      </c>
      <c r="M50" s="19">
        <v>23</v>
      </c>
      <c r="N50" s="20">
        <v>0</v>
      </c>
      <c r="O50" s="18"/>
      <c r="P50" s="6">
        <v>2503</v>
      </c>
      <c r="Q50" s="7">
        <f t="shared" si="1"/>
        <v>0</v>
      </c>
      <c r="R50" s="7">
        <f t="shared" si="2"/>
        <v>0</v>
      </c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75" customHeight="1" x14ac:dyDescent="0.35">
      <c r="A51" s="4" t="s">
        <v>66</v>
      </c>
      <c r="B51" s="19" t="s">
        <v>19</v>
      </c>
      <c r="C51" s="19" t="s">
        <v>20</v>
      </c>
      <c r="D51" s="19">
        <v>10</v>
      </c>
      <c r="E51" s="19">
        <v>31170</v>
      </c>
      <c r="F51" s="19">
        <v>182500</v>
      </c>
      <c r="G51" s="19">
        <v>0</v>
      </c>
      <c r="H51" s="19">
        <v>0</v>
      </c>
      <c r="I51" s="19">
        <v>168645</v>
      </c>
      <c r="J51" s="19">
        <v>135</v>
      </c>
      <c r="K51" s="19">
        <f t="shared" si="0"/>
        <v>44890</v>
      </c>
      <c r="L51" s="20">
        <v>33757.727272727301</v>
      </c>
      <c r="M51" s="19">
        <v>23</v>
      </c>
      <c r="N51" s="20">
        <f t="shared" ref="N51:N70" si="7">(L51/(I51+J51))*M51</f>
        <v>4.6002353790302637</v>
      </c>
      <c r="O51" s="18"/>
      <c r="P51" s="6">
        <v>2503</v>
      </c>
      <c r="Q51" s="7">
        <f t="shared" si="1"/>
        <v>422456340</v>
      </c>
      <c r="R51" s="7">
        <f t="shared" si="2"/>
        <v>84495591.363636434</v>
      </c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75" customHeight="1" x14ac:dyDescent="0.35">
      <c r="A52" s="4" t="s">
        <v>67</v>
      </c>
      <c r="B52" s="19" t="s">
        <v>19</v>
      </c>
      <c r="C52" s="19" t="s">
        <v>20</v>
      </c>
      <c r="D52" s="19">
        <v>10</v>
      </c>
      <c r="E52" s="19">
        <v>9861</v>
      </c>
      <c r="F52" s="19">
        <v>1387</v>
      </c>
      <c r="G52" s="19">
        <v>0</v>
      </c>
      <c r="H52" s="19">
        <v>0</v>
      </c>
      <c r="I52" s="19">
        <v>9525</v>
      </c>
      <c r="J52" s="19">
        <v>25</v>
      </c>
      <c r="K52" s="19">
        <f t="shared" si="0"/>
        <v>1698</v>
      </c>
      <c r="L52" s="20">
        <v>3940.625</v>
      </c>
      <c r="M52" s="19">
        <v>23</v>
      </c>
      <c r="N52" s="20">
        <f t="shared" si="7"/>
        <v>9.490510471204189</v>
      </c>
      <c r="O52" s="18"/>
      <c r="P52" s="6">
        <v>2103</v>
      </c>
      <c r="Q52" s="7">
        <f t="shared" si="1"/>
        <v>20083650</v>
      </c>
      <c r="R52" s="7">
        <f t="shared" si="2"/>
        <v>8287134.375</v>
      </c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75" customHeight="1" x14ac:dyDescent="0.35">
      <c r="A53" s="4" t="s">
        <v>68</v>
      </c>
      <c r="B53" s="19" t="s">
        <v>19</v>
      </c>
      <c r="C53" s="19" t="s">
        <v>20</v>
      </c>
      <c r="D53" s="19">
        <v>10</v>
      </c>
      <c r="E53" s="19">
        <v>6079</v>
      </c>
      <c r="F53" s="19">
        <v>16775</v>
      </c>
      <c r="G53" s="19">
        <v>0</v>
      </c>
      <c r="H53" s="19">
        <v>0</v>
      </c>
      <c r="I53" s="19">
        <v>10000</v>
      </c>
      <c r="J53" s="19">
        <v>0</v>
      </c>
      <c r="K53" s="19">
        <f t="shared" si="0"/>
        <v>12854</v>
      </c>
      <c r="L53" s="20">
        <v>14291.5</v>
      </c>
      <c r="M53" s="19">
        <v>23</v>
      </c>
      <c r="N53" s="20">
        <f t="shared" si="7"/>
        <v>32.870449999999998</v>
      </c>
      <c r="O53" s="18"/>
      <c r="P53" s="6">
        <v>2802</v>
      </c>
      <c r="Q53" s="7">
        <f t="shared" si="1"/>
        <v>28020000</v>
      </c>
      <c r="R53" s="7">
        <f t="shared" si="2"/>
        <v>40044783</v>
      </c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75" customHeight="1" x14ac:dyDescent="0.35">
      <c r="A54" s="4" t="s">
        <v>69</v>
      </c>
      <c r="B54" s="19" t="s">
        <v>19</v>
      </c>
      <c r="C54" s="19" t="s">
        <v>20</v>
      </c>
      <c r="D54" s="19">
        <v>10</v>
      </c>
      <c r="E54" s="19">
        <v>27500</v>
      </c>
      <c r="F54" s="19">
        <v>71250</v>
      </c>
      <c r="G54" s="19">
        <v>0</v>
      </c>
      <c r="H54" s="19">
        <v>0</v>
      </c>
      <c r="I54" s="19">
        <v>86250</v>
      </c>
      <c r="J54" s="19">
        <v>0</v>
      </c>
      <c r="K54" s="19">
        <f t="shared" si="0"/>
        <v>12500</v>
      </c>
      <c r="L54" s="20">
        <v>25687.5</v>
      </c>
      <c r="M54" s="19">
        <v>23</v>
      </c>
      <c r="N54" s="20">
        <f t="shared" si="7"/>
        <v>6.85</v>
      </c>
      <c r="O54" s="18"/>
      <c r="P54" s="6">
        <v>2126</v>
      </c>
      <c r="Q54" s="7">
        <f t="shared" si="1"/>
        <v>183367500</v>
      </c>
      <c r="R54" s="7">
        <f t="shared" si="2"/>
        <v>54611625</v>
      </c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75" customHeight="1" x14ac:dyDescent="0.35">
      <c r="A55" s="4" t="s">
        <v>70</v>
      </c>
      <c r="B55" s="19" t="s">
        <v>22</v>
      </c>
      <c r="C55" s="19" t="s">
        <v>20</v>
      </c>
      <c r="D55" s="19">
        <v>10</v>
      </c>
      <c r="E55" s="19">
        <v>22925</v>
      </c>
      <c r="F55" s="19">
        <v>89925</v>
      </c>
      <c r="G55" s="19">
        <v>0</v>
      </c>
      <c r="H55" s="19">
        <v>0</v>
      </c>
      <c r="I55" s="19">
        <v>89925</v>
      </c>
      <c r="J55" s="19">
        <v>55</v>
      </c>
      <c r="K55" s="19">
        <f t="shared" si="0"/>
        <v>22870</v>
      </c>
      <c r="L55" s="20">
        <v>17141.304347826099</v>
      </c>
      <c r="M55" s="19">
        <v>23</v>
      </c>
      <c r="N55" s="20">
        <f t="shared" si="7"/>
        <v>4.3815292287174961</v>
      </c>
      <c r="O55" s="18"/>
      <c r="P55" s="6">
        <v>2846</v>
      </c>
      <c r="Q55" s="7">
        <f t="shared" si="1"/>
        <v>256083080</v>
      </c>
      <c r="R55" s="7">
        <f t="shared" si="2"/>
        <v>48784152.173913077</v>
      </c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75" customHeight="1" x14ac:dyDescent="0.35">
      <c r="A56" s="4" t="s">
        <v>71</v>
      </c>
      <c r="B56" s="19" t="s">
        <v>19</v>
      </c>
      <c r="C56" s="19" t="s">
        <v>20</v>
      </c>
      <c r="D56" s="19">
        <v>10</v>
      </c>
      <c r="E56" s="19">
        <v>5403</v>
      </c>
      <c r="F56" s="19">
        <v>9050</v>
      </c>
      <c r="G56" s="19">
        <v>0</v>
      </c>
      <c r="H56" s="19">
        <v>0</v>
      </c>
      <c r="I56" s="19">
        <v>14164</v>
      </c>
      <c r="J56" s="19">
        <v>0</v>
      </c>
      <c r="K56" s="19">
        <f t="shared" si="0"/>
        <v>289</v>
      </c>
      <c r="L56" s="20">
        <v>2773.1428571428601</v>
      </c>
      <c r="M56" s="19">
        <v>23</v>
      </c>
      <c r="N56" s="20">
        <f t="shared" si="7"/>
        <v>4.5031266389639777</v>
      </c>
      <c r="O56" s="18"/>
      <c r="P56" s="6">
        <v>2514</v>
      </c>
      <c r="Q56" s="7">
        <f t="shared" si="1"/>
        <v>35608296</v>
      </c>
      <c r="R56" s="7">
        <f t="shared" si="2"/>
        <v>6971681.1428571502</v>
      </c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75" customHeight="1" x14ac:dyDescent="0.35">
      <c r="A57" s="4" t="s">
        <v>72</v>
      </c>
      <c r="B57" s="19" t="s">
        <v>19</v>
      </c>
      <c r="C57" s="19" t="s">
        <v>20</v>
      </c>
      <c r="D57" s="19">
        <v>10</v>
      </c>
      <c r="E57" s="19">
        <v>24284</v>
      </c>
      <c r="F57" s="19">
        <v>16000</v>
      </c>
      <c r="G57" s="19">
        <v>0</v>
      </c>
      <c r="H57" s="19">
        <v>0</v>
      </c>
      <c r="I57" s="19">
        <v>25395</v>
      </c>
      <c r="J57" s="19">
        <v>0</v>
      </c>
      <c r="K57" s="19">
        <f t="shared" si="0"/>
        <v>14889</v>
      </c>
      <c r="L57" s="20">
        <v>10520.625</v>
      </c>
      <c r="M57" s="19">
        <v>23</v>
      </c>
      <c r="N57" s="20">
        <f t="shared" si="7"/>
        <v>9.5284258712344947</v>
      </c>
      <c r="O57" s="18"/>
      <c r="P57" s="6">
        <v>1956</v>
      </c>
      <c r="Q57" s="7">
        <f t="shared" si="1"/>
        <v>49672620</v>
      </c>
      <c r="R57" s="7">
        <f t="shared" si="2"/>
        <v>20578342.5</v>
      </c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75" customHeight="1" x14ac:dyDescent="0.35">
      <c r="A58" s="4" t="s">
        <v>73</v>
      </c>
      <c r="B58" s="19" t="s">
        <v>19</v>
      </c>
      <c r="C58" s="19" t="s">
        <v>20</v>
      </c>
      <c r="D58" s="19">
        <v>10</v>
      </c>
      <c r="E58" s="19">
        <v>65561</v>
      </c>
      <c r="F58" s="19">
        <v>0</v>
      </c>
      <c r="G58" s="19">
        <v>0</v>
      </c>
      <c r="H58" s="19">
        <v>0</v>
      </c>
      <c r="I58" s="19">
        <v>36500</v>
      </c>
      <c r="J58" s="19">
        <v>0</v>
      </c>
      <c r="K58" s="19">
        <f t="shared" si="0"/>
        <v>29061</v>
      </c>
      <c r="L58" s="20">
        <v>45918.8947368421</v>
      </c>
      <c r="M58" s="19">
        <v>23</v>
      </c>
      <c r="N58" s="20">
        <f t="shared" si="7"/>
        <v>28.935193943763512</v>
      </c>
      <c r="O58" s="18"/>
      <c r="P58" s="6">
        <v>3391</v>
      </c>
      <c r="Q58" s="7">
        <f t="shared" si="1"/>
        <v>123771500</v>
      </c>
      <c r="R58" s="7">
        <f t="shared" si="2"/>
        <v>155710972.05263156</v>
      </c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75" customHeight="1" x14ac:dyDescent="0.35">
      <c r="A59" s="4" t="s">
        <v>74</v>
      </c>
      <c r="B59" s="19" t="s">
        <v>19</v>
      </c>
      <c r="C59" s="19" t="s">
        <v>20</v>
      </c>
      <c r="D59" s="19">
        <v>10</v>
      </c>
      <c r="E59" s="19">
        <v>12550</v>
      </c>
      <c r="F59" s="19">
        <v>15100</v>
      </c>
      <c r="G59" s="19">
        <v>0</v>
      </c>
      <c r="H59" s="19">
        <v>0</v>
      </c>
      <c r="I59" s="19">
        <v>20475</v>
      </c>
      <c r="J59" s="19">
        <v>0</v>
      </c>
      <c r="K59" s="19">
        <f t="shared" si="0"/>
        <v>7175</v>
      </c>
      <c r="L59" s="20">
        <v>7075</v>
      </c>
      <c r="M59" s="19">
        <v>23</v>
      </c>
      <c r="N59" s="20">
        <f t="shared" si="7"/>
        <v>7.9474969474969477</v>
      </c>
      <c r="O59" s="18"/>
      <c r="P59" s="6">
        <v>3549</v>
      </c>
      <c r="Q59" s="7">
        <f t="shared" si="1"/>
        <v>72665775</v>
      </c>
      <c r="R59" s="7">
        <f t="shared" si="2"/>
        <v>25109175</v>
      </c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75" customHeight="1" x14ac:dyDescent="0.35">
      <c r="A60" s="4" t="s">
        <v>75</v>
      </c>
      <c r="B60" s="19" t="s">
        <v>19</v>
      </c>
      <c r="C60" s="19" t="s">
        <v>20</v>
      </c>
      <c r="D60" s="19">
        <v>10</v>
      </c>
      <c r="E60" s="19">
        <v>20545</v>
      </c>
      <c r="F60" s="19">
        <v>47140</v>
      </c>
      <c r="G60" s="19">
        <v>0</v>
      </c>
      <c r="H60" s="19">
        <v>0</v>
      </c>
      <c r="I60" s="19">
        <v>46033</v>
      </c>
      <c r="J60" s="19">
        <v>0</v>
      </c>
      <c r="K60" s="19">
        <f t="shared" si="0"/>
        <v>21652</v>
      </c>
      <c r="L60" s="20">
        <v>21259.933333333302</v>
      </c>
      <c r="M60" s="19">
        <v>23</v>
      </c>
      <c r="N60" s="20">
        <f t="shared" si="7"/>
        <v>10.622346287808007</v>
      </c>
      <c r="O60" s="18"/>
      <c r="P60" s="6">
        <v>2129</v>
      </c>
      <c r="Q60" s="7">
        <f t="shared" si="1"/>
        <v>98004257</v>
      </c>
      <c r="R60" s="7">
        <f t="shared" si="2"/>
        <v>45262398.066666596</v>
      </c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75" customHeight="1" x14ac:dyDescent="0.35">
      <c r="A61" s="4" t="s">
        <v>76</v>
      </c>
      <c r="B61" s="19" t="s">
        <v>19</v>
      </c>
      <c r="C61" s="19" t="s">
        <v>20</v>
      </c>
      <c r="D61" s="19">
        <v>10</v>
      </c>
      <c r="E61" s="19">
        <v>5526</v>
      </c>
      <c r="F61" s="19">
        <v>14591</v>
      </c>
      <c r="G61" s="19">
        <v>0</v>
      </c>
      <c r="H61" s="19">
        <v>0</v>
      </c>
      <c r="I61" s="19">
        <v>20117</v>
      </c>
      <c r="J61" s="19">
        <v>0</v>
      </c>
      <c r="K61" s="19">
        <f t="shared" si="0"/>
        <v>0</v>
      </c>
      <c r="L61" s="20">
        <v>5033.5555555555602</v>
      </c>
      <c r="M61" s="19">
        <v>23</v>
      </c>
      <c r="N61" s="20">
        <f t="shared" si="7"/>
        <v>5.7549225917272899</v>
      </c>
      <c r="O61" s="18"/>
      <c r="P61" s="6">
        <v>2129</v>
      </c>
      <c r="Q61" s="7">
        <f t="shared" si="1"/>
        <v>42829093</v>
      </c>
      <c r="R61" s="7">
        <f t="shared" si="2"/>
        <v>10716439.777777787</v>
      </c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75" customHeight="1" x14ac:dyDescent="0.35">
      <c r="A62" s="4" t="s">
        <v>77</v>
      </c>
      <c r="B62" s="19" t="s">
        <v>19</v>
      </c>
      <c r="C62" s="19" t="s">
        <v>20</v>
      </c>
      <c r="D62" s="19">
        <v>10</v>
      </c>
      <c r="E62" s="19">
        <v>1432</v>
      </c>
      <c r="F62" s="19">
        <v>1050</v>
      </c>
      <c r="G62" s="19">
        <v>0</v>
      </c>
      <c r="H62" s="19">
        <v>0</v>
      </c>
      <c r="I62" s="19">
        <v>613</v>
      </c>
      <c r="J62" s="19">
        <v>0</v>
      </c>
      <c r="K62" s="19">
        <f t="shared" si="0"/>
        <v>1869</v>
      </c>
      <c r="L62" s="20">
        <v>1614</v>
      </c>
      <c r="M62" s="19">
        <v>23</v>
      </c>
      <c r="N62" s="20">
        <f t="shared" si="7"/>
        <v>60.557911908646005</v>
      </c>
      <c r="O62" s="18"/>
      <c r="P62" s="6">
        <v>2131</v>
      </c>
      <c r="Q62" s="7">
        <f t="shared" si="1"/>
        <v>1306303</v>
      </c>
      <c r="R62" s="7">
        <f t="shared" si="2"/>
        <v>3439434</v>
      </c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75" customHeight="1" x14ac:dyDescent="0.35">
      <c r="A63" s="4" t="s">
        <v>78</v>
      </c>
      <c r="B63" s="19" t="s">
        <v>19</v>
      </c>
      <c r="C63" s="19" t="s">
        <v>20</v>
      </c>
      <c r="D63" s="19">
        <v>10</v>
      </c>
      <c r="E63" s="19">
        <v>3346</v>
      </c>
      <c r="F63" s="19">
        <v>9588</v>
      </c>
      <c r="G63" s="19">
        <v>0</v>
      </c>
      <c r="H63" s="19">
        <v>0</v>
      </c>
      <c r="I63" s="19">
        <v>3748</v>
      </c>
      <c r="J63" s="19">
        <v>0</v>
      </c>
      <c r="K63" s="19">
        <f t="shared" si="0"/>
        <v>9186</v>
      </c>
      <c r="L63" s="20">
        <v>6681.6</v>
      </c>
      <c r="M63" s="19">
        <v>23</v>
      </c>
      <c r="N63" s="20">
        <f t="shared" si="7"/>
        <v>41.002347918890074</v>
      </c>
      <c r="O63" s="18"/>
      <c r="P63" s="6">
        <v>2131</v>
      </c>
      <c r="Q63" s="7">
        <f t="shared" si="1"/>
        <v>7986988</v>
      </c>
      <c r="R63" s="7">
        <f t="shared" si="2"/>
        <v>14238489.600000001</v>
      </c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75" customHeight="1" x14ac:dyDescent="0.35">
      <c r="A64" s="4" t="s">
        <v>79</v>
      </c>
      <c r="B64" s="19" t="s">
        <v>19</v>
      </c>
      <c r="C64" s="19" t="s">
        <v>20</v>
      </c>
      <c r="D64" s="19">
        <v>10</v>
      </c>
      <c r="E64" s="19">
        <v>23487</v>
      </c>
      <c r="F64" s="19">
        <v>37345</v>
      </c>
      <c r="G64" s="19">
        <v>0</v>
      </c>
      <c r="H64" s="19">
        <v>0</v>
      </c>
      <c r="I64" s="19">
        <v>43970</v>
      </c>
      <c r="J64" s="19">
        <v>50</v>
      </c>
      <c r="K64" s="19">
        <f t="shared" si="0"/>
        <v>16812</v>
      </c>
      <c r="L64" s="20">
        <v>23150.95</v>
      </c>
      <c r="M64" s="19">
        <v>23</v>
      </c>
      <c r="N64" s="20">
        <f t="shared" si="7"/>
        <v>12.096134711494775</v>
      </c>
      <c r="O64" s="18"/>
      <c r="P64" s="6">
        <v>2245</v>
      </c>
      <c r="Q64" s="7">
        <f t="shared" si="1"/>
        <v>98824900</v>
      </c>
      <c r="R64" s="7">
        <f t="shared" si="2"/>
        <v>51973882.75</v>
      </c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75" customHeight="1" x14ac:dyDescent="0.35">
      <c r="A65" s="4" t="s">
        <v>80</v>
      </c>
      <c r="B65" s="19" t="s">
        <v>19</v>
      </c>
      <c r="C65" s="19" t="s">
        <v>20</v>
      </c>
      <c r="D65" s="19">
        <v>10</v>
      </c>
      <c r="E65" s="19">
        <v>28853</v>
      </c>
      <c r="F65" s="19">
        <v>21700</v>
      </c>
      <c r="G65" s="19">
        <v>0</v>
      </c>
      <c r="H65" s="19">
        <v>0</v>
      </c>
      <c r="I65" s="19">
        <v>39780</v>
      </c>
      <c r="J65" s="19">
        <v>0</v>
      </c>
      <c r="K65" s="19">
        <f t="shared" si="0"/>
        <v>10773</v>
      </c>
      <c r="L65" s="20">
        <v>13760.5</v>
      </c>
      <c r="M65" s="19">
        <v>23</v>
      </c>
      <c r="N65" s="20">
        <f t="shared" si="7"/>
        <v>7.9560457516339866</v>
      </c>
      <c r="O65" s="18"/>
      <c r="P65" s="6">
        <v>2121</v>
      </c>
      <c r="Q65" s="7">
        <f t="shared" si="1"/>
        <v>84373380</v>
      </c>
      <c r="R65" s="7">
        <f t="shared" si="2"/>
        <v>29186020.5</v>
      </c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75" customHeight="1" x14ac:dyDescent="0.35">
      <c r="A66" s="4" t="s">
        <v>81</v>
      </c>
      <c r="B66" s="19" t="s">
        <v>19</v>
      </c>
      <c r="C66" s="19" t="s">
        <v>20</v>
      </c>
      <c r="D66" s="19">
        <v>10</v>
      </c>
      <c r="E66" s="19">
        <v>0</v>
      </c>
      <c r="F66" s="19">
        <v>1890</v>
      </c>
      <c r="G66" s="19">
        <v>0</v>
      </c>
      <c r="H66" s="19">
        <v>0</v>
      </c>
      <c r="I66" s="19">
        <v>1890</v>
      </c>
      <c r="J66" s="19">
        <v>0</v>
      </c>
      <c r="K66" s="19">
        <f t="shared" si="0"/>
        <v>0</v>
      </c>
      <c r="L66" s="20">
        <v>1046.6666666666702</v>
      </c>
      <c r="M66" s="19">
        <v>23</v>
      </c>
      <c r="N66" s="20">
        <f t="shared" si="7"/>
        <v>12.737213403880114</v>
      </c>
      <c r="O66" s="18"/>
      <c r="P66" s="6">
        <v>2131</v>
      </c>
      <c r="Q66" s="7">
        <f t="shared" si="1"/>
        <v>4027590</v>
      </c>
      <c r="R66" s="7">
        <f t="shared" si="2"/>
        <v>2230446.666666674</v>
      </c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75" customHeight="1" x14ac:dyDescent="0.35">
      <c r="A67" s="4" t="s">
        <v>82</v>
      </c>
      <c r="B67" s="19" t="s">
        <v>19</v>
      </c>
      <c r="C67" s="19" t="s">
        <v>20</v>
      </c>
      <c r="D67" s="19">
        <v>10</v>
      </c>
      <c r="E67" s="19">
        <v>2641</v>
      </c>
      <c r="F67" s="19">
        <v>850</v>
      </c>
      <c r="G67" s="19">
        <v>0</v>
      </c>
      <c r="H67" s="19">
        <v>0</v>
      </c>
      <c r="I67" s="19">
        <v>1400</v>
      </c>
      <c r="J67" s="19">
        <v>0</v>
      </c>
      <c r="K67" s="19">
        <f t="shared" si="0"/>
        <v>2091</v>
      </c>
      <c r="L67" s="20">
        <v>2261</v>
      </c>
      <c r="M67" s="19">
        <v>23</v>
      </c>
      <c r="N67" s="20">
        <f t="shared" si="7"/>
        <v>37.145000000000003</v>
      </c>
      <c r="O67" s="18"/>
      <c r="P67" s="6">
        <v>4592</v>
      </c>
      <c r="Q67" s="7">
        <f t="shared" si="1"/>
        <v>6428800</v>
      </c>
      <c r="R67" s="7">
        <f t="shared" si="2"/>
        <v>10382512</v>
      </c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75" customHeight="1" x14ac:dyDescent="0.35">
      <c r="A68" s="4" t="s">
        <v>83</v>
      </c>
      <c r="B68" s="19" t="s">
        <v>19</v>
      </c>
      <c r="C68" s="19" t="s">
        <v>20</v>
      </c>
      <c r="D68" s="19">
        <v>10</v>
      </c>
      <c r="E68" s="19">
        <v>17794</v>
      </c>
      <c r="F68" s="19">
        <v>6065</v>
      </c>
      <c r="G68" s="19">
        <v>0</v>
      </c>
      <c r="H68" s="19">
        <v>0</v>
      </c>
      <c r="I68" s="19">
        <v>8665</v>
      </c>
      <c r="J68" s="19">
        <v>0</v>
      </c>
      <c r="K68" s="19">
        <f t="shared" si="0"/>
        <v>15194</v>
      </c>
      <c r="L68" s="20">
        <v>18007.75</v>
      </c>
      <c r="M68" s="19">
        <v>23</v>
      </c>
      <c r="N68" s="20">
        <f t="shared" si="7"/>
        <v>47.798990190421236</v>
      </c>
      <c r="O68" s="18"/>
      <c r="P68" s="6">
        <v>2297</v>
      </c>
      <c r="Q68" s="7">
        <f t="shared" si="1"/>
        <v>19903505</v>
      </c>
      <c r="R68" s="7">
        <f t="shared" si="2"/>
        <v>41363801.75</v>
      </c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75" customHeight="1" x14ac:dyDescent="0.35">
      <c r="A69" s="4" t="s">
        <v>84</v>
      </c>
      <c r="B69" s="19" t="s">
        <v>19</v>
      </c>
      <c r="C69" s="19" t="s">
        <v>20</v>
      </c>
      <c r="D69" s="19">
        <v>10</v>
      </c>
      <c r="E69" s="19">
        <v>1700</v>
      </c>
      <c r="F69" s="19">
        <v>0</v>
      </c>
      <c r="G69" s="19">
        <v>0</v>
      </c>
      <c r="H69" s="19">
        <v>0</v>
      </c>
      <c r="I69" s="19">
        <v>400</v>
      </c>
      <c r="J69" s="19">
        <v>0</v>
      </c>
      <c r="K69" s="19">
        <f t="shared" si="0"/>
        <v>1300</v>
      </c>
      <c r="L69" s="20">
        <v>1300</v>
      </c>
      <c r="M69" s="19">
        <v>23</v>
      </c>
      <c r="N69" s="20">
        <f t="shared" si="7"/>
        <v>74.75</v>
      </c>
      <c r="O69" s="18"/>
      <c r="P69" s="6">
        <v>4592</v>
      </c>
      <c r="Q69" s="7">
        <f t="shared" si="1"/>
        <v>1836800</v>
      </c>
      <c r="R69" s="7">
        <f t="shared" si="2"/>
        <v>5969600</v>
      </c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75" customHeight="1" x14ac:dyDescent="0.35">
      <c r="A70" s="4" t="s">
        <v>85</v>
      </c>
      <c r="B70" s="19" t="s">
        <v>22</v>
      </c>
      <c r="C70" s="19" t="s">
        <v>20</v>
      </c>
      <c r="D70" s="19">
        <v>10</v>
      </c>
      <c r="E70" s="19">
        <v>23955</v>
      </c>
      <c r="F70" s="19">
        <v>99825</v>
      </c>
      <c r="G70" s="19">
        <v>0</v>
      </c>
      <c r="H70" s="19">
        <v>0</v>
      </c>
      <c r="I70" s="19">
        <v>100425</v>
      </c>
      <c r="J70" s="19">
        <v>50</v>
      </c>
      <c r="K70" s="19">
        <f t="shared" si="0"/>
        <v>23305</v>
      </c>
      <c r="L70" s="20">
        <v>26116.111111111102</v>
      </c>
      <c r="M70" s="19">
        <v>23</v>
      </c>
      <c r="N70" s="20">
        <f t="shared" si="7"/>
        <v>5.9783085897542207</v>
      </c>
      <c r="O70" s="18"/>
      <c r="P70" s="6">
        <v>1419</v>
      </c>
      <c r="Q70" s="7">
        <f t="shared" si="1"/>
        <v>142574025</v>
      </c>
      <c r="R70" s="7">
        <f t="shared" si="2"/>
        <v>37058761.666666657</v>
      </c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75" customHeight="1" x14ac:dyDescent="0.35">
      <c r="A71" s="4" t="s">
        <v>86</v>
      </c>
      <c r="B71" s="19" t="s">
        <v>19</v>
      </c>
      <c r="C71" s="19" t="s">
        <v>20</v>
      </c>
      <c r="D71" s="19">
        <v>10</v>
      </c>
      <c r="E71" s="19">
        <v>5410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f t="shared" si="0"/>
        <v>5410</v>
      </c>
      <c r="L71" s="20">
        <v>0</v>
      </c>
      <c r="M71" s="19">
        <v>23</v>
      </c>
      <c r="N71" s="20">
        <v>0</v>
      </c>
      <c r="O71" s="18"/>
      <c r="P71" s="6">
        <v>4592</v>
      </c>
      <c r="Q71" s="7">
        <f t="shared" si="1"/>
        <v>0</v>
      </c>
      <c r="R71" s="7">
        <f t="shared" si="2"/>
        <v>0</v>
      </c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75" customHeight="1" x14ac:dyDescent="0.35">
      <c r="A72" s="4" t="s">
        <v>87</v>
      </c>
      <c r="B72" s="19" t="s">
        <v>19</v>
      </c>
      <c r="C72" s="19" t="s">
        <v>20</v>
      </c>
      <c r="D72" s="19">
        <v>10</v>
      </c>
      <c r="E72" s="19">
        <v>1350</v>
      </c>
      <c r="F72" s="19">
        <v>0</v>
      </c>
      <c r="G72" s="19">
        <v>0</v>
      </c>
      <c r="H72" s="19">
        <v>0</v>
      </c>
      <c r="I72" s="19">
        <v>1350</v>
      </c>
      <c r="J72" s="19">
        <v>0</v>
      </c>
      <c r="K72" s="19">
        <f t="shared" si="0"/>
        <v>0</v>
      </c>
      <c r="L72" s="20">
        <v>0</v>
      </c>
      <c r="M72" s="19">
        <v>23</v>
      </c>
      <c r="N72" s="20">
        <f t="shared" ref="N72:N78" si="8">(L72/(I72+J72))*M72</f>
        <v>0</v>
      </c>
      <c r="O72" s="18"/>
      <c r="P72" s="6">
        <v>2103</v>
      </c>
      <c r="Q72" s="7">
        <f t="shared" si="1"/>
        <v>2839050</v>
      </c>
      <c r="R72" s="7">
        <f t="shared" si="2"/>
        <v>0</v>
      </c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75" customHeight="1" x14ac:dyDescent="0.35">
      <c r="A73" s="4" t="s">
        <v>88</v>
      </c>
      <c r="B73" s="19" t="s">
        <v>19</v>
      </c>
      <c r="C73" s="19" t="s">
        <v>20</v>
      </c>
      <c r="D73" s="19">
        <v>10</v>
      </c>
      <c r="E73" s="19">
        <v>16250</v>
      </c>
      <c r="F73" s="19">
        <v>11900</v>
      </c>
      <c r="G73" s="19">
        <v>0</v>
      </c>
      <c r="H73" s="19">
        <v>0</v>
      </c>
      <c r="I73" s="19">
        <v>3750</v>
      </c>
      <c r="J73" s="19">
        <v>0</v>
      </c>
      <c r="K73" s="19">
        <f t="shared" si="0"/>
        <v>24400</v>
      </c>
      <c r="L73" s="20">
        <v>22890</v>
      </c>
      <c r="M73" s="19">
        <v>23</v>
      </c>
      <c r="N73" s="20">
        <f t="shared" si="8"/>
        <v>140.392</v>
      </c>
      <c r="O73" s="18"/>
      <c r="P73" s="6">
        <v>2103</v>
      </c>
      <c r="Q73" s="7">
        <f t="shared" si="1"/>
        <v>7886250</v>
      </c>
      <c r="R73" s="7">
        <f t="shared" si="2"/>
        <v>48137670</v>
      </c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75" customHeight="1" x14ac:dyDescent="0.35">
      <c r="A74" s="4" t="s">
        <v>89</v>
      </c>
      <c r="B74" s="19" t="s">
        <v>19</v>
      </c>
      <c r="C74" s="19" t="s">
        <v>20</v>
      </c>
      <c r="D74" s="19">
        <v>10</v>
      </c>
      <c r="E74" s="19">
        <v>2654</v>
      </c>
      <c r="F74" s="19">
        <v>1030</v>
      </c>
      <c r="G74" s="19">
        <v>0</v>
      </c>
      <c r="H74" s="19">
        <v>0</v>
      </c>
      <c r="I74" s="19">
        <v>2060</v>
      </c>
      <c r="J74" s="19">
        <v>0</v>
      </c>
      <c r="K74" s="19">
        <f t="shared" si="0"/>
        <v>1624</v>
      </c>
      <c r="L74" s="20">
        <v>2689</v>
      </c>
      <c r="M74" s="19">
        <v>23</v>
      </c>
      <c r="N74" s="20">
        <f t="shared" si="8"/>
        <v>30.022815533980584</v>
      </c>
      <c r="O74" s="18"/>
      <c r="P74" s="6">
        <v>4592</v>
      </c>
      <c r="Q74" s="7">
        <f t="shared" si="1"/>
        <v>9459520</v>
      </c>
      <c r="R74" s="7">
        <f t="shared" si="2"/>
        <v>12347888</v>
      </c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75" customHeight="1" x14ac:dyDescent="0.35">
      <c r="A75" s="4" t="s">
        <v>90</v>
      </c>
      <c r="B75" s="19" t="s">
        <v>19</v>
      </c>
      <c r="C75" s="19" t="s">
        <v>20</v>
      </c>
      <c r="D75" s="19">
        <v>10</v>
      </c>
      <c r="E75" s="19">
        <v>1500</v>
      </c>
      <c r="F75" s="19">
        <v>2063</v>
      </c>
      <c r="G75" s="19">
        <v>0</v>
      </c>
      <c r="H75" s="19">
        <v>0</v>
      </c>
      <c r="I75" s="19">
        <v>2750</v>
      </c>
      <c r="J75" s="19">
        <v>0</v>
      </c>
      <c r="K75" s="19">
        <f t="shared" si="0"/>
        <v>813</v>
      </c>
      <c r="L75" s="20">
        <v>2188</v>
      </c>
      <c r="M75" s="19">
        <v>23</v>
      </c>
      <c r="N75" s="20">
        <f t="shared" si="8"/>
        <v>18.299636363636363</v>
      </c>
      <c r="O75" s="18"/>
      <c r="P75" s="6">
        <v>2297</v>
      </c>
      <c r="Q75" s="7">
        <f t="shared" si="1"/>
        <v>6316750</v>
      </c>
      <c r="R75" s="7">
        <f t="shared" si="2"/>
        <v>5025836</v>
      </c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75" customHeight="1" x14ac:dyDescent="0.35">
      <c r="A76" s="4" t="s">
        <v>91</v>
      </c>
      <c r="B76" s="19" t="s">
        <v>19</v>
      </c>
      <c r="C76" s="19" t="s">
        <v>20</v>
      </c>
      <c r="D76" s="19">
        <v>10</v>
      </c>
      <c r="E76" s="19">
        <v>625</v>
      </c>
      <c r="F76" s="19">
        <v>1037</v>
      </c>
      <c r="G76" s="19">
        <v>0</v>
      </c>
      <c r="H76" s="19">
        <v>0</v>
      </c>
      <c r="I76" s="19">
        <v>300</v>
      </c>
      <c r="J76" s="19">
        <v>0</v>
      </c>
      <c r="K76" s="19">
        <f t="shared" si="0"/>
        <v>1362</v>
      </c>
      <c r="L76" s="20">
        <v>1512</v>
      </c>
      <c r="M76" s="19">
        <v>23</v>
      </c>
      <c r="N76" s="20">
        <f t="shared" si="8"/>
        <v>115.92</v>
      </c>
      <c r="O76" s="18"/>
      <c r="P76" s="6">
        <v>2616</v>
      </c>
      <c r="Q76" s="7">
        <f t="shared" si="1"/>
        <v>784800</v>
      </c>
      <c r="R76" s="7">
        <f t="shared" si="2"/>
        <v>3955392</v>
      </c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75" customHeight="1" x14ac:dyDescent="0.35">
      <c r="A77" s="4" t="s">
        <v>92</v>
      </c>
      <c r="B77" s="19" t="s">
        <v>22</v>
      </c>
      <c r="C77" s="19" t="s">
        <v>20</v>
      </c>
      <c r="D77" s="19">
        <v>10</v>
      </c>
      <c r="E77" s="19">
        <v>53120</v>
      </c>
      <c r="F77" s="19">
        <v>47325</v>
      </c>
      <c r="G77" s="19">
        <v>0</v>
      </c>
      <c r="H77" s="19">
        <v>0</v>
      </c>
      <c r="I77" s="19">
        <v>87195</v>
      </c>
      <c r="J77" s="19">
        <v>0</v>
      </c>
      <c r="K77" s="19">
        <f t="shared" si="0"/>
        <v>13250</v>
      </c>
      <c r="L77" s="20">
        <v>20056.944444444398</v>
      </c>
      <c r="M77" s="19">
        <v>23</v>
      </c>
      <c r="N77" s="20">
        <f t="shared" si="8"/>
        <v>5.2905524654191316</v>
      </c>
      <c r="O77" s="18"/>
      <c r="P77" s="6">
        <v>1419</v>
      </c>
      <c r="Q77" s="7">
        <f t="shared" si="1"/>
        <v>123729705</v>
      </c>
      <c r="R77" s="7">
        <f t="shared" si="2"/>
        <v>28460804.166666601</v>
      </c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75" customHeight="1" x14ac:dyDescent="0.35">
      <c r="A78" s="4" t="s">
        <v>93</v>
      </c>
      <c r="B78" s="19" t="s">
        <v>19</v>
      </c>
      <c r="C78" s="19" t="s">
        <v>20</v>
      </c>
      <c r="D78" s="19">
        <v>10</v>
      </c>
      <c r="E78" s="19">
        <v>2783</v>
      </c>
      <c r="F78" s="19">
        <v>0</v>
      </c>
      <c r="G78" s="19">
        <v>0</v>
      </c>
      <c r="H78" s="19">
        <v>0</v>
      </c>
      <c r="I78" s="19">
        <v>825</v>
      </c>
      <c r="J78" s="19">
        <v>0</v>
      </c>
      <c r="K78" s="19">
        <f t="shared" si="0"/>
        <v>1958</v>
      </c>
      <c r="L78" s="20">
        <v>2274.6666666666702</v>
      </c>
      <c r="M78" s="19">
        <v>23</v>
      </c>
      <c r="N78" s="20">
        <f t="shared" si="8"/>
        <v>63.414949494949596</v>
      </c>
      <c r="O78" s="18"/>
      <c r="P78" s="6">
        <v>2616</v>
      </c>
      <c r="Q78" s="7">
        <f t="shared" si="1"/>
        <v>2158200</v>
      </c>
      <c r="R78" s="7">
        <f t="shared" si="2"/>
        <v>5950528.0000000093</v>
      </c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75" customHeight="1" x14ac:dyDescent="0.35">
      <c r="A79" s="4" t="s">
        <v>94</v>
      </c>
      <c r="B79" s="19" t="s">
        <v>19</v>
      </c>
      <c r="C79" s="19" t="s">
        <v>20</v>
      </c>
      <c r="D79" s="19">
        <v>10</v>
      </c>
      <c r="E79" s="19">
        <v>360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f t="shared" si="0"/>
        <v>360</v>
      </c>
      <c r="L79" s="20">
        <v>0</v>
      </c>
      <c r="M79" s="19">
        <v>23</v>
      </c>
      <c r="N79" s="20">
        <v>0</v>
      </c>
      <c r="O79" s="18"/>
      <c r="P79" s="6">
        <v>7550</v>
      </c>
      <c r="Q79" s="7">
        <f t="shared" si="1"/>
        <v>0</v>
      </c>
      <c r="R79" s="7">
        <f t="shared" si="2"/>
        <v>0</v>
      </c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75" customHeight="1" x14ac:dyDescent="0.35">
      <c r="A80" s="4" t="s">
        <v>95</v>
      </c>
      <c r="B80" s="19" t="s">
        <v>19</v>
      </c>
      <c r="C80" s="19" t="s">
        <v>20</v>
      </c>
      <c r="D80" s="19">
        <v>10</v>
      </c>
      <c r="E80" s="19">
        <v>9310</v>
      </c>
      <c r="F80" s="19">
        <v>53430</v>
      </c>
      <c r="G80" s="19">
        <v>0</v>
      </c>
      <c r="H80" s="19">
        <v>0</v>
      </c>
      <c r="I80" s="19">
        <v>58580</v>
      </c>
      <c r="J80" s="19">
        <v>0</v>
      </c>
      <c r="K80" s="19">
        <f t="shared" si="0"/>
        <v>4160</v>
      </c>
      <c r="L80" s="20">
        <v>7168.8636363636406</v>
      </c>
      <c r="M80" s="19">
        <v>23</v>
      </c>
      <c r="N80" s="20">
        <f t="shared" ref="N80:N86" si="9">(L80/(I80+J80))*M80</f>
        <v>2.814678450603683</v>
      </c>
      <c r="O80" s="18"/>
      <c r="P80" s="6">
        <v>7550</v>
      </c>
      <c r="Q80" s="7">
        <f t="shared" si="1"/>
        <v>442279000</v>
      </c>
      <c r="R80" s="7">
        <f t="shared" si="2"/>
        <v>54124920.454545483</v>
      </c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75" customHeight="1" x14ac:dyDescent="0.35">
      <c r="A81" s="4" t="s">
        <v>96</v>
      </c>
      <c r="B81" s="19" t="s">
        <v>19</v>
      </c>
      <c r="C81" s="19" t="s">
        <v>20</v>
      </c>
      <c r="D81" s="19">
        <v>10</v>
      </c>
      <c r="E81" s="19">
        <v>7064</v>
      </c>
      <c r="F81" s="19">
        <v>540</v>
      </c>
      <c r="G81" s="19">
        <v>0</v>
      </c>
      <c r="H81" s="19">
        <v>0</v>
      </c>
      <c r="I81" s="19">
        <v>2410</v>
      </c>
      <c r="J81" s="19">
        <v>0</v>
      </c>
      <c r="K81" s="19">
        <f t="shared" si="0"/>
        <v>5194</v>
      </c>
      <c r="L81" s="20">
        <v>6059</v>
      </c>
      <c r="M81" s="19">
        <v>23</v>
      </c>
      <c r="N81" s="20">
        <f t="shared" si="9"/>
        <v>57.824481327800825</v>
      </c>
      <c r="O81" s="18"/>
      <c r="P81" s="6">
        <v>4592</v>
      </c>
      <c r="Q81" s="7">
        <f t="shared" si="1"/>
        <v>11066720</v>
      </c>
      <c r="R81" s="7">
        <f t="shared" si="2"/>
        <v>27822928</v>
      </c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75" customHeight="1" x14ac:dyDescent="0.35">
      <c r="A82" s="4" t="s">
        <v>97</v>
      </c>
      <c r="B82" s="19" t="s">
        <v>19</v>
      </c>
      <c r="C82" s="19" t="s">
        <v>20</v>
      </c>
      <c r="D82" s="19">
        <v>10</v>
      </c>
      <c r="E82" s="19">
        <v>3710</v>
      </c>
      <c r="F82" s="19">
        <v>3905</v>
      </c>
      <c r="G82" s="19">
        <v>0</v>
      </c>
      <c r="H82" s="19">
        <v>0</v>
      </c>
      <c r="I82" s="19">
        <v>4696</v>
      </c>
      <c r="J82" s="19">
        <v>14</v>
      </c>
      <c r="K82" s="19">
        <f t="shared" si="0"/>
        <v>2905</v>
      </c>
      <c r="L82" s="20">
        <v>1578.2</v>
      </c>
      <c r="M82" s="19">
        <v>23</v>
      </c>
      <c r="N82" s="20">
        <f t="shared" si="9"/>
        <v>7.706709129511677</v>
      </c>
      <c r="O82" s="18"/>
      <c r="P82" s="6">
        <v>2297</v>
      </c>
      <c r="Q82" s="7">
        <f t="shared" si="1"/>
        <v>10818870</v>
      </c>
      <c r="R82" s="7">
        <f t="shared" si="2"/>
        <v>3625125.4</v>
      </c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75" customHeight="1" x14ac:dyDescent="0.35">
      <c r="A83" s="4" t="s">
        <v>98</v>
      </c>
      <c r="B83" s="19" t="s">
        <v>19</v>
      </c>
      <c r="C83" s="19" t="s">
        <v>20</v>
      </c>
      <c r="D83" s="19">
        <v>10</v>
      </c>
      <c r="E83" s="19">
        <v>750</v>
      </c>
      <c r="F83" s="19">
        <v>0</v>
      </c>
      <c r="G83" s="19">
        <v>0</v>
      </c>
      <c r="H83" s="19">
        <v>0</v>
      </c>
      <c r="I83" s="19">
        <v>250</v>
      </c>
      <c r="J83" s="19">
        <v>0</v>
      </c>
      <c r="K83" s="19">
        <f t="shared" si="0"/>
        <v>500</v>
      </c>
      <c r="L83" s="20">
        <v>500</v>
      </c>
      <c r="M83" s="19">
        <v>23</v>
      </c>
      <c r="N83" s="20">
        <f t="shared" si="9"/>
        <v>46</v>
      </c>
      <c r="O83" s="18"/>
      <c r="P83" s="6">
        <v>2616</v>
      </c>
      <c r="Q83" s="7">
        <f t="shared" si="1"/>
        <v>654000</v>
      </c>
      <c r="R83" s="7">
        <f t="shared" si="2"/>
        <v>1308000</v>
      </c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75" customHeight="1" x14ac:dyDescent="0.35">
      <c r="A84" s="4" t="s">
        <v>99</v>
      </c>
      <c r="B84" s="19" t="s">
        <v>22</v>
      </c>
      <c r="C84" s="19" t="s">
        <v>20</v>
      </c>
      <c r="D84" s="19">
        <v>10</v>
      </c>
      <c r="E84" s="19">
        <v>1990</v>
      </c>
      <c r="F84" s="19">
        <v>49525</v>
      </c>
      <c r="G84" s="19">
        <v>0</v>
      </c>
      <c r="H84" s="19">
        <v>0</v>
      </c>
      <c r="I84" s="19">
        <v>43450</v>
      </c>
      <c r="J84" s="19">
        <v>25</v>
      </c>
      <c r="K84" s="19">
        <f t="shared" si="0"/>
        <v>8040</v>
      </c>
      <c r="L84" s="20">
        <v>9660.5882352941208</v>
      </c>
      <c r="M84" s="19">
        <v>23</v>
      </c>
      <c r="N84" s="20">
        <f t="shared" si="9"/>
        <v>5.110834489057269</v>
      </c>
      <c r="O84" s="18"/>
      <c r="P84" s="6">
        <v>1419</v>
      </c>
      <c r="Q84" s="7">
        <f t="shared" si="1"/>
        <v>61691025</v>
      </c>
      <c r="R84" s="7">
        <f t="shared" si="2"/>
        <v>13708374.705882357</v>
      </c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75" customHeight="1" x14ac:dyDescent="0.35">
      <c r="A85" s="4" t="s">
        <v>100</v>
      </c>
      <c r="B85" s="19" t="s">
        <v>19</v>
      </c>
      <c r="C85" s="19" t="s">
        <v>20</v>
      </c>
      <c r="D85" s="19">
        <v>10</v>
      </c>
      <c r="E85" s="19">
        <v>2836</v>
      </c>
      <c r="F85" s="19">
        <v>0</v>
      </c>
      <c r="G85" s="19">
        <v>0</v>
      </c>
      <c r="H85" s="19">
        <v>0</v>
      </c>
      <c r="I85" s="19">
        <v>425</v>
      </c>
      <c r="J85" s="19">
        <v>0</v>
      </c>
      <c r="K85" s="19">
        <f t="shared" si="0"/>
        <v>2411</v>
      </c>
      <c r="L85" s="20">
        <v>2527.6666666666702</v>
      </c>
      <c r="M85" s="19">
        <v>23</v>
      </c>
      <c r="N85" s="20">
        <f t="shared" si="9"/>
        <v>136.7913725490198</v>
      </c>
      <c r="O85" s="18"/>
      <c r="P85" s="6">
        <v>2616</v>
      </c>
      <c r="Q85" s="7">
        <f t="shared" si="1"/>
        <v>1111800</v>
      </c>
      <c r="R85" s="7">
        <f t="shared" si="2"/>
        <v>6612376.0000000093</v>
      </c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75" customHeight="1" x14ac:dyDescent="0.35">
      <c r="A86" s="4" t="s">
        <v>101</v>
      </c>
      <c r="B86" s="19" t="s">
        <v>19</v>
      </c>
      <c r="C86" s="19" t="s">
        <v>20</v>
      </c>
      <c r="D86" s="19">
        <v>10</v>
      </c>
      <c r="E86" s="19">
        <v>1425</v>
      </c>
      <c r="F86" s="19">
        <v>1050</v>
      </c>
      <c r="G86" s="19">
        <v>0</v>
      </c>
      <c r="H86" s="19">
        <v>0</v>
      </c>
      <c r="I86" s="19">
        <v>600</v>
      </c>
      <c r="J86" s="19">
        <v>0</v>
      </c>
      <c r="K86" s="19">
        <f t="shared" si="0"/>
        <v>1875</v>
      </c>
      <c r="L86" s="20">
        <v>2175</v>
      </c>
      <c r="M86" s="19">
        <v>23</v>
      </c>
      <c r="N86" s="20">
        <f t="shared" si="9"/>
        <v>83.375</v>
      </c>
      <c r="O86" s="18"/>
      <c r="P86" s="6">
        <v>4592</v>
      </c>
      <c r="Q86" s="7">
        <f t="shared" si="1"/>
        <v>2755200</v>
      </c>
      <c r="R86" s="7">
        <f t="shared" si="2"/>
        <v>9987600</v>
      </c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75" customHeight="1" x14ac:dyDescent="0.35">
      <c r="A87" s="4" t="s">
        <v>102</v>
      </c>
      <c r="B87" s="19" t="s">
        <v>19</v>
      </c>
      <c r="C87" s="19" t="s">
        <v>20</v>
      </c>
      <c r="D87" s="19">
        <v>10</v>
      </c>
      <c r="E87" s="19">
        <v>18165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f t="shared" si="0"/>
        <v>18165</v>
      </c>
      <c r="L87" s="20">
        <v>0</v>
      </c>
      <c r="M87" s="19">
        <v>23</v>
      </c>
      <c r="N87" s="20">
        <v>0</v>
      </c>
      <c r="O87" s="18"/>
      <c r="P87" s="6">
        <v>2297</v>
      </c>
      <c r="Q87" s="7">
        <f t="shared" si="1"/>
        <v>0</v>
      </c>
      <c r="R87" s="7">
        <f t="shared" si="2"/>
        <v>0</v>
      </c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75" customHeight="1" x14ac:dyDescent="0.35">
      <c r="A88" s="4" t="s">
        <v>103</v>
      </c>
      <c r="B88" s="19" t="s">
        <v>19</v>
      </c>
      <c r="C88" s="19" t="s">
        <v>20</v>
      </c>
      <c r="D88" s="19">
        <v>10</v>
      </c>
      <c r="E88" s="19">
        <v>1475</v>
      </c>
      <c r="F88" s="19">
        <v>0</v>
      </c>
      <c r="G88" s="19">
        <v>0</v>
      </c>
      <c r="H88" s="19">
        <v>0</v>
      </c>
      <c r="I88" s="19">
        <v>350</v>
      </c>
      <c r="J88" s="19">
        <v>0</v>
      </c>
      <c r="K88" s="19">
        <f t="shared" si="0"/>
        <v>1125</v>
      </c>
      <c r="L88" s="20">
        <v>1175</v>
      </c>
      <c r="M88" s="19">
        <v>23</v>
      </c>
      <c r="N88" s="20">
        <f t="shared" ref="N88:N91" si="10">(L88/(I88+J88))*M88</f>
        <v>77.214285714285722</v>
      </c>
      <c r="O88" s="18"/>
      <c r="P88" s="6">
        <v>2616</v>
      </c>
      <c r="Q88" s="7">
        <f t="shared" si="1"/>
        <v>915600</v>
      </c>
      <c r="R88" s="7">
        <f t="shared" si="2"/>
        <v>3073800</v>
      </c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75" customHeight="1" x14ac:dyDescent="0.35">
      <c r="A89" s="4" t="s">
        <v>104</v>
      </c>
      <c r="B89" s="19" t="s">
        <v>22</v>
      </c>
      <c r="C89" s="19" t="s">
        <v>20</v>
      </c>
      <c r="D89" s="19">
        <v>10</v>
      </c>
      <c r="E89" s="19">
        <v>19100</v>
      </c>
      <c r="F89" s="19">
        <v>69323</v>
      </c>
      <c r="G89" s="19">
        <v>0</v>
      </c>
      <c r="H89" s="19">
        <v>0</v>
      </c>
      <c r="I89" s="19">
        <v>72623</v>
      </c>
      <c r="J89" s="19">
        <v>25</v>
      </c>
      <c r="K89" s="19">
        <f t="shared" si="0"/>
        <v>15775</v>
      </c>
      <c r="L89" s="20">
        <v>24650.772727272699</v>
      </c>
      <c r="M89" s="19">
        <v>23</v>
      </c>
      <c r="N89" s="20">
        <f t="shared" si="10"/>
        <v>7.8043135767987009</v>
      </c>
      <c r="O89" s="18"/>
      <c r="P89" s="6">
        <v>1419</v>
      </c>
      <c r="Q89" s="7">
        <f t="shared" si="1"/>
        <v>103087512</v>
      </c>
      <c r="R89" s="7">
        <f t="shared" si="2"/>
        <v>34979446.499999963</v>
      </c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75" customHeight="1" x14ac:dyDescent="0.35">
      <c r="A90" s="4" t="s">
        <v>105</v>
      </c>
      <c r="B90" s="19" t="s">
        <v>19</v>
      </c>
      <c r="C90" s="19" t="s">
        <v>20</v>
      </c>
      <c r="D90" s="19">
        <v>10</v>
      </c>
      <c r="E90" s="19">
        <v>1139</v>
      </c>
      <c r="F90" s="19">
        <v>0</v>
      </c>
      <c r="G90" s="19">
        <v>0</v>
      </c>
      <c r="H90" s="19">
        <v>0</v>
      </c>
      <c r="I90" s="19">
        <v>350</v>
      </c>
      <c r="J90" s="19">
        <v>0</v>
      </c>
      <c r="K90" s="19">
        <f t="shared" si="0"/>
        <v>789</v>
      </c>
      <c r="L90" s="20">
        <v>839</v>
      </c>
      <c r="M90" s="19">
        <v>23</v>
      </c>
      <c r="N90" s="20">
        <f t="shared" si="10"/>
        <v>55.134285714285717</v>
      </c>
      <c r="O90" s="18"/>
      <c r="P90" s="6">
        <v>1419</v>
      </c>
      <c r="Q90" s="7">
        <f t="shared" si="1"/>
        <v>496650</v>
      </c>
      <c r="R90" s="7">
        <f t="shared" si="2"/>
        <v>1190541</v>
      </c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 x14ac:dyDescent="0.35">
      <c r="A91" s="4" t="s">
        <v>106</v>
      </c>
      <c r="B91" s="19" t="s">
        <v>19</v>
      </c>
      <c r="C91" s="19" t="s">
        <v>20</v>
      </c>
      <c r="D91" s="19">
        <v>10</v>
      </c>
      <c r="E91" s="19">
        <v>13371</v>
      </c>
      <c r="F91" s="19">
        <v>24427</v>
      </c>
      <c r="G91" s="19">
        <v>0</v>
      </c>
      <c r="H91" s="19">
        <v>0</v>
      </c>
      <c r="I91" s="19">
        <v>24987</v>
      </c>
      <c r="J91" s="19">
        <v>30</v>
      </c>
      <c r="K91" s="19">
        <f t="shared" si="0"/>
        <v>12781</v>
      </c>
      <c r="L91" s="20">
        <v>7761.8181818181802</v>
      </c>
      <c r="M91" s="19">
        <v>23</v>
      </c>
      <c r="N91" s="20">
        <f t="shared" si="10"/>
        <v>7.1360202335139356</v>
      </c>
      <c r="O91" s="18"/>
      <c r="P91" s="6">
        <v>1968</v>
      </c>
      <c r="Q91" s="7">
        <f t="shared" si="1"/>
        <v>49233456</v>
      </c>
      <c r="R91" s="7">
        <f t="shared" si="2"/>
        <v>15275258.181818178</v>
      </c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 x14ac:dyDescent="0.35">
      <c r="A92" s="4" t="s">
        <v>107</v>
      </c>
      <c r="B92" s="19" t="s">
        <v>19</v>
      </c>
      <c r="C92" s="19" t="s">
        <v>20</v>
      </c>
      <c r="D92" s="19">
        <v>10</v>
      </c>
      <c r="E92" s="19">
        <v>25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f t="shared" si="0"/>
        <v>25</v>
      </c>
      <c r="L92" s="20">
        <v>0</v>
      </c>
      <c r="M92" s="19">
        <v>23</v>
      </c>
      <c r="N92" s="20">
        <v>0</v>
      </c>
      <c r="O92" s="18"/>
      <c r="P92" s="6">
        <v>2129</v>
      </c>
      <c r="Q92" s="7">
        <f t="shared" si="1"/>
        <v>0</v>
      </c>
      <c r="R92" s="7">
        <f t="shared" si="2"/>
        <v>0</v>
      </c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 x14ac:dyDescent="0.35">
      <c r="A93" s="4" t="s">
        <v>108</v>
      </c>
      <c r="B93" s="19" t="s">
        <v>19</v>
      </c>
      <c r="C93" s="19" t="s">
        <v>20</v>
      </c>
      <c r="D93" s="19">
        <v>10</v>
      </c>
      <c r="E93" s="19">
        <v>110</v>
      </c>
      <c r="F93" s="19">
        <v>0</v>
      </c>
      <c r="G93" s="19">
        <v>0</v>
      </c>
      <c r="H93" s="19">
        <v>0</v>
      </c>
      <c r="I93" s="19">
        <v>110</v>
      </c>
      <c r="J93" s="19">
        <v>0</v>
      </c>
      <c r="K93" s="19">
        <f t="shared" si="0"/>
        <v>0</v>
      </c>
      <c r="L93" s="20">
        <v>0</v>
      </c>
      <c r="M93" s="19">
        <v>23</v>
      </c>
      <c r="N93" s="20">
        <f t="shared" ref="N93:N111" si="11">(L93/(I93+J93))*M93</f>
        <v>0</v>
      </c>
      <c r="O93" s="18"/>
      <c r="P93" s="6">
        <v>2129</v>
      </c>
      <c r="Q93" s="7">
        <f t="shared" si="1"/>
        <v>234190</v>
      </c>
      <c r="R93" s="7">
        <f t="shared" si="2"/>
        <v>0</v>
      </c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 x14ac:dyDescent="0.35">
      <c r="A94" s="4" t="s">
        <v>109</v>
      </c>
      <c r="B94" s="19" t="s">
        <v>19</v>
      </c>
      <c r="C94" s="19" t="s">
        <v>20</v>
      </c>
      <c r="D94" s="19">
        <v>10</v>
      </c>
      <c r="E94" s="19">
        <v>21338</v>
      </c>
      <c r="F94" s="19">
        <v>5625</v>
      </c>
      <c r="G94" s="19">
        <v>0</v>
      </c>
      <c r="H94" s="19">
        <v>0</v>
      </c>
      <c r="I94" s="19">
        <v>16983</v>
      </c>
      <c r="J94" s="19">
        <v>0</v>
      </c>
      <c r="K94" s="19">
        <f t="shared" si="0"/>
        <v>9980</v>
      </c>
      <c r="L94" s="20">
        <v>14553.75</v>
      </c>
      <c r="M94" s="19">
        <v>23</v>
      </c>
      <c r="N94" s="20">
        <f t="shared" si="11"/>
        <v>19.710077724783609</v>
      </c>
      <c r="O94" s="18"/>
      <c r="P94" s="6">
        <v>1968</v>
      </c>
      <c r="Q94" s="7">
        <f t="shared" si="1"/>
        <v>33422544</v>
      </c>
      <c r="R94" s="7">
        <f t="shared" si="2"/>
        <v>28641780</v>
      </c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 x14ac:dyDescent="0.35">
      <c r="A95" s="4" t="s">
        <v>110</v>
      </c>
      <c r="B95" s="19" t="s">
        <v>19</v>
      </c>
      <c r="C95" s="19" t="s">
        <v>20</v>
      </c>
      <c r="D95" s="19">
        <v>10</v>
      </c>
      <c r="E95" s="19">
        <v>4984</v>
      </c>
      <c r="F95" s="19">
        <v>0</v>
      </c>
      <c r="G95" s="19">
        <v>0</v>
      </c>
      <c r="H95" s="19">
        <v>0</v>
      </c>
      <c r="I95" s="19">
        <v>4984</v>
      </c>
      <c r="J95" s="19">
        <v>0</v>
      </c>
      <c r="K95" s="19">
        <f t="shared" si="0"/>
        <v>0</v>
      </c>
      <c r="L95" s="20">
        <v>1112</v>
      </c>
      <c r="M95" s="19">
        <v>23</v>
      </c>
      <c r="N95" s="20">
        <f t="shared" si="11"/>
        <v>5.1316211878009632</v>
      </c>
      <c r="O95" s="18"/>
      <c r="P95" s="6">
        <v>2157</v>
      </c>
      <c r="Q95" s="7">
        <f t="shared" si="1"/>
        <v>10750488</v>
      </c>
      <c r="R95" s="7">
        <f t="shared" si="2"/>
        <v>2398584</v>
      </c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 x14ac:dyDescent="0.35">
      <c r="A96" s="4" t="s">
        <v>111</v>
      </c>
      <c r="B96" s="19" t="s">
        <v>19</v>
      </c>
      <c r="C96" s="19" t="s">
        <v>20</v>
      </c>
      <c r="D96" s="19">
        <v>10</v>
      </c>
      <c r="E96" s="19">
        <v>17086</v>
      </c>
      <c r="F96" s="19">
        <v>9000</v>
      </c>
      <c r="G96" s="19">
        <v>0</v>
      </c>
      <c r="H96" s="19">
        <v>0</v>
      </c>
      <c r="I96" s="19">
        <v>10261</v>
      </c>
      <c r="J96" s="19">
        <v>0</v>
      </c>
      <c r="K96" s="19">
        <f t="shared" si="0"/>
        <v>15825</v>
      </c>
      <c r="L96" s="20">
        <v>16428.142857142899</v>
      </c>
      <c r="M96" s="19">
        <v>23</v>
      </c>
      <c r="N96" s="20">
        <f t="shared" si="11"/>
        <v>36.82363178192054</v>
      </c>
      <c r="O96" s="18"/>
      <c r="P96" s="6">
        <v>2031</v>
      </c>
      <c r="Q96" s="7">
        <f t="shared" si="1"/>
        <v>20840091</v>
      </c>
      <c r="R96" s="7">
        <f t="shared" si="2"/>
        <v>33365558.142857227</v>
      </c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 x14ac:dyDescent="0.35">
      <c r="A97" s="4" t="s">
        <v>112</v>
      </c>
      <c r="B97" s="19" t="s">
        <v>19</v>
      </c>
      <c r="C97" s="19" t="s">
        <v>20</v>
      </c>
      <c r="D97" s="19">
        <v>10</v>
      </c>
      <c r="E97" s="19">
        <v>11615</v>
      </c>
      <c r="F97" s="19">
        <v>7333</v>
      </c>
      <c r="G97" s="19">
        <v>0</v>
      </c>
      <c r="H97" s="19">
        <v>0</v>
      </c>
      <c r="I97" s="19">
        <v>8594</v>
      </c>
      <c r="J97" s="19">
        <v>0</v>
      </c>
      <c r="K97" s="19">
        <f t="shared" si="0"/>
        <v>10354</v>
      </c>
      <c r="L97" s="20">
        <v>12596.857142857099</v>
      </c>
      <c r="M97" s="19">
        <v>23</v>
      </c>
      <c r="N97" s="20">
        <f t="shared" si="11"/>
        <v>33.712789653911251</v>
      </c>
      <c r="O97" s="18"/>
      <c r="P97" s="6">
        <v>2031</v>
      </c>
      <c r="Q97" s="7">
        <f t="shared" si="1"/>
        <v>17454414</v>
      </c>
      <c r="R97" s="7">
        <f t="shared" si="2"/>
        <v>25584216.857142769</v>
      </c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 x14ac:dyDescent="0.35">
      <c r="A98" s="4" t="s">
        <v>113</v>
      </c>
      <c r="B98" s="19" t="s">
        <v>19</v>
      </c>
      <c r="C98" s="19" t="s">
        <v>20</v>
      </c>
      <c r="D98" s="19">
        <v>10</v>
      </c>
      <c r="E98" s="19">
        <v>1500</v>
      </c>
      <c r="F98" s="19">
        <v>2100</v>
      </c>
      <c r="G98" s="19">
        <v>0</v>
      </c>
      <c r="H98" s="19">
        <v>0</v>
      </c>
      <c r="I98" s="19">
        <v>1550</v>
      </c>
      <c r="J98" s="19">
        <v>0</v>
      </c>
      <c r="K98" s="19">
        <f t="shared" si="0"/>
        <v>2050</v>
      </c>
      <c r="L98" s="20">
        <v>1025</v>
      </c>
      <c r="M98" s="19">
        <v>23</v>
      </c>
      <c r="N98" s="20">
        <f t="shared" si="11"/>
        <v>15.209677419354838</v>
      </c>
      <c r="O98" s="18"/>
      <c r="P98" s="6">
        <v>2642</v>
      </c>
      <c r="Q98" s="7">
        <f t="shared" si="1"/>
        <v>4095100</v>
      </c>
      <c r="R98" s="7">
        <f t="shared" si="2"/>
        <v>2708050</v>
      </c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 x14ac:dyDescent="0.35">
      <c r="A99" s="4" t="s">
        <v>114</v>
      </c>
      <c r="B99" s="19" t="s">
        <v>19</v>
      </c>
      <c r="C99" s="19" t="s">
        <v>20</v>
      </c>
      <c r="D99" s="19">
        <v>10</v>
      </c>
      <c r="E99" s="19">
        <v>4095</v>
      </c>
      <c r="F99" s="19">
        <v>0</v>
      </c>
      <c r="G99" s="19">
        <v>0</v>
      </c>
      <c r="H99" s="19">
        <v>0</v>
      </c>
      <c r="I99" s="19">
        <v>4095</v>
      </c>
      <c r="J99" s="19">
        <v>0</v>
      </c>
      <c r="K99" s="19">
        <f t="shared" si="0"/>
        <v>0</v>
      </c>
      <c r="L99" s="20">
        <v>1196.25</v>
      </c>
      <c r="M99" s="19">
        <v>23</v>
      </c>
      <c r="N99" s="20">
        <f t="shared" si="11"/>
        <v>6.718864468864469</v>
      </c>
      <c r="O99" s="18"/>
      <c r="P99" s="6">
        <v>2642</v>
      </c>
      <c r="Q99" s="7">
        <f t="shared" si="1"/>
        <v>10818990</v>
      </c>
      <c r="R99" s="7">
        <f t="shared" si="2"/>
        <v>3160492.5</v>
      </c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 x14ac:dyDescent="0.35">
      <c r="A100" s="4" t="s">
        <v>115</v>
      </c>
      <c r="B100" s="19" t="s">
        <v>19</v>
      </c>
      <c r="C100" s="19" t="s">
        <v>20</v>
      </c>
      <c r="D100" s="19">
        <v>10</v>
      </c>
      <c r="E100" s="19">
        <v>325</v>
      </c>
      <c r="F100" s="19">
        <v>1050</v>
      </c>
      <c r="G100" s="19">
        <v>0</v>
      </c>
      <c r="H100" s="19">
        <v>0</v>
      </c>
      <c r="I100" s="19">
        <v>325</v>
      </c>
      <c r="J100" s="19">
        <v>0</v>
      </c>
      <c r="K100" s="19">
        <f t="shared" si="0"/>
        <v>1050</v>
      </c>
      <c r="L100" s="20">
        <v>408.33333333333303</v>
      </c>
      <c r="M100" s="19">
        <v>23</v>
      </c>
      <c r="N100" s="20">
        <f t="shared" si="11"/>
        <v>28.897435897435876</v>
      </c>
      <c r="O100" s="18"/>
      <c r="P100" s="6">
        <v>2488</v>
      </c>
      <c r="Q100" s="7">
        <f t="shared" si="1"/>
        <v>808600</v>
      </c>
      <c r="R100" s="7">
        <f t="shared" si="2"/>
        <v>1015933.3333333326</v>
      </c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 x14ac:dyDescent="0.35">
      <c r="A101" s="4" t="s">
        <v>116</v>
      </c>
      <c r="B101" s="19" t="s">
        <v>19</v>
      </c>
      <c r="C101" s="19" t="s">
        <v>20</v>
      </c>
      <c r="D101" s="19">
        <v>10</v>
      </c>
      <c r="E101" s="19">
        <v>2450</v>
      </c>
      <c r="F101" s="19">
        <v>1500</v>
      </c>
      <c r="G101" s="19">
        <v>0</v>
      </c>
      <c r="H101" s="19">
        <v>0</v>
      </c>
      <c r="I101" s="19">
        <v>1900</v>
      </c>
      <c r="J101" s="19">
        <v>50</v>
      </c>
      <c r="K101" s="19">
        <f t="shared" si="0"/>
        <v>2000</v>
      </c>
      <c r="L101" s="20">
        <v>1612.5</v>
      </c>
      <c r="M101" s="19">
        <v>23</v>
      </c>
      <c r="N101" s="20">
        <f t="shared" si="11"/>
        <v>19.019230769230766</v>
      </c>
      <c r="O101" s="18"/>
      <c r="P101" s="6">
        <v>2431</v>
      </c>
      <c r="Q101" s="7">
        <f t="shared" si="1"/>
        <v>4740450</v>
      </c>
      <c r="R101" s="7">
        <f t="shared" si="2"/>
        <v>3919987.5</v>
      </c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 x14ac:dyDescent="0.35">
      <c r="A102" s="4" t="s">
        <v>117</v>
      </c>
      <c r="B102" s="19" t="s">
        <v>19</v>
      </c>
      <c r="C102" s="19" t="s">
        <v>20</v>
      </c>
      <c r="D102" s="19">
        <v>10</v>
      </c>
      <c r="E102" s="19">
        <v>3040</v>
      </c>
      <c r="F102" s="19">
        <v>1950</v>
      </c>
      <c r="G102" s="19">
        <v>0</v>
      </c>
      <c r="H102" s="19">
        <v>0</v>
      </c>
      <c r="I102" s="19">
        <v>3950</v>
      </c>
      <c r="J102" s="19">
        <v>0</v>
      </c>
      <c r="K102" s="19">
        <f t="shared" si="0"/>
        <v>1040</v>
      </c>
      <c r="L102" s="20">
        <v>2690</v>
      </c>
      <c r="M102" s="19">
        <v>23</v>
      </c>
      <c r="N102" s="20">
        <f t="shared" si="11"/>
        <v>15.663291139240506</v>
      </c>
      <c r="O102" s="18"/>
      <c r="P102" s="6">
        <v>4592</v>
      </c>
      <c r="Q102" s="7">
        <f t="shared" si="1"/>
        <v>18138400</v>
      </c>
      <c r="R102" s="7">
        <f t="shared" si="2"/>
        <v>12352480</v>
      </c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 x14ac:dyDescent="0.35">
      <c r="A103" s="4" t="s">
        <v>118</v>
      </c>
      <c r="B103" s="19" t="s">
        <v>19</v>
      </c>
      <c r="C103" s="19" t="s">
        <v>20</v>
      </c>
      <c r="D103" s="19">
        <v>10</v>
      </c>
      <c r="E103" s="19">
        <v>2150</v>
      </c>
      <c r="F103" s="19">
        <v>0</v>
      </c>
      <c r="G103" s="19">
        <v>0</v>
      </c>
      <c r="H103" s="19">
        <v>0</v>
      </c>
      <c r="I103" s="19">
        <v>1500</v>
      </c>
      <c r="J103" s="19">
        <v>0</v>
      </c>
      <c r="K103" s="19">
        <f t="shared" si="0"/>
        <v>650</v>
      </c>
      <c r="L103" s="20">
        <v>900</v>
      </c>
      <c r="M103" s="19">
        <v>23</v>
      </c>
      <c r="N103" s="20">
        <f t="shared" si="11"/>
        <v>13.799999999999999</v>
      </c>
      <c r="O103" s="18"/>
      <c r="P103" s="6">
        <v>2297</v>
      </c>
      <c r="Q103" s="7">
        <f t="shared" si="1"/>
        <v>3445500</v>
      </c>
      <c r="R103" s="7">
        <f t="shared" si="2"/>
        <v>2067300</v>
      </c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 x14ac:dyDescent="0.35">
      <c r="A104" s="4" t="s">
        <v>119</v>
      </c>
      <c r="B104" s="19" t="s">
        <v>19</v>
      </c>
      <c r="C104" s="19" t="s">
        <v>20</v>
      </c>
      <c r="D104" s="19">
        <v>10</v>
      </c>
      <c r="E104" s="19">
        <v>950</v>
      </c>
      <c r="F104" s="19">
        <v>0</v>
      </c>
      <c r="G104" s="19">
        <v>0</v>
      </c>
      <c r="H104" s="19">
        <v>0</v>
      </c>
      <c r="I104" s="19">
        <v>400</v>
      </c>
      <c r="J104" s="19">
        <v>0</v>
      </c>
      <c r="K104" s="19">
        <f t="shared" si="0"/>
        <v>550</v>
      </c>
      <c r="L104" s="20">
        <v>550</v>
      </c>
      <c r="M104" s="19">
        <v>23</v>
      </c>
      <c r="N104" s="20">
        <f t="shared" si="11"/>
        <v>31.625</v>
      </c>
      <c r="O104" s="18"/>
      <c r="P104" s="6">
        <v>2616</v>
      </c>
      <c r="Q104" s="7">
        <f t="shared" si="1"/>
        <v>1046400</v>
      </c>
      <c r="R104" s="7">
        <f t="shared" si="2"/>
        <v>1438800</v>
      </c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 x14ac:dyDescent="0.35">
      <c r="A105" s="4" t="s">
        <v>120</v>
      </c>
      <c r="B105" s="19" t="s">
        <v>19</v>
      </c>
      <c r="C105" s="19" t="s">
        <v>20</v>
      </c>
      <c r="D105" s="19">
        <v>10</v>
      </c>
      <c r="E105" s="19">
        <v>8045</v>
      </c>
      <c r="F105" s="19">
        <v>10740</v>
      </c>
      <c r="G105" s="19">
        <v>0</v>
      </c>
      <c r="H105" s="19">
        <v>0</v>
      </c>
      <c r="I105" s="19">
        <v>14850</v>
      </c>
      <c r="J105" s="19">
        <v>0</v>
      </c>
      <c r="K105" s="19">
        <f t="shared" si="0"/>
        <v>3935</v>
      </c>
      <c r="L105" s="20">
        <v>7201</v>
      </c>
      <c r="M105" s="19">
        <v>23</v>
      </c>
      <c r="N105" s="20">
        <f t="shared" si="11"/>
        <v>11.153063973063974</v>
      </c>
      <c r="O105" s="18"/>
      <c r="P105" s="6">
        <v>1419</v>
      </c>
      <c r="Q105" s="7">
        <f t="shared" si="1"/>
        <v>21072150</v>
      </c>
      <c r="R105" s="7">
        <f t="shared" si="2"/>
        <v>10218219</v>
      </c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 x14ac:dyDescent="0.35">
      <c r="A106" s="4" t="s">
        <v>121</v>
      </c>
      <c r="B106" s="19" t="s">
        <v>19</v>
      </c>
      <c r="C106" s="19" t="s">
        <v>20</v>
      </c>
      <c r="D106" s="19">
        <v>10</v>
      </c>
      <c r="E106" s="19">
        <v>975</v>
      </c>
      <c r="F106" s="19">
        <v>967</v>
      </c>
      <c r="G106" s="19">
        <v>0</v>
      </c>
      <c r="H106" s="19">
        <v>0</v>
      </c>
      <c r="I106" s="19">
        <v>242</v>
      </c>
      <c r="J106" s="19">
        <v>0</v>
      </c>
      <c r="K106" s="19">
        <f t="shared" si="0"/>
        <v>1700</v>
      </c>
      <c r="L106" s="20">
        <v>1522.3333333333301</v>
      </c>
      <c r="M106" s="19">
        <v>23</v>
      </c>
      <c r="N106" s="20">
        <f t="shared" si="11"/>
        <v>144.68457300275452</v>
      </c>
      <c r="O106" s="18"/>
      <c r="P106" s="6">
        <v>2616</v>
      </c>
      <c r="Q106" s="7">
        <f t="shared" si="1"/>
        <v>633072</v>
      </c>
      <c r="R106" s="7">
        <f t="shared" si="2"/>
        <v>3982423.9999999916</v>
      </c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 x14ac:dyDescent="0.35">
      <c r="A107" s="4" t="s">
        <v>122</v>
      </c>
      <c r="B107" s="19" t="s">
        <v>19</v>
      </c>
      <c r="C107" s="19" t="s">
        <v>20</v>
      </c>
      <c r="D107" s="19">
        <v>10</v>
      </c>
      <c r="E107" s="19">
        <v>2650</v>
      </c>
      <c r="F107" s="19">
        <v>8644</v>
      </c>
      <c r="G107" s="19">
        <v>0</v>
      </c>
      <c r="H107" s="19">
        <v>0</v>
      </c>
      <c r="I107" s="19">
        <v>8228</v>
      </c>
      <c r="J107" s="19">
        <v>0</v>
      </c>
      <c r="K107" s="19">
        <f t="shared" si="0"/>
        <v>3066</v>
      </c>
      <c r="L107" s="20">
        <v>4116.8888888888905</v>
      </c>
      <c r="M107" s="19">
        <v>23</v>
      </c>
      <c r="N107" s="20">
        <f t="shared" si="11"/>
        <v>11.508075406471132</v>
      </c>
      <c r="O107" s="18"/>
      <c r="P107" s="6">
        <v>2246</v>
      </c>
      <c r="Q107" s="7">
        <f t="shared" si="1"/>
        <v>18480088</v>
      </c>
      <c r="R107" s="7">
        <f t="shared" si="2"/>
        <v>9246532.4444444478</v>
      </c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 x14ac:dyDescent="0.35">
      <c r="A108" s="4" t="s">
        <v>123</v>
      </c>
      <c r="B108" s="19" t="s">
        <v>19</v>
      </c>
      <c r="C108" s="19" t="s">
        <v>20</v>
      </c>
      <c r="D108" s="19">
        <v>10</v>
      </c>
      <c r="E108" s="19">
        <v>6066</v>
      </c>
      <c r="F108" s="19">
        <v>4625</v>
      </c>
      <c r="G108" s="19">
        <v>0</v>
      </c>
      <c r="H108" s="19">
        <v>0</v>
      </c>
      <c r="I108" s="19">
        <v>200</v>
      </c>
      <c r="J108" s="19">
        <v>0</v>
      </c>
      <c r="K108" s="19">
        <f t="shared" si="0"/>
        <v>10491</v>
      </c>
      <c r="L108" s="20">
        <v>10591</v>
      </c>
      <c r="M108" s="19">
        <v>23</v>
      </c>
      <c r="N108" s="20">
        <f t="shared" si="11"/>
        <v>1217.9649999999999</v>
      </c>
      <c r="O108" s="18"/>
      <c r="P108" s="6">
        <v>2355</v>
      </c>
      <c r="Q108" s="7">
        <f t="shared" si="1"/>
        <v>471000</v>
      </c>
      <c r="R108" s="7">
        <f t="shared" si="2"/>
        <v>24941805</v>
      </c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 x14ac:dyDescent="0.35">
      <c r="A109" s="4" t="s">
        <v>124</v>
      </c>
      <c r="B109" s="19" t="s">
        <v>19</v>
      </c>
      <c r="C109" s="19" t="s">
        <v>20</v>
      </c>
      <c r="D109" s="19">
        <v>10</v>
      </c>
      <c r="E109" s="19">
        <v>1275</v>
      </c>
      <c r="F109" s="19">
        <v>10241</v>
      </c>
      <c r="G109" s="19">
        <v>0</v>
      </c>
      <c r="H109" s="19">
        <v>0</v>
      </c>
      <c r="I109" s="19">
        <v>8950</v>
      </c>
      <c r="J109" s="19">
        <v>0</v>
      </c>
      <c r="K109" s="19">
        <f t="shared" si="0"/>
        <v>2566</v>
      </c>
      <c r="L109" s="20">
        <v>2279.5555555555597</v>
      </c>
      <c r="M109" s="19">
        <v>23</v>
      </c>
      <c r="N109" s="20">
        <f t="shared" si="11"/>
        <v>5.8580757293606567</v>
      </c>
      <c r="O109" s="18"/>
      <c r="P109" s="6">
        <v>2031</v>
      </c>
      <c r="Q109" s="7">
        <f t="shared" si="1"/>
        <v>18177450</v>
      </c>
      <c r="R109" s="7">
        <f t="shared" si="2"/>
        <v>4629777.3333333414</v>
      </c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 x14ac:dyDescent="0.35">
      <c r="A110" s="4" t="s">
        <v>125</v>
      </c>
      <c r="B110" s="19" t="s">
        <v>19</v>
      </c>
      <c r="C110" s="19" t="s">
        <v>20</v>
      </c>
      <c r="D110" s="19">
        <v>10</v>
      </c>
      <c r="E110" s="19">
        <v>3250</v>
      </c>
      <c r="F110" s="19">
        <v>5000</v>
      </c>
      <c r="G110" s="19">
        <v>0</v>
      </c>
      <c r="H110" s="19">
        <v>0</v>
      </c>
      <c r="I110" s="19">
        <v>3975</v>
      </c>
      <c r="J110" s="19">
        <v>0</v>
      </c>
      <c r="K110" s="19">
        <f t="shared" si="0"/>
        <v>4275</v>
      </c>
      <c r="L110" s="20">
        <v>3433.3333333333298</v>
      </c>
      <c r="M110" s="19">
        <v>23</v>
      </c>
      <c r="N110" s="20">
        <f t="shared" si="11"/>
        <v>19.865828092243166</v>
      </c>
      <c r="O110" s="18"/>
      <c r="P110" s="6">
        <v>2108</v>
      </c>
      <c r="Q110" s="7">
        <f t="shared" si="1"/>
        <v>8379300</v>
      </c>
      <c r="R110" s="7">
        <f t="shared" si="2"/>
        <v>7237466.6666666595</v>
      </c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 x14ac:dyDescent="0.35">
      <c r="A111" s="4" t="s">
        <v>126</v>
      </c>
      <c r="B111" s="19" t="s">
        <v>19</v>
      </c>
      <c r="C111" s="19" t="s">
        <v>20</v>
      </c>
      <c r="D111" s="19">
        <v>10</v>
      </c>
      <c r="E111" s="19">
        <v>525</v>
      </c>
      <c r="F111" s="19">
        <v>5000</v>
      </c>
      <c r="G111" s="19">
        <v>0</v>
      </c>
      <c r="H111" s="19">
        <v>0</v>
      </c>
      <c r="I111" s="19">
        <v>1275</v>
      </c>
      <c r="J111" s="19">
        <v>0</v>
      </c>
      <c r="K111" s="19">
        <f t="shared" si="0"/>
        <v>4250</v>
      </c>
      <c r="L111" s="20">
        <v>1666.6666666666702</v>
      </c>
      <c r="M111" s="19">
        <v>23</v>
      </c>
      <c r="N111" s="20">
        <f t="shared" si="11"/>
        <v>30.065359477124243</v>
      </c>
      <c r="O111" s="18"/>
      <c r="P111" s="6">
        <v>2173</v>
      </c>
      <c r="Q111" s="7">
        <f t="shared" si="1"/>
        <v>2770575</v>
      </c>
      <c r="R111" s="7">
        <f t="shared" si="2"/>
        <v>3621666.6666666744</v>
      </c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 x14ac:dyDescent="0.35">
      <c r="A112" s="4" t="s">
        <v>127</v>
      </c>
      <c r="B112" s="19" t="s">
        <v>19</v>
      </c>
      <c r="C112" s="19" t="s">
        <v>20</v>
      </c>
      <c r="D112" s="19">
        <v>10</v>
      </c>
      <c r="E112" s="19">
        <v>1350</v>
      </c>
      <c r="F112" s="19">
        <v>1050</v>
      </c>
      <c r="G112" s="19">
        <v>0</v>
      </c>
      <c r="H112" s="19">
        <v>0</v>
      </c>
      <c r="I112" s="19">
        <v>0</v>
      </c>
      <c r="J112" s="19">
        <v>0</v>
      </c>
      <c r="K112" s="19">
        <f t="shared" si="0"/>
        <v>2400</v>
      </c>
      <c r="L112" s="20">
        <v>2400</v>
      </c>
      <c r="M112" s="19">
        <v>23</v>
      </c>
      <c r="N112" s="20">
        <v>0</v>
      </c>
      <c r="O112" s="18"/>
      <c r="P112" s="6">
        <v>2356</v>
      </c>
      <c r="Q112" s="7">
        <f t="shared" si="1"/>
        <v>0</v>
      </c>
      <c r="R112" s="7">
        <f t="shared" si="2"/>
        <v>5654400</v>
      </c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 x14ac:dyDescent="0.35">
      <c r="A113" s="4" t="s">
        <v>128</v>
      </c>
      <c r="B113" s="19" t="s">
        <v>19</v>
      </c>
      <c r="C113" s="19" t="s">
        <v>20</v>
      </c>
      <c r="D113" s="19">
        <v>10</v>
      </c>
      <c r="E113" s="19">
        <v>500</v>
      </c>
      <c r="F113" s="19">
        <v>0</v>
      </c>
      <c r="G113" s="19">
        <v>0</v>
      </c>
      <c r="H113" s="19">
        <v>0</v>
      </c>
      <c r="I113" s="19">
        <v>325</v>
      </c>
      <c r="J113" s="19">
        <v>0</v>
      </c>
      <c r="K113" s="19">
        <f t="shared" si="0"/>
        <v>175</v>
      </c>
      <c r="L113" s="20">
        <v>175</v>
      </c>
      <c r="M113" s="19">
        <v>23</v>
      </c>
      <c r="N113" s="20">
        <f t="shared" ref="N113:N127" si="12">(L113/(I113+J113))*M113</f>
        <v>12.384615384615383</v>
      </c>
      <c r="O113" s="18"/>
      <c r="P113" s="6">
        <v>1993</v>
      </c>
      <c r="Q113" s="7">
        <f t="shared" si="1"/>
        <v>647725</v>
      </c>
      <c r="R113" s="7">
        <f t="shared" si="2"/>
        <v>348775</v>
      </c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 x14ac:dyDescent="0.35">
      <c r="A114" s="4" t="s">
        <v>129</v>
      </c>
      <c r="B114" s="19" t="s">
        <v>19</v>
      </c>
      <c r="C114" s="19" t="s">
        <v>20</v>
      </c>
      <c r="D114" s="19">
        <v>10</v>
      </c>
      <c r="E114" s="19">
        <v>1085</v>
      </c>
      <c r="F114" s="19">
        <v>1010</v>
      </c>
      <c r="G114" s="19">
        <v>0</v>
      </c>
      <c r="H114" s="19">
        <v>0</v>
      </c>
      <c r="I114" s="19">
        <v>1025</v>
      </c>
      <c r="J114" s="19">
        <v>0</v>
      </c>
      <c r="K114" s="19">
        <f t="shared" si="0"/>
        <v>1070</v>
      </c>
      <c r="L114" s="20">
        <v>1316.6666666666702</v>
      </c>
      <c r="M114" s="19">
        <v>23</v>
      </c>
      <c r="N114" s="20">
        <f t="shared" si="12"/>
        <v>29.544715447154552</v>
      </c>
      <c r="O114" s="18"/>
      <c r="P114" s="6">
        <v>2205</v>
      </c>
      <c r="Q114" s="7">
        <f t="shared" si="1"/>
        <v>2260125</v>
      </c>
      <c r="R114" s="7">
        <f t="shared" si="2"/>
        <v>2903250.0000000079</v>
      </c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 x14ac:dyDescent="0.35">
      <c r="A115" s="4" t="s">
        <v>130</v>
      </c>
      <c r="B115" s="19" t="s">
        <v>19</v>
      </c>
      <c r="C115" s="19" t="s">
        <v>20</v>
      </c>
      <c r="D115" s="19">
        <v>10</v>
      </c>
      <c r="E115" s="19">
        <v>3816</v>
      </c>
      <c r="F115" s="19">
        <v>2625</v>
      </c>
      <c r="G115" s="19">
        <v>0</v>
      </c>
      <c r="H115" s="19">
        <v>0</v>
      </c>
      <c r="I115" s="19">
        <v>5064</v>
      </c>
      <c r="J115" s="19">
        <v>2</v>
      </c>
      <c r="K115" s="19">
        <f t="shared" si="0"/>
        <v>1375</v>
      </c>
      <c r="L115" s="20">
        <v>1129.6000000000001</v>
      </c>
      <c r="M115" s="19">
        <v>23</v>
      </c>
      <c r="N115" s="20">
        <f t="shared" si="12"/>
        <v>5.1284642716146873</v>
      </c>
      <c r="O115" s="18"/>
      <c r="P115" s="6">
        <v>2503</v>
      </c>
      <c r="Q115" s="7">
        <f t="shared" si="1"/>
        <v>12680198</v>
      </c>
      <c r="R115" s="7">
        <f t="shared" si="2"/>
        <v>2827388.8000000003</v>
      </c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 x14ac:dyDescent="0.35">
      <c r="A116" s="4" t="s">
        <v>131</v>
      </c>
      <c r="B116" s="19" t="s">
        <v>19</v>
      </c>
      <c r="C116" s="19" t="s">
        <v>20</v>
      </c>
      <c r="D116" s="19">
        <v>10</v>
      </c>
      <c r="E116" s="19">
        <v>2625</v>
      </c>
      <c r="F116" s="19">
        <v>2625</v>
      </c>
      <c r="G116" s="19">
        <v>0</v>
      </c>
      <c r="H116" s="19">
        <v>0</v>
      </c>
      <c r="I116" s="19">
        <v>1250</v>
      </c>
      <c r="J116" s="19">
        <v>0</v>
      </c>
      <c r="K116" s="19">
        <f t="shared" si="0"/>
        <v>4000</v>
      </c>
      <c r="L116" s="20">
        <v>4625</v>
      </c>
      <c r="M116" s="19">
        <v>23</v>
      </c>
      <c r="N116" s="20">
        <f t="shared" si="12"/>
        <v>85.100000000000009</v>
      </c>
      <c r="O116" s="18"/>
      <c r="P116" s="6">
        <v>2355</v>
      </c>
      <c r="Q116" s="7">
        <f t="shared" si="1"/>
        <v>2943750</v>
      </c>
      <c r="R116" s="7">
        <f t="shared" si="2"/>
        <v>10891875</v>
      </c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 x14ac:dyDescent="0.35">
      <c r="A117" s="4" t="s">
        <v>132</v>
      </c>
      <c r="B117" s="19" t="s">
        <v>19</v>
      </c>
      <c r="C117" s="19" t="s">
        <v>20</v>
      </c>
      <c r="D117" s="19">
        <v>10</v>
      </c>
      <c r="E117" s="19">
        <v>2565</v>
      </c>
      <c r="F117" s="19">
        <v>2593</v>
      </c>
      <c r="G117" s="19">
        <v>0</v>
      </c>
      <c r="H117" s="19">
        <v>0</v>
      </c>
      <c r="I117" s="19">
        <v>2750</v>
      </c>
      <c r="J117" s="19">
        <v>0</v>
      </c>
      <c r="K117" s="19">
        <f t="shared" si="0"/>
        <v>2408</v>
      </c>
      <c r="L117" s="20">
        <v>2493.6</v>
      </c>
      <c r="M117" s="19">
        <v>23</v>
      </c>
      <c r="N117" s="20">
        <f t="shared" si="12"/>
        <v>20.855563636363634</v>
      </c>
      <c r="O117" s="18"/>
      <c r="P117" s="6">
        <v>2216</v>
      </c>
      <c r="Q117" s="7">
        <f t="shared" si="1"/>
        <v>6094000</v>
      </c>
      <c r="R117" s="7">
        <f t="shared" si="2"/>
        <v>5525817.5999999996</v>
      </c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 x14ac:dyDescent="0.35">
      <c r="A118" s="4" t="s">
        <v>133</v>
      </c>
      <c r="B118" s="19" t="s">
        <v>19</v>
      </c>
      <c r="C118" s="19" t="s">
        <v>20</v>
      </c>
      <c r="D118" s="19">
        <v>10</v>
      </c>
      <c r="E118" s="19">
        <v>3193</v>
      </c>
      <c r="F118" s="19">
        <v>1047</v>
      </c>
      <c r="G118" s="19">
        <v>0</v>
      </c>
      <c r="H118" s="19">
        <v>0</v>
      </c>
      <c r="I118" s="19">
        <v>2672</v>
      </c>
      <c r="J118" s="19">
        <v>0</v>
      </c>
      <c r="K118" s="19">
        <f t="shared" si="0"/>
        <v>1568</v>
      </c>
      <c r="L118" s="20">
        <v>1651.3333333333301</v>
      </c>
      <c r="M118" s="19">
        <v>23</v>
      </c>
      <c r="N118" s="20">
        <f t="shared" si="12"/>
        <v>14.214321357285401</v>
      </c>
      <c r="O118" s="18"/>
      <c r="P118" s="6">
        <v>1968</v>
      </c>
      <c r="Q118" s="7">
        <f t="shared" si="1"/>
        <v>5258496</v>
      </c>
      <c r="R118" s="7">
        <f t="shared" si="2"/>
        <v>3249823.9999999935</v>
      </c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 x14ac:dyDescent="0.35">
      <c r="A119" s="4" t="s">
        <v>134</v>
      </c>
      <c r="B119" s="19" t="s">
        <v>19</v>
      </c>
      <c r="C119" s="19" t="s">
        <v>20</v>
      </c>
      <c r="D119" s="19">
        <v>10</v>
      </c>
      <c r="E119" s="19">
        <v>3000</v>
      </c>
      <c r="F119" s="19">
        <v>0</v>
      </c>
      <c r="G119" s="19">
        <v>0</v>
      </c>
      <c r="H119" s="19">
        <v>0</v>
      </c>
      <c r="I119" s="19">
        <v>1500</v>
      </c>
      <c r="J119" s="19">
        <v>0</v>
      </c>
      <c r="K119" s="19">
        <f t="shared" si="0"/>
        <v>1500</v>
      </c>
      <c r="L119" s="20">
        <v>2345</v>
      </c>
      <c r="M119" s="19">
        <v>23</v>
      </c>
      <c r="N119" s="20">
        <f t="shared" si="12"/>
        <v>35.956666666666663</v>
      </c>
      <c r="O119" s="18"/>
      <c r="P119" s="6">
        <v>2297</v>
      </c>
      <c r="Q119" s="7">
        <f t="shared" si="1"/>
        <v>3445500</v>
      </c>
      <c r="R119" s="7">
        <f t="shared" si="2"/>
        <v>5386465</v>
      </c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 x14ac:dyDescent="0.35">
      <c r="A120" s="4" t="s">
        <v>135</v>
      </c>
      <c r="B120" s="19" t="s">
        <v>19</v>
      </c>
      <c r="C120" s="19" t="s">
        <v>20</v>
      </c>
      <c r="D120" s="19">
        <v>10</v>
      </c>
      <c r="E120" s="19">
        <v>175</v>
      </c>
      <c r="F120" s="19">
        <v>0</v>
      </c>
      <c r="G120" s="19">
        <v>0</v>
      </c>
      <c r="H120" s="19">
        <v>0</v>
      </c>
      <c r="I120" s="19">
        <v>175</v>
      </c>
      <c r="J120" s="19">
        <v>0</v>
      </c>
      <c r="K120" s="19">
        <f t="shared" si="0"/>
        <v>0</v>
      </c>
      <c r="L120" s="20">
        <v>37.5</v>
      </c>
      <c r="M120" s="19">
        <v>23</v>
      </c>
      <c r="N120" s="20">
        <f t="shared" si="12"/>
        <v>4.9285714285714279</v>
      </c>
      <c r="O120" s="18"/>
      <c r="P120" s="6">
        <v>2616</v>
      </c>
      <c r="Q120" s="7">
        <f t="shared" si="1"/>
        <v>457800</v>
      </c>
      <c r="R120" s="7">
        <f t="shared" si="2"/>
        <v>98100</v>
      </c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 x14ac:dyDescent="0.35">
      <c r="A121" s="4" t="s">
        <v>136</v>
      </c>
      <c r="B121" s="19" t="s">
        <v>19</v>
      </c>
      <c r="C121" s="19" t="s">
        <v>20</v>
      </c>
      <c r="D121" s="19">
        <v>10</v>
      </c>
      <c r="E121" s="19">
        <v>2900</v>
      </c>
      <c r="F121" s="19">
        <v>0</v>
      </c>
      <c r="G121" s="19">
        <v>0</v>
      </c>
      <c r="H121" s="19">
        <v>0</v>
      </c>
      <c r="I121" s="19">
        <v>2900</v>
      </c>
      <c r="J121" s="19">
        <v>0</v>
      </c>
      <c r="K121" s="19">
        <f t="shared" si="0"/>
        <v>0</v>
      </c>
      <c r="L121" s="20">
        <v>700</v>
      </c>
      <c r="M121" s="19">
        <v>23</v>
      </c>
      <c r="N121" s="20">
        <f t="shared" si="12"/>
        <v>5.5517241379310347</v>
      </c>
      <c r="O121" s="18"/>
      <c r="P121" s="6">
        <v>1419</v>
      </c>
      <c r="Q121" s="7">
        <f t="shared" si="1"/>
        <v>4115100</v>
      </c>
      <c r="R121" s="7">
        <f t="shared" si="2"/>
        <v>993300</v>
      </c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 x14ac:dyDescent="0.35">
      <c r="A122" s="4" t="s">
        <v>137</v>
      </c>
      <c r="B122" s="19" t="s">
        <v>19</v>
      </c>
      <c r="C122" s="19" t="s">
        <v>20</v>
      </c>
      <c r="D122" s="19">
        <v>10</v>
      </c>
      <c r="E122" s="19">
        <v>796</v>
      </c>
      <c r="F122" s="19">
        <v>1050</v>
      </c>
      <c r="G122" s="19">
        <v>0</v>
      </c>
      <c r="H122" s="19">
        <v>0</v>
      </c>
      <c r="I122" s="19">
        <v>600</v>
      </c>
      <c r="J122" s="19">
        <v>0</v>
      </c>
      <c r="K122" s="19">
        <f t="shared" si="0"/>
        <v>1246</v>
      </c>
      <c r="L122" s="20">
        <v>1546</v>
      </c>
      <c r="M122" s="19">
        <v>23</v>
      </c>
      <c r="N122" s="20">
        <f t="shared" si="12"/>
        <v>59.263333333333335</v>
      </c>
      <c r="O122" s="18"/>
      <c r="P122" s="6">
        <v>2355</v>
      </c>
      <c r="Q122" s="7">
        <f t="shared" si="1"/>
        <v>1413000</v>
      </c>
      <c r="R122" s="7">
        <f t="shared" si="2"/>
        <v>3640830</v>
      </c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 x14ac:dyDescent="0.35">
      <c r="A123" s="4" t="s">
        <v>138</v>
      </c>
      <c r="B123" s="19" t="s">
        <v>19</v>
      </c>
      <c r="C123" s="19" t="s">
        <v>20</v>
      </c>
      <c r="D123" s="19">
        <v>10</v>
      </c>
      <c r="E123" s="19">
        <v>2900</v>
      </c>
      <c r="F123" s="19">
        <v>0</v>
      </c>
      <c r="G123" s="19">
        <v>0</v>
      </c>
      <c r="H123" s="19">
        <v>0</v>
      </c>
      <c r="I123" s="19">
        <v>775</v>
      </c>
      <c r="J123" s="19">
        <v>0</v>
      </c>
      <c r="K123" s="19">
        <f t="shared" si="0"/>
        <v>2125</v>
      </c>
      <c r="L123" s="20">
        <v>2387.5</v>
      </c>
      <c r="M123" s="19">
        <v>23</v>
      </c>
      <c r="N123" s="20">
        <f t="shared" si="12"/>
        <v>70.854838709677423</v>
      </c>
      <c r="O123" s="18"/>
      <c r="P123" s="6">
        <v>2372</v>
      </c>
      <c r="Q123" s="7">
        <f t="shared" si="1"/>
        <v>1838300</v>
      </c>
      <c r="R123" s="7">
        <f t="shared" si="2"/>
        <v>5663150</v>
      </c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 x14ac:dyDescent="0.35">
      <c r="A124" s="4" t="s">
        <v>139</v>
      </c>
      <c r="B124" s="19" t="s">
        <v>19</v>
      </c>
      <c r="C124" s="19" t="s">
        <v>20</v>
      </c>
      <c r="D124" s="19">
        <v>10</v>
      </c>
      <c r="E124" s="19">
        <v>750</v>
      </c>
      <c r="F124" s="19">
        <v>850</v>
      </c>
      <c r="G124" s="19">
        <v>0</v>
      </c>
      <c r="H124" s="19">
        <v>0</v>
      </c>
      <c r="I124" s="19">
        <v>1600</v>
      </c>
      <c r="J124" s="19">
        <v>0</v>
      </c>
      <c r="K124" s="19">
        <f t="shared" si="0"/>
        <v>0</v>
      </c>
      <c r="L124" s="20">
        <v>340</v>
      </c>
      <c r="M124" s="19">
        <v>23</v>
      </c>
      <c r="N124" s="20">
        <f t="shared" si="12"/>
        <v>4.8875000000000002</v>
      </c>
      <c r="O124" s="18"/>
      <c r="P124" s="6">
        <v>3482</v>
      </c>
      <c r="Q124" s="7">
        <f t="shared" si="1"/>
        <v>5571200</v>
      </c>
      <c r="R124" s="7">
        <f t="shared" si="2"/>
        <v>1183880</v>
      </c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 x14ac:dyDescent="0.35">
      <c r="A125" s="4" t="s">
        <v>140</v>
      </c>
      <c r="B125" s="19" t="s">
        <v>19</v>
      </c>
      <c r="C125" s="19" t="s">
        <v>20</v>
      </c>
      <c r="D125" s="19">
        <v>10</v>
      </c>
      <c r="E125" s="19">
        <v>1425</v>
      </c>
      <c r="F125" s="19">
        <v>1050</v>
      </c>
      <c r="G125" s="19">
        <v>0</v>
      </c>
      <c r="H125" s="19">
        <v>0</v>
      </c>
      <c r="I125" s="19">
        <v>1775</v>
      </c>
      <c r="J125" s="19">
        <v>0</v>
      </c>
      <c r="K125" s="19">
        <f t="shared" si="0"/>
        <v>700</v>
      </c>
      <c r="L125" s="20">
        <v>1533.3333333333301</v>
      </c>
      <c r="M125" s="19">
        <v>23</v>
      </c>
      <c r="N125" s="20">
        <f t="shared" si="12"/>
        <v>19.868544600938925</v>
      </c>
      <c r="O125" s="18"/>
      <c r="P125" s="6">
        <v>2555</v>
      </c>
      <c r="Q125" s="7">
        <f t="shared" si="1"/>
        <v>4535125</v>
      </c>
      <c r="R125" s="7">
        <f t="shared" si="2"/>
        <v>3917666.6666666581</v>
      </c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 x14ac:dyDescent="0.35">
      <c r="A126" s="4" t="s">
        <v>141</v>
      </c>
      <c r="B126" s="19" t="s">
        <v>19</v>
      </c>
      <c r="C126" s="19" t="s">
        <v>20</v>
      </c>
      <c r="D126" s="19">
        <v>10</v>
      </c>
      <c r="E126" s="19">
        <v>1050</v>
      </c>
      <c r="F126" s="19">
        <v>1050</v>
      </c>
      <c r="G126" s="19">
        <v>0</v>
      </c>
      <c r="H126" s="19">
        <v>0</v>
      </c>
      <c r="I126" s="19">
        <v>1050</v>
      </c>
      <c r="J126" s="19">
        <v>0</v>
      </c>
      <c r="K126" s="19">
        <f t="shared" si="0"/>
        <v>1050</v>
      </c>
      <c r="L126" s="20">
        <v>1675</v>
      </c>
      <c r="M126" s="19">
        <v>23</v>
      </c>
      <c r="N126" s="20">
        <f t="shared" si="12"/>
        <v>36.69047619047619</v>
      </c>
      <c r="O126" s="18"/>
      <c r="P126" s="6">
        <v>3665</v>
      </c>
      <c r="Q126" s="7">
        <f t="shared" si="1"/>
        <v>3848250</v>
      </c>
      <c r="R126" s="7">
        <f t="shared" si="2"/>
        <v>6138875</v>
      </c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 x14ac:dyDescent="0.35">
      <c r="A127" s="4" t="s">
        <v>142</v>
      </c>
      <c r="B127" s="19" t="s">
        <v>19</v>
      </c>
      <c r="C127" s="19" t="s">
        <v>20</v>
      </c>
      <c r="D127" s="19">
        <v>10</v>
      </c>
      <c r="E127" s="19">
        <v>1675</v>
      </c>
      <c r="F127" s="19">
        <v>4400</v>
      </c>
      <c r="G127" s="19">
        <v>0</v>
      </c>
      <c r="H127" s="19">
        <v>0</v>
      </c>
      <c r="I127" s="19">
        <v>4575</v>
      </c>
      <c r="J127" s="19">
        <v>0</v>
      </c>
      <c r="K127" s="19">
        <f t="shared" si="0"/>
        <v>1500</v>
      </c>
      <c r="L127" s="20">
        <v>1731.25</v>
      </c>
      <c r="M127" s="19">
        <v>23</v>
      </c>
      <c r="N127" s="20">
        <f t="shared" si="12"/>
        <v>8.7035519125683063</v>
      </c>
      <c r="O127" s="18"/>
      <c r="P127" s="6">
        <v>1904</v>
      </c>
      <c r="Q127" s="7">
        <f t="shared" si="1"/>
        <v>8710800</v>
      </c>
      <c r="R127" s="7">
        <f t="shared" si="2"/>
        <v>3296300</v>
      </c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 x14ac:dyDescent="0.35">
      <c r="A128" s="4" t="s">
        <v>143</v>
      </c>
      <c r="B128" s="19" t="s">
        <v>19</v>
      </c>
      <c r="C128" s="19" t="s">
        <v>20</v>
      </c>
      <c r="D128" s="19">
        <v>10</v>
      </c>
      <c r="E128" s="19">
        <v>900</v>
      </c>
      <c r="F128" s="19">
        <v>4000</v>
      </c>
      <c r="G128" s="19">
        <v>0</v>
      </c>
      <c r="H128" s="19">
        <v>0</v>
      </c>
      <c r="I128" s="19">
        <v>0</v>
      </c>
      <c r="J128" s="19">
        <v>0</v>
      </c>
      <c r="K128" s="19">
        <f t="shared" si="0"/>
        <v>4900</v>
      </c>
      <c r="L128" s="20">
        <v>3650</v>
      </c>
      <c r="M128" s="19">
        <v>23</v>
      </c>
      <c r="N128" s="20">
        <v>0</v>
      </c>
      <c r="O128" s="18"/>
      <c r="P128" s="6">
        <v>994</v>
      </c>
      <c r="Q128" s="7">
        <f t="shared" si="1"/>
        <v>0</v>
      </c>
      <c r="R128" s="7">
        <f t="shared" si="2"/>
        <v>3628100</v>
      </c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 x14ac:dyDescent="0.35">
      <c r="A129" s="4" t="s">
        <v>144</v>
      </c>
      <c r="B129" s="19" t="s">
        <v>19</v>
      </c>
      <c r="C129" s="19" t="s">
        <v>20</v>
      </c>
      <c r="D129" s="19">
        <v>10</v>
      </c>
      <c r="E129" s="19">
        <v>1500</v>
      </c>
      <c r="F129" s="19">
        <v>2925</v>
      </c>
      <c r="G129" s="19">
        <v>0</v>
      </c>
      <c r="H129" s="19">
        <v>0</v>
      </c>
      <c r="I129" s="19">
        <v>1500</v>
      </c>
      <c r="J129" s="19">
        <v>0</v>
      </c>
      <c r="K129" s="19">
        <f t="shared" si="0"/>
        <v>2925</v>
      </c>
      <c r="L129" s="20">
        <v>1450</v>
      </c>
      <c r="M129" s="19">
        <v>23</v>
      </c>
      <c r="N129" s="20">
        <f t="shared" ref="N129:N163" si="13">(L129/(I129+J129))*M129</f>
        <v>22.233333333333334</v>
      </c>
      <c r="O129" s="18"/>
      <c r="P129" s="6">
        <v>994</v>
      </c>
      <c r="Q129" s="7">
        <f t="shared" si="1"/>
        <v>1491000</v>
      </c>
      <c r="R129" s="7">
        <f t="shared" si="2"/>
        <v>1441300</v>
      </c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 x14ac:dyDescent="0.35">
      <c r="A130" s="4" t="s">
        <v>145</v>
      </c>
      <c r="B130" s="19" t="s">
        <v>19</v>
      </c>
      <c r="C130" s="19" t="s">
        <v>20</v>
      </c>
      <c r="D130" s="19">
        <v>10</v>
      </c>
      <c r="E130" s="19">
        <v>2040</v>
      </c>
      <c r="F130" s="19">
        <v>0</v>
      </c>
      <c r="G130" s="19">
        <v>0</v>
      </c>
      <c r="H130" s="19">
        <v>0</v>
      </c>
      <c r="I130" s="19">
        <v>1020</v>
      </c>
      <c r="J130" s="19">
        <v>0</v>
      </c>
      <c r="K130" s="19">
        <f t="shared" si="0"/>
        <v>1020</v>
      </c>
      <c r="L130" s="20">
        <v>1370</v>
      </c>
      <c r="M130" s="19">
        <v>23</v>
      </c>
      <c r="N130" s="20">
        <f t="shared" si="13"/>
        <v>30.892156862745097</v>
      </c>
      <c r="O130" s="18"/>
      <c r="P130" s="6">
        <v>3489</v>
      </c>
      <c r="Q130" s="7">
        <f t="shared" si="1"/>
        <v>3558780</v>
      </c>
      <c r="R130" s="7">
        <f t="shared" si="2"/>
        <v>4779930</v>
      </c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 x14ac:dyDescent="0.35">
      <c r="A131" s="4" t="s">
        <v>175</v>
      </c>
      <c r="B131" s="19" t="s">
        <v>19</v>
      </c>
      <c r="C131" s="19" t="s">
        <v>20</v>
      </c>
      <c r="D131" s="19">
        <v>10</v>
      </c>
      <c r="E131" s="19">
        <v>1050</v>
      </c>
      <c r="F131" s="19">
        <v>0</v>
      </c>
      <c r="G131" s="19">
        <v>0</v>
      </c>
      <c r="H131" s="19">
        <v>0</v>
      </c>
      <c r="I131" s="19">
        <v>175</v>
      </c>
      <c r="J131" s="19">
        <v>0</v>
      </c>
      <c r="K131" s="19">
        <f t="shared" si="0"/>
        <v>875</v>
      </c>
      <c r="L131" s="20">
        <v>900</v>
      </c>
      <c r="M131" s="19">
        <v>23</v>
      </c>
      <c r="N131" s="20">
        <f t="shared" si="13"/>
        <v>118.28571428571429</v>
      </c>
      <c r="O131" s="18"/>
      <c r="P131" s="6">
        <v>3162</v>
      </c>
      <c r="Q131" s="7">
        <f t="shared" si="1"/>
        <v>553350</v>
      </c>
      <c r="R131" s="7">
        <f t="shared" si="2"/>
        <v>2845800</v>
      </c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 x14ac:dyDescent="0.35">
      <c r="A132" s="4" t="s">
        <v>176</v>
      </c>
      <c r="B132" s="19" t="s">
        <v>19</v>
      </c>
      <c r="C132" s="19" t="s">
        <v>20</v>
      </c>
      <c r="D132" s="19">
        <v>10</v>
      </c>
      <c r="E132" s="19">
        <v>850</v>
      </c>
      <c r="F132" s="19">
        <v>5775</v>
      </c>
      <c r="G132" s="19">
        <v>0</v>
      </c>
      <c r="H132" s="19">
        <v>0</v>
      </c>
      <c r="I132" s="19">
        <v>4225</v>
      </c>
      <c r="J132" s="19">
        <v>0</v>
      </c>
      <c r="K132" s="19">
        <f t="shared" si="0"/>
        <v>2400</v>
      </c>
      <c r="L132" s="20">
        <v>2207.6923076923104</v>
      </c>
      <c r="M132" s="19">
        <v>23</v>
      </c>
      <c r="N132" s="20">
        <f t="shared" si="13"/>
        <v>12.018206645425595</v>
      </c>
      <c r="O132" s="18"/>
      <c r="P132" s="6">
        <v>3567</v>
      </c>
      <c r="Q132" s="7">
        <f t="shared" si="1"/>
        <v>15070575</v>
      </c>
      <c r="R132" s="7">
        <f t="shared" si="2"/>
        <v>7874838.4615384713</v>
      </c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 x14ac:dyDescent="0.35">
      <c r="A133" s="4" t="s">
        <v>177</v>
      </c>
      <c r="B133" s="19" t="s">
        <v>19</v>
      </c>
      <c r="C133" s="19" t="s">
        <v>20</v>
      </c>
      <c r="D133" s="19">
        <v>10</v>
      </c>
      <c r="E133" s="19">
        <v>1225</v>
      </c>
      <c r="F133" s="19">
        <v>0</v>
      </c>
      <c r="G133" s="19">
        <v>0</v>
      </c>
      <c r="H133" s="19">
        <v>0</v>
      </c>
      <c r="I133" s="19">
        <v>200</v>
      </c>
      <c r="J133" s="19">
        <v>0</v>
      </c>
      <c r="K133" s="19">
        <f t="shared" si="0"/>
        <v>1025</v>
      </c>
      <c r="L133" s="20">
        <v>1075</v>
      </c>
      <c r="M133" s="19">
        <v>23</v>
      </c>
      <c r="N133" s="20">
        <f t="shared" si="13"/>
        <v>123.625</v>
      </c>
      <c r="O133" s="18"/>
      <c r="P133" s="6">
        <v>3850</v>
      </c>
      <c r="Q133" s="7">
        <f t="shared" si="1"/>
        <v>770000</v>
      </c>
      <c r="R133" s="7">
        <f t="shared" si="2"/>
        <v>4138750</v>
      </c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 x14ac:dyDescent="0.35">
      <c r="A134" s="4" t="s">
        <v>178</v>
      </c>
      <c r="B134" s="19" t="s">
        <v>19</v>
      </c>
      <c r="C134" s="19" t="s">
        <v>20</v>
      </c>
      <c r="D134" s="19">
        <v>10</v>
      </c>
      <c r="E134" s="19">
        <v>1500</v>
      </c>
      <c r="F134" s="19">
        <v>0</v>
      </c>
      <c r="G134" s="19">
        <v>0</v>
      </c>
      <c r="H134" s="19">
        <v>0</v>
      </c>
      <c r="I134" s="19">
        <v>1000</v>
      </c>
      <c r="J134" s="19">
        <v>0</v>
      </c>
      <c r="K134" s="19">
        <f t="shared" si="0"/>
        <v>500</v>
      </c>
      <c r="L134" s="20">
        <v>750</v>
      </c>
      <c r="M134" s="19">
        <v>23</v>
      </c>
      <c r="N134" s="20">
        <f t="shared" si="13"/>
        <v>17.25</v>
      </c>
      <c r="O134" s="18"/>
      <c r="P134" s="6">
        <v>1402</v>
      </c>
      <c r="Q134" s="7">
        <f t="shared" si="1"/>
        <v>1402000</v>
      </c>
      <c r="R134" s="7">
        <f t="shared" si="2"/>
        <v>1051500</v>
      </c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 x14ac:dyDescent="0.35">
      <c r="A135" s="4" t="s">
        <v>147</v>
      </c>
      <c r="B135" s="19" t="s">
        <v>19</v>
      </c>
      <c r="C135" s="19" t="s">
        <v>20</v>
      </c>
      <c r="D135" s="19">
        <v>10</v>
      </c>
      <c r="E135" s="19">
        <v>825</v>
      </c>
      <c r="F135" s="19">
        <v>13828</v>
      </c>
      <c r="G135" s="19">
        <v>0</v>
      </c>
      <c r="H135" s="19">
        <v>0</v>
      </c>
      <c r="I135" s="19">
        <v>12437</v>
      </c>
      <c r="J135" s="19">
        <v>7</v>
      </c>
      <c r="K135" s="19">
        <f t="shared" si="0"/>
        <v>2209</v>
      </c>
      <c r="L135" s="20">
        <v>1990.9333333333302</v>
      </c>
      <c r="M135" s="19">
        <v>23</v>
      </c>
      <c r="N135" s="20">
        <f t="shared" si="13"/>
        <v>3.6798028501017837</v>
      </c>
      <c r="O135" s="18"/>
      <c r="P135" s="6">
        <v>6112</v>
      </c>
      <c r="Q135" s="7">
        <f t="shared" si="1"/>
        <v>76057728</v>
      </c>
      <c r="R135" s="7">
        <f t="shared" si="2"/>
        <v>12168584.533333315</v>
      </c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 x14ac:dyDescent="0.35">
      <c r="A136" s="4" t="s">
        <v>148</v>
      </c>
      <c r="B136" s="19" t="s">
        <v>19</v>
      </c>
      <c r="C136" s="19" t="s">
        <v>20</v>
      </c>
      <c r="D136" s="19">
        <v>10</v>
      </c>
      <c r="E136" s="19">
        <v>2197</v>
      </c>
      <c r="F136" s="19">
        <v>1000</v>
      </c>
      <c r="G136" s="19">
        <v>0</v>
      </c>
      <c r="H136" s="19">
        <v>0</v>
      </c>
      <c r="I136" s="19">
        <v>1100</v>
      </c>
      <c r="J136" s="19">
        <v>0</v>
      </c>
      <c r="K136" s="19">
        <f t="shared" si="0"/>
        <v>2097</v>
      </c>
      <c r="L136" s="20">
        <v>1713.6666666666702</v>
      </c>
      <c r="M136" s="19">
        <v>23</v>
      </c>
      <c r="N136" s="20">
        <f t="shared" si="13"/>
        <v>35.831212121212189</v>
      </c>
      <c r="O136" s="18"/>
      <c r="P136" s="6">
        <v>2392</v>
      </c>
      <c r="Q136" s="7">
        <f t="shared" si="1"/>
        <v>2631200</v>
      </c>
      <c r="R136" s="7">
        <f t="shared" si="2"/>
        <v>4099090.6666666749</v>
      </c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 x14ac:dyDescent="0.35">
      <c r="A137" s="4" t="s">
        <v>149</v>
      </c>
      <c r="B137" s="19" t="s">
        <v>19</v>
      </c>
      <c r="C137" s="19" t="s">
        <v>20</v>
      </c>
      <c r="D137" s="19">
        <v>10</v>
      </c>
      <c r="E137" s="19">
        <v>799</v>
      </c>
      <c r="F137" s="19">
        <v>1020</v>
      </c>
      <c r="G137" s="19">
        <v>0</v>
      </c>
      <c r="H137" s="19">
        <v>0</v>
      </c>
      <c r="I137" s="19">
        <v>775</v>
      </c>
      <c r="J137" s="19">
        <v>0</v>
      </c>
      <c r="K137" s="19">
        <f t="shared" si="0"/>
        <v>1044</v>
      </c>
      <c r="L137" s="20">
        <v>534</v>
      </c>
      <c r="M137" s="19">
        <v>23</v>
      </c>
      <c r="N137" s="20">
        <f t="shared" si="13"/>
        <v>15.847741935483873</v>
      </c>
      <c r="O137" s="18"/>
      <c r="P137" s="6">
        <v>2651</v>
      </c>
      <c r="Q137" s="7">
        <f t="shared" si="1"/>
        <v>2054525</v>
      </c>
      <c r="R137" s="7">
        <f t="shared" si="2"/>
        <v>1415634</v>
      </c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 x14ac:dyDescent="0.35">
      <c r="A138" s="4" t="s">
        <v>150</v>
      </c>
      <c r="B138" s="19" t="s">
        <v>19</v>
      </c>
      <c r="C138" s="19" t="s">
        <v>20</v>
      </c>
      <c r="D138" s="19">
        <v>10</v>
      </c>
      <c r="E138" s="19">
        <v>1566</v>
      </c>
      <c r="F138" s="19">
        <v>1040</v>
      </c>
      <c r="G138" s="19">
        <v>0</v>
      </c>
      <c r="H138" s="19">
        <v>0</v>
      </c>
      <c r="I138" s="19">
        <v>500</v>
      </c>
      <c r="J138" s="19">
        <v>0</v>
      </c>
      <c r="K138" s="19">
        <f t="shared" si="0"/>
        <v>2106</v>
      </c>
      <c r="L138" s="20">
        <v>1546</v>
      </c>
      <c r="M138" s="19">
        <v>23</v>
      </c>
      <c r="N138" s="20">
        <f t="shared" si="13"/>
        <v>71.116</v>
      </c>
      <c r="O138" s="18"/>
      <c r="P138" s="6">
        <v>4343</v>
      </c>
      <c r="Q138" s="7">
        <f t="shared" si="1"/>
        <v>2171500</v>
      </c>
      <c r="R138" s="7">
        <f t="shared" si="2"/>
        <v>6714278</v>
      </c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 x14ac:dyDescent="0.35">
      <c r="A139" s="4" t="s">
        <v>151</v>
      </c>
      <c r="B139" s="19" t="s">
        <v>19</v>
      </c>
      <c r="C139" s="19" t="s">
        <v>20</v>
      </c>
      <c r="D139" s="19">
        <v>10</v>
      </c>
      <c r="E139" s="19">
        <v>2496</v>
      </c>
      <c r="F139" s="19">
        <v>0</v>
      </c>
      <c r="G139" s="19">
        <v>0</v>
      </c>
      <c r="H139" s="19">
        <v>0</v>
      </c>
      <c r="I139" s="19">
        <v>700</v>
      </c>
      <c r="J139" s="19">
        <v>0</v>
      </c>
      <c r="K139" s="19">
        <f t="shared" si="0"/>
        <v>1796</v>
      </c>
      <c r="L139" s="20">
        <v>2021</v>
      </c>
      <c r="M139" s="19">
        <v>23</v>
      </c>
      <c r="N139" s="20">
        <f t="shared" si="13"/>
        <v>66.404285714285706</v>
      </c>
      <c r="O139" s="18"/>
      <c r="P139" s="6">
        <v>2970</v>
      </c>
      <c r="Q139" s="7">
        <f t="shared" si="1"/>
        <v>2079000</v>
      </c>
      <c r="R139" s="7">
        <f t="shared" si="2"/>
        <v>6002370</v>
      </c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 x14ac:dyDescent="0.35">
      <c r="A140" s="4" t="s">
        <v>152</v>
      </c>
      <c r="B140" s="19" t="s">
        <v>19</v>
      </c>
      <c r="C140" s="19" t="s">
        <v>20</v>
      </c>
      <c r="D140" s="19">
        <v>10</v>
      </c>
      <c r="E140" s="19">
        <v>1834</v>
      </c>
      <c r="F140" s="19">
        <v>1563</v>
      </c>
      <c r="G140" s="19">
        <v>0</v>
      </c>
      <c r="H140" s="19">
        <v>0</v>
      </c>
      <c r="I140" s="19">
        <v>1075</v>
      </c>
      <c r="J140" s="19">
        <v>0</v>
      </c>
      <c r="K140" s="19">
        <f t="shared" si="0"/>
        <v>2322</v>
      </c>
      <c r="L140" s="20">
        <v>1655</v>
      </c>
      <c r="M140" s="19">
        <v>23</v>
      </c>
      <c r="N140" s="20">
        <f t="shared" si="13"/>
        <v>35.409302325581393</v>
      </c>
      <c r="O140" s="18"/>
      <c r="P140" s="6">
        <v>2970</v>
      </c>
      <c r="Q140" s="7">
        <f t="shared" si="1"/>
        <v>3192750</v>
      </c>
      <c r="R140" s="7">
        <f t="shared" si="2"/>
        <v>4915350</v>
      </c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 x14ac:dyDescent="0.35">
      <c r="A141" s="4" t="s">
        <v>153</v>
      </c>
      <c r="B141" s="19" t="s">
        <v>19</v>
      </c>
      <c r="C141" s="19" t="s">
        <v>20</v>
      </c>
      <c r="D141" s="19">
        <v>10</v>
      </c>
      <c r="E141" s="19">
        <v>1230</v>
      </c>
      <c r="F141" s="19">
        <v>0</v>
      </c>
      <c r="G141" s="19">
        <v>0</v>
      </c>
      <c r="H141" s="19">
        <v>0</v>
      </c>
      <c r="I141" s="19">
        <v>100</v>
      </c>
      <c r="J141" s="19">
        <v>0</v>
      </c>
      <c r="K141" s="19">
        <f t="shared" si="0"/>
        <v>1130</v>
      </c>
      <c r="L141" s="20">
        <v>1155</v>
      </c>
      <c r="M141" s="19">
        <v>23</v>
      </c>
      <c r="N141" s="20">
        <f t="shared" si="13"/>
        <v>265.65000000000003</v>
      </c>
      <c r="O141" s="18"/>
      <c r="P141" s="6">
        <v>2607</v>
      </c>
      <c r="Q141" s="7">
        <f t="shared" si="1"/>
        <v>260700</v>
      </c>
      <c r="R141" s="7">
        <f t="shared" si="2"/>
        <v>3011085</v>
      </c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 x14ac:dyDescent="0.35">
      <c r="A142" s="4" t="s">
        <v>154</v>
      </c>
      <c r="B142" s="19" t="s">
        <v>19</v>
      </c>
      <c r="C142" s="19" t="s">
        <v>20</v>
      </c>
      <c r="D142" s="19">
        <v>10</v>
      </c>
      <c r="E142" s="19">
        <v>3550</v>
      </c>
      <c r="F142" s="19">
        <v>1000</v>
      </c>
      <c r="G142" s="19">
        <v>0</v>
      </c>
      <c r="H142" s="19">
        <v>0</v>
      </c>
      <c r="I142" s="19">
        <v>1825</v>
      </c>
      <c r="J142" s="19">
        <v>0</v>
      </c>
      <c r="K142" s="19">
        <f t="shared" si="0"/>
        <v>2725</v>
      </c>
      <c r="L142" s="20">
        <v>3312.5</v>
      </c>
      <c r="M142" s="19">
        <v>23</v>
      </c>
      <c r="N142" s="20">
        <f t="shared" si="13"/>
        <v>41.746575342465754</v>
      </c>
      <c r="O142" s="18"/>
      <c r="P142" s="6">
        <v>1928</v>
      </c>
      <c r="Q142" s="7">
        <f t="shared" si="1"/>
        <v>3518600</v>
      </c>
      <c r="R142" s="7">
        <f t="shared" si="2"/>
        <v>6386500</v>
      </c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 x14ac:dyDescent="0.35">
      <c r="A143" s="4" t="s">
        <v>155</v>
      </c>
      <c r="B143" s="19" t="s">
        <v>19</v>
      </c>
      <c r="C143" s="19" t="s">
        <v>20</v>
      </c>
      <c r="D143" s="19">
        <v>10</v>
      </c>
      <c r="E143" s="19">
        <v>6175</v>
      </c>
      <c r="F143" s="19">
        <v>0</v>
      </c>
      <c r="G143" s="19">
        <v>0</v>
      </c>
      <c r="H143" s="19">
        <v>0</v>
      </c>
      <c r="I143" s="19">
        <v>2500</v>
      </c>
      <c r="J143" s="19">
        <v>0</v>
      </c>
      <c r="K143" s="19">
        <f t="shared" si="0"/>
        <v>3675</v>
      </c>
      <c r="L143" s="20">
        <v>3675</v>
      </c>
      <c r="M143" s="19">
        <v>23</v>
      </c>
      <c r="N143" s="20">
        <f t="shared" si="13"/>
        <v>33.81</v>
      </c>
      <c r="O143" s="18"/>
      <c r="P143" s="6">
        <v>2129</v>
      </c>
      <c r="Q143" s="7">
        <f t="shared" si="1"/>
        <v>5322500</v>
      </c>
      <c r="R143" s="7">
        <f t="shared" si="2"/>
        <v>7824075</v>
      </c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 x14ac:dyDescent="0.35">
      <c r="A144" s="4" t="s">
        <v>156</v>
      </c>
      <c r="B144" s="19" t="s">
        <v>19</v>
      </c>
      <c r="C144" s="19" t="s">
        <v>20</v>
      </c>
      <c r="D144" s="19">
        <v>10</v>
      </c>
      <c r="E144" s="19">
        <v>49382</v>
      </c>
      <c r="F144" s="19">
        <v>0</v>
      </c>
      <c r="G144" s="19">
        <v>0</v>
      </c>
      <c r="H144" s="19">
        <v>0</v>
      </c>
      <c r="I144" s="19">
        <v>4500</v>
      </c>
      <c r="J144" s="19">
        <v>0</v>
      </c>
      <c r="K144" s="19">
        <f t="shared" si="0"/>
        <v>44882</v>
      </c>
      <c r="L144" s="20">
        <v>45632</v>
      </c>
      <c r="M144" s="19">
        <v>23</v>
      </c>
      <c r="N144" s="20">
        <f t="shared" si="13"/>
        <v>233.23022222222221</v>
      </c>
      <c r="O144" s="18"/>
      <c r="P144" s="6">
        <v>2177</v>
      </c>
      <c r="Q144" s="7">
        <f t="shared" si="1"/>
        <v>9796500</v>
      </c>
      <c r="R144" s="7">
        <f t="shared" si="2"/>
        <v>99340864</v>
      </c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 x14ac:dyDescent="0.35">
      <c r="A145" s="4" t="s">
        <v>157</v>
      </c>
      <c r="B145" s="19" t="s">
        <v>19</v>
      </c>
      <c r="C145" s="19" t="s">
        <v>20</v>
      </c>
      <c r="D145" s="19">
        <v>10</v>
      </c>
      <c r="E145" s="19">
        <v>4980</v>
      </c>
      <c r="F145" s="19">
        <v>26800</v>
      </c>
      <c r="G145" s="19">
        <v>0</v>
      </c>
      <c r="H145" s="19">
        <v>0</v>
      </c>
      <c r="I145" s="19">
        <v>22505</v>
      </c>
      <c r="J145" s="19">
        <v>0</v>
      </c>
      <c r="K145" s="19">
        <f t="shared" si="0"/>
        <v>9275</v>
      </c>
      <c r="L145" s="20">
        <v>4770.909090909091</v>
      </c>
      <c r="M145" s="19">
        <v>23</v>
      </c>
      <c r="N145" s="20">
        <f t="shared" si="13"/>
        <v>4.8758457716467047</v>
      </c>
      <c r="O145" s="18"/>
      <c r="P145" s="6">
        <v>2177</v>
      </c>
      <c r="Q145" s="7">
        <f t="shared" si="1"/>
        <v>48993385</v>
      </c>
      <c r="R145" s="7">
        <f t="shared" si="2"/>
        <v>10386269.090909092</v>
      </c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 x14ac:dyDescent="0.35">
      <c r="A146" s="4" t="s">
        <v>158</v>
      </c>
      <c r="B146" s="19" t="s">
        <v>19</v>
      </c>
      <c r="C146" s="19" t="s">
        <v>20</v>
      </c>
      <c r="D146" s="19">
        <v>10</v>
      </c>
      <c r="E146" s="19">
        <v>10770</v>
      </c>
      <c r="F146" s="19">
        <v>5300</v>
      </c>
      <c r="G146" s="19">
        <v>0</v>
      </c>
      <c r="H146" s="19">
        <v>0</v>
      </c>
      <c r="I146" s="19">
        <v>6800</v>
      </c>
      <c r="J146" s="19">
        <v>9</v>
      </c>
      <c r="K146" s="19">
        <f t="shared" si="0"/>
        <v>9261</v>
      </c>
      <c r="L146" s="20">
        <v>13399.6</v>
      </c>
      <c r="M146" s="19">
        <v>23</v>
      </c>
      <c r="N146" s="20">
        <f t="shared" si="13"/>
        <v>45.262270524306068</v>
      </c>
      <c r="O146" s="18"/>
      <c r="P146" s="6">
        <v>2177</v>
      </c>
      <c r="Q146" s="7">
        <f t="shared" si="1"/>
        <v>14823193</v>
      </c>
      <c r="R146" s="7">
        <f t="shared" si="2"/>
        <v>29170929.199999999</v>
      </c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 x14ac:dyDescent="0.35">
      <c r="A147" s="4" t="s">
        <v>159</v>
      </c>
      <c r="B147" s="19" t="s">
        <v>19</v>
      </c>
      <c r="C147" s="19" t="s">
        <v>20</v>
      </c>
      <c r="D147" s="19">
        <v>10</v>
      </c>
      <c r="E147" s="19">
        <v>871</v>
      </c>
      <c r="F147" s="19">
        <v>14175</v>
      </c>
      <c r="G147" s="19">
        <v>0</v>
      </c>
      <c r="H147" s="19">
        <v>0</v>
      </c>
      <c r="I147" s="19">
        <v>9450</v>
      </c>
      <c r="J147" s="19">
        <v>0</v>
      </c>
      <c r="K147" s="19">
        <f t="shared" si="0"/>
        <v>5596</v>
      </c>
      <c r="L147" s="20">
        <v>3929.3333333333298</v>
      </c>
      <c r="M147" s="19">
        <v>23</v>
      </c>
      <c r="N147" s="20">
        <f t="shared" si="13"/>
        <v>9.563456790123448</v>
      </c>
      <c r="O147" s="18"/>
      <c r="P147" s="6">
        <v>1948</v>
      </c>
      <c r="Q147" s="7">
        <f t="shared" si="1"/>
        <v>18408600</v>
      </c>
      <c r="R147" s="7">
        <f t="shared" si="2"/>
        <v>7654341.3333333265</v>
      </c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 x14ac:dyDescent="0.35">
      <c r="A148" s="4" t="s">
        <v>160</v>
      </c>
      <c r="B148" s="19" t="s">
        <v>19</v>
      </c>
      <c r="C148" s="19" t="s">
        <v>20</v>
      </c>
      <c r="D148" s="19">
        <v>10</v>
      </c>
      <c r="E148" s="19">
        <v>1500</v>
      </c>
      <c r="F148" s="19">
        <v>1425</v>
      </c>
      <c r="G148" s="19">
        <v>0</v>
      </c>
      <c r="H148" s="19">
        <v>0</v>
      </c>
      <c r="I148" s="19">
        <v>1425</v>
      </c>
      <c r="J148" s="19">
        <v>0</v>
      </c>
      <c r="K148" s="19">
        <f t="shared" si="0"/>
        <v>1500</v>
      </c>
      <c r="L148" s="20">
        <v>2275</v>
      </c>
      <c r="M148" s="19">
        <v>23</v>
      </c>
      <c r="N148" s="20">
        <f t="shared" si="13"/>
        <v>36.719298245614034</v>
      </c>
      <c r="O148" s="18"/>
      <c r="P148" s="6">
        <v>1989</v>
      </c>
      <c r="Q148" s="7">
        <f t="shared" si="1"/>
        <v>2834325</v>
      </c>
      <c r="R148" s="7">
        <f t="shared" si="2"/>
        <v>4524975</v>
      </c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 x14ac:dyDescent="0.35">
      <c r="A149" s="4" t="s">
        <v>161</v>
      </c>
      <c r="B149" s="19" t="s">
        <v>19</v>
      </c>
      <c r="C149" s="19" t="s">
        <v>20</v>
      </c>
      <c r="D149" s="19">
        <v>10</v>
      </c>
      <c r="E149" s="19">
        <v>12775</v>
      </c>
      <c r="F149" s="19">
        <v>10000</v>
      </c>
      <c r="G149" s="19">
        <v>0</v>
      </c>
      <c r="H149" s="19">
        <v>0</v>
      </c>
      <c r="I149" s="19">
        <v>14725</v>
      </c>
      <c r="J149" s="19">
        <v>0</v>
      </c>
      <c r="K149" s="19">
        <f t="shared" si="0"/>
        <v>8050</v>
      </c>
      <c r="L149" s="20">
        <v>7977.7777777777801</v>
      </c>
      <c r="M149" s="19">
        <v>23</v>
      </c>
      <c r="N149" s="20">
        <f t="shared" si="13"/>
        <v>12.461045085832865</v>
      </c>
      <c r="O149" s="18"/>
      <c r="P149" s="6">
        <v>2181</v>
      </c>
      <c r="Q149" s="7">
        <f t="shared" si="1"/>
        <v>32115225</v>
      </c>
      <c r="R149" s="7">
        <f t="shared" si="2"/>
        <v>17399533.33333334</v>
      </c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 x14ac:dyDescent="0.35">
      <c r="A150" s="4" t="s">
        <v>179</v>
      </c>
      <c r="B150" s="19" t="s">
        <v>19</v>
      </c>
      <c r="C150" s="19" t="s">
        <v>20</v>
      </c>
      <c r="D150" s="19">
        <v>10</v>
      </c>
      <c r="E150" s="19">
        <v>15875</v>
      </c>
      <c r="F150" s="19">
        <v>9950</v>
      </c>
      <c r="G150" s="19">
        <v>0</v>
      </c>
      <c r="H150" s="19">
        <v>0</v>
      </c>
      <c r="I150" s="19">
        <v>18675</v>
      </c>
      <c r="J150" s="19">
        <v>0</v>
      </c>
      <c r="K150" s="19">
        <f t="shared" si="0"/>
        <v>7150</v>
      </c>
      <c r="L150" s="20">
        <v>9032.6923076923104</v>
      </c>
      <c r="M150" s="19">
        <v>23</v>
      </c>
      <c r="N150" s="20">
        <f t="shared" si="13"/>
        <v>11.124600967974466</v>
      </c>
      <c r="O150" s="18"/>
      <c r="P150" s="6">
        <v>2181</v>
      </c>
      <c r="Q150" s="7">
        <f t="shared" si="1"/>
        <v>40730175</v>
      </c>
      <c r="R150" s="7">
        <f t="shared" si="2"/>
        <v>19700301.923076928</v>
      </c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 x14ac:dyDescent="0.35">
      <c r="A151" s="4" t="s">
        <v>180</v>
      </c>
      <c r="B151" s="19" t="s">
        <v>19</v>
      </c>
      <c r="C151" s="19" t="s">
        <v>20</v>
      </c>
      <c r="D151" s="19">
        <v>10</v>
      </c>
      <c r="E151" s="19">
        <v>18225</v>
      </c>
      <c r="F151" s="19">
        <v>0</v>
      </c>
      <c r="G151" s="19">
        <v>0</v>
      </c>
      <c r="H151" s="19">
        <v>0</v>
      </c>
      <c r="I151" s="19">
        <v>6800</v>
      </c>
      <c r="J151" s="19">
        <v>0</v>
      </c>
      <c r="K151" s="19">
        <f t="shared" si="0"/>
        <v>11425</v>
      </c>
      <c r="L151" s="20">
        <v>14275</v>
      </c>
      <c r="M151" s="19">
        <v>23</v>
      </c>
      <c r="N151" s="20">
        <f t="shared" si="13"/>
        <v>48.283088235294116</v>
      </c>
      <c r="O151" s="18"/>
      <c r="P151" s="6">
        <v>2181</v>
      </c>
      <c r="Q151" s="7">
        <f t="shared" si="1"/>
        <v>14830800</v>
      </c>
      <c r="R151" s="7">
        <f t="shared" si="2"/>
        <v>31133775</v>
      </c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 x14ac:dyDescent="0.35">
      <c r="A152" s="4" t="s">
        <v>162</v>
      </c>
      <c r="B152" s="19" t="s">
        <v>19</v>
      </c>
      <c r="C152" s="19" t="s">
        <v>20</v>
      </c>
      <c r="D152" s="19">
        <v>10</v>
      </c>
      <c r="E152" s="19">
        <v>13630</v>
      </c>
      <c r="F152" s="19">
        <v>4225</v>
      </c>
      <c r="G152" s="19">
        <v>0</v>
      </c>
      <c r="H152" s="19">
        <v>0</v>
      </c>
      <c r="I152" s="19">
        <v>17559</v>
      </c>
      <c r="J152" s="19">
        <v>250</v>
      </c>
      <c r="K152" s="19">
        <f t="shared" si="0"/>
        <v>46</v>
      </c>
      <c r="L152" s="20">
        <v>1804.2</v>
      </c>
      <c r="M152" s="19">
        <v>23</v>
      </c>
      <c r="N152" s="20">
        <f t="shared" si="13"/>
        <v>2.3300915267561346</v>
      </c>
      <c r="O152" s="18"/>
      <c r="P152" s="6">
        <v>2208</v>
      </c>
      <c r="Q152" s="7">
        <f t="shared" si="1"/>
        <v>39322272</v>
      </c>
      <c r="R152" s="7">
        <f t="shared" si="2"/>
        <v>3983673.6</v>
      </c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 x14ac:dyDescent="0.35">
      <c r="A153" s="4" t="s">
        <v>163</v>
      </c>
      <c r="B153" s="19" t="s">
        <v>19</v>
      </c>
      <c r="C153" s="19" t="s">
        <v>20</v>
      </c>
      <c r="D153" s="19">
        <v>10</v>
      </c>
      <c r="E153" s="19">
        <v>1478</v>
      </c>
      <c r="F153" s="19">
        <v>0</v>
      </c>
      <c r="G153" s="19">
        <v>0</v>
      </c>
      <c r="H153" s="19">
        <v>0</v>
      </c>
      <c r="I153" s="19">
        <v>0</v>
      </c>
      <c r="J153" s="19">
        <v>1478</v>
      </c>
      <c r="K153" s="19">
        <f t="shared" si="0"/>
        <v>0</v>
      </c>
      <c r="L153" s="20">
        <v>0</v>
      </c>
      <c r="M153" s="19">
        <v>23</v>
      </c>
      <c r="N153" s="20">
        <f t="shared" si="13"/>
        <v>0</v>
      </c>
      <c r="O153" s="18"/>
      <c r="P153" s="6">
        <v>2245</v>
      </c>
      <c r="Q153" s="7">
        <f t="shared" si="1"/>
        <v>3318110</v>
      </c>
      <c r="R153" s="7">
        <f t="shared" si="2"/>
        <v>0</v>
      </c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 x14ac:dyDescent="0.35">
      <c r="A154" s="4" t="s">
        <v>181</v>
      </c>
      <c r="B154" s="19" t="s">
        <v>22</v>
      </c>
      <c r="C154" s="19" t="s">
        <v>20</v>
      </c>
      <c r="D154" s="19">
        <v>10</v>
      </c>
      <c r="E154" s="19">
        <v>5000</v>
      </c>
      <c r="F154" s="19">
        <v>155400</v>
      </c>
      <c r="G154" s="19">
        <v>0</v>
      </c>
      <c r="H154" s="19">
        <v>0</v>
      </c>
      <c r="I154" s="19">
        <v>145825</v>
      </c>
      <c r="J154" s="19">
        <v>0</v>
      </c>
      <c r="K154" s="19">
        <f t="shared" si="0"/>
        <v>14575</v>
      </c>
      <c r="L154" s="20">
        <v>16078.5714285714</v>
      </c>
      <c r="M154" s="19">
        <v>23</v>
      </c>
      <c r="N154" s="20">
        <f t="shared" si="13"/>
        <v>2.5359653204672874</v>
      </c>
      <c r="O154" s="18"/>
      <c r="P154" s="6">
        <v>2208</v>
      </c>
      <c r="Q154" s="7">
        <f t="shared" si="1"/>
        <v>321981600</v>
      </c>
      <c r="R154" s="7">
        <f t="shared" si="2"/>
        <v>35501485.714285649</v>
      </c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 x14ac:dyDescent="0.35">
      <c r="A155" s="4" t="s">
        <v>182</v>
      </c>
      <c r="B155" s="19" t="s">
        <v>22</v>
      </c>
      <c r="C155" s="19" t="s">
        <v>20</v>
      </c>
      <c r="D155" s="19">
        <v>10</v>
      </c>
      <c r="E155" s="19">
        <v>3800</v>
      </c>
      <c r="F155" s="19">
        <v>41325</v>
      </c>
      <c r="G155" s="19">
        <v>0</v>
      </c>
      <c r="H155" s="19">
        <v>0</v>
      </c>
      <c r="I155" s="19">
        <v>34850</v>
      </c>
      <c r="J155" s="19">
        <v>0</v>
      </c>
      <c r="K155" s="19">
        <f t="shared" si="0"/>
        <v>10275</v>
      </c>
      <c r="L155" s="20">
        <v>5926.3636363636406</v>
      </c>
      <c r="M155" s="19">
        <v>23</v>
      </c>
      <c r="N155" s="20">
        <f t="shared" si="13"/>
        <v>3.9112299465240672</v>
      </c>
      <c r="O155" s="18"/>
      <c r="P155" s="6">
        <v>2245</v>
      </c>
      <c r="Q155" s="7">
        <f t="shared" si="1"/>
        <v>78238250</v>
      </c>
      <c r="R155" s="7">
        <f t="shared" si="2"/>
        <v>13304686.363636373</v>
      </c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 x14ac:dyDescent="0.35">
      <c r="A156" s="4" t="s">
        <v>164</v>
      </c>
      <c r="B156" s="19" t="s">
        <v>19</v>
      </c>
      <c r="C156" s="19" t="s">
        <v>20</v>
      </c>
      <c r="D156" s="19">
        <v>10</v>
      </c>
      <c r="E156" s="19">
        <v>15738</v>
      </c>
      <c r="F156" s="19">
        <v>58720</v>
      </c>
      <c r="G156" s="19">
        <v>0</v>
      </c>
      <c r="H156" s="19">
        <v>0</v>
      </c>
      <c r="I156" s="19">
        <v>66265</v>
      </c>
      <c r="J156" s="19">
        <v>0</v>
      </c>
      <c r="K156" s="19">
        <f t="shared" si="0"/>
        <v>8193</v>
      </c>
      <c r="L156" s="20">
        <v>9697.5454545454504</v>
      </c>
      <c r="M156" s="19">
        <v>23</v>
      </c>
      <c r="N156" s="20">
        <f t="shared" si="13"/>
        <v>3.3659329277076186</v>
      </c>
      <c r="O156" s="18"/>
      <c r="P156" s="6">
        <v>2355</v>
      </c>
      <c r="Q156" s="7">
        <f t="shared" si="1"/>
        <v>156054075</v>
      </c>
      <c r="R156" s="7">
        <f t="shared" si="2"/>
        <v>22837719.545454536</v>
      </c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 x14ac:dyDescent="0.35">
      <c r="A157" s="4" t="s">
        <v>183</v>
      </c>
      <c r="B157" s="19" t="s">
        <v>19</v>
      </c>
      <c r="C157" s="19" t="s">
        <v>20</v>
      </c>
      <c r="D157" s="19">
        <v>10</v>
      </c>
      <c r="E157" s="19">
        <v>2692</v>
      </c>
      <c r="F157" s="19">
        <v>11164</v>
      </c>
      <c r="G157" s="19">
        <v>0</v>
      </c>
      <c r="H157" s="19">
        <v>0</v>
      </c>
      <c r="I157" s="19">
        <v>6150</v>
      </c>
      <c r="J157" s="19">
        <v>0</v>
      </c>
      <c r="K157" s="19">
        <f t="shared" si="0"/>
        <v>7706</v>
      </c>
      <c r="L157" s="20">
        <v>4098.6666666666697</v>
      </c>
      <c r="M157" s="19">
        <v>23</v>
      </c>
      <c r="N157" s="20">
        <f t="shared" si="13"/>
        <v>15.328346883468846</v>
      </c>
      <c r="O157" s="18"/>
      <c r="P157" s="6">
        <v>2021</v>
      </c>
      <c r="Q157" s="7">
        <f t="shared" si="1"/>
        <v>12429150</v>
      </c>
      <c r="R157" s="7">
        <f t="shared" si="2"/>
        <v>8283405.3333333395</v>
      </c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 x14ac:dyDescent="0.35">
      <c r="A158" s="4" t="s">
        <v>184</v>
      </c>
      <c r="B158" s="19" t="s">
        <v>19</v>
      </c>
      <c r="C158" s="19" t="s">
        <v>20</v>
      </c>
      <c r="D158" s="19">
        <v>10</v>
      </c>
      <c r="E158" s="19">
        <v>3993</v>
      </c>
      <c r="F158" s="19">
        <v>6000</v>
      </c>
      <c r="G158" s="19">
        <v>0</v>
      </c>
      <c r="H158" s="19">
        <v>0</v>
      </c>
      <c r="I158" s="19">
        <v>2825</v>
      </c>
      <c r="J158" s="19">
        <v>0</v>
      </c>
      <c r="K158" s="19">
        <f t="shared" si="0"/>
        <v>7168</v>
      </c>
      <c r="L158" s="20">
        <v>8205.5</v>
      </c>
      <c r="M158" s="19">
        <v>23</v>
      </c>
      <c r="N158" s="20">
        <f t="shared" si="13"/>
        <v>66.805840707964606</v>
      </c>
      <c r="O158" s="18"/>
      <c r="P158" s="6">
        <v>2021</v>
      </c>
      <c r="Q158" s="7">
        <f t="shared" si="1"/>
        <v>5709325</v>
      </c>
      <c r="R158" s="7">
        <f t="shared" si="2"/>
        <v>16583315.5</v>
      </c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 x14ac:dyDescent="0.35">
      <c r="A159" s="4" t="s">
        <v>185</v>
      </c>
      <c r="B159" s="19" t="s">
        <v>19</v>
      </c>
      <c r="C159" s="19" t="s">
        <v>20</v>
      </c>
      <c r="D159" s="19">
        <v>10</v>
      </c>
      <c r="E159" s="19">
        <v>16395</v>
      </c>
      <c r="F159" s="19">
        <v>0</v>
      </c>
      <c r="G159" s="19">
        <v>0</v>
      </c>
      <c r="H159" s="19">
        <v>0</v>
      </c>
      <c r="I159" s="19">
        <v>11155</v>
      </c>
      <c r="J159" s="19">
        <v>40</v>
      </c>
      <c r="K159" s="19">
        <f t="shared" si="0"/>
        <v>5200</v>
      </c>
      <c r="L159" s="20">
        <v>10453.888888888901</v>
      </c>
      <c r="M159" s="19">
        <v>23</v>
      </c>
      <c r="N159" s="20">
        <f t="shared" si="13"/>
        <v>21.477395662746289</v>
      </c>
      <c r="O159" s="18"/>
      <c r="P159" s="6">
        <v>2021</v>
      </c>
      <c r="Q159" s="7">
        <f t="shared" si="1"/>
        <v>22625095</v>
      </c>
      <c r="R159" s="7">
        <f t="shared" si="2"/>
        <v>21127309.44444447</v>
      </c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 x14ac:dyDescent="0.35">
      <c r="A160" s="4" t="s">
        <v>186</v>
      </c>
      <c r="B160" s="19" t="s">
        <v>19</v>
      </c>
      <c r="C160" s="19" t="s">
        <v>20</v>
      </c>
      <c r="D160" s="19">
        <v>10</v>
      </c>
      <c r="E160" s="19">
        <v>3575</v>
      </c>
      <c r="F160" s="19">
        <v>14869</v>
      </c>
      <c r="G160" s="19">
        <v>0</v>
      </c>
      <c r="H160" s="19">
        <v>0</v>
      </c>
      <c r="I160" s="19">
        <v>12444</v>
      </c>
      <c r="J160" s="19">
        <v>0</v>
      </c>
      <c r="K160" s="19">
        <f t="shared" si="0"/>
        <v>6000</v>
      </c>
      <c r="L160" s="20">
        <v>4300</v>
      </c>
      <c r="M160" s="19">
        <v>23</v>
      </c>
      <c r="N160" s="20">
        <f t="shared" si="13"/>
        <v>7.947605271616843</v>
      </c>
      <c r="O160" s="18"/>
      <c r="P160" s="6">
        <v>2846</v>
      </c>
      <c r="Q160" s="7">
        <f t="shared" si="1"/>
        <v>35415624</v>
      </c>
      <c r="R160" s="7">
        <f t="shared" si="2"/>
        <v>12237800</v>
      </c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 x14ac:dyDescent="0.35">
      <c r="A161" s="4" t="s">
        <v>187</v>
      </c>
      <c r="B161" s="19" t="s">
        <v>19</v>
      </c>
      <c r="C161" s="19" t="s">
        <v>20</v>
      </c>
      <c r="D161" s="19">
        <v>10</v>
      </c>
      <c r="E161" s="19">
        <v>3975</v>
      </c>
      <c r="F161" s="19">
        <v>11502</v>
      </c>
      <c r="G161" s="19">
        <v>0</v>
      </c>
      <c r="H161" s="19">
        <v>0</v>
      </c>
      <c r="I161" s="19">
        <v>13014</v>
      </c>
      <c r="J161" s="19">
        <v>0</v>
      </c>
      <c r="K161" s="19">
        <f t="shared" si="0"/>
        <v>2463</v>
      </c>
      <c r="L161" s="20">
        <v>3558</v>
      </c>
      <c r="M161" s="19">
        <v>23</v>
      </c>
      <c r="N161" s="20">
        <f t="shared" si="13"/>
        <v>6.2881512217611792</v>
      </c>
      <c r="O161" s="18"/>
      <c r="P161" s="6">
        <v>7550</v>
      </c>
      <c r="Q161" s="7">
        <f t="shared" si="1"/>
        <v>98255700</v>
      </c>
      <c r="R161" s="7">
        <f t="shared" si="2"/>
        <v>26862900</v>
      </c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 x14ac:dyDescent="0.35">
      <c r="A162" s="4" t="s">
        <v>188</v>
      </c>
      <c r="B162" s="19" t="s">
        <v>19</v>
      </c>
      <c r="C162" s="19" t="s">
        <v>20</v>
      </c>
      <c r="D162" s="19">
        <v>10</v>
      </c>
      <c r="E162" s="19">
        <v>1700</v>
      </c>
      <c r="F162" s="19">
        <v>3625</v>
      </c>
      <c r="G162" s="19">
        <v>0</v>
      </c>
      <c r="H162" s="19">
        <v>0</v>
      </c>
      <c r="I162" s="19">
        <v>2425</v>
      </c>
      <c r="J162" s="19">
        <v>0</v>
      </c>
      <c r="K162" s="19">
        <f t="shared" si="0"/>
        <v>2900</v>
      </c>
      <c r="L162" s="20">
        <v>1780</v>
      </c>
      <c r="M162" s="19">
        <v>23</v>
      </c>
      <c r="N162" s="20">
        <f t="shared" si="13"/>
        <v>16.882474226804124</v>
      </c>
      <c r="O162" s="18"/>
      <c r="P162" s="6">
        <v>2658</v>
      </c>
      <c r="Q162" s="7">
        <f t="shared" si="1"/>
        <v>6445650</v>
      </c>
      <c r="R162" s="7">
        <f t="shared" si="2"/>
        <v>4731240</v>
      </c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 x14ac:dyDescent="0.35">
      <c r="A163" s="8" t="s">
        <v>165</v>
      </c>
      <c r="B163" s="8"/>
      <c r="C163" s="8"/>
      <c r="D163" s="8"/>
      <c r="E163" s="9">
        <f t="shared" ref="E163:L163" si="14">SUM(E2:E162)</f>
        <v>1577324</v>
      </c>
      <c r="F163" s="9">
        <f t="shared" si="14"/>
        <v>5245399</v>
      </c>
      <c r="G163" s="9">
        <f t="shared" si="14"/>
        <v>0</v>
      </c>
      <c r="H163" s="9">
        <f t="shared" si="14"/>
        <v>0</v>
      </c>
      <c r="I163" s="9">
        <f t="shared" si="14"/>
        <v>5425412</v>
      </c>
      <c r="J163" s="9">
        <f t="shared" si="14"/>
        <v>23475</v>
      </c>
      <c r="K163" s="9">
        <f t="shared" si="14"/>
        <v>1373836</v>
      </c>
      <c r="L163" s="9">
        <f t="shared" si="14"/>
        <v>1457537.3748939792</v>
      </c>
      <c r="M163" s="9">
        <v>23</v>
      </c>
      <c r="N163" s="9">
        <f t="shared" si="13"/>
        <v>6.1523315903892888</v>
      </c>
      <c r="O163" s="18"/>
      <c r="P163" s="21"/>
      <c r="Q163" s="21">
        <f t="shared" ref="Q163:R163" si="15">SUM(Q2:Q162)</f>
        <v>11931412377</v>
      </c>
      <c r="R163" s="21">
        <f t="shared" si="15"/>
        <v>3373815630.730679</v>
      </c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 x14ac:dyDescent="0.35">
      <c r="A164" s="4"/>
      <c r="B164" s="19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9"/>
      <c r="Q164" s="19"/>
      <c r="R164" s="19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 x14ac:dyDescent="0.35">
      <c r="A165" s="4"/>
      <c r="B165" s="19"/>
      <c r="C165" s="18"/>
      <c r="D165" s="18"/>
      <c r="E165" s="18"/>
      <c r="F165" s="18"/>
      <c r="G165" s="18"/>
      <c r="H165" s="18"/>
      <c r="I165" s="22">
        <f>I163+J163</f>
        <v>5448887</v>
      </c>
      <c r="J165" s="18"/>
      <c r="K165" s="18"/>
      <c r="L165" s="18"/>
      <c r="M165" s="18"/>
      <c r="N165" s="18"/>
      <c r="O165" s="18"/>
      <c r="P165" s="12" t="s">
        <v>166</v>
      </c>
      <c r="Q165" s="23">
        <v>5.1999999999999998E-3</v>
      </c>
      <c r="R165" s="19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 x14ac:dyDescent="0.35">
      <c r="A166" s="4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2" t="s">
        <v>167</v>
      </c>
      <c r="Q166" s="24">
        <f>(R163*Q165)/Q163</f>
        <v>1.4703909919012205E-3</v>
      </c>
      <c r="R166" s="19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 x14ac:dyDescent="0.35">
      <c r="A167" s="4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2" t="s">
        <v>168</v>
      </c>
      <c r="Q167" s="24">
        <v>1.5100000000000001E-3</v>
      </c>
      <c r="R167" s="19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 x14ac:dyDescent="0.35">
      <c r="A168" s="4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6" t="s">
        <v>169</v>
      </c>
      <c r="Q168" s="25">
        <f>(R163/Q163)*M163</f>
        <v>6.5036524641784768</v>
      </c>
      <c r="R168" s="19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 x14ac:dyDescent="0.35">
      <c r="A169" s="4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9"/>
      <c r="Q169" s="19"/>
      <c r="R169" s="19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 x14ac:dyDescent="0.35">
      <c r="A170" s="4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9"/>
      <c r="Q170" s="19"/>
      <c r="R170" s="19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 x14ac:dyDescent="0.35">
      <c r="A171" s="4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9"/>
      <c r="Q171" s="19"/>
      <c r="R171" s="19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 x14ac:dyDescent="0.35">
      <c r="A172" s="4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9"/>
      <c r="Q172" s="19"/>
      <c r="R172" s="19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 x14ac:dyDescent="0.35">
      <c r="A173" s="4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9"/>
      <c r="Q173" s="19"/>
      <c r="R173" s="19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 x14ac:dyDescent="0.35">
      <c r="A174" s="4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9"/>
      <c r="Q174" s="19"/>
      <c r="R174" s="19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 x14ac:dyDescent="0.35">
      <c r="A175" s="4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9"/>
      <c r="Q175" s="19"/>
      <c r="R175" s="19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 x14ac:dyDescent="0.35">
      <c r="A176" s="4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/>
      <c r="Q176" s="19"/>
      <c r="R176" s="19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 x14ac:dyDescent="0.35">
      <c r="A177" s="4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9"/>
      <c r="Q177" s="19"/>
      <c r="R177" s="19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 x14ac:dyDescent="0.35">
      <c r="A178" s="4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9"/>
      <c r="Q178" s="19"/>
      <c r="R178" s="19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 x14ac:dyDescent="0.35">
      <c r="A179" s="4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9"/>
      <c r="Q179" s="19"/>
      <c r="R179" s="19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 x14ac:dyDescent="0.35">
      <c r="A180" s="4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9"/>
      <c r="Q180" s="19"/>
      <c r="R180" s="19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 x14ac:dyDescent="0.35">
      <c r="A181" s="4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9"/>
      <c r="Q181" s="19"/>
      <c r="R181" s="19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 x14ac:dyDescent="0.35">
      <c r="A182" s="4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9"/>
      <c r="Q182" s="19"/>
      <c r="R182" s="19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 x14ac:dyDescent="0.35">
      <c r="A183" s="4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9"/>
      <c r="Q183" s="19"/>
      <c r="R183" s="19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 x14ac:dyDescent="0.35">
      <c r="A184" s="4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9"/>
      <c r="Q184" s="19"/>
      <c r="R184" s="19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 x14ac:dyDescent="0.35">
      <c r="A185" s="4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9"/>
      <c r="Q185" s="19"/>
      <c r="R185" s="19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 x14ac:dyDescent="0.35">
      <c r="A186" s="4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9"/>
      <c r="Q186" s="19"/>
      <c r="R186" s="19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 x14ac:dyDescent="0.35">
      <c r="A187" s="4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9"/>
      <c r="Q187" s="19"/>
      <c r="R187" s="19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 x14ac:dyDescent="0.35">
      <c r="A188" s="4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9"/>
      <c r="Q188" s="19"/>
      <c r="R188" s="19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 x14ac:dyDescent="0.35">
      <c r="A189" s="4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9"/>
      <c r="Q189" s="19"/>
      <c r="R189" s="19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 x14ac:dyDescent="0.35">
      <c r="A190" s="4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9"/>
      <c r="Q190" s="19"/>
      <c r="R190" s="19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 x14ac:dyDescent="0.35">
      <c r="A191" s="4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9"/>
      <c r="Q191" s="19"/>
      <c r="R191" s="19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 x14ac:dyDescent="0.35">
      <c r="A192" s="4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9"/>
      <c r="Q192" s="19"/>
      <c r="R192" s="19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 x14ac:dyDescent="0.35">
      <c r="A193" s="4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9"/>
      <c r="Q193" s="19"/>
      <c r="R193" s="19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 x14ac:dyDescent="0.35">
      <c r="A194" s="4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9"/>
      <c r="Q194" s="19"/>
      <c r="R194" s="19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 x14ac:dyDescent="0.35">
      <c r="A195" s="4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9"/>
      <c r="Q195" s="19"/>
      <c r="R195" s="19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 x14ac:dyDescent="0.35">
      <c r="A196" s="4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9"/>
      <c r="Q196" s="19"/>
      <c r="R196" s="19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 x14ac:dyDescent="0.35">
      <c r="A197" s="4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9"/>
      <c r="Q197" s="19"/>
      <c r="R197" s="19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 x14ac:dyDescent="0.35">
      <c r="A198" s="4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9"/>
      <c r="Q198" s="19"/>
      <c r="R198" s="19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 x14ac:dyDescent="0.35">
      <c r="A199" s="4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9"/>
      <c r="Q199" s="19"/>
      <c r="R199" s="19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 x14ac:dyDescent="0.35">
      <c r="A200" s="4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9"/>
      <c r="Q200" s="19"/>
      <c r="R200" s="19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 x14ac:dyDescent="0.35">
      <c r="A201" s="4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9"/>
      <c r="Q201" s="19"/>
      <c r="R201" s="19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 x14ac:dyDescent="0.35">
      <c r="A202" s="4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9"/>
      <c r="Q202" s="19"/>
      <c r="R202" s="19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 x14ac:dyDescent="0.35">
      <c r="A203" s="4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9"/>
      <c r="Q203" s="19"/>
      <c r="R203" s="19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75" customHeight="1" x14ac:dyDescent="0.35">
      <c r="A204" s="4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9"/>
      <c r="Q204" s="19"/>
      <c r="R204" s="19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75" customHeight="1" x14ac:dyDescent="0.35">
      <c r="A205" s="4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9"/>
      <c r="Q205" s="19"/>
      <c r="R205" s="19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75" customHeight="1" x14ac:dyDescent="0.35">
      <c r="A206" s="4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9"/>
      <c r="Q206" s="19"/>
      <c r="R206" s="19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75" customHeight="1" x14ac:dyDescent="0.35">
      <c r="A207" s="4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9"/>
      <c r="Q207" s="19"/>
      <c r="R207" s="19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75" customHeight="1" x14ac:dyDescent="0.35">
      <c r="A208" s="4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9"/>
      <c r="Q208" s="19"/>
      <c r="R208" s="19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75" customHeight="1" x14ac:dyDescent="0.35">
      <c r="A209" s="4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9"/>
      <c r="Q209" s="19"/>
      <c r="R209" s="19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75" customHeight="1" x14ac:dyDescent="0.35">
      <c r="A210" s="4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9"/>
      <c r="Q210" s="19"/>
      <c r="R210" s="19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75" customHeight="1" x14ac:dyDescent="0.35">
      <c r="A211" s="4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9"/>
      <c r="Q211" s="19"/>
      <c r="R211" s="19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75" customHeight="1" x14ac:dyDescent="0.35">
      <c r="A212" s="4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9"/>
      <c r="Q212" s="19"/>
      <c r="R212" s="19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75" customHeight="1" x14ac:dyDescent="0.35">
      <c r="A213" s="4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9"/>
      <c r="Q213" s="19"/>
      <c r="R213" s="19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75" customHeight="1" x14ac:dyDescent="0.35">
      <c r="A214" s="4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9"/>
      <c r="Q214" s="19"/>
      <c r="R214" s="19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75" customHeight="1" x14ac:dyDescent="0.35">
      <c r="A215" s="4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9"/>
      <c r="Q215" s="19"/>
      <c r="R215" s="19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5.75" customHeight="1" x14ac:dyDescent="0.35">
      <c r="A216" s="4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9"/>
      <c r="Q216" s="19"/>
      <c r="R216" s="19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5.75" customHeight="1" x14ac:dyDescent="0.35">
      <c r="A217" s="4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9"/>
      <c r="Q217" s="19"/>
      <c r="R217" s="19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5.75" customHeight="1" x14ac:dyDescent="0.35">
      <c r="A218" s="4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9"/>
      <c r="Q218" s="19"/>
      <c r="R218" s="19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5.75" customHeight="1" x14ac:dyDescent="0.35">
      <c r="A219" s="4"/>
      <c r="B219" s="19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9"/>
      <c r="Q219" s="19"/>
      <c r="R219" s="19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5.75" customHeight="1" x14ac:dyDescent="0.35">
      <c r="A220" s="4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9"/>
      <c r="Q220" s="19"/>
      <c r="R220" s="19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5.75" customHeight="1" x14ac:dyDescent="0.35">
      <c r="A221" s="4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9"/>
      <c r="Q221" s="19"/>
      <c r="R221" s="19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5.75" customHeight="1" x14ac:dyDescent="0.35">
      <c r="A222" s="4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9"/>
      <c r="Q222" s="19"/>
      <c r="R222" s="19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5.75" customHeight="1" x14ac:dyDescent="0.35">
      <c r="A223" s="4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9"/>
      <c r="Q223" s="19"/>
      <c r="R223" s="19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5.75" customHeight="1" x14ac:dyDescent="0.35">
      <c r="A224" s="4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9"/>
      <c r="Q224" s="19"/>
      <c r="R224" s="19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5.75" customHeight="1" x14ac:dyDescent="0.35">
      <c r="A225" s="4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9"/>
      <c r="Q225" s="19"/>
      <c r="R225" s="19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5.75" customHeight="1" x14ac:dyDescent="0.35">
      <c r="A226" s="4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9"/>
      <c r="Q226" s="19"/>
      <c r="R226" s="19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5.75" customHeight="1" x14ac:dyDescent="0.35">
      <c r="A227" s="4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9"/>
      <c r="Q227" s="19"/>
      <c r="R227" s="19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5.75" customHeight="1" x14ac:dyDescent="0.35">
      <c r="A228" s="4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9"/>
      <c r="Q228" s="19"/>
      <c r="R228" s="19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5.75" customHeight="1" x14ac:dyDescent="0.35">
      <c r="A229" s="4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9"/>
      <c r="Q229" s="19"/>
      <c r="R229" s="19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5.75" customHeight="1" x14ac:dyDescent="0.35">
      <c r="A230" s="4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9"/>
      <c r="Q230" s="19"/>
      <c r="R230" s="19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5.75" customHeight="1" x14ac:dyDescent="0.35">
      <c r="A231" s="4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9"/>
      <c r="Q231" s="19"/>
      <c r="R231" s="19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5.75" customHeight="1" x14ac:dyDescent="0.35">
      <c r="A232" s="4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9"/>
      <c r="Q232" s="19"/>
      <c r="R232" s="19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5.75" customHeight="1" x14ac:dyDescent="0.35">
      <c r="A233" s="4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9"/>
      <c r="Q233" s="19"/>
      <c r="R233" s="19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5.75" customHeight="1" x14ac:dyDescent="0.35">
      <c r="A234" s="4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9"/>
      <c r="Q234" s="19"/>
      <c r="R234" s="19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5.75" customHeight="1" x14ac:dyDescent="0.35">
      <c r="A235" s="4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9"/>
      <c r="Q235" s="19"/>
      <c r="R235" s="19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5.75" customHeight="1" x14ac:dyDescent="0.35">
      <c r="A236" s="4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9"/>
      <c r="Q236" s="19"/>
      <c r="R236" s="19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5.75" customHeight="1" x14ac:dyDescent="0.35">
      <c r="A237" s="4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9"/>
      <c r="Q237" s="19"/>
      <c r="R237" s="19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5.75" customHeight="1" x14ac:dyDescent="0.35">
      <c r="A238" s="4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9"/>
      <c r="Q238" s="19"/>
      <c r="R238" s="19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5.75" customHeight="1" x14ac:dyDescent="0.35">
      <c r="A239" s="4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9"/>
      <c r="Q239" s="19"/>
      <c r="R239" s="19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5.75" customHeight="1" x14ac:dyDescent="0.35">
      <c r="A240" s="4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9"/>
      <c r="Q240" s="19"/>
      <c r="R240" s="19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5.75" customHeight="1" x14ac:dyDescent="0.35">
      <c r="A241" s="4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9"/>
      <c r="Q241" s="19"/>
      <c r="R241" s="19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5.75" customHeight="1" x14ac:dyDescent="0.35">
      <c r="A242" s="4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9"/>
      <c r="Q242" s="19"/>
      <c r="R242" s="19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5.75" customHeight="1" x14ac:dyDescent="0.35">
      <c r="A243" s="4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9"/>
      <c r="Q243" s="19"/>
      <c r="R243" s="19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5.75" customHeight="1" x14ac:dyDescent="0.35">
      <c r="A244" s="4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9"/>
      <c r="Q244" s="19"/>
      <c r="R244" s="19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5.75" customHeight="1" x14ac:dyDescent="0.35">
      <c r="A245" s="4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9"/>
      <c r="Q245" s="19"/>
      <c r="R245" s="19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5.75" customHeight="1" x14ac:dyDescent="0.35">
      <c r="A246" s="4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9"/>
      <c r="Q246" s="19"/>
      <c r="R246" s="19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5.75" customHeight="1" x14ac:dyDescent="0.35">
      <c r="A247" s="4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9"/>
      <c r="Q247" s="19"/>
      <c r="R247" s="19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5.75" customHeight="1" x14ac:dyDescent="0.35">
      <c r="A248" s="4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9"/>
      <c r="Q248" s="19"/>
      <c r="R248" s="19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5.75" customHeight="1" x14ac:dyDescent="0.35">
      <c r="A249" s="4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9"/>
      <c r="Q249" s="19"/>
      <c r="R249" s="19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5.75" customHeight="1" x14ac:dyDescent="0.35">
      <c r="A250" s="4"/>
      <c r="B250" s="19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9"/>
      <c r="Q250" s="19"/>
      <c r="R250" s="19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5.75" customHeight="1" x14ac:dyDescent="0.35">
      <c r="A251" s="4"/>
      <c r="B251" s="19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9"/>
      <c r="Q251" s="19"/>
      <c r="R251" s="19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5.75" customHeight="1" x14ac:dyDescent="0.35">
      <c r="A252" s="4"/>
      <c r="B252" s="19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9"/>
      <c r="Q252" s="19"/>
      <c r="R252" s="19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5.75" customHeight="1" x14ac:dyDescent="0.35">
      <c r="A253" s="4"/>
      <c r="B253" s="19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9"/>
      <c r="Q253" s="19"/>
      <c r="R253" s="19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5.75" customHeight="1" x14ac:dyDescent="0.35">
      <c r="A254" s="4"/>
      <c r="B254" s="19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9"/>
      <c r="Q254" s="19"/>
      <c r="R254" s="19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5.75" customHeight="1" x14ac:dyDescent="0.35">
      <c r="A255" s="4"/>
      <c r="B255" s="19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9"/>
      <c r="Q255" s="19"/>
      <c r="R255" s="19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5.75" customHeight="1" x14ac:dyDescent="0.35">
      <c r="A256" s="4"/>
      <c r="B256" s="19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9"/>
      <c r="Q256" s="19"/>
      <c r="R256" s="19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5.75" customHeight="1" x14ac:dyDescent="0.35">
      <c r="A257" s="4"/>
      <c r="B257" s="19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9"/>
      <c r="Q257" s="19"/>
      <c r="R257" s="19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5.75" customHeight="1" x14ac:dyDescent="0.35">
      <c r="A258" s="4"/>
      <c r="B258" s="19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9"/>
      <c r="Q258" s="19"/>
      <c r="R258" s="19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5.75" customHeight="1" x14ac:dyDescent="0.35">
      <c r="A259" s="4"/>
      <c r="B259" s="19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9"/>
      <c r="Q259" s="19"/>
      <c r="R259" s="19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5.75" customHeight="1" x14ac:dyDescent="0.35">
      <c r="A260" s="4"/>
      <c r="B260" s="19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9"/>
      <c r="Q260" s="19"/>
      <c r="R260" s="19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5.75" customHeight="1" x14ac:dyDescent="0.35">
      <c r="A261" s="4"/>
      <c r="B261" s="19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9"/>
      <c r="Q261" s="19"/>
      <c r="R261" s="19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5.75" customHeight="1" x14ac:dyDescent="0.35">
      <c r="A262" s="4"/>
      <c r="B262" s="19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9"/>
      <c r="Q262" s="19"/>
      <c r="R262" s="19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5.75" customHeight="1" x14ac:dyDescent="0.35">
      <c r="A263" s="4"/>
      <c r="B263" s="19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9"/>
      <c r="Q263" s="19"/>
      <c r="R263" s="19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5.75" customHeight="1" x14ac:dyDescent="0.35">
      <c r="A264" s="4"/>
      <c r="B264" s="19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9"/>
      <c r="Q264" s="19"/>
      <c r="R264" s="19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5.75" customHeight="1" x14ac:dyDescent="0.35">
      <c r="A265" s="4"/>
      <c r="B265" s="19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9"/>
      <c r="Q265" s="19"/>
      <c r="R265" s="19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5.75" customHeight="1" x14ac:dyDescent="0.35">
      <c r="A266" s="4"/>
      <c r="B266" s="19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9"/>
      <c r="Q266" s="19"/>
      <c r="R266" s="19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5.75" customHeight="1" x14ac:dyDescent="0.35">
      <c r="A267" s="4"/>
      <c r="B267" s="19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9"/>
      <c r="Q267" s="19"/>
      <c r="R267" s="19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5.75" customHeight="1" x14ac:dyDescent="0.35">
      <c r="A268" s="4"/>
      <c r="B268" s="19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9"/>
      <c r="Q268" s="19"/>
      <c r="R268" s="19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5.75" customHeight="1" x14ac:dyDescent="0.35">
      <c r="A269" s="4"/>
      <c r="B269" s="19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9"/>
      <c r="Q269" s="19"/>
      <c r="R269" s="19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5.75" customHeight="1" x14ac:dyDescent="0.35">
      <c r="A270" s="4"/>
      <c r="B270" s="19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9"/>
      <c r="Q270" s="19"/>
      <c r="R270" s="19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5.75" customHeight="1" x14ac:dyDescent="0.35">
      <c r="A271" s="4"/>
      <c r="B271" s="19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9"/>
      <c r="Q271" s="19"/>
      <c r="R271" s="19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5.75" customHeight="1" x14ac:dyDescent="0.35">
      <c r="A272" s="4"/>
      <c r="B272" s="19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9"/>
      <c r="Q272" s="19"/>
      <c r="R272" s="19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5.75" customHeight="1" x14ac:dyDescent="0.35">
      <c r="A273" s="4"/>
      <c r="B273" s="19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9"/>
      <c r="Q273" s="19"/>
      <c r="R273" s="19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5.75" customHeight="1" x14ac:dyDescent="0.35">
      <c r="A274" s="4"/>
      <c r="B274" s="19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9"/>
      <c r="Q274" s="19"/>
      <c r="R274" s="19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5.75" customHeight="1" x14ac:dyDescent="0.35">
      <c r="A275" s="4"/>
      <c r="B275" s="19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9"/>
      <c r="Q275" s="19"/>
      <c r="R275" s="19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5.75" customHeight="1" x14ac:dyDescent="0.35">
      <c r="A276" s="4"/>
      <c r="B276" s="19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9"/>
      <c r="Q276" s="19"/>
      <c r="R276" s="19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5.75" customHeight="1" x14ac:dyDescent="0.35">
      <c r="A277" s="4"/>
      <c r="B277" s="19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9"/>
      <c r="Q277" s="19"/>
      <c r="R277" s="19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5.75" customHeight="1" x14ac:dyDescent="0.35">
      <c r="A278" s="4"/>
      <c r="B278" s="19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9"/>
      <c r="Q278" s="19"/>
      <c r="R278" s="19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5.75" customHeight="1" x14ac:dyDescent="0.35">
      <c r="A279" s="4"/>
      <c r="B279" s="19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9"/>
      <c r="Q279" s="19"/>
      <c r="R279" s="19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5.75" customHeight="1" x14ac:dyDescent="0.35">
      <c r="A280" s="4"/>
      <c r="B280" s="19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9"/>
      <c r="Q280" s="19"/>
      <c r="R280" s="19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5.75" customHeight="1" x14ac:dyDescent="0.35">
      <c r="A281" s="4"/>
      <c r="B281" s="19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9"/>
      <c r="Q281" s="19"/>
      <c r="R281" s="19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5.75" customHeight="1" x14ac:dyDescent="0.35">
      <c r="A282" s="4"/>
      <c r="B282" s="19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9"/>
      <c r="Q282" s="19"/>
      <c r="R282" s="19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5.75" customHeight="1" x14ac:dyDescent="0.35">
      <c r="A283" s="4"/>
      <c r="B283" s="19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9"/>
      <c r="Q283" s="19"/>
      <c r="R283" s="19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5.75" customHeight="1" x14ac:dyDescent="0.35">
      <c r="A284" s="4"/>
      <c r="B284" s="19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9"/>
      <c r="Q284" s="19"/>
      <c r="R284" s="19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5.75" customHeight="1" x14ac:dyDescent="0.35">
      <c r="A285" s="4"/>
      <c r="B285" s="19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9"/>
      <c r="Q285" s="19"/>
      <c r="R285" s="19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5.75" customHeight="1" x14ac:dyDescent="0.35">
      <c r="A286" s="4"/>
      <c r="B286" s="19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9"/>
      <c r="Q286" s="19"/>
      <c r="R286" s="19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5.75" customHeight="1" x14ac:dyDescent="0.35">
      <c r="A287" s="4"/>
      <c r="B287" s="19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9"/>
      <c r="Q287" s="19"/>
      <c r="R287" s="19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5.75" customHeight="1" x14ac:dyDescent="0.35">
      <c r="A288" s="4"/>
      <c r="B288" s="19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9"/>
      <c r="Q288" s="19"/>
      <c r="R288" s="19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5.75" customHeight="1" x14ac:dyDescent="0.35">
      <c r="A289" s="4"/>
      <c r="B289" s="19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9"/>
      <c r="Q289" s="19"/>
      <c r="R289" s="19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5.75" customHeight="1" x14ac:dyDescent="0.35">
      <c r="A290" s="4"/>
      <c r="B290" s="19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9"/>
      <c r="Q290" s="19"/>
      <c r="R290" s="19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5.75" customHeight="1" x14ac:dyDescent="0.35">
      <c r="A291" s="4"/>
      <c r="B291" s="19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9"/>
      <c r="Q291" s="19"/>
      <c r="R291" s="19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5.75" customHeight="1" x14ac:dyDescent="0.35">
      <c r="A292" s="4"/>
      <c r="B292" s="19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9"/>
      <c r="Q292" s="19"/>
      <c r="R292" s="19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5.75" customHeight="1" x14ac:dyDescent="0.35">
      <c r="A293" s="4"/>
      <c r="B293" s="19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9"/>
      <c r="Q293" s="19"/>
      <c r="R293" s="19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5.75" customHeight="1" x14ac:dyDescent="0.35">
      <c r="A294" s="4"/>
      <c r="B294" s="19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9"/>
      <c r="Q294" s="19"/>
      <c r="R294" s="19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5.75" customHeight="1" x14ac:dyDescent="0.35">
      <c r="A295" s="4"/>
      <c r="B295" s="19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9"/>
      <c r="Q295" s="19"/>
      <c r="R295" s="19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5.75" customHeight="1" x14ac:dyDescent="0.35">
      <c r="A296" s="4"/>
      <c r="B296" s="19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9"/>
      <c r="Q296" s="19"/>
      <c r="R296" s="19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5.75" customHeight="1" x14ac:dyDescent="0.35">
      <c r="A297" s="4"/>
      <c r="B297" s="19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9"/>
      <c r="Q297" s="19"/>
      <c r="R297" s="19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5.75" customHeight="1" x14ac:dyDescent="0.35">
      <c r="A298" s="4"/>
      <c r="B298" s="19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9"/>
      <c r="Q298" s="19"/>
      <c r="R298" s="19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5.75" customHeight="1" x14ac:dyDescent="0.35">
      <c r="A299" s="4"/>
      <c r="B299" s="19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9"/>
      <c r="Q299" s="19"/>
      <c r="R299" s="19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5.75" customHeight="1" x14ac:dyDescent="0.35">
      <c r="A300" s="4"/>
      <c r="B300" s="19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9"/>
      <c r="Q300" s="19"/>
      <c r="R300" s="19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5.75" customHeight="1" x14ac:dyDescent="0.35">
      <c r="A301" s="4"/>
      <c r="B301" s="19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9"/>
      <c r="Q301" s="19"/>
      <c r="R301" s="19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5.75" customHeight="1" x14ac:dyDescent="0.35">
      <c r="A302" s="4"/>
      <c r="B302" s="19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9"/>
      <c r="Q302" s="19"/>
      <c r="R302" s="19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5.75" customHeight="1" x14ac:dyDescent="0.35">
      <c r="A303" s="4"/>
      <c r="B303" s="19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9"/>
      <c r="Q303" s="19"/>
      <c r="R303" s="19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5.75" customHeight="1" x14ac:dyDescent="0.35">
      <c r="A304" s="4"/>
      <c r="B304" s="19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9"/>
      <c r="Q304" s="19"/>
      <c r="R304" s="19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5.75" customHeight="1" x14ac:dyDescent="0.35">
      <c r="A305" s="4"/>
      <c r="B305" s="19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9"/>
      <c r="Q305" s="19"/>
      <c r="R305" s="19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5.75" customHeight="1" x14ac:dyDescent="0.35">
      <c r="A306" s="4"/>
      <c r="B306" s="19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9"/>
      <c r="Q306" s="19"/>
      <c r="R306" s="19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5.75" customHeight="1" x14ac:dyDescent="0.35">
      <c r="A307" s="4"/>
      <c r="B307" s="19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9"/>
      <c r="Q307" s="19"/>
      <c r="R307" s="19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5.75" customHeight="1" x14ac:dyDescent="0.35">
      <c r="A308" s="4"/>
      <c r="B308" s="19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9"/>
      <c r="Q308" s="19"/>
      <c r="R308" s="19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5.75" customHeight="1" x14ac:dyDescent="0.35">
      <c r="A309" s="4"/>
      <c r="B309" s="19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9"/>
      <c r="Q309" s="19"/>
      <c r="R309" s="19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5.75" customHeight="1" x14ac:dyDescent="0.35">
      <c r="A310" s="4"/>
      <c r="B310" s="19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9"/>
      <c r="Q310" s="19"/>
      <c r="R310" s="19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5.75" customHeight="1" x14ac:dyDescent="0.35">
      <c r="A311" s="4"/>
      <c r="B311" s="19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9"/>
      <c r="Q311" s="19"/>
      <c r="R311" s="19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5.75" customHeight="1" x14ac:dyDescent="0.35">
      <c r="A312" s="4"/>
      <c r="B312" s="19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9"/>
      <c r="Q312" s="19"/>
      <c r="R312" s="19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5.75" customHeight="1" x14ac:dyDescent="0.35">
      <c r="A313" s="4"/>
      <c r="B313" s="19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9"/>
      <c r="Q313" s="19"/>
      <c r="R313" s="19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5.75" customHeight="1" x14ac:dyDescent="0.35">
      <c r="A314" s="4"/>
      <c r="B314" s="19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9"/>
      <c r="Q314" s="19"/>
      <c r="R314" s="19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5.75" customHeight="1" x14ac:dyDescent="0.35">
      <c r="A315" s="4"/>
      <c r="B315" s="19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9"/>
      <c r="Q315" s="19"/>
      <c r="R315" s="19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5.75" customHeight="1" x14ac:dyDescent="0.35">
      <c r="A316" s="4"/>
      <c r="B316" s="19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9"/>
      <c r="Q316" s="19"/>
      <c r="R316" s="19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5.75" customHeight="1" x14ac:dyDescent="0.35">
      <c r="A317" s="4"/>
      <c r="B317" s="19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9"/>
      <c r="Q317" s="19"/>
      <c r="R317" s="19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5.75" customHeight="1" x14ac:dyDescent="0.35">
      <c r="A318" s="4"/>
      <c r="B318" s="19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9"/>
      <c r="Q318" s="19"/>
      <c r="R318" s="19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5.75" customHeight="1" x14ac:dyDescent="0.35">
      <c r="A319" s="4"/>
      <c r="B319" s="19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9"/>
      <c r="Q319" s="19"/>
      <c r="R319" s="19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5.75" customHeight="1" x14ac:dyDescent="0.35">
      <c r="A320" s="4"/>
      <c r="B320" s="19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9"/>
      <c r="Q320" s="19"/>
      <c r="R320" s="19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5.75" customHeight="1" x14ac:dyDescent="0.35">
      <c r="A321" s="4"/>
      <c r="B321" s="19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9"/>
      <c r="Q321" s="19"/>
      <c r="R321" s="19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5.75" customHeight="1" x14ac:dyDescent="0.35">
      <c r="A322" s="4"/>
      <c r="B322" s="19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9"/>
      <c r="Q322" s="19"/>
      <c r="R322" s="19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5.75" customHeight="1" x14ac:dyDescent="0.35">
      <c r="A323" s="4"/>
      <c r="B323" s="19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9"/>
      <c r="Q323" s="19"/>
      <c r="R323" s="19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5.75" customHeight="1" x14ac:dyDescent="0.35">
      <c r="A324" s="4"/>
      <c r="B324" s="19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9"/>
      <c r="Q324" s="19"/>
      <c r="R324" s="19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5.75" customHeight="1" x14ac:dyDescent="0.35">
      <c r="A325" s="4"/>
      <c r="B325" s="19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9"/>
      <c r="Q325" s="19"/>
      <c r="R325" s="19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5.75" customHeight="1" x14ac:dyDescent="0.35">
      <c r="A326" s="4"/>
      <c r="B326" s="19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9"/>
      <c r="Q326" s="19"/>
      <c r="R326" s="19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5.75" customHeight="1" x14ac:dyDescent="0.35">
      <c r="A327" s="4"/>
      <c r="B327" s="19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9"/>
      <c r="Q327" s="19"/>
      <c r="R327" s="19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5.75" customHeight="1" x14ac:dyDescent="0.35">
      <c r="A328" s="4"/>
      <c r="B328" s="19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9"/>
      <c r="Q328" s="19"/>
      <c r="R328" s="19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5.75" customHeight="1" x14ac:dyDescent="0.35">
      <c r="A329" s="4"/>
      <c r="B329" s="19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9"/>
      <c r="R329" s="19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5.75" customHeight="1" x14ac:dyDescent="0.35">
      <c r="A330" s="4"/>
      <c r="B330" s="19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9"/>
      <c r="Q330" s="19"/>
      <c r="R330" s="19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5.75" customHeight="1" x14ac:dyDescent="0.35">
      <c r="A331" s="4"/>
      <c r="B331" s="19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9"/>
      <c r="Q331" s="19"/>
      <c r="R331" s="19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5.75" customHeight="1" x14ac:dyDescent="0.35">
      <c r="A332" s="4"/>
      <c r="B332" s="19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9"/>
      <c r="Q332" s="19"/>
      <c r="R332" s="19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5.75" customHeight="1" x14ac:dyDescent="0.35">
      <c r="A333" s="4"/>
      <c r="B333" s="19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9"/>
      <c r="Q333" s="19"/>
      <c r="R333" s="19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5.75" customHeight="1" x14ac:dyDescent="0.35">
      <c r="A334" s="4"/>
      <c r="B334" s="19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9"/>
      <c r="Q334" s="19"/>
      <c r="R334" s="19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5.75" customHeight="1" x14ac:dyDescent="0.35">
      <c r="A335" s="4"/>
      <c r="B335" s="19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9"/>
      <c r="Q335" s="19"/>
      <c r="R335" s="19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5.75" customHeight="1" x14ac:dyDescent="0.35">
      <c r="A336" s="4"/>
      <c r="B336" s="19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9"/>
      <c r="Q336" s="19"/>
      <c r="R336" s="19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5.75" customHeight="1" x14ac:dyDescent="0.35">
      <c r="A337" s="4"/>
      <c r="B337" s="19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9"/>
      <c r="Q337" s="19"/>
      <c r="R337" s="19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5.75" customHeight="1" x14ac:dyDescent="0.35">
      <c r="A338" s="4"/>
      <c r="B338" s="19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9"/>
      <c r="Q338" s="19"/>
      <c r="R338" s="19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5.75" customHeight="1" x14ac:dyDescent="0.35">
      <c r="A339" s="4"/>
      <c r="B339" s="19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9"/>
      <c r="Q339" s="19"/>
      <c r="R339" s="19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5.75" customHeight="1" x14ac:dyDescent="0.35">
      <c r="A340" s="4"/>
      <c r="B340" s="19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9"/>
      <c r="Q340" s="19"/>
      <c r="R340" s="19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5.75" customHeight="1" x14ac:dyDescent="0.35">
      <c r="A341" s="4"/>
      <c r="B341" s="19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9"/>
      <c r="Q341" s="19"/>
      <c r="R341" s="19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5.75" customHeight="1" x14ac:dyDescent="0.35">
      <c r="A342" s="4"/>
      <c r="B342" s="19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9"/>
      <c r="Q342" s="19"/>
      <c r="R342" s="19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5.75" customHeight="1" x14ac:dyDescent="0.35">
      <c r="A343" s="4"/>
      <c r="B343" s="19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9"/>
      <c r="Q343" s="19"/>
      <c r="R343" s="19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5.75" customHeight="1" x14ac:dyDescent="0.35">
      <c r="A344" s="4"/>
      <c r="B344" s="19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9"/>
      <c r="Q344" s="19"/>
      <c r="R344" s="19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5.75" customHeight="1" x14ac:dyDescent="0.35">
      <c r="A345" s="4"/>
      <c r="B345" s="19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9"/>
      <c r="Q345" s="19"/>
      <c r="R345" s="19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5.75" customHeight="1" x14ac:dyDescent="0.35">
      <c r="A346" s="4"/>
      <c r="B346" s="19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9"/>
      <c r="Q346" s="19"/>
      <c r="R346" s="19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5.75" customHeight="1" x14ac:dyDescent="0.35">
      <c r="A347" s="4"/>
      <c r="B347" s="19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9"/>
      <c r="Q347" s="19"/>
      <c r="R347" s="19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5.75" customHeight="1" x14ac:dyDescent="0.35">
      <c r="A348" s="4"/>
      <c r="B348" s="19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9"/>
      <c r="Q348" s="19"/>
      <c r="R348" s="19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5.75" customHeight="1" x14ac:dyDescent="0.35">
      <c r="A349" s="4"/>
      <c r="B349" s="19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9"/>
      <c r="Q349" s="19"/>
      <c r="R349" s="19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5.75" customHeight="1" x14ac:dyDescent="0.35">
      <c r="A350" s="4"/>
      <c r="B350" s="19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9"/>
      <c r="Q350" s="19"/>
      <c r="R350" s="19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5.75" customHeight="1" x14ac:dyDescent="0.35">
      <c r="A351" s="4"/>
      <c r="B351" s="19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9"/>
      <c r="Q351" s="19"/>
      <c r="R351" s="19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5.75" customHeight="1" x14ac:dyDescent="0.35">
      <c r="A352" s="4"/>
      <c r="B352" s="19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9"/>
      <c r="Q352" s="19"/>
      <c r="R352" s="19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5.75" customHeight="1" x14ac:dyDescent="0.35">
      <c r="A353" s="4"/>
      <c r="B353" s="19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9"/>
      <c r="Q353" s="19"/>
      <c r="R353" s="19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5.75" customHeight="1" x14ac:dyDescent="0.35">
      <c r="A354" s="4"/>
      <c r="B354" s="19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9"/>
      <c r="Q354" s="19"/>
      <c r="R354" s="19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5.75" customHeight="1" x14ac:dyDescent="0.35">
      <c r="A355" s="4"/>
      <c r="B355" s="19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9"/>
      <c r="Q355" s="19"/>
      <c r="R355" s="19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5.75" customHeight="1" x14ac:dyDescent="0.35">
      <c r="A356" s="4"/>
      <c r="B356" s="19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9"/>
      <c r="Q356" s="19"/>
      <c r="R356" s="19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5.75" customHeight="1" x14ac:dyDescent="0.35">
      <c r="A357" s="4"/>
      <c r="B357" s="19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9"/>
      <c r="Q357" s="19"/>
      <c r="R357" s="19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5.75" customHeight="1" x14ac:dyDescent="0.35">
      <c r="A358" s="4"/>
      <c r="B358" s="19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9"/>
      <c r="Q358" s="19"/>
      <c r="R358" s="19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5.75" customHeight="1" x14ac:dyDescent="0.35">
      <c r="A359" s="4"/>
      <c r="B359" s="19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9"/>
      <c r="Q359" s="19"/>
      <c r="R359" s="19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5.75" customHeight="1" x14ac:dyDescent="0.35">
      <c r="A360" s="4"/>
      <c r="B360" s="19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9"/>
      <c r="Q360" s="19"/>
      <c r="R360" s="19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5.75" customHeight="1" x14ac:dyDescent="0.35">
      <c r="A361" s="4"/>
      <c r="B361" s="19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9"/>
      <c r="Q361" s="19"/>
      <c r="R361" s="19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5.75" customHeight="1" x14ac:dyDescent="0.35">
      <c r="A362" s="4"/>
      <c r="B362" s="19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9"/>
      <c r="Q362" s="19"/>
      <c r="R362" s="19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5.75" customHeight="1" x14ac:dyDescent="0.35">
      <c r="A363" s="4"/>
      <c r="B363" s="19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9"/>
      <c r="Q363" s="19"/>
      <c r="R363" s="19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5.75" customHeight="1" x14ac:dyDescent="0.35">
      <c r="A364" s="4"/>
      <c r="B364" s="19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9"/>
      <c r="Q364" s="19"/>
      <c r="R364" s="19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5.75" customHeight="1" x14ac:dyDescent="0.35">
      <c r="A365" s="4"/>
      <c r="B365" s="19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9"/>
      <c r="Q365" s="19"/>
      <c r="R365" s="19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5.75" customHeight="1" x14ac:dyDescent="0.35">
      <c r="A366" s="4"/>
      <c r="B366" s="19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9"/>
      <c r="Q366" s="19"/>
      <c r="R366" s="19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5.75" customHeight="1" x14ac:dyDescent="0.35">
      <c r="A367" s="4"/>
      <c r="B367" s="19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9"/>
      <c r="Q367" s="19"/>
      <c r="R367" s="19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5.75" customHeight="1" x14ac:dyDescent="0.35">
      <c r="A368" s="4"/>
      <c r="B368" s="19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9"/>
      <c r="Q368" s="19"/>
      <c r="R368" s="19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5.75" customHeight="1" x14ac:dyDescent="0.35">
      <c r="A369" s="4"/>
      <c r="B369" s="19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9"/>
      <c r="Q369" s="19"/>
      <c r="R369" s="19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5.75" customHeight="1" x14ac:dyDescent="0.35">
      <c r="A370" s="4"/>
      <c r="B370" s="19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9"/>
      <c r="Q370" s="19"/>
      <c r="R370" s="19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5.75" customHeight="1" x14ac:dyDescent="0.35">
      <c r="A371" s="4"/>
      <c r="B371" s="19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9"/>
      <c r="Q371" s="19"/>
      <c r="R371" s="19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5.75" customHeight="1" x14ac:dyDescent="0.35">
      <c r="A372" s="4"/>
      <c r="B372" s="19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9"/>
      <c r="Q372" s="19"/>
      <c r="R372" s="19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5.75" customHeight="1" x14ac:dyDescent="0.35">
      <c r="A373" s="4"/>
      <c r="B373" s="19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9"/>
      <c r="Q373" s="19"/>
      <c r="R373" s="19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5.75" customHeight="1" x14ac:dyDescent="0.35">
      <c r="A374" s="4"/>
      <c r="B374" s="19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9"/>
      <c r="Q374" s="19"/>
      <c r="R374" s="19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5.75" customHeight="1" x14ac:dyDescent="0.35">
      <c r="A375" s="4"/>
      <c r="B375" s="19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9"/>
      <c r="Q375" s="19"/>
      <c r="R375" s="19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5.75" customHeight="1" x14ac:dyDescent="0.35">
      <c r="A376" s="4"/>
      <c r="B376" s="19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9"/>
      <c r="Q376" s="19"/>
      <c r="R376" s="19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5.75" customHeight="1" x14ac:dyDescent="0.35">
      <c r="A377" s="4"/>
      <c r="B377" s="19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9"/>
      <c r="Q377" s="19"/>
      <c r="R377" s="19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5.75" customHeight="1" x14ac:dyDescent="0.35">
      <c r="A378" s="4"/>
      <c r="B378" s="19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9"/>
      <c r="Q378" s="19"/>
      <c r="R378" s="19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5.75" customHeight="1" x14ac:dyDescent="0.35">
      <c r="A379" s="4"/>
      <c r="B379" s="19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9"/>
      <c r="Q379" s="19"/>
      <c r="R379" s="19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5.75" customHeight="1" x14ac:dyDescent="0.35">
      <c r="A380" s="4"/>
      <c r="B380" s="19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9"/>
      <c r="Q380" s="19"/>
      <c r="R380" s="19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5.75" customHeight="1" x14ac:dyDescent="0.35">
      <c r="A381" s="4"/>
      <c r="B381" s="19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9"/>
      <c r="Q381" s="19"/>
      <c r="R381" s="19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5.75" customHeight="1" x14ac:dyDescent="0.35">
      <c r="A382" s="4"/>
      <c r="B382" s="19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9"/>
      <c r="Q382" s="19"/>
      <c r="R382" s="19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5.75" customHeight="1" x14ac:dyDescent="0.35">
      <c r="A383" s="4"/>
      <c r="B383" s="19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9"/>
      <c r="Q383" s="19"/>
      <c r="R383" s="19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5.75" customHeight="1" x14ac:dyDescent="0.35">
      <c r="A384" s="4"/>
      <c r="B384" s="19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9"/>
      <c r="Q384" s="19"/>
      <c r="R384" s="19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5.75" customHeight="1" x14ac:dyDescent="0.35">
      <c r="A385" s="4"/>
      <c r="B385" s="19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9"/>
      <c r="Q385" s="19"/>
      <c r="R385" s="19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5.75" customHeight="1" x14ac:dyDescent="0.35">
      <c r="A386" s="4"/>
      <c r="B386" s="19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9"/>
      <c r="Q386" s="19"/>
      <c r="R386" s="19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5.75" customHeight="1" x14ac:dyDescent="0.35">
      <c r="A387" s="4"/>
      <c r="B387" s="19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9"/>
      <c r="Q387" s="19"/>
      <c r="R387" s="19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5.75" customHeight="1" x14ac:dyDescent="0.35">
      <c r="A388" s="4"/>
      <c r="B388" s="19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9"/>
      <c r="Q388" s="19"/>
      <c r="R388" s="19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5.75" customHeight="1" x14ac:dyDescent="0.35">
      <c r="A389" s="4"/>
      <c r="B389" s="19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9"/>
      <c r="Q389" s="19"/>
      <c r="R389" s="19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5.75" customHeight="1" x14ac:dyDescent="0.35">
      <c r="A390" s="4"/>
      <c r="B390" s="19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9"/>
      <c r="Q390" s="19"/>
      <c r="R390" s="19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5.75" customHeight="1" x14ac:dyDescent="0.35">
      <c r="A391" s="4"/>
      <c r="B391" s="19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9"/>
      <c r="Q391" s="19"/>
      <c r="R391" s="19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5.75" customHeight="1" x14ac:dyDescent="0.35">
      <c r="A392" s="4"/>
      <c r="B392" s="19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9"/>
      <c r="Q392" s="19"/>
      <c r="R392" s="19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5.75" customHeight="1" x14ac:dyDescent="0.35">
      <c r="A393" s="4"/>
      <c r="B393" s="19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9"/>
      <c r="Q393" s="19"/>
      <c r="R393" s="19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5.75" customHeight="1" x14ac:dyDescent="0.35">
      <c r="A394" s="4"/>
      <c r="B394" s="19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9"/>
      <c r="Q394" s="19"/>
      <c r="R394" s="19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5.75" customHeight="1" x14ac:dyDescent="0.35">
      <c r="A395" s="4"/>
      <c r="B395" s="19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9"/>
      <c r="Q395" s="19"/>
      <c r="R395" s="19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5.75" customHeight="1" x14ac:dyDescent="0.35">
      <c r="A396" s="4"/>
      <c r="B396" s="19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9"/>
      <c r="Q396" s="19"/>
      <c r="R396" s="19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5.75" customHeight="1" x14ac:dyDescent="0.35">
      <c r="A397" s="4"/>
      <c r="B397" s="19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9"/>
      <c r="Q397" s="19"/>
      <c r="R397" s="19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5.75" customHeight="1" x14ac:dyDescent="0.35">
      <c r="A398" s="4"/>
      <c r="B398" s="19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9"/>
      <c r="Q398" s="19"/>
      <c r="R398" s="19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5.75" customHeight="1" x14ac:dyDescent="0.35">
      <c r="A399" s="4"/>
      <c r="B399" s="19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9"/>
      <c r="Q399" s="19"/>
      <c r="R399" s="19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5.75" customHeight="1" x14ac:dyDescent="0.35">
      <c r="A400" s="4"/>
      <c r="B400" s="19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9"/>
      <c r="Q400" s="19"/>
      <c r="R400" s="19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5.75" customHeight="1" x14ac:dyDescent="0.35">
      <c r="A401" s="4"/>
      <c r="B401" s="19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9"/>
      <c r="Q401" s="19"/>
      <c r="R401" s="19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5.75" customHeight="1" x14ac:dyDescent="0.35">
      <c r="A402" s="4"/>
      <c r="B402" s="19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9"/>
      <c r="Q402" s="19"/>
      <c r="R402" s="19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5.75" customHeight="1" x14ac:dyDescent="0.35">
      <c r="A403" s="4"/>
      <c r="B403" s="19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9"/>
      <c r="Q403" s="19"/>
      <c r="R403" s="19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5.75" customHeight="1" x14ac:dyDescent="0.35">
      <c r="A404" s="4"/>
      <c r="B404" s="19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9"/>
      <c r="Q404" s="19"/>
      <c r="R404" s="19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5.75" customHeight="1" x14ac:dyDescent="0.35">
      <c r="A405" s="4"/>
      <c r="B405" s="19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9"/>
      <c r="Q405" s="19"/>
      <c r="R405" s="19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5.75" customHeight="1" x14ac:dyDescent="0.35">
      <c r="A406" s="4"/>
      <c r="B406" s="19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9"/>
      <c r="Q406" s="19"/>
      <c r="R406" s="19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5.75" customHeight="1" x14ac:dyDescent="0.35">
      <c r="A407" s="4"/>
      <c r="B407" s="19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9"/>
      <c r="Q407" s="19"/>
      <c r="R407" s="19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5.75" customHeight="1" x14ac:dyDescent="0.35">
      <c r="A408" s="4"/>
      <c r="B408" s="19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9"/>
      <c r="Q408" s="19"/>
      <c r="R408" s="19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5.75" customHeight="1" x14ac:dyDescent="0.35">
      <c r="A409" s="4"/>
      <c r="B409" s="19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9"/>
      <c r="Q409" s="19"/>
      <c r="R409" s="19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5.75" customHeight="1" x14ac:dyDescent="0.35">
      <c r="A410" s="4"/>
      <c r="B410" s="19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9"/>
      <c r="Q410" s="19"/>
      <c r="R410" s="19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5.75" customHeight="1" x14ac:dyDescent="0.35">
      <c r="A411" s="4"/>
      <c r="B411" s="19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9"/>
      <c r="Q411" s="19"/>
      <c r="R411" s="19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5.75" customHeight="1" x14ac:dyDescent="0.35">
      <c r="A412" s="4"/>
      <c r="B412" s="19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9"/>
      <c r="Q412" s="19"/>
      <c r="R412" s="19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5.75" customHeight="1" x14ac:dyDescent="0.35">
      <c r="A413" s="4"/>
      <c r="B413" s="19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9"/>
      <c r="Q413" s="19"/>
      <c r="R413" s="19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5.75" customHeight="1" x14ac:dyDescent="0.35">
      <c r="A414" s="4"/>
      <c r="B414" s="19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9"/>
      <c r="Q414" s="19"/>
      <c r="R414" s="19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5.75" customHeight="1" x14ac:dyDescent="0.35">
      <c r="A415" s="4"/>
      <c r="B415" s="19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9"/>
      <c r="Q415" s="19"/>
      <c r="R415" s="19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5.75" customHeight="1" x14ac:dyDescent="0.35">
      <c r="A416" s="4"/>
      <c r="B416" s="19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9"/>
      <c r="Q416" s="19"/>
      <c r="R416" s="19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5.75" customHeight="1" x14ac:dyDescent="0.35">
      <c r="A417" s="4"/>
      <c r="B417" s="19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9"/>
      <c r="Q417" s="19"/>
      <c r="R417" s="19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5.75" customHeight="1" x14ac:dyDescent="0.35">
      <c r="A418" s="4"/>
      <c r="B418" s="19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9"/>
      <c r="Q418" s="19"/>
      <c r="R418" s="19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5.75" customHeight="1" x14ac:dyDescent="0.35">
      <c r="A419" s="4"/>
      <c r="B419" s="19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9"/>
      <c r="Q419" s="19"/>
      <c r="R419" s="19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5.75" customHeight="1" x14ac:dyDescent="0.35">
      <c r="A420" s="4"/>
      <c r="B420" s="19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9"/>
      <c r="Q420" s="19"/>
      <c r="R420" s="19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5.75" customHeight="1" x14ac:dyDescent="0.35">
      <c r="A421" s="4"/>
      <c r="B421" s="19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9"/>
      <c r="Q421" s="19"/>
      <c r="R421" s="19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5.75" customHeight="1" x14ac:dyDescent="0.35">
      <c r="A422" s="4"/>
      <c r="B422" s="19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9"/>
      <c r="Q422" s="19"/>
      <c r="R422" s="19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5.75" customHeight="1" x14ac:dyDescent="0.35">
      <c r="A423" s="4"/>
      <c r="B423" s="19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9"/>
      <c r="Q423" s="19"/>
      <c r="R423" s="19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5.75" customHeight="1" x14ac:dyDescent="0.35">
      <c r="A424" s="4"/>
      <c r="B424" s="19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9"/>
      <c r="Q424" s="19"/>
      <c r="R424" s="19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5.75" customHeight="1" x14ac:dyDescent="0.35">
      <c r="A425" s="4"/>
      <c r="B425" s="19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9"/>
      <c r="Q425" s="19"/>
      <c r="R425" s="19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5.75" customHeight="1" x14ac:dyDescent="0.35">
      <c r="A426" s="4"/>
      <c r="B426" s="19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9"/>
      <c r="Q426" s="19"/>
      <c r="R426" s="19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5.75" customHeight="1" x14ac:dyDescent="0.35">
      <c r="A427" s="4"/>
      <c r="B427" s="19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9"/>
      <c r="Q427" s="19"/>
      <c r="R427" s="19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5.75" customHeight="1" x14ac:dyDescent="0.35">
      <c r="A428" s="4"/>
      <c r="B428" s="19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9"/>
      <c r="Q428" s="19"/>
      <c r="R428" s="19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5.75" customHeight="1" x14ac:dyDescent="0.35">
      <c r="A429" s="4"/>
      <c r="B429" s="19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9"/>
      <c r="Q429" s="19"/>
      <c r="R429" s="19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5.75" customHeight="1" x14ac:dyDescent="0.35">
      <c r="A430" s="4"/>
      <c r="B430" s="19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9"/>
      <c r="Q430" s="19"/>
      <c r="R430" s="19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5.75" customHeight="1" x14ac:dyDescent="0.35">
      <c r="A431" s="4"/>
      <c r="B431" s="19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9"/>
      <c r="Q431" s="19"/>
      <c r="R431" s="19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5.75" customHeight="1" x14ac:dyDescent="0.35">
      <c r="A432" s="4"/>
      <c r="B432" s="19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9"/>
      <c r="Q432" s="19"/>
      <c r="R432" s="19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5.75" customHeight="1" x14ac:dyDescent="0.35">
      <c r="A433" s="4"/>
      <c r="B433" s="19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9"/>
      <c r="Q433" s="19"/>
      <c r="R433" s="19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5.75" customHeight="1" x14ac:dyDescent="0.35">
      <c r="A434" s="4"/>
      <c r="B434" s="19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9"/>
      <c r="Q434" s="19"/>
      <c r="R434" s="19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5.75" customHeight="1" x14ac:dyDescent="0.35">
      <c r="A435" s="4"/>
      <c r="B435" s="19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9"/>
      <c r="Q435" s="19"/>
      <c r="R435" s="19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5.75" customHeight="1" x14ac:dyDescent="0.35">
      <c r="A436" s="4"/>
      <c r="B436" s="19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9"/>
      <c r="Q436" s="19"/>
      <c r="R436" s="19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5.75" customHeight="1" x14ac:dyDescent="0.35">
      <c r="A437" s="4"/>
      <c r="B437" s="19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9"/>
      <c r="Q437" s="19"/>
      <c r="R437" s="19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5.75" customHeight="1" x14ac:dyDescent="0.35">
      <c r="A438" s="4"/>
      <c r="B438" s="19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9"/>
      <c r="Q438" s="19"/>
      <c r="R438" s="19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5.75" customHeight="1" x14ac:dyDescent="0.35">
      <c r="A439" s="4"/>
      <c r="B439" s="19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9"/>
      <c r="Q439" s="19"/>
      <c r="R439" s="19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5.75" customHeight="1" x14ac:dyDescent="0.35">
      <c r="A440" s="4"/>
      <c r="B440" s="19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9"/>
      <c r="Q440" s="19"/>
      <c r="R440" s="19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5.75" customHeight="1" x14ac:dyDescent="0.35">
      <c r="A441" s="4"/>
      <c r="B441" s="19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9"/>
      <c r="Q441" s="19"/>
      <c r="R441" s="19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5.75" customHeight="1" x14ac:dyDescent="0.35">
      <c r="A442" s="4"/>
      <c r="B442" s="19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9"/>
      <c r="Q442" s="19"/>
      <c r="R442" s="19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5.75" customHeight="1" x14ac:dyDescent="0.35">
      <c r="A443" s="4"/>
      <c r="B443" s="19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9"/>
      <c r="Q443" s="19"/>
      <c r="R443" s="19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5.75" customHeight="1" x14ac:dyDescent="0.35">
      <c r="A444" s="4"/>
      <c r="B444" s="19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9"/>
      <c r="Q444" s="19"/>
      <c r="R444" s="19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5.75" customHeight="1" x14ac:dyDescent="0.35">
      <c r="A445" s="4"/>
      <c r="B445" s="19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9"/>
      <c r="Q445" s="19"/>
      <c r="R445" s="19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5.75" customHeight="1" x14ac:dyDescent="0.35">
      <c r="A446" s="4"/>
      <c r="B446" s="19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9"/>
      <c r="Q446" s="19"/>
      <c r="R446" s="19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5.75" customHeight="1" x14ac:dyDescent="0.35">
      <c r="A447" s="4"/>
      <c r="B447" s="19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9"/>
      <c r="Q447" s="19"/>
      <c r="R447" s="19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5.75" customHeight="1" x14ac:dyDescent="0.35">
      <c r="A448" s="4"/>
      <c r="B448" s="19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9"/>
      <c r="Q448" s="19"/>
      <c r="R448" s="19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5.75" customHeight="1" x14ac:dyDescent="0.35">
      <c r="A449" s="4"/>
      <c r="B449" s="19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9"/>
      <c r="Q449" s="19"/>
      <c r="R449" s="19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5.75" customHeight="1" x14ac:dyDescent="0.35">
      <c r="A450" s="4"/>
      <c r="B450" s="19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9"/>
      <c r="Q450" s="19"/>
      <c r="R450" s="19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5.75" customHeight="1" x14ac:dyDescent="0.35">
      <c r="A451" s="4"/>
      <c r="B451" s="19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9"/>
      <c r="Q451" s="19"/>
      <c r="R451" s="19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5.75" customHeight="1" x14ac:dyDescent="0.35">
      <c r="A452" s="4"/>
      <c r="B452" s="19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9"/>
      <c r="Q452" s="19"/>
      <c r="R452" s="19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5.75" customHeight="1" x14ac:dyDescent="0.35">
      <c r="A453" s="4"/>
      <c r="B453" s="19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9"/>
      <c r="Q453" s="19"/>
      <c r="R453" s="19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5.75" customHeight="1" x14ac:dyDescent="0.35">
      <c r="A454" s="4"/>
      <c r="B454" s="19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9"/>
      <c r="Q454" s="19"/>
      <c r="R454" s="19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5.75" customHeight="1" x14ac:dyDescent="0.35">
      <c r="A455" s="4"/>
      <c r="B455" s="19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9"/>
      <c r="Q455" s="19"/>
      <c r="R455" s="19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5.75" customHeight="1" x14ac:dyDescent="0.35">
      <c r="A456" s="4"/>
      <c r="B456" s="19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9"/>
      <c r="Q456" s="19"/>
      <c r="R456" s="19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5.75" customHeight="1" x14ac:dyDescent="0.35">
      <c r="A457" s="4"/>
      <c r="B457" s="19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9"/>
      <c r="Q457" s="19"/>
      <c r="R457" s="19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5.75" customHeight="1" x14ac:dyDescent="0.35">
      <c r="A458" s="4"/>
      <c r="B458" s="19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9"/>
      <c r="Q458" s="19"/>
      <c r="R458" s="19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5.75" customHeight="1" x14ac:dyDescent="0.35">
      <c r="A459" s="4"/>
      <c r="B459" s="19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9"/>
      <c r="Q459" s="19"/>
      <c r="R459" s="19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5.75" customHeight="1" x14ac:dyDescent="0.35">
      <c r="A460" s="4"/>
      <c r="B460" s="19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9"/>
      <c r="Q460" s="19"/>
      <c r="R460" s="19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5.75" customHeight="1" x14ac:dyDescent="0.35">
      <c r="A461" s="4"/>
      <c r="B461" s="19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9"/>
      <c r="Q461" s="19"/>
      <c r="R461" s="19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5.75" customHeight="1" x14ac:dyDescent="0.35">
      <c r="A462" s="4"/>
      <c r="B462" s="19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9"/>
      <c r="Q462" s="19"/>
      <c r="R462" s="19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5.75" customHeight="1" x14ac:dyDescent="0.35">
      <c r="A463" s="4"/>
      <c r="B463" s="19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9"/>
      <c r="Q463" s="19"/>
      <c r="R463" s="19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5.75" customHeight="1" x14ac:dyDescent="0.35">
      <c r="A464" s="4"/>
      <c r="B464" s="19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9"/>
      <c r="Q464" s="19"/>
      <c r="R464" s="19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5.75" customHeight="1" x14ac:dyDescent="0.35">
      <c r="A465" s="4"/>
      <c r="B465" s="19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9"/>
      <c r="Q465" s="19"/>
      <c r="R465" s="19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5.75" customHeight="1" x14ac:dyDescent="0.35">
      <c r="A466" s="4"/>
      <c r="B466" s="19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9"/>
      <c r="Q466" s="19"/>
      <c r="R466" s="19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5.75" customHeight="1" x14ac:dyDescent="0.35">
      <c r="A467" s="4"/>
      <c r="B467" s="19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9"/>
      <c r="Q467" s="19"/>
      <c r="R467" s="19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5.75" customHeight="1" x14ac:dyDescent="0.35">
      <c r="A468" s="4"/>
      <c r="B468" s="19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9"/>
      <c r="Q468" s="19"/>
      <c r="R468" s="19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5.75" customHeight="1" x14ac:dyDescent="0.35">
      <c r="A469" s="4"/>
      <c r="B469" s="19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9"/>
      <c r="Q469" s="19"/>
      <c r="R469" s="19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5.75" customHeight="1" x14ac:dyDescent="0.35">
      <c r="A470" s="4"/>
      <c r="B470" s="19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9"/>
      <c r="Q470" s="19"/>
      <c r="R470" s="19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5.75" customHeight="1" x14ac:dyDescent="0.35">
      <c r="A471" s="4"/>
      <c r="B471" s="19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9"/>
      <c r="Q471" s="19"/>
      <c r="R471" s="19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5.75" customHeight="1" x14ac:dyDescent="0.35">
      <c r="A472" s="4"/>
      <c r="B472" s="19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9"/>
      <c r="Q472" s="19"/>
      <c r="R472" s="19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5.75" customHeight="1" x14ac:dyDescent="0.35">
      <c r="A473" s="4"/>
      <c r="B473" s="19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9"/>
      <c r="Q473" s="19"/>
      <c r="R473" s="19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5.75" customHeight="1" x14ac:dyDescent="0.35">
      <c r="A474" s="4"/>
      <c r="B474" s="19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9"/>
      <c r="Q474" s="19"/>
      <c r="R474" s="19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5.75" customHeight="1" x14ac:dyDescent="0.35">
      <c r="A475" s="4"/>
      <c r="B475" s="19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9"/>
      <c r="Q475" s="19"/>
      <c r="R475" s="19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5.75" customHeight="1" x14ac:dyDescent="0.35">
      <c r="A476" s="4"/>
      <c r="B476" s="19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9"/>
      <c r="Q476" s="19"/>
      <c r="R476" s="19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5.75" customHeight="1" x14ac:dyDescent="0.35">
      <c r="A477" s="4"/>
      <c r="B477" s="19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9"/>
      <c r="Q477" s="19"/>
      <c r="R477" s="19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5.75" customHeight="1" x14ac:dyDescent="0.35">
      <c r="A478" s="4"/>
      <c r="B478" s="19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9"/>
      <c r="Q478" s="19"/>
      <c r="R478" s="19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5.75" customHeight="1" x14ac:dyDescent="0.35">
      <c r="A479" s="4"/>
      <c r="B479" s="19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9"/>
      <c r="Q479" s="19"/>
      <c r="R479" s="19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5.75" customHeight="1" x14ac:dyDescent="0.35">
      <c r="A480" s="4"/>
      <c r="B480" s="19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9"/>
      <c r="Q480" s="19"/>
      <c r="R480" s="19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5.75" customHeight="1" x14ac:dyDescent="0.35">
      <c r="A481" s="4"/>
      <c r="B481" s="19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9"/>
      <c r="Q481" s="19"/>
      <c r="R481" s="19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5.75" customHeight="1" x14ac:dyDescent="0.35">
      <c r="A482" s="4"/>
      <c r="B482" s="19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9"/>
      <c r="Q482" s="19"/>
      <c r="R482" s="19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5.75" customHeight="1" x14ac:dyDescent="0.35">
      <c r="A483" s="4"/>
      <c r="B483" s="19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9"/>
      <c r="Q483" s="19"/>
      <c r="R483" s="19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5.75" customHeight="1" x14ac:dyDescent="0.35">
      <c r="A484" s="4"/>
      <c r="B484" s="19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9"/>
      <c r="Q484" s="19"/>
      <c r="R484" s="19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5.75" customHeight="1" x14ac:dyDescent="0.35">
      <c r="A485" s="4"/>
      <c r="B485" s="19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9"/>
      <c r="Q485" s="19"/>
      <c r="R485" s="19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5.75" customHeight="1" x14ac:dyDescent="0.35">
      <c r="A486" s="4"/>
      <c r="B486" s="19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9"/>
      <c r="Q486" s="19"/>
      <c r="R486" s="19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5.75" customHeight="1" x14ac:dyDescent="0.35">
      <c r="A487" s="4"/>
      <c r="B487" s="19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9"/>
      <c r="Q487" s="19"/>
      <c r="R487" s="19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5.75" customHeight="1" x14ac:dyDescent="0.35">
      <c r="A488" s="4"/>
      <c r="B488" s="19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9"/>
      <c r="Q488" s="19"/>
      <c r="R488" s="19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5.75" customHeight="1" x14ac:dyDescent="0.35">
      <c r="A489" s="4"/>
      <c r="B489" s="19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9"/>
      <c r="Q489" s="19"/>
      <c r="R489" s="19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5.75" customHeight="1" x14ac:dyDescent="0.35">
      <c r="A490" s="4"/>
      <c r="B490" s="19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9"/>
      <c r="Q490" s="19"/>
      <c r="R490" s="19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5.75" customHeight="1" x14ac:dyDescent="0.35">
      <c r="A491" s="4"/>
      <c r="B491" s="19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9"/>
      <c r="Q491" s="19"/>
      <c r="R491" s="19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5.75" customHeight="1" x14ac:dyDescent="0.35">
      <c r="A492" s="4"/>
      <c r="B492" s="19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9"/>
      <c r="Q492" s="19"/>
      <c r="R492" s="19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5.75" customHeight="1" x14ac:dyDescent="0.35">
      <c r="A493" s="4"/>
      <c r="B493" s="19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9"/>
      <c r="Q493" s="19"/>
      <c r="R493" s="19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5.75" customHeight="1" x14ac:dyDescent="0.35">
      <c r="A494" s="4"/>
      <c r="B494" s="19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9"/>
      <c r="Q494" s="19"/>
      <c r="R494" s="19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5.75" customHeight="1" x14ac:dyDescent="0.35">
      <c r="A495" s="4"/>
      <c r="B495" s="19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9"/>
      <c r="Q495" s="19"/>
      <c r="R495" s="19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5.75" customHeight="1" x14ac:dyDescent="0.35">
      <c r="A496" s="4"/>
      <c r="B496" s="19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9"/>
      <c r="Q496" s="19"/>
      <c r="R496" s="19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5.75" customHeight="1" x14ac:dyDescent="0.35">
      <c r="A497" s="4"/>
      <c r="B497" s="19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9"/>
      <c r="Q497" s="19"/>
      <c r="R497" s="19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5.75" customHeight="1" x14ac:dyDescent="0.35">
      <c r="A498" s="4"/>
      <c r="B498" s="19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9"/>
      <c r="Q498" s="19"/>
      <c r="R498" s="19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5.75" customHeight="1" x14ac:dyDescent="0.35">
      <c r="A499" s="4"/>
      <c r="B499" s="19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9"/>
      <c r="Q499" s="19"/>
      <c r="R499" s="19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5.75" customHeight="1" x14ac:dyDescent="0.35">
      <c r="A500" s="4"/>
      <c r="B500" s="19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9"/>
      <c r="Q500" s="19"/>
      <c r="R500" s="19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5.75" customHeight="1" x14ac:dyDescent="0.35">
      <c r="A501" s="4"/>
      <c r="B501" s="19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9"/>
      <c r="Q501" s="19"/>
      <c r="R501" s="19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5.75" customHeight="1" x14ac:dyDescent="0.35">
      <c r="A502" s="4"/>
      <c r="B502" s="19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9"/>
      <c r="Q502" s="19"/>
      <c r="R502" s="19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5.75" customHeight="1" x14ac:dyDescent="0.35">
      <c r="A503" s="4"/>
      <c r="B503" s="19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9"/>
      <c r="Q503" s="19"/>
      <c r="R503" s="19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5.75" customHeight="1" x14ac:dyDescent="0.35">
      <c r="A504" s="4"/>
      <c r="B504" s="19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9"/>
      <c r="Q504" s="19"/>
      <c r="R504" s="19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5.75" customHeight="1" x14ac:dyDescent="0.35">
      <c r="A505" s="4"/>
      <c r="B505" s="19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9"/>
      <c r="Q505" s="19"/>
      <c r="R505" s="19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5.75" customHeight="1" x14ac:dyDescent="0.35">
      <c r="A506" s="4"/>
      <c r="B506" s="19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9"/>
      <c r="Q506" s="19"/>
      <c r="R506" s="19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5.75" customHeight="1" x14ac:dyDescent="0.35">
      <c r="A507" s="4"/>
      <c r="B507" s="19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9"/>
      <c r="Q507" s="19"/>
      <c r="R507" s="19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5.75" customHeight="1" x14ac:dyDescent="0.35">
      <c r="A508" s="4"/>
      <c r="B508" s="19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9"/>
      <c r="Q508" s="19"/>
      <c r="R508" s="19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5.75" customHeight="1" x14ac:dyDescent="0.35">
      <c r="A509" s="4"/>
      <c r="B509" s="19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9"/>
      <c r="Q509" s="19"/>
      <c r="R509" s="19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5.75" customHeight="1" x14ac:dyDescent="0.35">
      <c r="A510" s="4"/>
      <c r="B510" s="19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9"/>
      <c r="Q510" s="19"/>
      <c r="R510" s="19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5.75" customHeight="1" x14ac:dyDescent="0.35">
      <c r="A511" s="4"/>
      <c r="B511" s="19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9"/>
      <c r="Q511" s="19"/>
      <c r="R511" s="19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5.75" customHeight="1" x14ac:dyDescent="0.35">
      <c r="A512" s="4"/>
      <c r="B512" s="19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9"/>
      <c r="Q512" s="19"/>
      <c r="R512" s="19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5.75" customHeight="1" x14ac:dyDescent="0.35">
      <c r="A513" s="4"/>
      <c r="B513" s="19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9"/>
      <c r="Q513" s="19"/>
      <c r="R513" s="19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5.75" customHeight="1" x14ac:dyDescent="0.35">
      <c r="A514" s="4"/>
      <c r="B514" s="19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9"/>
      <c r="Q514" s="19"/>
      <c r="R514" s="19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5.75" customHeight="1" x14ac:dyDescent="0.35">
      <c r="A515" s="4"/>
      <c r="B515" s="19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9"/>
      <c r="Q515" s="19"/>
      <c r="R515" s="19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5.75" customHeight="1" x14ac:dyDescent="0.35">
      <c r="A516" s="4"/>
      <c r="B516" s="19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9"/>
      <c r="Q516" s="19"/>
      <c r="R516" s="19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5.75" customHeight="1" x14ac:dyDescent="0.35">
      <c r="A517" s="4"/>
      <c r="B517" s="19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9"/>
      <c r="Q517" s="19"/>
      <c r="R517" s="19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5.75" customHeight="1" x14ac:dyDescent="0.35">
      <c r="A518" s="4"/>
      <c r="B518" s="19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9"/>
      <c r="Q518" s="19"/>
      <c r="R518" s="19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5.75" customHeight="1" x14ac:dyDescent="0.35">
      <c r="A519" s="4"/>
      <c r="B519" s="19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9"/>
      <c r="Q519" s="19"/>
      <c r="R519" s="19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5.75" customHeight="1" x14ac:dyDescent="0.35">
      <c r="A520" s="4"/>
      <c r="B520" s="19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9"/>
      <c r="Q520" s="19"/>
      <c r="R520" s="19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5.75" customHeight="1" x14ac:dyDescent="0.35">
      <c r="A521" s="4"/>
      <c r="B521" s="19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9"/>
      <c r="Q521" s="19"/>
      <c r="R521" s="19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5.75" customHeight="1" x14ac:dyDescent="0.35">
      <c r="A522" s="4"/>
      <c r="B522" s="19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9"/>
      <c r="Q522" s="19"/>
      <c r="R522" s="19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5.75" customHeight="1" x14ac:dyDescent="0.35">
      <c r="A523" s="4"/>
      <c r="B523" s="19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9"/>
      <c r="Q523" s="19"/>
      <c r="R523" s="19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5.75" customHeight="1" x14ac:dyDescent="0.35">
      <c r="A524" s="4"/>
      <c r="B524" s="19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9"/>
      <c r="Q524" s="19"/>
      <c r="R524" s="19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5.75" customHeight="1" x14ac:dyDescent="0.35">
      <c r="A525" s="4"/>
      <c r="B525" s="19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9"/>
      <c r="Q525" s="19"/>
      <c r="R525" s="19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5.75" customHeight="1" x14ac:dyDescent="0.35">
      <c r="A526" s="4"/>
      <c r="B526" s="19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9"/>
      <c r="Q526" s="19"/>
      <c r="R526" s="19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5.75" customHeight="1" x14ac:dyDescent="0.35">
      <c r="A527" s="4"/>
      <c r="B527" s="19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9"/>
      <c r="Q527" s="19"/>
      <c r="R527" s="19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5.75" customHeight="1" x14ac:dyDescent="0.35">
      <c r="A528" s="4"/>
      <c r="B528" s="19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9"/>
      <c r="Q528" s="19"/>
      <c r="R528" s="19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5.75" customHeight="1" x14ac:dyDescent="0.35">
      <c r="A529" s="4"/>
      <c r="B529" s="19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9"/>
      <c r="Q529" s="19"/>
      <c r="R529" s="19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5.75" customHeight="1" x14ac:dyDescent="0.35">
      <c r="A530" s="4"/>
      <c r="B530" s="19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9"/>
      <c r="Q530" s="19"/>
      <c r="R530" s="19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5.75" customHeight="1" x14ac:dyDescent="0.35">
      <c r="A531" s="4"/>
      <c r="B531" s="19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9"/>
      <c r="Q531" s="19"/>
      <c r="R531" s="19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5.75" customHeight="1" x14ac:dyDescent="0.35">
      <c r="A532" s="4"/>
      <c r="B532" s="19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9"/>
      <c r="Q532" s="19"/>
      <c r="R532" s="19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5.75" customHeight="1" x14ac:dyDescent="0.35">
      <c r="A533" s="4"/>
      <c r="B533" s="19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9"/>
      <c r="Q533" s="19"/>
      <c r="R533" s="19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5.75" customHeight="1" x14ac:dyDescent="0.35">
      <c r="A534" s="4"/>
      <c r="B534" s="19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9"/>
      <c r="Q534" s="19"/>
      <c r="R534" s="19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5.75" customHeight="1" x14ac:dyDescent="0.35">
      <c r="A535" s="4"/>
      <c r="B535" s="19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9"/>
      <c r="Q535" s="19"/>
      <c r="R535" s="19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5.75" customHeight="1" x14ac:dyDescent="0.35">
      <c r="A536" s="4"/>
      <c r="B536" s="19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9"/>
      <c r="Q536" s="19"/>
      <c r="R536" s="19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5.75" customHeight="1" x14ac:dyDescent="0.35">
      <c r="A537" s="4"/>
      <c r="B537" s="19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9"/>
      <c r="Q537" s="19"/>
      <c r="R537" s="19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5.75" customHeight="1" x14ac:dyDescent="0.35">
      <c r="A538" s="4"/>
      <c r="B538" s="19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9"/>
      <c r="Q538" s="19"/>
      <c r="R538" s="19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5.75" customHeight="1" x14ac:dyDescent="0.35">
      <c r="A539" s="4"/>
      <c r="B539" s="19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9"/>
      <c r="Q539" s="19"/>
      <c r="R539" s="19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5.75" customHeight="1" x14ac:dyDescent="0.35">
      <c r="A540" s="4"/>
      <c r="B540" s="19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9"/>
      <c r="Q540" s="19"/>
      <c r="R540" s="19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5.75" customHeight="1" x14ac:dyDescent="0.35">
      <c r="A541" s="4"/>
      <c r="B541" s="19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9"/>
      <c r="Q541" s="19"/>
      <c r="R541" s="19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5.75" customHeight="1" x14ac:dyDescent="0.35">
      <c r="A542" s="4"/>
      <c r="B542" s="19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9"/>
      <c r="Q542" s="19"/>
      <c r="R542" s="19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5.75" customHeight="1" x14ac:dyDescent="0.35">
      <c r="A543" s="4"/>
      <c r="B543" s="19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9"/>
      <c r="Q543" s="19"/>
      <c r="R543" s="19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5.75" customHeight="1" x14ac:dyDescent="0.35">
      <c r="A544" s="4"/>
      <c r="B544" s="19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9"/>
      <c r="Q544" s="19"/>
      <c r="R544" s="19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5.75" customHeight="1" x14ac:dyDescent="0.35">
      <c r="A545" s="4"/>
      <c r="B545" s="19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9"/>
      <c r="Q545" s="19"/>
      <c r="R545" s="19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5.75" customHeight="1" x14ac:dyDescent="0.35">
      <c r="A546" s="4"/>
      <c r="B546" s="19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9"/>
      <c r="Q546" s="19"/>
      <c r="R546" s="19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5.75" customHeight="1" x14ac:dyDescent="0.35">
      <c r="A547" s="4"/>
      <c r="B547" s="19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9"/>
      <c r="Q547" s="19"/>
      <c r="R547" s="19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5.75" customHeight="1" x14ac:dyDescent="0.35">
      <c r="A548" s="4"/>
      <c r="B548" s="19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9"/>
      <c r="Q548" s="19"/>
      <c r="R548" s="19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5.75" customHeight="1" x14ac:dyDescent="0.35">
      <c r="A549" s="4"/>
      <c r="B549" s="19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9"/>
      <c r="Q549" s="19"/>
      <c r="R549" s="19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5.75" customHeight="1" x14ac:dyDescent="0.35">
      <c r="A550" s="4"/>
      <c r="B550" s="19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9"/>
      <c r="Q550" s="19"/>
      <c r="R550" s="19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5.75" customHeight="1" x14ac:dyDescent="0.35">
      <c r="A551" s="4"/>
      <c r="B551" s="19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9"/>
      <c r="Q551" s="19"/>
      <c r="R551" s="19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5.75" customHeight="1" x14ac:dyDescent="0.35">
      <c r="A552" s="4"/>
      <c r="B552" s="19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9"/>
      <c r="Q552" s="19"/>
      <c r="R552" s="19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5.75" customHeight="1" x14ac:dyDescent="0.35">
      <c r="A553" s="4"/>
      <c r="B553" s="19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9"/>
      <c r="Q553" s="19"/>
      <c r="R553" s="19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5.75" customHeight="1" x14ac:dyDescent="0.35">
      <c r="A554" s="4"/>
      <c r="B554" s="19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9"/>
      <c r="Q554" s="19"/>
      <c r="R554" s="19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5.75" customHeight="1" x14ac:dyDescent="0.35">
      <c r="A555" s="4"/>
      <c r="B555" s="19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9"/>
      <c r="Q555" s="19"/>
      <c r="R555" s="19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5.75" customHeight="1" x14ac:dyDescent="0.35">
      <c r="A556" s="4"/>
      <c r="B556" s="19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9"/>
      <c r="Q556" s="19"/>
      <c r="R556" s="19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5.75" customHeight="1" x14ac:dyDescent="0.35">
      <c r="A557" s="4"/>
      <c r="B557" s="19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9"/>
      <c r="Q557" s="19"/>
      <c r="R557" s="19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5.75" customHeight="1" x14ac:dyDescent="0.35">
      <c r="A558" s="4"/>
      <c r="B558" s="19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9"/>
      <c r="Q558" s="19"/>
      <c r="R558" s="19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5.75" customHeight="1" x14ac:dyDescent="0.35">
      <c r="A559" s="4"/>
      <c r="B559" s="19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9"/>
      <c r="Q559" s="19"/>
      <c r="R559" s="19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5.75" customHeight="1" x14ac:dyDescent="0.35">
      <c r="A560" s="4"/>
      <c r="B560" s="19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9"/>
      <c r="Q560" s="19"/>
      <c r="R560" s="19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5.75" customHeight="1" x14ac:dyDescent="0.35">
      <c r="A561" s="4"/>
      <c r="B561" s="19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9"/>
      <c r="Q561" s="19"/>
      <c r="R561" s="19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5.75" customHeight="1" x14ac:dyDescent="0.35">
      <c r="A562" s="4"/>
      <c r="B562" s="19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9"/>
      <c r="Q562" s="19"/>
      <c r="R562" s="19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5.75" customHeight="1" x14ac:dyDescent="0.35">
      <c r="A563" s="4"/>
      <c r="B563" s="19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9"/>
      <c r="Q563" s="19"/>
      <c r="R563" s="19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5.75" customHeight="1" x14ac:dyDescent="0.35">
      <c r="A564" s="4"/>
      <c r="B564" s="19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9"/>
      <c r="Q564" s="19"/>
      <c r="R564" s="19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5.75" customHeight="1" x14ac:dyDescent="0.35">
      <c r="A565" s="4"/>
      <c r="B565" s="19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9"/>
      <c r="Q565" s="19"/>
      <c r="R565" s="19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5.75" customHeight="1" x14ac:dyDescent="0.35">
      <c r="A566" s="4"/>
      <c r="B566" s="19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9"/>
      <c r="Q566" s="19"/>
      <c r="R566" s="19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5.75" customHeight="1" x14ac:dyDescent="0.35">
      <c r="A567" s="4"/>
      <c r="B567" s="19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9"/>
      <c r="Q567" s="19"/>
      <c r="R567" s="19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5.75" customHeight="1" x14ac:dyDescent="0.35">
      <c r="A568" s="4"/>
      <c r="B568" s="19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9"/>
      <c r="Q568" s="19"/>
      <c r="R568" s="19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5.75" customHeight="1" x14ac:dyDescent="0.35">
      <c r="A569" s="4"/>
      <c r="B569" s="19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9"/>
      <c r="Q569" s="19"/>
      <c r="R569" s="19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5.75" customHeight="1" x14ac:dyDescent="0.35">
      <c r="A570" s="4"/>
      <c r="B570" s="19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9"/>
      <c r="Q570" s="19"/>
      <c r="R570" s="19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5.75" customHeight="1" x14ac:dyDescent="0.35">
      <c r="A571" s="4"/>
      <c r="B571" s="19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9"/>
      <c r="Q571" s="19"/>
      <c r="R571" s="19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5.75" customHeight="1" x14ac:dyDescent="0.35">
      <c r="A572" s="4"/>
      <c r="B572" s="19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9"/>
      <c r="Q572" s="19"/>
      <c r="R572" s="19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5.75" customHeight="1" x14ac:dyDescent="0.35">
      <c r="A573" s="4"/>
      <c r="B573" s="19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9"/>
      <c r="Q573" s="19"/>
      <c r="R573" s="19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5.75" customHeight="1" x14ac:dyDescent="0.35">
      <c r="A574" s="4"/>
      <c r="B574" s="19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9"/>
      <c r="Q574" s="19"/>
      <c r="R574" s="19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5.75" customHeight="1" x14ac:dyDescent="0.35">
      <c r="A575" s="4"/>
      <c r="B575" s="19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9"/>
      <c r="Q575" s="19"/>
      <c r="R575" s="19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5.75" customHeight="1" x14ac:dyDescent="0.35">
      <c r="A576" s="4"/>
      <c r="B576" s="19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9"/>
      <c r="Q576" s="19"/>
      <c r="R576" s="19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5.75" customHeight="1" x14ac:dyDescent="0.35">
      <c r="A577" s="4"/>
      <c r="B577" s="19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9"/>
      <c r="Q577" s="19"/>
      <c r="R577" s="19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5.75" customHeight="1" x14ac:dyDescent="0.35">
      <c r="A578" s="4"/>
      <c r="B578" s="19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9"/>
      <c r="Q578" s="19"/>
      <c r="R578" s="19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5.75" customHeight="1" x14ac:dyDescent="0.35">
      <c r="A579" s="4"/>
      <c r="B579" s="19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9"/>
      <c r="Q579" s="19"/>
      <c r="R579" s="19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5.75" customHeight="1" x14ac:dyDescent="0.35">
      <c r="A580" s="4"/>
      <c r="B580" s="19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9"/>
      <c r="Q580" s="19"/>
      <c r="R580" s="19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5.75" customHeight="1" x14ac:dyDescent="0.35">
      <c r="A581" s="4"/>
      <c r="B581" s="19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9"/>
      <c r="Q581" s="19"/>
      <c r="R581" s="19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5.75" customHeight="1" x14ac:dyDescent="0.35">
      <c r="A582" s="4"/>
      <c r="B582" s="19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9"/>
      <c r="Q582" s="19"/>
      <c r="R582" s="19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5.75" customHeight="1" x14ac:dyDescent="0.35">
      <c r="A583" s="4"/>
      <c r="B583" s="19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9"/>
      <c r="Q583" s="19"/>
      <c r="R583" s="19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5.75" customHeight="1" x14ac:dyDescent="0.35">
      <c r="A584" s="4"/>
      <c r="B584" s="19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9"/>
      <c r="Q584" s="19"/>
      <c r="R584" s="19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5.75" customHeight="1" x14ac:dyDescent="0.35">
      <c r="A585" s="4"/>
      <c r="B585" s="19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9"/>
      <c r="Q585" s="19"/>
      <c r="R585" s="19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5.75" customHeight="1" x14ac:dyDescent="0.35">
      <c r="A586" s="4"/>
      <c r="B586" s="19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9"/>
      <c r="Q586" s="19"/>
      <c r="R586" s="19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5.75" customHeight="1" x14ac:dyDescent="0.35">
      <c r="A587" s="4"/>
      <c r="B587" s="19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9"/>
      <c r="Q587" s="19"/>
      <c r="R587" s="19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5.75" customHeight="1" x14ac:dyDescent="0.35">
      <c r="A588" s="4"/>
      <c r="B588" s="19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9"/>
      <c r="Q588" s="19"/>
      <c r="R588" s="19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5.75" customHeight="1" x14ac:dyDescent="0.35">
      <c r="A589" s="4"/>
      <c r="B589" s="19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9"/>
      <c r="Q589" s="19"/>
      <c r="R589" s="19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5.75" customHeight="1" x14ac:dyDescent="0.35">
      <c r="A590" s="4"/>
      <c r="B590" s="19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9"/>
      <c r="Q590" s="19"/>
      <c r="R590" s="19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5.75" customHeight="1" x14ac:dyDescent="0.35">
      <c r="A591" s="4"/>
      <c r="B591" s="19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9"/>
      <c r="Q591" s="19"/>
      <c r="R591" s="19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5.75" customHeight="1" x14ac:dyDescent="0.35">
      <c r="A592" s="4"/>
      <c r="B592" s="19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9"/>
      <c r="Q592" s="19"/>
      <c r="R592" s="19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5.75" customHeight="1" x14ac:dyDescent="0.35">
      <c r="A593" s="4"/>
      <c r="B593" s="19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9"/>
      <c r="Q593" s="19"/>
      <c r="R593" s="19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5.75" customHeight="1" x14ac:dyDescent="0.35">
      <c r="A594" s="4"/>
      <c r="B594" s="19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9"/>
      <c r="Q594" s="19"/>
      <c r="R594" s="19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5.75" customHeight="1" x14ac:dyDescent="0.35">
      <c r="A595" s="4"/>
      <c r="B595" s="19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9"/>
      <c r="Q595" s="19"/>
      <c r="R595" s="19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5.75" customHeight="1" x14ac:dyDescent="0.35">
      <c r="A596" s="4"/>
      <c r="B596" s="19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9"/>
      <c r="Q596" s="19"/>
      <c r="R596" s="19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5.75" customHeight="1" x14ac:dyDescent="0.35">
      <c r="A597" s="4"/>
      <c r="B597" s="19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9"/>
      <c r="Q597" s="19"/>
      <c r="R597" s="19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5.75" customHeight="1" x14ac:dyDescent="0.35">
      <c r="A598" s="4"/>
      <c r="B598" s="19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9"/>
      <c r="Q598" s="19"/>
      <c r="R598" s="19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5.75" customHeight="1" x14ac:dyDescent="0.35">
      <c r="A599" s="4"/>
      <c r="B599" s="19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9"/>
      <c r="Q599" s="19"/>
      <c r="R599" s="19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5.75" customHeight="1" x14ac:dyDescent="0.35">
      <c r="A600" s="4"/>
      <c r="B600" s="19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9"/>
      <c r="Q600" s="19"/>
      <c r="R600" s="19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5.75" customHeight="1" x14ac:dyDescent="0.35">
      <c r="A601" s="4"/>
      <c r="B601" s="19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9"/>
      <c r="Q601" s="19"/>
      <c r="R601" s="19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5.75" customHeight="1" x14ac:dyDescent="0.35">
      <c r="A602" s="4"/>
      <c r="B602" s="19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9"/>
      <c r="Q602" s="19"/>
      <c r="R602" s="19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5.75" customHeight="1" x14ac:dyDescent="0.35">
      <c r="A603" s="4"/>
      <c r="B603" s="19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9"/>
      <c r="Q603" s="19"/>
      <c r="R603" s="19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5.75" customHeight="1" x14ac:dyDescent="0.35">
      <c r="A604" s="4"/>
      <c r="B604" s="19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9"/>
      <c r="Q604" s="19"/>
      <c r="R604" s="19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5.75" customHeight="1" x14ac:dyDescent="0.35">
      <c r="A605" s="4"/>
      <c r="B605" s="19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9"/>
      <c r="Q605" s="19"/>
      <c r="R605" s="19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5.75" customHeight="1" x14ac:dyDescent="0.35">
      <c r="A606" s="4"/>
      <c r="B606" s="19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9"/>
      <c r="Q606" s="19"/>
      <c r="R606" s="19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5.75" customHeight="1" x14ac:dyDescent="0.35">
      <c r="A607" s="4"/>
      <c r="B607" s="19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9"/>
      <c r="Q607" s="19"/>
      <c r="R607" s="19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5.75" customHeight="1" x14ac:dyDescent="0.35">
      <c r="A608" s="4"/>
      <c r="B608" s="19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9"/>
      <c r="Q608" s="19"/>
      <c r="R608" s="19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5.75" customHeight="1" x14ac:dyDescent="0.35">
      <c r="A609" s="4"/>
      <c r="B609" s="19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9"/>
      <c r="Q609" s="19"/>
      <c r="R609" s="19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5.75" customHeight="1" x14ac:dyDescent="0.35">
      <c r="A610" s="4"/>
      <c r="B610" s="19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9"/>
      <c r="Q610" s="19"/>
      <c r="R610" s="19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5.75" customHeight="1" x14ac:dyDescent="0.35">
      <c r="A611" s="4"/>
      <c r="B611" s="19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9"/>
      <c r="Q611" s="19"/>
      <c r="R611" s="19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5.75" customHeight="1" x14ac:dyDescent="0.35">
      <c r="A612" s="4"/>
      <c r="B612" s="19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9"/>
      <c r="Q612" s="19"/>
      <c r="R612" s="19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5.75" customHeight="1" x14ac:dyDescent="0.35">
      <c r="A613" s="4"/>
      <c r="B613" s="19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9"/>
      <c r="Q613" s="19"/>
      <c r="R613" s="19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5.75" customHeight="1" x14ac:dyDescent="0.35">
      <c r="A614" s="4"/>
      <c r="B614" s="19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9"/>
      <c r="Q614" s="19"/>
      <c r="R614" s="19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5.75" customHeight="1" x14ac:dyDescent="0.35">
      <c r="A615" s="4"/>
      <c r="B615" s="19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9"/>
      <c r="Q615" s="19"/>
      <c r="R615" s="19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5.75" customHeight="1" x14ac:dyDescent="0.35">
      <c r="A616" s="4"/>
      <c r="B616" s="19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9"/>
      <c r="Q616" s="19"/>
      <c r="R616" s="19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5.75" customHeight="1" x14ac:dyDescent="0.35">
      <c r="A617" s="4"/>
      <c r="B617" s="19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9"/>
      <c r="Q617" s="19"/>
      <c r="R617" s="19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5.75" customHeight="1" x14ac:dyDescent="0.35">
      <c r="A618" s="4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9"/>
      <c r="Q618" s="19"/>
      <c r="R618" s="19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5.75" customHeight="1" x14ac:dyDescent="0.35">
      <c r="A619" s="4"/>
      <c r="B619" s="19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9"/>
      <c r="Q619" s="19"/>
      <c r="R619" s="19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5.75" customHeight="1" x14ac:dyDescent="0.35">
      <c r="A620" s="4"/>
      <c r="B620" s="19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9"/>
      <c r="Q620" s="19"/>
      <c r="R620" s="19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5.75" customHeight="1" x14ac:dyDescent="0.35">
      <c r="A621" s="4"/>
      <c r="B621" s="19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9"/>
      <c r="Q621" s="19"/>
      <c r="R621" s="19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5.75" customHeight="1" x14ac:dyDescent="0.35">
      <c r="A622" s="4"/>
      <c r="B622" s="19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9"/>
      <c r="Q622" s="19"/>
      <c r="R622" s="19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5.75" customHeight="1" x14ac:dyDescent="0.35">
      <c r="A623" s="4"/>
      <c r="B623" s="19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9"/>
      <c r="Q623" s="19"/>
      <c r="R623" s="19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5.75" customHeight="1" x14ac:dyDescent="0.35">
      <c r="A624" s="4"/>
      <c r="B624" s="19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9"/>
      <c r="Q624" s="19"/>
      <c r="R624" s="19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5.75" customHeight="1" x14ac:dyDescent="0.35">
      <c r="A625" s="4"/>
      <c r="B625" s="19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9"/>
      <c r="Q625" s="19"/>
      <c r="R625" s="19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5.75" customHeight="1" x14ac:dyDescent="0.35">
      <c r="A626" s="4"/>
      <c r="B626" s="19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9"/>
      <c r="Q626" s="19"/>
      <c r="R626" s="19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5.75" customHeight="1" x14ac:dyDescent="0.35">
      <c r="A627" s="4"/>
      <c r="B627" s="19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9"/>
      <c r="Q627" s="19"/>
      <c r="R627" s="19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5.75" customHeight="1" x14ac:dyDescent="0.35">
      <c r="A628" s="4"/>
      <c r="B628" s="19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9"/>
      <c r="Q628" s="19"/>
      <c r="R628" s="19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5.75" customHeight="1" x14ac:dyDescent="0.35">
      <c r="A629" s="4"/>
      <c r="B629" s="19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9"/>
      <c r="Q629" s="19"/>
      <c r="R629" s="19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5.75" customHeight="1" x14ac:dyDescent="0.35">
      <c r="A630" s="4"/>
      <c r="B630" s="19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9"/>
      <c r="Q630" s="19"/>
      <c r="R630" s="19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5.75" customHeight="1" x14ac:dyDescent="0.35">
      <c r="A631" s="4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9"/>
      <c r="Q631" s="19"/>
      <c r="R631" s="19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5.75" customHeight="1" x14ac:dyDescent="0.35">
      <c r="A632" s="4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9"/>
      <c r="Q632" s="19"/>
      <c r="R632" s="19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5.75" customHeight="1" x14ac:dyDescent="0.35">
      <c r="A633" s="4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9"/>
      <c r="Q633" s="19"/>
      <c r="R633" s="19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5.75" customHeight="1" x14ac:dyDescent="0.35">
      <c r="A634" s="4"/>
      <c r="B634" s="19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9"/>
      <c r="Q634" s="19"/>
      <c r="R634" s="19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5.75" customHeight="1" x14ac:dyDescent="0.35">
      <c r="A635" s="4"/>
      <c r="B635" s="19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9"/>
      <c r="Q635" s="19"/>
      <c r="R635" s="19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5.75" customHeight="1" x14ac:dyDescent="0.35">
      <c r="A636" s="4"/>
      <c r="B636" s="19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9"/>
      <c r="Q636" s="19"/>
      <c r="R636" s="19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5.75" customHeight="1" x14ac:dyDescent="0.35">
      <c r="A637" s="4"/>
      <c r="B637" s="19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9"/>
      <c r="Q637" s="19"/>
      <c r="R637" s="19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5.75" customHeight="1" x14ac:dyDescent="0.35">
      <c r="A638" s="4"/>
      <c r="B638" s="19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9"/>
      <c r="Q638" s="19"/>
      <c r="R638" s="19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5.75" customHeight="1" x14ac:dyDescent="0.35">
      <c r="A639" s="4"/>
      <c r="B639" s="19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9"/>
      <c r="Q639" s="19"/>
      <c r="R639" s="19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5.75" customHeight="1" x14ac:dyDescent="0.35">
      <c r="A640" s="4"/>
      <c r="B640" s="19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9"/>
      <c r="Q640" s="19"/>
      <c r="R640" s="19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5.75" customHeight="1" x14ac:dyDescent="0.35">
      <c r="A641" s="4"/>
      <c r="B641" s="19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9"/>
      <c r="Q641" s="19"/>
      <c r="R641" s="19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5.75" customHeight="1" x14ac:dyDescent="0.35">
      <c r="A642" s="4"/>
      <c r="B642" s="19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9"/>
      <c r="Q642" s="19"/>
      <c r="R642" s="19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5.75" customHeight="1" x14ac:dyDescent="0.35">
      <c r="A643" s="4"/>
      <c r="B643" s="19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9"/>
      <c r="Q643" s="19"/>
      <c r="R643" s="19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5.75" customHeight="1" x14ac:dyDescent="0.35">
      <c r="A644" s="4"/>
      <c r="B644" s="19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9"/>
      <c r="Q644" s="19"/>
      <c r="R644" s="19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5.75" customHeight="1" x14ac:dyDescent="0.35">
      <c r="A645" s="4"/>
      <c r="B645" s="19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9"/>
      <c r="Q645" s="19"/>
      <c r="R645" s="19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5.75" customHeight="1" x14ac:dyDescent="0.35">
      <c r="A646" s="4"/>
      <c r="B646" s="19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9"/>
      <c r="Q646" s="19"/>
      <c r="R646" s="19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5.75" customHeight="1" x14ac:dyDescent="0.35">
      <c r="A647" s="4"/>
      <c r="B647" s="19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9"/>
      <c r="Q647" s="19"/>
      <c r="R647" s="19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5.75" customHeight="1" x14ac:dyDescent="0.35">
      <c r="A648" s="4"/>
      <c r="B648" s="19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9"/>
      <c r="Q648" s="19"/>
      <c r="R648" s="19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5.75" customHeight="1" x14ac:dyDescent="0.35">
      <c r="A649" s="4"/>
      <c r="B649" s="19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9"/>
      <c r="Q649" s="19"/>
      <c r="R649" s="19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5.75" customHeight="1" x14ac:dyDescent="0.35">
      <c r="A650" s="4"/>
      <c r="B650" s="19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9"/>
      <c r="Q650" s="19"/>
      <c r="R650" s="19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5.75" customHeight="1" x14ac:dyDescent="0.35">
      <c r="A651" s="4"/>
      <c r="B651" s="19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9"/>
      <c r="Q651" s="19"/>
      <c r="R651" s="19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5.75" customHeight="1" x14ac:dyDescent="0.35">
      <c r="A652" s="4"/>
      <c r="B652" s="19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9"/>
      <c r="Q652" s="19"/>
      <c r="R652" s="19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5.75" customHeight="1" x14ac:dyDescent="0.35">
      <c r="A653" s="4"/>
      <c r="B653" s="19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9"/>
      <c r="Q653" s="19"/>
      <c r="R653" s="19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5.75" customHeight="1" x14ac:dyDescent="0.35">
      <c r="A654" s="4"/>
      <c r="B654" s="19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9"/>
      <c r="Q654" s="19"/>
      <c r="R654" s="19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5.75" customHeight="1" x14ac:dyDescent="0.35">
      <c r="A655" s="4"/>
      <c r="B655" s="19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9"/>
      <c r="Q655" s="19"/>
      <c r="R655" s="19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5.75" customHeight="1" x14ac:dyDescent="0.35">
      <c r="A656" s="4"/>
      <c r="B656" s="19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9"/>
      <c r="Q656" s="19"/>
      <c r="R656" s="19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5.75" customHeight="1" x14ac:dyDescent="0.35">
      <c r="A657" s="4"/>
      <c r="B657" s="19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9"/>
      <c r="Q657" s="19"/>
      <c r="R657" s="19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5.75" customHeight="1" x14ac:dyDescent="0.35">
      <c r="A658" s="4"/>
      <c r="B658" s="19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9"/>
      <c r="Q658" s="19"/>
      <c r="R658" s="19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5.75" customHeight="1" x14ac:dyDescent="0.35">
      <c r="A659" s="4"/>
      <c r="B659" s="19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9"/>
      <c r="Q659" s="19"/>
      <c r="R659" s="19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5.75" customHeight="1" x14ac:dyDescent="0.35">
      <c r="A660" s="4"/>
      <c r="B660" s="19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9"/>
      <c r="Q660" s="19"/>
      <c r="R660" s="19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5.75" customHeight="1" x14ac:dyDescent="0.35">
      <c r="A661" s="4"/>
      <c r="B661" s="19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9"/>
      <c r="Q661" s="19"/>
      <c r="R661" s="19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5.75" customHeight="1" x14ac:dyDescent="0.35">
      <c r="A662" s="4"/>
      <c r="B662" s="19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9"/>
      <c r="Q662" s="19"/>
      <c r="R662" s="19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5.75" customHeight="1" x14ac:dyDescent="0.35">
      <c r="A663" s="4"/>
      <c r="B663" s="19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9"/>
      <c r="Q663" s="19"/>
      <c r="R663" s="19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5.75" customHeight="1" x14ac:dyDescent="0.35">
      <c r="A664" s="4"/>
      <c r="B664" s="19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9"/>
      <c r="Q664" s="19"/>
      <c r="R664" s="19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5.75" customHeight="1" x14ac:dyDescent="0.35">
      <c r="A665" s="4"/>
      <c r="B665" s="19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9"/>
      <c r="Q665" s="19"/>
      <c r="R665" s="19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5.75" customHeight="1" x14ac:dyDescent="0.35">
      <c r="A666" s="4"/>
      <c r="B666" s="19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9"/>
      <c r="Q666" s="19"/>
      <c r="R666" s="19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5.75" customHeight="1" x14ac:dyDescent="0.35">
      <c r="A667" s="4"/>
      <c r="B667" s="19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9"/>
      <c r="Q667" s="19"/>
      <c r="R667" s="19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5.75" customHeight="1" x14ac:dyDescent="0.35">
      <c r="A668" s="4"/>
      <c r="B668" s="19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9"/>
      <c r="Q668" s="19"/>
      <c r="R668" s="19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5.75" customHeight="1" x14ac:dyDescent="0.35">
      <c r="A669" s="4"/>
      <c r="B669" s="19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9"/>
      <c r="Q669" s="19"/>
      <c r="R669" s="19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5.75" customHeight="1" x14ac:dyDescent="0.35">
      <c r="A670" s="4"/>
      <c r="B670" s="19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9"/>
      <c r="Q670" s="19"/>
      <c r="R670" s="19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5.75" customHeight="1" x14ac:dyDescent="0.35">
      <c r="A671" s="4"/>
      <c r="B671" s="19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9"/>
      <c r="Q671" s="19"/>
      <c r="R671" s="19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5.75" customHeight="1" x14ac:dyDescent="0.35">
      <c r="A672" s="4"/>
      <c r="B672" s="19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9"/>
      <c r="Q672" s="19"/>
      <c r="R672" s="19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5.75" customHeight="1" x14ac:dyDescent="0.35">
      <c r="A673" s="4"/>
      <c r="B673" s="19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9"/>
      <c r="Q673" s="19"/>
      <c r="R673" s="19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5.75" customHeight="1" x14ac:dyDescent="0.35">
      <c r="A674" s="4"/>
      <c r="B674" s="19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9"/>
      <c r="Q674" s="19"/>
      <c r="R674" s="19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5.75" customHeight="1" x14ac:dyDescent="0.35">
      <c r="A675" s="4"/>
      <c r="B675" s="19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9"/>
      <c r="Q675" s="19"/>
      <c r="R675" s="19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5.75" customHeight="1" x14ac:dyDescent="0.35">
      <c r="A676" s="4"/>
      <c r="B676" s="19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9"/>
      <c r="Q676" s="19"/>
      <c r="R676" s="19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5.75" customHeight="1" x14ac:dyDescent="0.35">
      <c r="A677" s="4"/>
      <c r="B677" s="19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9"/>
      <c r="Q677" s="19"/>
      <c r="R677" s="19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5.75" customHeight="1" x14ac:dyDescent="0.35">
      <c r="A678" s="4"/>
      <c r="B678" s="19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9"/>
      <c r="Q678" s="19"/>
      <c r="R678" s="19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5.75" customHeight="1" x14ac:dyDescent="0.35">
      <c r="A679" s="4"/>
      <c r="B679" s="19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9"/>
      <c r="Q679" s="19"/>
      <c r="R679" s="19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5.75" customHeight="1" x14ac:dyDescent="0.35">
      <c r="A680" s="4"/>
      <c r="B680" s="19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9"/>
      <c r="Q680" s="19"/>
      <c r="R680" s="19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5.75" customHeight="1" x14ac:dyDescent="0.35">
      <c r="A681" s="4"/>
      <c r="B681" s="19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9"/>
      <c r="Q681" s="19"/>
      <c r="R681" s="19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5.75" customHeight="1" x14ac:dyDescent="0.35">
      <c r="A682" s="4"/>
      <c r="B682" s="19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9"/>
      <c r="Q682" s="19"/>
      <c r="R682" s="19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5.75" customHeight="1" x14ac:dyDescent="0.35">
      <c r="A683" s="4"/>
      <c r="B683" s="19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9"/>
      <c r="Q683" s="19"/>
      <c r="R683" s="19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5.75" customHeight="1" x14ac:dyDescent="0.35">
      <c r="A684" s="4"/>
      <c r="B684" s="19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9"/>
      <c r="Q684" s="19"/>
      <c r="R684" s="19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5.75" customHeight="1" x14ac:dyDescent="0.35">
      <c r="A685" s="4"/>
      <c r="B685" s="19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9"/>
      <c r="Q685" s="19"/>
      <c r="R685" s="19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5.75" customHeight="1" x14ac:dyDescent="0.35">
      <c r="A686" s="4"/>
      <c r="B686" s="19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9"/>
      <c r="Q686" s="19"/>
      <c r="R686" s="19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5.75" customHeight="1" x14ac:dyDescent="0.35">
      <c r="A687" s="4"/>
      <c r="B687" s="19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9"/>
      <c r="Q687" s="19"/>
      <c r="R687" s="19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5.75" customHeight="1" x14ac:dyDescent="0.35">
      <c r="A688" s="4"/>
      <c r="B688" s="19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9"/>
      <c r="Q688" s="19"/>
      <c r="R688" s="19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5.75" customHeight="1" x14ac:dyDescent="0.35">
      <c r="A689" s="4"/>
      <c r="B689" s="19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9"/>
      <c r="Q689" s="19"/>
      <c r="R689" s="19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5.75" customHeight="1" x14ac:dyDescent="0.35">
      <c r="A690" s="4"/>
      <c r="B690" s="19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9"/>
      <c r="Q690" s="19"/>
      <c r="R690" s="19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5.75" customHeight="1" x14ac:dyDescent="0.35">
      <c r="A691" s="4"/>
      <c r="B691" s="19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9"/>
      <c r="Q691" s="19"/>
      <c r="R691" s="19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5.75" customHeight="1" x14ac:dyDescent="0.35">
      <c r="A692" s="4"/>
      <c r="B692" s="19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9"/>
      <c r="Q692" s="19"/>
      <c r="R692" s="19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5.75" customHeight="1" x14ac:dyDescent="0.35">
      <c r="A693" s="4"/>
      <c r="B693" s="19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9"/>
      <c r="Q693" s="19"/>
      <c r="R693" s="19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5.75" customHeight="1" x14ac:dyDescent="0.35">
      <c r="A694" s="4"/>
      <c r="B694" s="19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9"/>
      <c r="Q694" s="19"/>
      <c r="R694" s="19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5.75" customHeight="1" x14ac:dyDescent="0.35">
      <c r="A695" s="4"/>
      <c r="B695" s="19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9"/>
      <c r="Q695" s="19"/>
      <c r="R695" s="19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5.75" customHeight="1" x14ac:dyDescent="0.35">
      <c r="A696" s="4"/>
      <c r="B696" s="19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9"/>
      <c r="Q696" s="19"/>
      <c r="R696" s="19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5.75" customHeight="1" x14ac:dyDescent="0.35">
      <c r="A697" s="4"/>
      <c r="B697" s="19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9"/>
      <c r="Q697" s="19"/>
      <c r="R697" s="19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5.75" customHeight="1" x14ac:dyDescent="0.35">
      <c r="A698" s="4"/>
      <c r="B698" s="19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9"/>
      <c r="Q698" s="19"/>
      <c r="R698" s="19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5.75" customHeight="1" x14ac:dyDescent="0.35">
      <c r="A699" s="4"/>
      <c r="B699" s="19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9"/>
      <c r="Q699" s="19"/>
      <c r="R699" s="19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5.75" customHeight="1" x14ac:dyDescent="0.35">
      <c r="A700" s="4"/>
      <c r="B700" s="19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9"/>
      <c r="Q700" s="19"/>
      <c r="R700" s="19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5.75" customHeight="1" x14ac:dyDescent="0.35">
      <c r="A701" s="4"/>
      <c r="B701" s="19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9"/>
      <c r="Q701" s="19"/>
      <c r="R701" s="19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5.75" customHeight="1" x14ac:dyDescent="0.35">
      <c r="A702" s="4"/>
      <c r="B702" s="19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9"/>
      <c r="Q702" s="19"/>
      <c r="R702" s="19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5.75" customHeight="1" x14ac:dyDescent="0.35">
      <c r="A703" s="4"/>
      <c r="B703" s="19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9"/>
      <c r="Q703" s="19"/>
      <c r="R703" s="19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5.75" customHeight="1" x14ac:dyDescent="0.35">
      <c r="A704" s="4"/>
      <c r="B704" s="19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9"/>
      <c r="Q704" s="19"/>
      <c r="R704" s="19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5.75" customHeight="1" x14ac:dyDescent="0.35">
      <c r="A705" s="4"/>
      <c r="B705" s="19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9"/>
      <c r="Q705" s="19"/>
      <c r="R705" s="19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5.75" customHeight="1" x14ac:dyDescent="0.35">
      <c r="A706" s="4"/>
      <c r="B706" s="19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9"/>
      <c r="Q706" s="19"/>
      <c r="R706" s="19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5.75" customHeight="1" x14ac:dyDescent="0.35">
      <c r="A707" s="4"/>
      <c r="B707" s="19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9"/>
      <c r="Q707" s="19"/>
      <c r="R707" s="19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5.75" customHeight="1" x14ac:dyDescent="0.35">
      <c r="A708" s="4"/>
      <c r="B708" s="19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9"/>
      <c r="Q708" s="19"/>
      <c r="R708" s="19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5.75" customHeight="1" x14ac:dyDescent="0.35">
      <c r="A709" s="4"/>
      <c r="B709" s="19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9"/>
      <c r="Q709" s="19"/>
      <c r="R709" s="19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5.75" customHeight="1" x14ac:dyDescent="0.35">
      <c r="A710" s="4"/>
      <c r="B710" s="19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9"/>
      <c r="Q710" s="19"/>
      <c r="R710" s="19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5.75" customHeight="1" x14ac:dyDescent="0.35">
      <c r="A711" s="4"/>
      <c r="B711" s="19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9"/>
      <c r="Q711" s="19"/>
      <c r="R711" s="19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5.75" customHeight="1" x14ac:dyDescent="0.35">
      <c r="A712" s="4"/>
      <c r="B712" s="19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9"/>
      <c r="Q712" s="19"/>
      <c r="R712" s="19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5.75" customHeight="1" x14ac:dyDescent="0.35">
      <c r="A713" s="4"/>
      <c r="B713" s="19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9"/>
      <c r="Q713" s="19"/>
      <c r="R713" s="19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5.75" customHeight="1" x14ac:dyDescent="0.35">
      <c r="A714" s="4"/>
      <c r="B714" s="19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9"/>
      <c r="Q714" s="19"/>
      <c r="R714" s="19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5.75" customHeight="1" x14ac:dyDescent="0.35">
      <c r="A715" s="4"/>
      <c r="B715" s="19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9"/>
      <c r="Q715" s="19"/>
      <c r="R715" s="19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5.75" customHeight="1" x14ac:dyDescent="0.35">
      <c r="A716" s="4"/>
      <c r="B716" s="19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9"/>
      <c r="Q716" s="19"/>
      <c r="R716" s="19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5.75" customHeight="1" x14ac:dyDescent="0.35">
      <c r="A717" s="4"/>
      <c r="B717" s="19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9"/>
      <c r="Q717" s="19"/>
      <c r="R717" s="19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5.75" customHeight="1" x14ac:dyDescent="0.35">
      <c r="A718" s="4"/>
      <c r="B718" s="19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9"/>
      <c r="Q718" s="19"/>
      <c r="R718" s="19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5.75" customHeight="1" x14ac:dyDescent="0.35">
      <c r="A719" s="4"/>
      <c r="B719" s="19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9"/>
      <c r="Q719" s="19"/>
      <c r="R719" s="19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5.75" customHeight="1" x14ac:dyDescent="0.35">
      <c r="A720" s="4"/>
      <c r="B720" s="19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9"/>
      <c r="Q720" s="19"/>
      <c r="R720" s="19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5.75" customHeight="1" x14ac:dyDescent="0.35">
      <c r="A721" s="4"/>
      <c r="B721" s="19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9"/>
      <c r="Q721" s="19"/>
      <c r="R721" s="19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5.75" customHeight="1" x14ac:dyDescent="0.35">
      <c r="A722" s="4"/>
      <c r="B722" s="19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9"/>
      <c r="Q722" s="19"/>
      <c r="R722" s="19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5.75" customHeight="1" x14ac:dyDescent="0.35">
      <c r="A723" s="4"/>
      <c r="B723" s="19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9"/>
      <c r="Q723" s="19"/>
      <c r="R723" s="19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5.75" customHeight="1" x14ac:dyDescent="0.35">
      <c r="A724" s="4"/>
      <c r="B724" s="19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9"/>
      <c r="Q724" s="19"/>
      <c r="R724" s="19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5.75" customHeight="1" x14ac:dyDescent="0.35">
      <c r="A725" s="4"/>
      <c r="B725" s="19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9"/>
      <c r="Q725" s="19"/>
      <c r="R725" s="19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5.75" customHeight="1" x14ac:dyDescent="0.35">
      <c r="A726" s="4"/>
      <c r="B726" s="19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9"/>
      <c r="Q726" s="19"/>
      <c r="R726" s="19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5.75" customHeight="1" x14ac:dyDescent="0.35">
      <c r="A727" s="4"/>
      <c r="B727" s="19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9"/>
      <c r="Q727" s="19"/>
      <c r="R727" s="19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5.75" customHeight="1" x14ac:dyDescent="0.35">
      <c r="A728" s="4"/>
      <c r="B728" s="19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9"/>
      <c r="Q728" s="19"/>
      <c r="R728" s="19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5.75" customHeight="1" x14ac:dyDescent="0.35">
      <c r="A729" s="4"/>
      <c r="B729" s="19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9"/>
      <c r="Q729" s="19"/>
      <c r="R729" s="19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5.75" customHeight="1" x14ac:dyDescent="0.35">
      <c r="A730" s="4"/>
      <c r="B730" s="19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9"/>
      <c r="Q730" s="19"/>
      <c r="R730" s="19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5.75" customHeight="1" x14ac:dyDescent="0.35">
      <c r="A731" s="4"/>
      <c r="B731" s="19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9"/>
      <c r="Q731" s="19"/>
      <c r="R731" s="19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5.75" customHeight="1" x14ac:dyDescent="0.35">
      <c r="A732" s="4"/>
      <c r="B732" s="19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9"/>
      <c r="Q732" s="19"/>
      <c r="R732" s="19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5.75" customHeight="1" x14ac:dyDescent="0.35">
      <c r="A733" s="4"/>
      <c r="B733" s="19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9"/>
      <c r="Q733" s="19"/>
      <c r="R733" s="19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5.75" customHeight="1" x14ac:dyDescent="0.35">
      <c r="A734" s="4"/>
      <c r="B734" s="19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9"/>
      <c r="Q734" s="19"/>
      <c r="R734" s="19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5.75" customHeight="1" x14ac:dyDescent="0.35">
      <c r="A735" s="4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9"/>
      <c r="Q735" s="19"/>
      <c r="R735" s="19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5.75" customHeight="1" x14ac:dyDescent="0.35">
      <c r="A736" s="4"/>
      <c r="B736" s="19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9"/>
      <c r="Q736" s="19"/>
      <c r="R736" s="19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5.75" customHeight="1" x14ac:dyDescent="0.35">
      <c r="A737" s="4"/>
      <c r="B737" s="19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9"/>
      <c r="Q737" s="19"/>
      <c r="R737" s="19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5.75" customHeight="1" x14ac:dyDescent="0.35">
      <c r="A738" s="4"/>
      <c r="B738" s="19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9"/>
      <c r="Q738" s="19"/>
      <c r="R738" s="19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5.75" customHeight="1" x14ac:dyDescent="0.35">
      <c r="A739" s="4"/>
      <c r="B739" s="19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9"/>
      <c r="Q739" s="19"/>
      <c r="R739" s="19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5.75" customHeight="1" x14ac:dyDescent="0.35">
      <c r="A740" s="4"/>
      <c r="B740" s="19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9"/>
      <c r="Q740" s="19"/>
      <c r="R740" s="19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5.75" customHeight="1" x14ac:dyDescent="0.35">
      <c r="A741" s="4"/>
      <c r="B741" s="19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9"/>
      <c r="Q741" s="19"/>
      <c r="R741" s="19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5.75" customHeight="1" x14ac:dyDescent="0.35">
      <c r="A742" s="4"/>
      <c r="B742" s="19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9"/>
      <c r="Q742" s="19"/>
      <c r="R742" s="19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5.75" customHeight="1" x14ac:dyDescent="0.35">
      <c r="A743" s="4"/>
      <c r="B743" s="19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9"/>
      <c r="Q743" s="19"/>
      <c r="R743" s="19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5.75" customHeight="1" x14ac:dyDescent="0.35">
      <c r="A744" s="4"/>
      <c r="B744" s="19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9"/>
      <c r="Q744" s="19"/>
      <c r="R744" s="19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5.75" customHeight="1" x14ac:dyDescent="0.35">
      <c r="A745" s="4"/>
      <c r="B745" s="19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9"/>
      <c r="Q745" s="19"/>
      <c r="R745" s="19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5.75" customHeight="1" x14ac:dyDescent="0.35">
      <c r="A746" s="4"/>
      <c r="B746" s="19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9"/>
      <c r="Q746" s="19"/>
      <c r="R746" s="19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5.75" customHeight="1" x14ac:dyDescent="0.35">
      <c r="A747" s="4"/>
      <c r="B747" s="19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9"/>
      <c r="Q747" s="19"/>
      <c r="R747" s="19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5.75" customHeight="1" x14ac:dyDescent="0.35">
      <c r="A748" s="4"/>
      <c r="B748" s="19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9"/>
      <c r="Q748" s="19"/>
      <c r="R748" s="19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5.75" customHeight="1" x14ac:dyDescent="0.35">
      <c r="A749" s="4"/>
      <c r="B749" s="19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9"/>
      <c r="Q749" s="19"/>
      <c r="R749" s="19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5.75" customHeight="1" x14ac:dyDescent="0.35">
      <c r="A750" s="4"/>
      <c r="B750" s="19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9"/>
      <c r="Q750" s="19"/>
      <c r="R750" s="19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5.75" customHeight="1" x14ac:dyDescent="0.35">
      <c r="A751" s="4"/>
      <c r="B751" s="19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9"/>
      <c r="Q751" s="19"/>
      <c r="R751" s="19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5.75" customHeight="1" x14ac:dyDescent="0.35">
      <c r="A752" s="4"/>
      <c r="B752" s="19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9"/>
      <c r="Q752" s="19"/>
      <c r="R752" s="19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5.75" customHeight="1" x14ac:dyDescent="0.35">
      <c r="A753" s="4"/>
      <c r="B753" s="19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9"/>
      <c r="Q753" s="19"/>
      <c r="R753" s="19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5.75" customHeight="1" x14ac:dyDescent="0.35">
      <c r="A754" s="4"/>
      <c r="B754" s="19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9"/>
      <c r="Q754" s="19"/>
      <c r="R754" s="19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5.75" customHeight="1" x14ac:dyDescent="0.35">
      <c r="A755" s="4"/>
      <c r="B755" s="19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9"/>
      <c r="Q755" s="19"/>
      <c r="R755" s="19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5.75" customHeight="1" x14ac:dyDescent="0.35">
      <c r="A756" s="4"/>
      <c r="B756" s="19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9"/>
      <c r="Q756" s="19"/>
      <c r="R756" s="19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5.75" customHeight="1" x14ac:dyDescent="0.35">
      <c r="A757" s="4"/>
      <c r="B757" s="19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9"/>
      <c r="Q757" s="19"/>
      <c r="R757" s="19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5.75" customHeight="1" x14ac:dyDescent="0.35">
      <c r="A758" s="4"/>
      <c r="B758" s="19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9"/>
      <c r="Q758" s="19"/>
      <c r="R758" s="19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5.75" customHeight="1" x14ac:dyDescent="0.35">
      <c r="A759" s="4"/>
      <c r="B759" s="19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9"/>
      <c r="Q759" s="19"/>
      <c r="R759" s="19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5.75" customHeight="1" x14ac:dyDescent="0.35">
      <c r="A760" s="4"/>
      <c r="B760" s="19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9"/>
      <c r="Q760" s="19"/>
      <c r="R760" s="19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5.75" customHeight="1" x14ac:dyDescent="0.35">
      <c r="A761" s="4"/>
      <c r="B761" s="19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9"/>
      <c r="Q761" s="19"/>
      <c r="R761" s="19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5.75" customHeight="1" x14ac:dyDescent="0.35">
      <c r="A762" s="4"/>
      <c r="B762" s="19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9"/>
      <c r="Q762" s="19"/>
      <c r="R762" s="19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5.75" customHeight="1" x14ac:dyDescent="0.35">
      <c r="A763" s="4"/>
      <c r="B763" s="19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9"/>
      <c r="Q763" s="19"/>
      <c r="R763" s="19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5.75" customHeight="1" x14ac:dyDescent="0.35">
      <c r="A764" s="4"/>
      <c r="B764" s="19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9"/>
      <c r="Q764" s="19"/>
      <c r="R764" s="19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5.75" customHeight="1" x14ac:dyDescent="0.35">
      <c r="A765" s="4"/>
      <c r="B765" s="19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9"/>
      <c r="Q765" s="19"/>
      <c r="R765" s="19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5.75" customHeight="1" x14ac:dyDescent="0.35">
      <c r="A766" s="4"/>
      <c r="B766" s="19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9"/>
      <c r="Q766" s="19"/>
      <c r="R766" s="19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5.75" customHeight="1" x14ac:dyDescent="0.35">
      <c r="A767" s="4"/>
      <c r="B767" s="19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9"/>
      <c r="Q767" s="19"/>
      <c r="R767" s="19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5.75" customHeight="1" x14ac:dyDescent="0.35">
      <c r="A768" s="4"/>
      <c r="B768" s="19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9"/>
      <c r="Q768" s="19"/>
      <c r="R768" s="19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5.75" customHeight="1" x14ac:dyDescent="0.35">
      <c r="A769" s="4"/>
      <c r="B769" s="19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9"/>
      <c r="Q769" s="19"/>
      <c r="R769" s="19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5.75" customHeight="1" x14ac:dyDescent="0.35">
      <c r="A770" s="4"/>
      <c r="B770" s="19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9"/>
      <c r="Q770" s="19"/>
      <c r="R770" s="19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5.75" customHeight="1" x14ac:dyDescent="0.35">
      <c r="A771" s="4"/>
      <c r="B771" s="19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9"/>
      <c r="Q771" s="19"/>
      <c r="R771" s="19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5.75" customHeight="1" x14ac:dyDescent="0.35">
      <c r="A772" s="4"/>
      <c r="B772" s="19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9"/>
      <c r="Q772" s="19"/>
      <c r="R772" s="19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5.75" customHeight="1" x14ac:dyDescent="0.35">
      <c r="A773" s="4"/>
      <c r="B773" s="19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9"/>
      <c r="Q773" s="19"/>
      <c r="R773" s="19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5.75" customHeight="1" x14ac:dyDescent="0.35">
      <c r="A774" s="4"/>
      <c r="B774" s="19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9"/>
      <c r="Q774" s="19"/>
      <c r="R774" s="19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5.75" customHeight="1" x14ac:dyDescent="0.35">
      <c r="A775" s="4"/>
      <c r="B775" s="19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9"/>
      <c r="Q775" s="19"/>
      <c r="R775" s="19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5.75" customHeight="1" x14ac:dyDescent="0.35">
      <c r="A776" s="4"/>
      <c r="B776" s="19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9"/>
      <c r="Q776" s="19"/>
      <c r="R776" s="19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5.75" customHeight="1" x14ac:dyDescent="0.35">
      <c r="A777" s="4"/>
      <c r="B777" s="19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9"/>
      <c r="Q777" s="19"/>
      <c r="R777" s="19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5.75" customHeight="1" x14ac:dyDescent="0.35">
      <c r="A778" s="4"/>
      <c r="B778" s="19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9"/>
      <c r="Q778" s="19"/>
      <c r="R778" s="19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5.75" customHeight="1" x14ac:dyDescent="0.35">
      <c r="A779" s="4"/>
      <c r="B779" s="19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9"/>
      <c r="Q779" s="19"/>
      <c r="R779" s="19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5.75" customHeight="1" x14ac:dyDescent="0.35">
      <c r="A780" s="4"/>
      <c r="B780" s="19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9"/>
      <c r="Q780" s="19"/>
      <c r="R780" s="19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5.75" customHeight="1" x14ac:dyDescent="0.35">
      <c r="A781" s="4"/>
      <c r="B781" s="19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9"/>
      <c r="Q781" s="19"/>
      <c r="R781" s="19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5.75" customHeight="1" x14ac:dyDescent="0.35">
      <c r="A782" s="4"/>
      <c r="B782" s="19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9"/>
      <c r="Q782" s="19"/>
      <c r="R782" s="19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5.75" customHeight="1" x14ac:dyDescent="0.35">
      <c r="A783" s="4"/>
      <c r="B783" s="19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9"/>
      <c r="Q783" s="19"/>
      <c r="R783" s="19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5.75" customHeight="1" x14ac:dyDescent="0.35">
      <c r="A784" s="4"/>
      <c r="B784" s="19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9"/>
      <c r="Q784" s="19"/>
      <c r="R784" s="19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5.75" customHeight="1" x14ac:dyDescent="0.35">
      <c r="A785" s="4"/>
      <c r="B785" s="19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9"/>
      <c r="Q785" s="19"/>
      <c r="R785" s="19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5.75" customHeight="1" x14ac:dyDescent="0.35">
      <c r="A786" s="4"/>
      <c r="B786" s="19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9"/>
      <c r="Q786" s="19"/>
      <c r="R786" s="19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5.75" customHeight="1" x14ac:dyDescent="0.35">
      <c r="A787" s="4"/>
      <c r="B787" s="19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9"/>
      <c r="Q787" s="19"/>
      <c r="R787" s="19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5.75" customHeight="1" x14ac:dyDescent="0.35">
      <c r="A788" s="4"/>
      <c r="B788" s="19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9"/>
      <c r="Q788" s="19"/>
      <c r="R788" s="19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5.75" customHeight="1" x14ac:dyDescent="0.35">
      <c r="A789" s="4"/>
      <c r="B789" s="19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9"/>
      <c r="Q789" s="19"/>
      <c r="R789" s="19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5.75" customHeight="1" x14ac:dyDescent="0.35">
      <c r="A790" s="4"/>
      <c r="B790" s="19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9"/>
      <c r="Q790" s="19"/>
      <c r="R790" s="19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5.75" customHeight="1" x14ac:dyDescent="0.35">
      <c r="A791" s="4"/>
      <c r="B791" s="19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9"/>
      <c r="Q791" s="19"/>
      <c r="R791" s="19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5.75" customHeight="1" x14ac:dyDescent="0.35">
      <c r="A792" s="4"/>
      <c r="B792" s="19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9"/>
      <c r="Q792" s="19"/>
      <c r="R792" s="19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5.75" customHeight="1" x14ac:dyDescent="0.35">
      <c r="A793" s="4"/>
      <c r="B793" s="19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9"/>
      <c r="Q793" s="19"/>
      <c r="R793" s="19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5.75" customHeight="1" x14ac:dyDescent="0.35">
      <c r="A794" s="4"/>
      <c r="B794" s="19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9"/>
      <c r="Q794" s="19"/>
      <c r="R794" s="19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5.75" customHeight="1" x14ac:dyDescent="0.35">
      <c r="A795" s="4"/>
      <c r="B795" s="19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9"/>
      <c r="Q795" s="19"/>
      <c r="R795" s="19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5.75" customHeight="1" x14ac:dyDescent="0.35">
      <c r="A796" s="4"/>
      <c r="B796" s="19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9"/>
      <c r="Q796" s="19"/>
      <c r="R796" s="19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5.75" customHeight="1" x14ac:dyDescent="0.35">
      <c r="A797" s="4"/>
      <c r="B797" s="19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9"/>
      <c r="Q797" s="19"/>
      <c r="R797" s="19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5.75" customHeight="1" x14ac:dyDescent="0.35">
      <c r="A798" s="4"/>
      <c r="B798" s="19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9"/>
      <c r="Q798" s="19"/>
      <c r="R798" s="19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5.75" customHeight="1" x14ac:dyDescent="0.35">
      <c r="A799" s="4"/>
      <c r="B799" s="19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9"/>
      <c r="Q799" s="19"/>
      <c r="R799" s="19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5.75" customHeight="1" x14ac:dyDescent="0.35">
      <c r="A800" s="4"/>
      <c r="B800" s="19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9"/>
      <c r="Q800" s="19"/>
      <c r="R800" s="19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5.75" customHeight="1" x14ac:dyDescent="0.35">
      <c r="A801" s="4"/>
      <c r="B801" s="19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9"/>
      <c r="Q801" s="19"/>
      <c r="R801" s="19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5.75" customHeight="1" x14ac:dyDescent="0.35">
      <c r="A802" s="4"/>
      <c r="B802" s="19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9"/>
      <c r="Q802" s="19"/>
      <c r="R802" s="19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5.75" customHeight="1" x14ac:dyDescent="0.35">
      <c r="A803" s="4"/>
      <c r="B803" s="19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9"/>
      <c r="Q803" s="19"/>
      <c r="R803" s="19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5.75" customHeight="1" x14ac:dyDescent="0.35">
      <c r="A804" s="4"/>
      <c r="B804" s="19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9"/>
      <c r="Q804" s="19"/>
      <c r="R804" s="19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5.75" customHeight="1" x14ac:dyDescent="0.35">
      <c r="A805" s="4"/>
      <c r="B805" s="19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9"/>
      <c r="Q805" s="19"/>
      <c r="R805" s="19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5.75" customHeight="1" x14ac:dyDescent="0.35">
      <c r="A806" s="4"/>
      <c r="B806" s="19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9"/>
      <c r="Q806" s="19"/>
      <c r="R806" s="19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5.75" customHeight="1" x14ac:dyDescent="0.35">
      <c r="A807" s="4"/>
      <c r="B807" s="19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9"/>
      <c r="Q807" s="19"/>
      <c r="R807" s="19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5.75" customHeight="1" x14ac:dyDescent="0.35">
      <c r="A808" s="4"/>
      <c r="B808" s="19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9"/>
      <c r="Q808" s="19"/>
      <c r="R808" s="19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5.75" customHeight="1" x14ac:dyDescent="0.35">
      <c r="A809" s="4"/>
      <c r="B809" s="19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9"/>
      <c r="Q809" s="19"/>
      <c r="R809" s="19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5.75" customHeight="1" x14ac:dyDescent="0.35">
      <c r="A810" s="4"/>
      <c r="B810" s="19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9"/>
      <c r="Q810" s="19"/>
      <c r="R810" s="19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5.75" customHeight="1" x14ac:dyDescent="0.35">
      <c r="A811" s="4"/>
      <c r="B811" s="19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9"/>
      <c r="Q811" s="19"/>
      <c r="R811" s="19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5.75" customHeight="1" x14ac:dyDescent="0.35">
      <c r="A812" s="4"/>
      <c r="B812" s="19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9"/>
      <c r="Q812" s="19"/>
      <c r="R812" s="19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5.75" customHeight="1" x14ac:dyDescent="0.35">
      <c r="A813" s="4"/>
      <c r="B813" s="19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9"/>
      <c r="Q813" s="19"/>
      <c r="R813" s="19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5.75" customHeight="1" x14ac:dyDescent="0.35">
      <c r="A814" s="4"/>
      <c r="B814" s="19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9"/>
      <c r="Q814" s="19"/>
      <c r="R814" s="19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5.75" customHeight="1" x14ac:dyDescent="0.35">
      <c r="A815" s="4"/>
      <c r="B815" s="19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9"/>
      <c r="Q815" s="19"/>
      <c r="R815" s="19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5.75" customHeight="1" x14ac:dyDescent="0.35">
      <c r="A816" s="4"/>
      <c r="B816" s="19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9"/>
      <c r="Q816" s="19"/>
      <c r="R816" s="19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5.75" customHeight="1" x14ac:dyDescent="0.35">
      <c r="A817" s="4"/>
      <c r="B817" s="19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9"/>
      <c r="Q817" s="19"/>
      <c r="R817" s="19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5.75" customHeight="1" x14ac:dyDescent="0.35">
      <c r="A818" s="4"/>
      <c r="B818" s="19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9"/>
      <c r="Q818" s="19"/>
      <c r="R818" s="19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5.75" customHeight="1" x14ac:dyDescent="0.35">
      <c r="A819" s="4"/>
      <c r="B819" s="19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9"/>
      <c r="Q819" s="19"/>
      <c r="R819" s="19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5.75" customHeight="1" x14ac:dyDescent="0.35">
      <c r="A820" s="4"/>
      <c r="B820" s="19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9"/>
      <c r="Q820" s="19"/>
      <c r="R820" s="19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5.75" customHeight="1" x14ac:dyDescent="0.35">
      <c r="A821" s="4"/>
      <c r="B821" s="19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9"/>
      <c r="Q821" s="19"/>
      <c r="R821" s="19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5.75" customHeight="1" x14ac:dyDescent="0.35">
      <c r="A822" s="4"/>
      <c r="B822" s="19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9"/>
      <c r="Q822" s="19"/>
      <c r="R822" s="19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5.75" customHeight="1" x14ac:dyDescent="0.35">
      <c r="A823" s="4"/>
      <c r="B823" s="19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9"/>
      <c r="Q823" s="19"/>
      <c r="R823" s="19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5.75" customHeight="1" x14ac:dyDescent="0.35">
      <c r="A824" s="4"/>
      <c r="B824" s="19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9"/>
      <c r="Q824" s="19"/>
      <c r="R824" s="19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5.75" customHeight="1" x14ac:dyDescent="0.35">
      <c r="A825" s="4"/>
      <c r="B825" s="19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9"/>
      <c r="Q825" s="19"/>
      <c r="R825" s="19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5.75" customHeight="1" x14ac:dyDescent="0.35">
      <c r="A826" s="4"/>
      <c r="B826" s="19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9"/>
      <c r="Q826" s="19"/>
      <c r="R826" s="19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5.75" customHeight="1" x14ac:dyDescent="0.35">
      <c r="A827" s="4"/>
      <c r="B827" s="19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9"/>
      <c r="Q827" s="19"/>
      <c r="R827" s="19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5.75" customHeight="1" x14ac:dyDescent="0.35">
      <c r="A828" s="4"/>
      <c r="B828" s="19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9"/>
      <c r="Q828" s="19"/>
      <c r="R828" s="19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5.75" customHeight="1" x14ac:dyDescent="0.35">
      <c r="A829" s="4"/>
      <c r="B829" s="19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9"/>
      <c r="Q829" s="19"/>
      <c r="R829" s="19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5.75" customHeight="1" x14ac:dyDescent="0.35">
      <c r="A830" s="4"/>
      <c r="B830" s="19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9"/>
      <c r="Q830" s="19"/>
      <c r="R830" s="19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5.75" customHeight="1" x14ac:dyDescent="0.35">
      <c r="A831" s="4"/>
      <c r="B831" s="19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9"/>
      <c r="Q831" s="19"/>
      <c r="R831" s="19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5.75" customHeight="1" x14ac:dyDescent="0.35">
      <c r="A832" s="4"/>
      <c r="B832" s="19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9"/>
      <c r="Q832" s="19"/>
      <c r="R832" s="19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5.75" customHeight="1" x14ac:dyDescent="0.35">
      <c r="A833" s="4"/>
      <c r="B833" s="19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9"/>
      <c r="Q833" s="19"/>
      <c r="R833" s="19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5.75" customHeight="1" x14ac:dyDescent="0.35">
      <c r="A834" s="4"/>
      <c r="B834" s="19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9"/>
      <c r="Q834" s="19"/>
      <c r="R834" s="19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5.75" customHeight="1" x14ac:dyDescent="0.35">
      <c r="A835" s="4"/>
      <c r="B835" s="19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9"/>
      <c r="Q835" s="19"/>
      <c r="R835" s="19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5.75" customHeight="1" x14ac:dyDescent="0.35">
      <c r="A836" s="4"/>
      <c r="B836" s="19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9"/>
      <c r="Q836" s="19"/>
      <c r="R836" s="19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5.75" customHeight="1" x14ac:dyDescent="0.35">
      <c r="A837" s="4"/>
      <c r="B837" s="19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9"/>
      <c r="Q837" s="19"/>
      <c r="R837" s="19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5.75" customHeight="1" x14ac:dyDescent="0.35">
      <c r="A838" s="4"/>
      <c r="B838" s="19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9"/>
      <c r="Q838" s="19"/>
      <c r="R838" s="19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5.75" customHeight="1" x14ac:dyDescent="0.35">
      <c r="A839" s="4"/>
      <c r="B839" s="19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9"/>
      <c r="Q839" s="19"/>
      <c r="R839" s="19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5.75" customHeight="1" x14ac:dyDescent="0.35">
      <c r="A840" s="4"/>
      <c r="B840" s="19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9"/>
      <c r="Q840" s="19"/>
      <c r="R840" s="19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5.75" customHeight="1" x14ac:dyDescent="0.35">
      <c r="A841" s="4"/>
      <c r="B841" s="19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9"/>
      <c r="Q841" s="19"/>
      <c r="R841" s="19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5.75" customHeight="1" x14ac:dyDescent="0.35">
      <c r="A842" s="4"/>
      <c r="B842" s="19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9"/>
      <c r="Q842" s="19"/>
      <c r="R842" s="19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5.75" customHeight="1" x14ac:dyDescent="0.35">
      <c r="A843" s="4"/>
      <c r="B843" s="19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9"/>
      <c r="Q843" s="19"/>
      <c r="R843" s="19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5.75" customHeight="1" x14ac:dyDescent="0.35">
      <c r="A844" s="4"/>
      <c r="B844" s="19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9"/>
      <c r="Q844" s="19"/>
      <c r="R844" s="19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5.75" customHeight="1" x14ac:dyDescent="0.35">
      <c r="A845" s="4"/>
      <c r="B845" s="19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9"/>
      <c r="Q845" s="19"/>
      <c r="R845" s="19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5.75" customHeight="1" x14ac:dyDescent="0.35">
      <c r="A846" s="4"/>
      <c r="B846" s="19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9"/>
      <c r="Q846" s="19"/>
      <c r="R846" s="19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5.75" customHeight="1" x14ac:dyDescent="0.35">
      <c r="A847" s="4"/>
      <c r="B847" s="19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9"/>
      <c r="Q847" s="19"/>
      <c r="R847" s="19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5.75" customHeight="1" x14ac:dyDescent="0.35">
      <c r="A848" s="4"/>
      <c r="B848" s="19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9"/>
      <c r="Q848" s="19"/>
      <c r="R848" s="19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5.75" customHeight="1" x14ac:dyDescent="0.35">
      <c r="A849" s="4"/>
      <c r="B849" s="19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9"/>
      <c r="Q849" s="19"/>
      <c r="R849" s="19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5.75" customHeight="1" x14ac:dyDescent="0.35">
      <c r="A850" s="4"/>
      <c r="B850" s="19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9"/>
      <c r="Q850" s="19"/>
      <c r="R850" s="19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5.75" customHeight="1" x14ac:dyDescent="0.35">
      <c r="A851" s="4"/>
      <c r="B851" s="19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9"/>
      <c r="Q851" s="19"/>
      <c r="R851" s="19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5.75" customHeight="1" x14ac:dyDescent="0.35">
      <c r="A852" s="4"/>
      <c r="B852" s="19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9"/>
      <c r="Q852" s="19"/>
      <c r="R852" s="19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5.75" customHeight="1" x14ac:dyDescent="0.35">
      <c r="A853" s="4"/>
      <c r="B853" s="19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9"/>
      <c r="Q853" s="19"/>
      <c r="R853" s="19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5.75" customHeight="1" x14ac:dyDescent="0.35">
      <c r="A854" s="4"/>
      <c r="B854" s="19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9"/>
      <c r="Q854" s="19"/>
      <c r="R854" s="19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5.75" customHeight="1" x14ac:dyDescent="0.35">
      <c r="A855" s="4"/>
      <c r="B855" s="19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9"/>
      <c r="Q855" s="19"/>
      <c r="R855" s="19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5.75" customHeight="1" x14ac:dyDescent="0.35">
      <c r="A856" s="4"/>
      <c r="B856" s="19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9"/>
      <c r="Q856" s="19"/>
      <c r="R856" s="19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5.75" customHeight="1" x14ac:dyDescent="0.35">
      <c r="A857" s="4"/>
      <c r="B857" s="19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9"/>
      <c r="Q857" s="19"/>
      <c r="R857" s="19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5.75" customHeight="1" x14ac:dyDescent="0.35">
      <c r="A858" s="4"/>
      <c r="B858" s="19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9"/>
      <c r="Q858" s="19"/>
      <c r="R858" s="19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5.75" customHeight="1" x14ac:dyDescent="0.35">
      <c r="A859" s="4"/>
      <c r="B859" s="19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9"/>
      <c r="Q859" s="19"/>
      <c r="R859" s="19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5.75" customHeight="1" x14ac:dyDescent="0.35">
      <c r="A860" s="4"/>
      <c r="B860" s="19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9"/>
      <c r="Q860" s="19"/>
      <c r="R860" s="19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5.75" customHeight="1" x14ac:dyDescent="0.35">
      <c r="A861" s="4"/>
      <c r="B861" s="19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9"/>
      <c r="Q861" s="19"/>
      <c r="R861" s="19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5.75" customHeight="1" x14ac:dyDescent="0.35">
      <c r="A862" s="4"/>
      <c r="B862" s="19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9"/>
      <c r="Q862" s="19"/>
      <c r="R862" s="19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5.75" customHeight="1" x14ac:dyDescent="0.35">
      <c r="A863" s="4"/>
      <c r="B863" s="19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9"/>
      <c r="Q863" s="19"/>
      <c r="R863" s="19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5.75" customHeight="1" x14ac:dyDescent="0.35">
      <c r="A864" s="4"/>
      <c r="B864" s="19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9"/>
      <c r="Q864" s="19"/>
      <c r="R864" s="19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5.75" customHeight="1" x14ac:dyDescent="0.35">
      <c r="A865" s="4"/>
      <c r="B865" s="19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9"/>
      <c r="Q865" s="19"/>
      <c r="R865" s="19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5.75" customHeight="1" x14ac:dyDescent="0.35">
      <c r="A866" s="4"/>
      <c r="B866" s="19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9"/>
      <c r="Q866" s="19"/>
      <c r="R866" s="19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5.75" customHeight="1" x14ac:dyDescent="0.35">
      <c r="A867" s="4"/>
      <c r="B867" s="19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9"/>
      <c r="Q867" s="19"/>
      <c r="R867" s="19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5.75" customHeight="1" x14ac:dyDescent="0.35">
      <c r="A868" s="4"/>
      <c r="B868" s="19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9"/>
      <c r="Q868" s="19"/>
      <c r="R868" s="19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5.75" customHeight="1" x14ac:dyDescent="0.35">
      <c r="A869" s="4"/>
      <c r="B869" s="19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9"/>
      <c r="Q869" s="19"/>
      <c r="R869" s="19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5.75" customHeight="1" x14ac:dyDescent="0.35">
      <c r="A870" s="4"/>
      <c r="B870" s="19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9"/>
      <c r="Q870" s="19"/>
      <c r="R870" s="19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5.75" customHeight="1" x14ac:dyDescent="0.35">
      <c r="A871" s="4"/>
      <c r="B871" s="19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9"/>
      <c r="Q871" s="19"/>
      <c r="R871" s="19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5.75" customHeight="1" x14ac:dyDescent="0.35">
      <c r="A872" s="4"/>
      <c r="B872" s="19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9"/>
      <c r="Q872" s="19"/>
      <c r="R872" s="19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5.75" customHeight="1" x14ac:dyDescent="0.35">
      <c r="A873" s="4"/>
      <c r="B873" s="19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9"/>
      <c r="Q873" s="19"/>
      <c r="R873" s="19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5.75" customHeight="1" x14ac:dyDescent="0.35">
      <c r="A874" s="4"/>
      <c r="B874" s="19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9"/>
      <c r="Q874" s="19"/>
      <c r="R874" s="19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5.75" customHeight="1" x14ac:dyDescent="0.35">
      <c r="A875" s="4"/>
      <c r="B875" s="19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9"/>
      <c r="Q875" s="19"/>
      <c r="R875" s="19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5.75" customHeight="1" x14ac:dyDescent="0.35">
      <c r="A876" s="4"/>
      <c r="B876" s="19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9"/>
      <c r="Q876" s="19"/>
      <c r="R876" s="19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5.75" customHeight="1" x14ac:dyDescent="0.35">
      <c r="A877" s="4"/>
      <c r="B877" s="19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9"/>
      <c r="Q877" s="19"/>
      <c r="R877" s="19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5.75" customHeight="1" x14ac:dyDescent="0.35">
      <c r="A878" s="4"/>
      <c r="B878" s="19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9"/>
      <c r="Q878" s="19"/>
      <c r="R878" s="19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5.75" customHeight="1" x14ac:dyDescent="0.35">
      <c r="A879" s="4"/>
      <c r="B879" s="19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9"/>
      <c r="Q879" s="19"/>
      <c r="R879" s="19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5.75" customHeight="1" x14ac:dyDescent="0.35">
      <c r="A880" s="4"/>
      <c r="B880" s="19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9"/>
      <c r="Q880" s="19"/>
      <c r="R880" s="19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5.75" customHeight="1" x14ac:dyDescent="0.35">
      <c r="A881" s="4"/>
      <c r="B881" s="19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9"/>
      <c r="Q881" s="19"/>
      <c r="R881" s="19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5.75" customHeight="1" x14ac:dyDescent="0.35">
      <c r="A882" s="4"/>
      <c r="B882" s="19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9"/>
      <c r="Q882" s="19"/>
      <c r="R882" s="19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5.75" customHeight="1" x14ac:dyDescent="0.35">
      <c r="A883" s="4"/>
      <c r="B883" s="19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9"/>
      <c r="Q883" s="19"/>
      <c r="R883" s="19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5.75" customHeight="1" x14ac:dyDescent="0.35">
      <c r="A884" s="4"/>
      <c r="B884" s="19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9"/>
      <c r="Q884" s="19"/>
      <c r="R884" s="19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5.75" customHeight="1" x14ac:dyDescent="0.35">
      <c r="A885" s="4"/>
      <c r="B885" s="19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9"/>
      <c r="Q885" s="19"/>
      <c r="R885" s="19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5.75" customHeight="1" x14ac:dyDescent="0.35">
      <c r="A886" s="4"/>
      <c r="B886" s="19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9"/>
      <c r="Q886" s="19"/>
      <c r="R886" s="19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5.75" customHeight="1" x14ac:dyDescent="0.35">
      <c r="A887" s="4"/>
      <c r="B887" s="19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9"/>
      <c r="Q887" s="19"/>
      <c r="R887" s="19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5.75" customHeight="1" x14ac:dyDescent="0.35">
      <c r="A888" s="4"/>
      <c r="B888" s="19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9"/>
      <c r="Q888" s="19"/>
      <c r="R888" s="19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5.75" customHeight="1" x14ac:dyDescent="0.35">
      <c r="A889" s="4"/>
      <c r="B889" s="19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9"/>
      <c r="Q889" s="19"/>
      <c r="R889" s="19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5.75" customHeight="1" x14ac:dyDescent="0.35">
      <c r="A890" s="4"/>
      <c r="B890" s="19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9"/>
      <c r="Q890" s="19"/>
      <c r="R890" s="19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5.75" customHeight="1" x14ac:dyDescent="0.35">
      <c r="A891" s="4"/>
      <c r="B891" s="19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9"/>
      <c r="Q891" s="19"/>
      <c r="R891" s="19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5.75" customHeight="1" x14ac:dyDescent="0.35">
      <c r="A892" s="4"/>
      <c r="B892" s="19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9"/>
      <c r="Q892" s="19"/>
      <c r="R892" s="19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5.75" customHeight="1" x14ac:dyDescent="0.35">
      <c r="A893" s="4"/>
      <c r="B893" s="19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9"/>
      <c r="Q893" s="19"/>
      <c r="R893" s="19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5.75" customHeight="1" x14ac:dyDescent="0.35">
      <c r="A894" s="4"/>
      <c r="B894" s="19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9"/>
      <c r="Q894" s="19"/>
      <c r="R894" s="19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5.75" customHeight="1" x14ac:dyDescent="0.35">
      <c r="A895" s="4"/>
      <c r="B895" s="19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9"/>
      <c r="Q895" s="19"/>
      <c r="R895" s="19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5.75" customHeight="1" x14ac:dyDescent="0.35">
      <c r="A896" s="4"/>
      <c r="B896" s="19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9"/>
      <c r="Q896" s="19"/>
      <c r="R896" s="19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5.75" customHeight="1" x14ac:dyDescent="0.35">
      <c r="A897" s="4"/>
      <c r="B897" s="19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9"/>
      <c r="Q897" s="19"/>
      <c r="R897" s="19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5.75" customHeight="1" x14ac:dyDescent="0.35">
      <c r="A898" s="4"/>
      <c r="B898" s="19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9"/>
      <c r="Q898" s="19"/>
      <c r="R898" s="19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5.75" customHeight="1" x14ac:dyDescent="0.35">
      <c r="A899" s="4"/>
      <c r="B899" s="19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9"/>
      <c r="Q899" s="19"/>
      <c r="R899" s="19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5.75" customHeight="1" x14ac:dyDescent="0.35">
      <c r="A900" s="4"/>
      <c r="B900" s="19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9"/>
      <c r="Q900" s="19"/>
      <c r="R900" s="19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5.75" customHeight="1" x14ac:dyDescent="0.35">
      <c r="A901" s="4"/>
      <c r="B901" s="19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9"/>
      <c r="Q901" s="19"/>
      <c r="R901" s="19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5.75" customHeight="1" x14ac:dyDescent="0.35">
      <c r="A902" s="4"/>
      <c r="B902" s="19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9"/>
      <c r="Q902" s="19"/>
      <c r="R902" s="19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5.75" customHeight="1" x14ac:dyDescent="0.35">
      <c r="A903" s="4"/>
      <c r="B903" s="19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9"/>
      <c r="Q903" s="19"/>
      <c r="R903" s="19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5.75" customHeight="1" x14ac:dyDescent="0.35">
      <c r="A904" s="4"/>
      <c r="B904" s="19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9"/>
      <c r="Q904" s="19"/>
      <c r="R904" s="19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5.75" customHeight="1" x14ac:dyDescent="0.35">
      <c r="A905" s="4"/>
      <c r="B905" s="19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9"/>
      <c r="Q905" s="19"/>
      <c r="R905" s="19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5.75" customHeight="1" x14ac:dyDescent="0.35">
      <c r="A906" s="4"/>
      <c r="B906" s="19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9"/>
      <c r="Q906" s="19"/>
      <c r="R906" s="19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5.75" customHeight="1" x14ac:dyDescent="0.35">
      <c r="A907" s="4"/>
      <c r="B907" s="19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9"/>
      <c r="Q907" s="19"/>
      <c r="R907" s="19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5.75" customHeight="1" x14ac:dyDescent="0.35">
      <c r="A908" s="4"/>
      <c r="B908" s="19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9"/>
      <c r="Q908" s="19"/>
      <c r="R908" s="19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5.75" customHeight="1" x14ac:dyDescent="0.35">
      <c r="A909" s="4"/>
      <c r="B909" s="19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9"/>
      <c r="Q909" s="19"/>
      <c r="R909" s="19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5.75" customHeight="1" x14ac:dyDescent="0.35">
      <c r="A910" s="4"/>
      <c r="B910" s="19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9"/>
      <c r="Q910" s="19"/>
      <c r="R910" s="19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5.75" customHeight="1" x14ac:dyDescent="0.35">
      <c r="A911" s="4"/>
      <c r="B911" s="19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9"/>
      <c r="Q911" s="19"/>
      <c r="R911" s="19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5.75" customHeight="1" x14ac:dyDescent="0.35">
      <c r="A912" s="4"/>
      <c r="B912" s="19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9"/>
      <c r="Q912" s="19"/>
      <c r="R912" s="19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5.75" customHeight="1" x14ac:dyDescent="0.35">
      <c r="A913" s="4"/>
      <c r="B913" s="19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9"/>
      <c r="Q913" s="19"/>
      <c r="R913" s="19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5.75" customHeight="1" x14ac:dyDescent="0.35">
      <c r="A914" s="4"/>
      <c r="B914" s="19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9"/>
      <c r="Q914" s="19"/>
      <c r="R914" s="19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5.75" customHeight="1" x14ac:dyDescent="0.35">
      <c r="A915" s="4"/>
      <c r="B915" s="19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9"/>
      <c r="Q915" s="19"/>
      <c r="R915" s="19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5.75" customHeight="1" x14ac:dyDescent="0.35">
      <c r="A916" s="4"/>
      <c r="B916" s="19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9"/>
      <c r="Q916" s="19"/>
      <c r="R916" s="19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5.75" customHeight="1" x14ac:dyDescent="0.35">
      <c r="A917" s="4"/>
      <c r="B917" s="19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9"/>
      <c r="Q917" s="19"/>
      <c r="R917" s="19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5.75" customHeight="1" x14ac:dyDescent="0.35">
      <c r="A918" s="4"/>
      <c r="B918" s="19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9"/>
      <c r="Q918" s="19"/>
      <c r="R918" s="19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5.75" customHeight="1" x14ac:dyDescent="0.35">
      <c r="A919" s="4"/>
      <c r="B919" s="19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9"/>
      <c r="Q919" s="19"/>
      <c r="R919" s="19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5.75" customHeight="1" x14ac:dyDescent="0.35">
      <c r="A920" s="4"/>
      <c r="B920" s="19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9"/>
      <c r="Q920" s="19"/>
      <c r="R920" s="19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5.75" customHeight="1" x14ac:dyDescent="0.35">
      <c r="A921" s="4"/>
      <c r="B921" s="19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9"/>
      <c r="Q921" s="19"/>
      <c r="R921" s="19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5.75" customHeight="1" x14ac:dyDescent="0.35">
      <c r="A922" s="4"/>
      <c r="B922" s="19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9"/>
      <c r="Q922" s="19"/>
      <c r="R922" s="19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5.75" customHeight="1" x14ac:dyDescent="0.35">
      <c r="A923" s="4"/>
      <c r="B923" s="19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9"/>
      <c r="Q923" s="19"/>
      <c r="R923" s="19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5.75" customHeight="1" x14ac:dyDescent="0.35">
      <c r="A924" s="4"/>
      <c r="B924" s="19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9"/>
      <c r="Q924" s="19"/>
      <c r="R924" s="19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5.75" customHeight="1" x14ac:dyDescent="0.35">
      <c r="A925" s="4"/>
      <c r="B925" s="19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9"/>
      <c r="Q925" s="19"/>
      <c r="R925" s="19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5.75" customHeight="1" x14ac:dyDescent="0.35">
      <c r="A926" s="4"/>
      <c r="B926" s="19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9"/>
      <c r="Q926" s="19"/>
      <c r="R926" s="19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5.75" customHeight="1" x14ac:dyDescent="0.35">
      <c r="A927" s="4"/>
      <c r="B927" s="19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9"/>
      <c r="Q927" s="19"/>
      <c r="R927" s="19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5.75" customHeight="1" x14ac:dyDescent="0.35">
      <c r="A928" s="4"/>
      <c r="B928" s="19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9"/>
      <c r="Q928" s="19"/>
      <c r="R928" s="19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5.75" customHeight="1" x14ac:dyDescent="0.35">
      <c r="A929" s="4"/>
      <c r="B929" s="19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9"/>
      <c r="Q929" s="19"/>
      <c r="R929" s="19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5.75" customHeight="1" x14ac:dyDescent="0.35">
      <c r="A930" s="4"/>
      <c r="B930" s="19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9"/>
      <c r="Q930" s="19"/>
      <c r="R930" s="19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5.75" customHeight="1" x14ac:dyDescent="0.35">
      <c r="A931" s="4"/>
      <c r="B931" s="19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9"/>
      <c r="Q931" s="19"/>
      <c r="R931" s="19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5.75" customHeight="1" x14ac:dyDescent="0.35">
      <c r="A932" s="4"/>
      <c r="B932" s="19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9"/>
      <c r="Q932" s="19"/>
      <c r="R932" s="19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5.75" customHeight="1" x14ac:dyDescent="0.35">
      <c r="A933" s="4"/>
      <c r="B933" s="19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9"/>
      <c r="Q933" s="19"/>
      <c r="R933" s="19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5.75" customHeight="1" x14ac:dyDescent="0.35">
      <c r="A934" s="4"/>
      <c r="B934" s="19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9"/>
      <c r="Q934" s="19"/>
      <c r="R934" s="19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5.75" customHeight="1" x14ac:dyDescent="0.35">
      <c r="A935" s="4"/>
      <c r="B935" s="19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9"/>
      <c r="Q935" s="19"/>
      <c r="R935" s="19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5.75" customHeight="1" x14ac:dyDescent="0.35">
      <c r="A936" s="4"/>
      <c r="B936" s="19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9"/>
      <c r="Q936" s="19"/>
      <c r="R936" s="19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5.75" customHeight="1" x14ac:dyDescent="0.35">
      <c r="A937" s="4"/>
      <c r="B937" s="19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9"/>
      <c r="Q937" s="19"/>
      <c r="R937" s="19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5.75" customHeight="1" x14ac:dyDescent="0.35">
      <c r="A938" s="4"/>
      <c r="B938" s="19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9"/>
      <c r="Q938" s="19"/>
      <c r="R938" s="19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5.75" customHeight="1" x14ac:dyDescent="0.35">
      <c r="A939" s="4"/>
      <c r="B939" s="19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9"/>
      <c r="Q939" s="19"/>
      <c r="R939" s="19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5.75" customHeight="1" x14ac:dyDescent="0.35">
      <c r="A940" s="4"/>
      <c r="B940" s="19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9"/>
      <c r="Q940" s="19"/>
      <c r="R940" s="19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5.75" customHeight="1" x14ac:dyDescent="0.35">
      <c r="A941" s="4"/>
      <c r="B941" s="19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9"/>
      <c r="Q941" s="19"/>
      <c r="R941" s="19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5.75" customHeight="1" x14ac:dyDescent="0.35">
      <c r="A942" s="4"/>
      <c r="B942" s="19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9"/>
      <c r="Q942" s="19"/>
      <c r="R942" s="19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5.75" customHeight="1" x14ac:dyDescent="0.35">
      <c r="A943" s="4"/>
      <c r="B943" s="19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9"/>
      <c r="Q943" s="19"/>
      <c r="R943" s="19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5.75" customHeight="1" x14ac:dyDescent="0.35">
      <c r="A944" s="4"/>
      <c r="B944" s="19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9"/>
      <c r="Q944" s="19"/>
      <c r="R944" s="19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5.75" customHeight="1" x14ac:dyDescent="0.35">
      <c r="A945" s="4"/>
      <c r="B945" s="19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9"/>
      <c r="Q945" s="19"/>
      <c r="R945" s="19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5.75" customHeight="1" x14ac:dyDescent="0.35">
      <c r="A946" s="4"/>
      <c r="B946" s="19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9"/>
      <c r="Q946" s="19"/>
      <c r="R946" s="19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5.75" customHeight="1" x14ac:dyDescent="0.35">
      <c r="A947" s="4"/>
      <c r="B947" s="19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9"/>
      <c r="Q947" s="19"/>
      <c r="R947" s="19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5.75" customHeight="1" x14ac:dyDescent="0.35">
      <c r="A948" s="4"/>
      <c r="B948" s="19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9"/>
      <c r="Q948" s="19"/>
      <c r="R948" s="19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5.75" customHeight="1" x14ac:dyDescent="0.35">
      <c r="A949" s="4"/>
      <c r="B949" s="19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9"/>
      <c r="Q949" s="19"/>
      <c r="R949" s="19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5.75" customHeight="1" x14ac:dyDescent="0.35">
      <c r="A950" s="4"/>
      <c r="B950" s="19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9"/>
      <c r="Q950" s="19"/>
      <c r="R950" s="19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5.75" customHeight="1" x14ac:dyDescent="0.35">
      <c r="A951" s="4"/>
      <c r="B951" s="19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9"/>
      <c r="Q951" s="19"/>
      <c r="R951" s="19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5.75" customHeight="1" x14ac:dyDescent="0.35">
      <c r="A952" s="4"/>
      <c r="B952" s="19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9"/>
      <c r="Q952" s="19"/>
      <c r="R952" s="19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5.75" customHeight="1" x14ac:dyDescent="0.35">
      <c r="A953" s="4"/>
      <c r="B953" s="19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9"/>
      <c r="Q953" s="19"/>
      <c r="R953" s="19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5.75" customHeight="1" x14ac:dyDescent="0.35">
      <c r="A954" s="4"/>
      <c r="B954" s="19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9"/>
      <c r="Q954" s="19"/>
      <c r="R954" s="19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5.75" customHeight="1" x14ac:dyDescent="0.35">
      <c r="A955" s="4"/>
      <c r="B955" s="19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9"/>
      <c r="Q955" s="19"/>
      <c r="R955" s="19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5.75" customHeight="1" x14ac:dyDescent="0.35">
      <c r="A956" s="4"/>
      <c r="B956" s="19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9"/>
      <c r="Q956" s="19"/>
      <c r="R956" s="19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5.75" customHeight="1" x14ac:dyDescent="0.35">
      <c r="A957" s="4"/>
      <c r="B957" s="19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9"/>
      <c r="Q957" s="19"/>
      <c r="R957" s="19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5.75" customHeight="1" x14ac:dyDescent="0.35">
      <c r="A958" s="4"/>
      <c r="B958" s="19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9"/>
      <c r="Q958" s="19"/>
      <c r="R958" s="19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5.75" customHeight="1" x14ac:dyDescent="0.35">
      <c r="A959" s="4"/>
      <c r="B959" s="19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9"/>
      <c r="Q959" s="19"/>
      <c r="R959" s="19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5.75" customHeight="1" x14ac:dyDescent="0.35">
      <c r="A960" s="4"/>
      <c r="B960" s="19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9"/>
      <c r="Q960" s="19"/>
      <c r="R960" s="19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5.75" customHeight="1" x14ac:dyDescent="0.35">
      <c r="A961" s="4"/>
      <c r="B961" s="19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9"/>
      <c r="Q961" s="19"/>
      <c r="R961" s="19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5.75" customHeight="1" x14ac:dyDescent="0.35">
      <c r="A962" s="4"/>
      <c r="B962" s="19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9"/>
      <c r="Q962" s="19"/>
      <c r="R962" s="19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5.75" customHeight="1" x14ac:dyDescent="0.35">
      <c r="A963" s="4"/>
      <c r="B963" s="19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9"/>
      <c r="Q963" s="19"/>
      <c r="R963" s="19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5.75" customHeight="1" x14ac:dyDescent="0.35">
      <c r="A964" s="4"/>
      <c r="B964" s="19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9"/>
      <c r="Q964" s="19"/>
      <c r="R964" s="19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5.75" customHeight="1" x14ac:dyDescent="0.35">
      <c r="A965" s="4"/>
      <c r="B965" s="19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9"/>
      <c r="Q965" s="19"/>
      <c r="R965" s="19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5.75" customHeight="1" x14ac:dyDescent="0.35">
      <c r="A966" s="4"/>
      <c r="B966" s="19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9"/>
      <c r="Q966" s="19"/>
      <c r="R966" s="19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5.75" customHeight="1" x14ac:dyDescent="0.35">
      <c r="A967" s="4"/>
      <c r="B967" s="19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9"/>
      <c r="Q967" s="19"/>
      <c r="R967" s="19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5.75" customHeight="1" x14ac:dyDescent="0.35">
      <c r="A968" s="4"/>
      <c r="B968" s="19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9"/>
      <c r="Q968" s="19"/>
      <c r="R968" s="19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5.75" customHeight="1" x14ac:dyDescent="0.35">
      <c r="A969" s="4"/>
      <c r="B969" s="19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9"/>
      <c r="Q969" s="19"/>
      <c r="R969" s="19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5.75" customHeight="1" x14ac:dyDescent="0.35">
      <c r="A970" s="4"/>
      <c r="B970" s="19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9"/>
      <c r="Q970" s="19"/>
      <c r="R970" s="19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5.75" customHeight="1" x14ac:dyDescent="0.35">
      <c r="A971" s="4"/>
      <c r="B971" s="19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9"/>
      <c r="Q971" s="19"/>
      <c r="R971" s="19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5.75" customHeight="1" x14ac:dyDescent="0.35">
      <c r="A972" s="4"/>
      <c r="B972" s="19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9"/>
      <c r="Q972" s="19"/>
      <c r="R972" s="19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5.75" customHeight="1" x14ac:dyDescent="0.35">
      <c r="A973" s="4"/>
      <c r="B973" s="19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9"/>
      <c r="Q973" s="19"/>
      <c r="R973" s="19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5.75" customHeight="1" x14ac:dyDescent="0.35">
      <c r="A974" s="4"/>
      <c r="B974" s="19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9"/>
      <c r="Q974" s="19"/>
      <c r="R974" s="19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5.75" customHeight="1" x14ac:dyDescent="0.35">
      <c r="A975" s="4"/>
      <c r="B975" s="19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9"/>
      <c r="Q975" s="19"/>
      <c r="R975" s="19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5.75" customHeight="1" x14ac:dyDescent="0.35">
      <c r="A976" s="4"/>
      <c r="B976" s="19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9"/>
      <c r="Q976" s="19"/>
      <c r="R976" s="19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5.75" customHeight="1" x14ac:dyDescent="0.35">
      <c r="A977" s="4"/>
      <c r="B977" s="19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9"/>
      <c r="Q977" s="19"/>
      <c r="R977" s="19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5.75" customHeight="1" x14ac:dyDescent="0.35">
      <c r="A978" s="4"/>
      <c r="B978" s="19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9"/>
      <c r="Q978" s="19"/>
      <c r="R978" s="19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5.75" customHeight="1" x14ac:dyDescent="0.35">
      <c r="A979" s="4"/>
      <c r="B979" s="19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9"/>
      <c r="Q979" s="19"/>
      <c r="R979" s="19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5.75" customHeight="1" x14ac:dyDescent="0.35">
      <c r="A980" s="4"/>
      <c r="B980" s="19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9"/>
      <c r="Q980" s="19"/>
      <c r="R980" s="19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5.75" customHeight="1" x14ac:dyDescent="0.35">
      <c r="A981" s="4"/>
      <c r="B981" s="19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9"/>
      <c r="Q981" s="19"/>
      <c r="R981" s="19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5.75" customHeight="1" x14ac:dyDescent="0.35">
      <c r="A982" s="4"/>
      <c r="B982" s="19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9"/>
      <c r="Q982" s="19"/>
      <c r="R982" s="19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5.75" customHeight="1" x14ac:dyDescent="0.35">
      <c r="A983" s="4"/>
      <c r="B983" s="19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9"/>
      <c r="Q983" s="19"/>
      <c r="R983" s="19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5.75" customHeight="1" x14ac:dyDescent="0.35">
      <c r="A984" s="4"/>
      <c r="B984" s="19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9"/>
      <c r="Q984" s="19"/>
      <c r="R984" s="19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5.75" customHeight="1" x14ac:dyDescent="0.35">
      <c r="A985" s="4"/>
      <c r="B985" s="19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9"/>
      <c r="Q985" s="19"/>
      <c r="R985" s="19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5.75" customHeight="1" x14ac:dyDescent="0.35">
      <c r="A986" s="4"/>
      <c r="B986" s="19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9"/>
      <c r="Q986" s="19"/>
      <c r="R986" s="19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5.75" customHeight="1" x14ac:dyDescent="0.35">
      <c r="A987" s="4"/>
      <c r="B987" s="19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9"/>
      <c r="Q987" s="19"/>
      <c r="R987" s="19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5.75" customHeight="1" x14ac:dyDescent="0.35">
      <c r="A988" s="4"/>
      <c r="B988" s="19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9"/>
      <c r="Q988" s="19"/>
      <c r="R988" s="19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5.75" customHeight="1" x14ac:dyDescent="0.35">
      <c r="A989" s="4"/>
      <c r="B989" s="19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9"/>
      <c r="Q989" s="19"/>
      <c r="R989" s="19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5.75" customHeight="1" x14ac:dyDescent="0.35">
      <c r="A990" s="4"/>
      <c r="B990" s="19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9"/>
      <c r="Q990" s="19"/>
      <c r="R990" s="19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5.75" customHeight="1" x14ac:dyDescent="0.35">
      <c r="A991" s="4"/>
      <c r="B991" s="19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9"/>
      <c r="Q991" s="19"/>
      <c r="R991" s="19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5.75" customHeight="1" x14ac:dyDescent="0.35">
      <c r="A992" s="4"/>
      <c r="B992" s="19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9"/>
      <c r="Q992" s="19"/>
      <c r="R992" s="19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5.75" customHeight="1" x14ac:dyDescent="0.35">
      <c r="A993" s="4"/>
      <c r="B993" s="19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9"/>
      <c r="Q993" s="19"/>
      <c r="R993" s="19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5.75" customHeight="1" x14ac:dyDescent="0.35">
      <c r="A994" s="4"/>
      <c r="B994" s="19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9"/>
      <c r="Q994" s="19"/>
      <c r="R994" s="19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5.75" customHeight="1" x14ac:dyDescent="0.35">
      <c r="A995" s="4"/>
      <c r="B995" s="19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9"/>
      <c r="Q995" s="19"/>
      <c r="R995" s="19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5.75" customHeight="1" x14ac:dyDescent="0.35">
      <c r="A996" s="4"/>
      <c r="B996" s="19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9"/>
      <c r="Q996" s="19"/>
      <c r="R996" s="19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5.75" customHeight="1" x14ac:dyDescent="0.35">
      <c r="A997" s="4"/>
      <c r="B997" s="19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9"/>
      <c r="Q997" s="19"/>
      <c r="R997" s="19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5.75" customHeight="1" x14ac:dyDescent="0.35">
      <c r="A998" s="4"/>
      <c r="B998" s="19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9"/>
      <c r="Q998" s="19"/>
      <c r="R998" s="19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ht="15.75" customHeight="1" x14ac:dyDescent="0.35">
      <c r="A999" s="4"/>
      <c r="B999" s="19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9"/>
      <c r="Q999" s="19"/>
      <c r="R999" s="19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ht="15.75" customHeight="1" x14ac:dyDescent="0.35">
      <c r="A1000" s="4"/>
      <c r="B1000" s="19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9"/>
      <c r="Q1000" s="19"/>
      <c r="R1000" s="19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autoFilter ref="A1:R181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.7265625" customWidth="1"/>
    <col min="2" max="2" width="18.81640625" customWidth="1"/>
    <col min="3" max="3" width="9.08984375" customWidth="1"/>
    <col min="4" max="4" width="11.81640625" customWidth="1"/>
    <col min="5" max="5" width="11.54296875" customWidth="1"/>
    <col min="6" max="6" width="10.81640625" customWidth="1"/>
    <col min="7" max="8" width="9.08984375" customWidth="1"/>
    <col min="9" max="9" width="11.81640625" customWidth="1"/>
    <col min="10" max="10" width="12" customWidth="1"/>
    <col min="11" max="11" width="11.81640625" customWidth="1"/>
    <col min="12" max="12" width="11.453125" customWidth="1"/>
    <col min="13" max="15" width="9.08984375" customWidth="1"/>
    <col min="16" max="18" width="19.08984375" customWidth="1"/>
    <col min="19" max="27" width="8.7265625" customWidth="1"/>
  </cols>
  <sheetData>
    <row r="1" spans="1:2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8"/>
      <c r="P1" s="3" t="s">
        <v>15</v>
      </c>
      <c r="Q1" s="1" t="s">
        <v>16</v>
      </c>
      <c r="R1" s="1" t="s">
        <v>17</v>
      </c>
      <c r="S1" s="18"/>
      <c r="T1" s="18"/>
      <c r="U1" s="18"/>
      <c r="V1" s="18"/>
      <c r="W1" s="18"/>
      <c r="X1" s="18"/>
      <c r="Y1" s="18"/>
      <c r="Z1" s="18"/>
      <c r="AA1" s="18"/>
    </row>
    <row r="2" spans="1:27" ht="14.5" x14ac:dyDescent="0.35">
      <c r="A2" s="4" t="s">
        <v>18</v>
      </c>
      <c r="B2" s="19" t="s">
        <v>19</v>
      </c>
      <c r="C2" s="19" t="s">
        <v>20</v>
      </c>
      <c r="D2" s="19">
        <v>10</v>
      </c>
      <c r="E2" s="19">
        <v>2410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f t="shared" ref="K2:K158" si="0">(E2+F2+G2)-(I2+J2)</f>
        <v>2410</v>
      </c>
      <c r="L2" s="20">
        <v>0</v>
      </c>
      <c r="M2" s="19">
        <v>26</v>
      </c>
      <c r="N2" s="20">
        <v>0</v>
      </c>
      <c r="O2" s="18"/>
      <c r="P2" s="6">
        <v>2129</v>
      </c>
      <c r="Q2" s="7">
        <f t="shared" ref="Q2:Q158" si="1">P2*(I2+J2)</f>
        <v>0</v>
      </c>
      <c r="R2" s="7">
        <f t="shared" ref="R2:R158" si="2">P2*L2</f>
        <v>0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 ht="14.5" x14ac:dyDescent="0.35">
      <c r="A3" s="4" t="s">
        <v>21</v>
      </c>
      <c r="B3" s="19" t="s">
        <v>22</v>
      </c>
      <c r="C3" s="19" t="s">
        <v>20</v>
      </c>
      <c r="D3" s="19">
        <v>10</v>
      </c>
      <c r="E3" s="19">
        <v>45158</v>
      </c>
      <c r="F3" s="19">
        <v>513825</v>
      </c>
      <c r="G3" s="19">
        <v>0</v>
      </c>
      <c r="H3" s="19">
        <v>0</v>
      </c>
      <c r="I3" s="19">
        <v>493875</v>
      </c>
      <c r="J3" s="19">
        <v>242</v>
      </c>
      <c r="K3" s="19">
        <f t="shared" si="0"/>
        <v>64866</v>
      </c>
      <c r="L3" s="20">
        <v>40209.739130434806</v>
      </c>
      <c r="M3" s="19">
        <v>26</v>
      </c>
      <c r="N3" s="20">
        <f t="shared" ref="N3:N23" si="3">(L3/(I3+J3))*M3</f>
        <v>2.1158009487455502</v>
      </c>
      <c r="O3" s="18"/>
      <c r="P3" s="6">
        <v>2129</v>
      </c>
      <c r="Q3" s="7">
        <f t="shared" si="1"/>
        <v>1051975093</v>
      </c>
      <c r="R3" s="7">
        <f t="shared" si="2"/>
        <v>85606534.608695701</v>
      </c>
      <c r="S3" s="18"/>
      <c r="T3" s="18"/>
      <c r="U3" s="18"/>
      <c r="V3" s="18"/>
      <c r="W3" s="18"/>
      <c r="X3" s="18"/>
      <c r="Y3" s="18"/>
      <c r="Z3" s="18"/>
      <c r="AA3" s="18"/>
    </row>
    <row r="4" spans="1:27" ht="14.5" x14ac:dyDescent="0.35">
      <c r="A4" s="4" t="s">
        <v>23</v>
      </c>
      <c r="B4" s="19" t="s">
        <v>19</v>
      </c>
      <c r="C4" s="19" t="s">
        <v>20</v>
      </c>
      <c r="D4" s="19">
        <v>10</v>
      </c>
      <c r="E4" s="19">
        <v>6025</v>
      </c>
      <c r="F4" s="19">
        <v>12802</v>
      </c>
      <c r="G4" s="19">
        <v>0</v>
      </c>
      <c r="H4" s="19">
        <v>0</v>
      </c>
      <c r="I4" s="19">
        <v>15187</v>
      </c>
      <c r="J4" s="19">
        <v>0</v>
      </c>
      <c r="K4" s="19">
        <f t="shared" si="0"/>
        <v>3640</v>
      </c>
      <c r="L4" s="20">
        <v>4848.0833333333303</v>
      </c>
      <c r="M4" s="19">
        <v>26</v>
      </c>
      <c r="N4" s="20">
        <f t="shared" si="3"/>
        <v>8.2998726981409483</v>
      </c>
      <c r="O4" s="18"/>
      <c r="P4" s="6">
        <v>2129</v>
      </c>
      <c r="Q4" s="7">
        <f t="shared" si="1"/>
        <v>32333123</v>
      </c>
      <c r="R4" s="7">
        <f t="shared" si="2"/>
        <v>10321569.41666666</v>
      </c>
      <c r="S4" s="18"/>
      <c r="T4" s="18"/>
      <c r="U4" s="18"/>
      <c r="V4" s="18"/>
      <c r="W4" s="18"/>
      <c r="X4" s="18"/>
      <c r="Y4" s="18"/>
      <c r="Z4" s="18"/>
      <c r="AA4" s="18"/>
    </row>
    <row r="5" spans="1:27" ht="14.5" x14ac:dyDescent="0.35">
      <c r="A5" s="4" t="s">
        <v>24</v>
      </c>
      <c r="B5" s="19" t="s">
        <v>19</v>
      </c>
      <c r="C5" s="19" t="s">
        <v>20</v>
      </c>
      <c r="D5" s="19">
        <v>10</v>
      </c>
      <c r="E5" s="19">
        <v>1525</v>
      </c>
      <c r="F5" s="19">
        <v>0</v>
      </c>
      <c r="G5" s="19">
        <v>0</v>
      </c>
      <c r="H5" s="19">
        <v>0</v>
      </c>
      <c r="I5" s="19">
        <v>1050</v>
      </c>
      <c r="J5" s="19">
        <v>0</v>
      </c>
      <c r="K5" s="19">
        <f t="shared" si="0"/>
        <v>475</v>
      </c>
      <c r="L5" s="20">
        <v>893.75</v>
      </c>
      <c r="M5" s="19">
        <v>26</v>
      </c>
      <c r="N5" s="20">
        <f t="shared" si="3"/>
        <v>22.13095238095238</v>
      </c>
      <c r="O5" s="18"/>
      <c r="P5" s="6">
        <v>2131</v>
      </c>
      <c r="Q5" s="7">
        <f t="shared" si="1"/>
        <v>2237550</v>
      </c>
      <c r="R5" s="7">
        <f t="shared" si="2"/>
        <v>1904581.25</v>
      </c>
      <c r="S5" s="18"/>
      <c r="T5" s="18"/>
      <c r="U5" s="18"/>
      <c r="V5" s="18"/>
      <c r="W5" s="18"/>
      <c r="X5" s="18"/>
      <c r="Y5" s="18"/>
      <c r="Z5" s="18"/>
      <c r="AA5" s="18"/>
    </row>
    <row r="6" spans="1:27" ht="14.5" x14ac:dyDescent="0.35">
      <c r="A6" s="4" t="s">
        <v>25</v>
      </c>
      <c r="B6" s="19" t="s">
        <v>19</v>
      </c>
      <c r="C6" s="19" t="s">
        <v>20</v>
      </c>
      <c r="D6" s="19">
        <v>10</v>
      </c>
      <c r="E6" s="19">
        <v>8075</v>
      </c>
      <c r="F6" s="19">
        <v>17397</v>
      </c>
      <c r="G6" s="19">
        <v>0</v>
      </c>
      <c r="H6" s="19">
        <v>0</v>
      </c>
      <c r="I6" s="19">
        <v>9072</v>
      </c>
      <c r="J6" s="19">
        <v>0</v>
      </c>
      <c r="K6" s="19">
        <f t="shared" si="0"/>
        <v>16400</v>
      </c>
      <c r="L6" s="20">
        <v>19699.7</v>
      </c>
      <c r="M6" s="19">
        <v>26</v>
      </c>
      <c r="N6" s="20">
        <f t="shared" si="3"/>
        <v>56.458575837742508</v>
      </c>
      <c r="O6" s="18"/>
      <c r="P6" s="6">
        <v>2131</v>
      </c>
      <c r="Q6" s="7">
        <f t="shared" si="1"/>
        <v>19332432</v>
      </c>
      <c r="R6" s="7">
        <f t="shared" si="2"/>
        <v>41980060.700000003</v>
      </c>
      <c r="S6" s="18"/>
      <c r="T6" s="18"/>
      <c r="U6" s="18"/>
      <c r="V6" s="18"/>
      <c r="W6" s="18"/>
      <c r="X6" s="18"/>
      <c r="Y6" s="18"/>
      <c r="Z6" s="18"/>
      <c r="AA6" s="18"/>
    </row>
    <row r="7" spans="1:27" ht="14.5" x14ac:dyDescent="0.35">
      <c r="A7" s="4" t="s">
        <v>26</v>
      </c>
      <c r="B7" s="19" t="s">
        <v>22</v>
      </c>
      <c r="C7" s="19" t="s">
        <v>20</v>
      </c>
      <c r="D7" s="19">
        <v>10</v>
      </c>
      <c r="E7" s="19">
        <v>76610</v>
      </c>
      <c r="F7" s="19">
        <v>675549</v>
      </c>
      <c r="G7" s="19">
        <v>0</v>
      </c>
      <c r="H7" s="19">
        <v>0</v>
      </c>
      <c r="I7" s="19">
        <v>713479</v>
      </c>
      <c r="J7" s="19">
        <v>13076</v>
      </c>
      <c r="K7" s="19">
        <f t="shared" si="0"/>
        <v>25604</v>
      </c>
      <c r="L7" s="20">
        <v>71251.56</v>
      </c>
      <c r="M7" s="19">
        <v>26</v>
      </c>
      <c r="N7" s="20">
        <f t="shared" si="3"/>
        <v>2.5497595639696926</v>
      </c>
      <c r="O7" s="18"/>
      <c r="P7" s="6">
        <v>1910</v>
      </c>
      <c r="Q7" s="7">
        <f t="shared" si="1"/>
        <v>1387720050</v>
      </c>
      <c r="R7" s="7">
        <f t="shared" si="2"/>
        <v>136090479.59999999</v>
      </c>
      <c r="S7" s="18"/>
      <c r="T7" s="18"/>
      <c r="U7" s="18"/>
      <c r="V7" s="18"/>
      <c r="W7" s="18"/>
      <c r="X7" s="18"/>
      <c r="Y7" s="18"/>
      <c r="Z7" s="18"/>
      <c r="AA7" s="18"/>
    </row>
    <row r="8" spans="1:27" ht="14.5" x14ac:dyDescent="0.35">
      <c r="A8" s="4" t="s">
        <v>170</v>
      </c>
      <c r="B8" s="19" t="s">
        <v>22</v>
      </c>
      <c r="C8" s="19" t="s">
        <v>20</v>
      </c>
      <c r="D8" s="19">
        <v>10</v>
      </c>
      <c r="E8" s="19">
        <v>26250</v>
      </c>
      <c r="F8" s="19">
        <v>141100</v>
      </c>
      <c r="G8" s="19">
        <v>0</v>
      </c>
      <c r="H8" s="19">
        <v>0</v>
      </c>
      <c r="I8" s="19">
        <v>153400</v>
      </c>
      <c r="J8" s="19">
        <v>0</v>
      </c>
      <c r="K8" s="19">
        <f t="shared" si="0"/>
        <v>13950</v>
      </c>
      <c r="L8" s="20">
        <v>27856.578947368398</v>
      </c>
      <c r="M8" s="19">
        <v>26</v>
      </c>
      <c r="N8" s="20">
        <f t="shared" si="3"/>
        <v>4.7214540588759997</v>
      </c>
      <c r="O8" s="18"/>
      <c r="P8" s="6">
        <v>1910</v>
      </c>
      <c r="Q8" s="7">
        <f t="shared" si="1"/>
        <v>292994000</v>
      </c>
      <c r="R8" s="7">
        <f t="shared" si="2"/>
        <v>53206065.789473638</v>
      </c>
      <c r="S8" s="18"/>
      <c r="T8" s="18"/>
      <c r="U8" s="18"/>
      <c r="V8" s="18"/>
      <c r="W8" s="18"/>
      <c r="X8" s="18"/>
      <c r="Y8" s="18"/>
      <c r="Z8" s="18"/>
      <c r="AA8" s="18"/>
    </row>
    <row r="9" spans="1:27" ht="14.5" x14ac:dyDescent="0.35">
      <c r="A9" s="4" t="s">
        <v>27</v>
      </c>
      <c r="B9" s="19" t="s">
        <v>22</v>
      </c>
      <c r="C9" s="19" t="s">
        <v>20</v>
      </c>
      <c r="D9" s="19">
        <v>10</v>
      </c>
      <c r="E9" s="19">
        <v>14390</v>
      </c>
      <c r="F9" s="19">
        <v>21500</v>
      </c>
      <c r="G9" s="19">
        <v>0</v>
      </c>
      <c r="H9" s="19">
        <v>0</v>
      </c>
      <c r="I9" s="19">
        <v>33975</v>
      </c>
      <c r="J9" s="19">
        <v>0</v>
      </c>
      <c r="K9" s="19">
        <f t="shared" si="0"/>
        <v>1915</v>
      </c>
      <c r="L9" s="20">
        <v>18340</v>
      </c>
      <c r="M9" s="19">
        <v>26</v>
      </c>
      <c r="N9" s="20">
        <f t="shared" si="3"/>
        <v>14.035025754231052</v>
      </c>
      <c r="O9" s="18"/>
      <c r="P9" s="6">
        <v>2217</v>
      </c>
      <c r="Q9" s="7">
        <f t="shared" si="1"/>
        <v>75322575</v>
      </c>
      <c r="R9" s="7">
        <f t="shared" si="2"/>
        <v>40659780</v>
      </c>
      <c r="S9" s="18"/>
      <c r="T9" s="18"/>
      <c r="U9" s="18"/>
      <c r="V9" s="18"/>
      <c r="W9" s="18"/>
      <c r="X9" s="18"/>
      <c r="Y9" s="18"/>
      <c r="Z9" s="18"/>
      <c r="AA9" s="18"/>
    </row>
    <row r="10" spans="1:27" ht="14.5" x14ac:dyDescent="0.35">
      <c r="A10" s="4" t="s">
        <v>28</v>
      </c>
      <c r="B10" s="19" t="s">
        <v>19</v>
      </c>
      <c r="C10" s="19" t="s">
        <v>20</v>
      </c>
      <c r="D10" s="19">
        <v>10</v>
      </c>
      <c r="E10" s="19">
        <v>10735</v>
      </c>
      <c r="F10" s="19">
        <v>16290</v>
      </c>
      <c r="G10" s="19">
        <v>0</v>
      </c>
      <c r="H10" s="19">
        <v>0</v>
      </c>
      <c r="I10" s="19">
        <v>22754</v>
      </c>
      <c r="J10" s="19">
        <v>0</v>
      </c>
      <c r="K10" s="19">
        <f t="shared" si="0"/>
        <v>4271</v>
      </c>
      <c r="L10" s="20">
        <v>7270.2</v>
      </c>
      <c r="M10" s="19">
        <v>26</v>
      </c>
      <c r="N10" s="20">
        <f t="shared" si="3"/>
        <v>8.3073393689021717</v>
      </c>
      <c r="O10" s="18"/>
      <c r="P10" s="6">
        <v>2131</v>
      </c>
      <c r="Q10" s="7">
        <f t="shared" si="1"/>
        <v>48488774</v>
      </c>
      <c r="R10" s="7">
        <f t="shared" si="2"/>
        <v>15492796.199999999</v>
      </c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4.5" x14ac:dyDescent="0.35">
      <c r="A11" s="4" t="s">
        <v>29</v>
      </c>
      <c r="B11" s="19" t="s">
        <v>19</v>
      </c>
      <c r="C11" s="19" t="s">
        <v>20</v>
      </c>
      <c r="D11" s="19">
        <v>10</v>
      </c>
      <c r="E11" s="19">
        <v>4487</v>
      </c>
      <c r="F11" s="19">
        <v>0</v>
      </c>
      <c r="G11" s="19">
        <v>0</v>
      </c>
      <c r="H11" s="19">
        <v>0</v>
      </c>
      <c r="I11" s="19">
        <v>1075</v>
      </c>
      <c r="J11" s="19">
        <v>0</v>
      </c>
      <c r="K11" s="19">
        <f t="shared" si="0"/>
        <v>3412</v>
      </c>
      <c r="L11" s="20">
        <v>3512</v>
      </c>
      <c r="M11" s="19">
        <v>26</v>
      </c>
      <c r="N11" s="20">
        <f t="shared" si="3"/>
        <v>84.941395348837219</v>
      </c>
      <c r="O11" s="18"/>
      <c r="P11" s="6">
        <v>2131</v>
      </c>
      <c r="Q11" s="7">
        <f t="shared" si="1"/>
        <v>2290825</v>
      </c>
      <c r="R11" s="7">
        <f t="shared" si="2"/>
        <v>7484072</v>
      </c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4.5" x14ac:dyDescent="0.35">
      <c r="A12" s="4" t="s">
        <v>30</v>
      </c>
      <c r="B12" s="19" t="s">
        <v>22</v>
      </c>
      <c r="C12" s="19" t="s">
        <v>20</v>
      </c>
      <c r="D12" s="19">
        <v>10</v>
      </c>
      <c r="E12" s="19">
        <v>33125</v>
      </c>
      <c r="F12" s="19">
        <v>18000</v>
      </c>
      <c r="G12" s="19">
        <v>0</v>
      </c>
      <c r="H12" s="19">
        <v>0</v>
      </c>
      <c r="I12" s="19">
        <v>37700</v>
      </c>
      <c r="J12" s="19">
        <v>0</v>
      </c>
      <c r="K12" s="19">
        <f t="shared" si="0"/>
        <v>13425</v>
      </c>
      <c r="L12" s="20">
        <v>16675</v>
      </c>
      <c r="M12" s="19">
        <v>26</v>
      </c>
      <c r="N12" s="20">
        <f t="shared" si="3"/>
        <v>11.5</v>
      </c>
      <c r="O12" s="18"/>
      <c r="P12" s="6">
        <v>1691</v>
      </c>
      <c r="Q12" s="7">
        <f t="shared" si="1"/>
        <v>63750700</v>
      </c>
      <c r="R12" s="7">
        <f t="shared" si="2"/>
        <v>28197425</v>
      </c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4.5" x14ac:dyDescent="0.35">
      <c r="A13" s="4" t="s">
        <v>31</v>
      </c>
      <c r="B13" s="19" t="s">
        <v>19</v>
      </c>
      <c r="C13" s="19" t="s">
        <v>20</v>
      </c>
      <c r="D13" s="19">
        <v>10</v>
      </c>
      <c r="E13" s="19">
        <v>23780</v>
      </c>
      <c r="F13" s="19">
        <v>442500</v>
      </c>
      <c r="G13" s="19">
        <v>0</v>
      </c>
      <c r="H13" s="19">
        <v>0</v>
      </c>
      <c r="I13" s="19">
        <v>402500</v>
      </c>
      <c r="J13" s="19">
        <v>0</v>
      </c>
      <c r="K13" s="19">
        <f t="shared" si="0"/>
        <v>63780</v>
      </c>
      <c r="L13" s="20">
        <v>46722</v>
      </c>
      <c r="M13" s="19">
        <v>26</v>
      </c>
      <c r="N13" s="20">
        <f t="shared" si="3"/>
        <v>3.0180670807453418</v>
      </c>
      <c r="O13" s="18"/>
      <c r="P13" s="6">
        <v>1694</v>
      </c>
      <c r="Q13" s="7">
        <f t="shared" si="1"/>
        <v>681835000</v>
      </c>
      <c r="R13" s="7">
        <f t="shared" si="2"/>
        <v>79147068</v>
      </c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4.5" x14ac:dyDescent="0.35">
      <c r="A14" s="4" t="s">
        <v>32</v>
      </c>
      <c r="B14" s="19" t="s">
        <v>19</v>
      </c>
      <c r="C14" s="19" t="s">
        <v>20</v>
      </c>
      <c r="D14" s="19">
        <v>10</v>
      </c>
      <c r="E14" s="19">
        <v>6120</v>
      </c>
      <c r="F14" s="19">
        <v>10137</v>
      </c>
      <c r="G14" s="19">
        <v>0</v>
      </c>
      <c r="H14" s="19">
        <v>0</v>
      </c>
      <c r="I14" s="19">
        <v>14757</v>
      </c>
      <c r="J14" s="19">
        <v>0</v>
      </c>
      <c r="K14" s="19">
        <f t="shared" si="0"/>
        <v>1500</v>
      </c>
      <c r="L14" s="20">
        <v>4299.3333333333303</v>
      </c>
      <c r="M14" s="19">
        <v>26</v>
      </c>
      <c r="N14" s="20">
        <f t="shared" si="3"/>
        <v>7.5748910121750077</v>
      </c>
      <c r="O14" s="18"/>
      <c r="P14" s="6">
        <v>1694</v>
      </c>
      <c r="Q14" s="7">
        <f t="shared" si="1"/>
        <v>24998358</v>
      </c>
      <c r="R14" s="7">
        <f t="shared" si="2"/>
        <v>7283070.6666666614</v>
      </c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5" x14ac:dyDescent="0.35">
      <c r="A15" s="4" t="s">
        <v>33</v>
      </c>
      <c r="B15" s="19" t="s">
        <v>22</v>
      </c>
      <c r="C15" s="19" t="s">
        <v>20</v>
      </c>
      <c r="D15" s="19">
        <v>10</v>
      </c>
      <c r="E15" s="19">
        <v>14097</v>
      </c>
      <c r="F15" s="19">
        <v>74000</v>
      </c>
      <c r="G15" s="19">
        <v>0</v>
      </c>
      <c r="H15" s="19">
        <v>0</v>
      </c>
      <c r="I15" s="19">
        <v>80550</v>
      </c>
      <c r="J15" s="19">
        <v>0</v>
      </c>
      <c r="K15" s="19">
        <f t="shared" si="0"/>
        <v>7547</v>
      </c>
      <c r="L15" s="20">
        <v>26023.086956521704</v>
      </c>
      <c r="M15" s="19">
        <v>26</v>
      </c>
      <c r="N15" s="20">
        <f t="shared" si="3"/>
        <v>8.3997549456184277</v>
      </c>
      <c r="O15" s="18"/>
      <c r="P15" s="6">
        <v>1890</v>
      </c>
      <c r="Q15" s="7">
        <f t="shared" si="1"/>
        <v>152239500</v>
      </c>
      <c r="R15" s="7">
        <f t="shared" si="2"/>
        <v>49183634.347826019</v>
      </c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5" x14ac:dyDescent="0.35">
      <c r="A16" s="4" t="s">
        <v>34</v>
      </c>
      <c r="B16" s="19" t="s">
        <v>22</v>
      </c>
      <c r="C16" s="19" t="s">
        <v>20</v>
      </c>
      <c r="D16" s="19">
        <v>10</v>
      </c>
      <c r="E16" s="19">
        <v>24950</v>
      </c>
      <c r="F16" s="19">
        <v>409500</v>
      </c>
      <c r="G16" s="19">
        <v>0</v>
      </c>
      <c r="H16" s="19">
        <v>0</v>
      </c>
      <c r="I16" s="19">
        <v>413850</v>
      </c>
      <c r="J16" s="19">
        <v>35</v>
      </c>
      <c r="K16" s="19">
        <f t="shared" si="0"/>
        <v>20565</v>
      </c>
      <c r="L16" s="20">
        <v>41000.208333333307</v>
      </c>
      <c r="M16" s="19">
        <v>26</v>
      </c>
      <c r="N16" s="20">
        <f t="shared" si="3"/>
        <v>2.5756077573883229</v>
      </c>
      <c r="O16" s="18"/>
      <c r="P16" s="6">
        <v>2216</v>
      </c>
      <c r="Q16" s="7">
        <f t="shared" si="1"/>
        <v>917169160</v>
      </c>
      <c r="R16" s="7">
        <f t="shared" si="2"/>
        <v>90856461.666666612</v>
      </c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5" x14ac:dyDescent="0.35">
      <c r="A17" s="4" t="s">
        <v>35</v>
      </c>
      <c r="B17" s="19" t="s">
        <v>19</v>
      </c>
      <c r="C17" s="19" t="s">
        <v>20</v>
      </c>
      <c r="D17" s="19">
        <v>10</v>
      </c>
      <c r="E17" s="19">
        <v>50855</v>
      </c>
      <c r="F17" s="19">
        <v>161900</v>
      </c>
      <c r="G17" s="19">
        <v>0</v>
      </c>
      <c r="H17" s="19">
        <v>0</v>
      </c>
      <c r="I17" s="19">
        <v>0</v>
      </c>
      <c r="J17" s="19">
        <v>184000</v>
      </c>
      <c r="K17" s="19">
        <f t="shared" si="0"/>
        <v>28755</v>
      </c>
      <c r="L17" s="20">
        <v>47161</v>
      </c>
      <c r="M17" s="19">
        <v>26</v>
      </c>
      <c r="N17" s="20">
        <f t="shared" si="3"/>
        <v>6.6640543478260863</v>
      </c>
      <c r="O17" s="18"/>
      <c r="P17" s="6">
        <v>2846</v>
      </c>
      <c r="Q17" s="7">
        <f t="shared" si="1"/>
        <v>523664000</v>
      </c>
      <c r="R17" s="7">
        <f t="shared" si="2"/>
        <v>134220206</v>
      </c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5" x14ac:dyDescent="0.35">
      <c r="A18" s="4" t="s">
        <v>36</v>
      </c>
      <c r="B18" s="19" t="s">
        <v>22</v>
      </c>
      <c r="C18" s="19" t="s">
        <v>20</v>
      </c>
      <c r="D18" s="19">
        <v>10</v>
      </c>
      <c r="E18" s="19">
        <v>35358</v>
      </c>
      <c r="F18" s="19">
        <v>211250</v>
      </c>
      <c r="G18" s="19">
        <v>0</v>
      </c>
      <c r="H18" s="19">
        <v>0</v>
      </c>
      <c r="I18" s="19">
        <v>241250</v>
      </c>
      <c r="J18" s="19">
        <v>0</v>
      </c>
      <c r="K18" s="19">
        <f t="shared" si="0"/>
        <v>5358</v>
      </c>
      <c r="L18" s="20">
        <v>20358</v>
      </c>
      <c r="M18" s="19">
        <v>26</v>
      </c>
      <c r="N18" s="20">
        <f t="shared" si="3"/>
        <v>2.1940227979274614</v>
      </c>
      <c r="O18" s="18"/>
      <c r="P18" s="6">
        <v>2129</v>
      </c>
      <c r="Q18" s="7">
        <f t="shared" si="1"/>
        <v>513621250</v>
      </c>
      <c r="R18" s="7">
        <f t="shared" si="2"/>
        <v>43342182</v>
      </c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5" x14ac:dyDescent="0.35">
      <c r="A19" s="4" t="s">
        <v>37</v>
      </c>
      <c r="B19" s="19" t="s">
        <v>19</v>
      </c>
      <c r="C19" s="19" t="s">
        <v>20</v>
      </c>
      <c r="D19" s="19">
        <v>10</v>
      </c>
      <c r="E19" s="19">
        <v>25</v>
      </c>
      <c r="F19" s="19">
        <v>2100</v>
      </c>
      <c r="G19" s="19">
        <v>0</v>
      </c>
      <c r="H19" s="19">
        <v>0</v>
      </c>
      <c r="I19" s="19">
        <v>1550</v>
      </c>
      <c r="J19" s="19">
        <v>0</v>
      </c>
      <c r="K19" s="19">
        <f t="shared" si="0"/>
        <v>575</v>
      </c>
      <c r="L19" s="20">
        <v>687.5</v>
      </c>
      <c r="M19" s="19">
        <v>26</v>
      </c>
      <c r="N19" s="20">
        <f t="shared" si="3"/>
        <v>11.532258064516128</v>
      </c>
      <c r="O19" s="18"/>
      <c r="P19" s="6">
        <v>2129</v>
      </c>
      <c r="Q19" s="7">
        <f t="shared" si="1"/>
        <v>3299950</v>
      </c>
      <c r="R19" s="7">
        <f t="shared" si="2"/>
        <v>1463687.5</v>
      </c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5" x14ac:dyDescent="0.35">
      <c r="A20" s="4" t="s">
        <v>38</v>
      </c>
      <c r="B20" s="19" t="s">
        <v>22</v>
      </c>
      <c r="C20" s="19" t="s">
        <v>20</v>
      </c>
      <c r="D20" s="19">
        <v>10</v>
      </c>
      <c r="E20" s="19">
        <v>30507</v>
      </c>
      <c r="F20" s="19">
        <v>64550</v>
      </c>
      <c r="G20" s="19">
        <v>0</v>
      </c>
      <c r="H20" s="19">
        <v>0</v>
      </c>
      <c r="I20" s="19">
        <v>0</v>
      </c>
      <c r="J20" s="19">
        <v>70480</v>
      </c>
      <c r="K20" s="19">
        <f t="shared" si="0"/>
        <v>24577</v>
      </c>
      <c r="L20" s="20">
        <v>18044.619047619002</v>
      </c>
      <c r="M20" s="19">
        <v>26</v>
      </c>
      <c r="N20" s="20">
        <f t="shared" si="3"/>
        <v>6.6566415328900979</v>
      </c>
      <c r="O20" s="18"/>
      <c r="P20" s="6">
        <v>2263</v>
      </c>
      <c r="Q20" s="7">
        <f t="shared" si="1"/>
        <v>159496240</v>
      </c>
      <c r="R20" s="7">
        <f t="shared" si="2"/>
        <v>40834972.904761799</v>
      </c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75" customHeight="1" x14ac:dyDescent="0.35">
      <c r="A21" s="4" t="s">
        <v>39</v>
      </c>
      <c r="B21" s="19" t="s">
        <v>19</v>
      </c>
      <c r="C21" s="19" t="s">
        <v>20</v>
      </c>
      <c r="D21" s="19">
        <v>10</v>
      </c>
      <c r="E21" s="19">
        <v>17546</v>
      </c>
      <c r="F21" s="19">
        <v>45152</v>
      </c>
      <c r="G21" s="19">
        <v>0</v>
      </c>
      <c r="H21" s="19">
        <v>0</v>
      </c>
      <c r="I21" s="19">
        <v>0</v>
      </c>
      <c r="J21" s="19">
        <v>48679</v>
      </c>
      <c r="K21" s="19">
        <f t="shared" si="0"/>
        <v>14019</v>
      </c>
      <c r="L21" s="20">
        <v>17619.2</v>
      </c>
      <c r="M21" s="19">
        <v>26</v>
      </c>
      <c r="N21" s="20">
        <f t="shared" si="3"/>
        <v>9.4106123790546228</v>
      </c>
      <c r="O21" s="18"/>
      <c r="P21" s="6">
        <v>2263</v>
      </c>
      <c r="Q21" s="7">
        <f t="shared" si="1"/>
        <v>110160577</v>
      </c>
      <c r="R21" s="7">
        <f t="shared" si="2"/>
        <v>39872249.600000001</v>
      </c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35">
      <c r="A22" s="4" t="s">
        <v>40</v>
      </c>
      <c r="B22" s="19" t="s">
        <v>19</v>
      </c>
      <c r="C22" s="19" t="s">
        <v>20</v>
      </c>
      <c r="D22" s="19">
        <v>10</v>
      </c>
      <c r="E22" s="19">
        <v>2300</v>
      </c>
      <c r="F22" s="19">
        <v>3000</v>
      </c>
      <c r="G22" s="19">
        <v>0</v>
      </c>
      <c r="H22" s="19">
        <v>0</v>
      </c>
      <c r="I22" s="19">
        <v>0</v>
      </c>
      <c r="J22" s="19">
        <v>3000</v>
      </c>
      <c r="K22" s="19">
        <f t="shared" si="0"/>
        <v>2300</v>
      </c>
      <c r="L22" s="20">
        <v>2100</v>
      </c>
      <c r="M22" s="19">
        <v>26</v>
      </c>
      <c r="N22" s="20">
        <f t="shared" si="3"/>
        <v>18.2</v>
      </c>
      <c r="O22" s="18"/>
      <c r="P22" s="6">
        <v>2732</v>
      </c>
      <c r="Q22" s="7">
        <f t="shared" si="1"/>
        <v>8196000</v>
      </c>
      <c r="R22" s="7">
        <f t="shared" si="2"/>
        <v>5737200</v>
      </c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35">
      <c r="A23" s="4" t="s">
        <v>41</v>
      </c>
      <c r="B23" s="19" t="s">
        <v>19</v>
      </c>
      <c r="C23" s="19" t="s">
        <v>20</v>
      </c>
      <c r="D23" s="19">
        <v>10</v>
      </c>
      <c r="E23" s="19">
        <v>11359</v>
      </c>
      <c r="F23" s="19">
        <v>16312</v>
      </c>
      <c r="G23" s="19">
        <v>0</v>
      </c>
      <c r="H23" s="19">
        <v>0</v>
      </c>
      <c r="I23" s="19">
        <v>0</v>
      </c>
      <c r="J23" s="19">
        <v>21425</v>
      </c>
      <c r="K23" s="19">
        <f t="shared" si="0"/>
        <v>6246</v>
      </c>
      <c r="L23" s="20">
        <v>8818.3076923076896</v>
      </c>
      <c r="M23" s="19">
        <v>26</v>
      </c>
      <c r="N23" s="20">
        <f t="shared" si="3"/>
        <v>10.701330221703614</v>
      </c>
      <c r="O23" s="18"/>
      <c r="P23" s="6">
        <v>2962</v>
      </c>
      <c r="Q23" s="7">
        <f t="shared" si="1"/>
        <v>63460850</v>
      </c>
      <c r="R23" s="7">
        <f t="shared" si="2"/>
        <v>26119827.384615377</v>
      </c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35">
      <c r="A24" s="4" t="s">
        <v>42</v>
      </c>
      <c r="B24" s="19" t="s">
        <v>19</v>
      </c>
      <c r="C24" s="19" t="s">
        <v>20</v>
      </c>
      <c r="D24" s="19">
        <v>10</v>
      </c>
      <c r="E24" s="19">
        <v>124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f t="shared" si="0"/>
        <v>124</v>
      </c>
      <c r="L24" s="20">
        <v>0</v>
      </c>
      <c r="M24" s="19">
        <v>26</v>
      </c>
      <c r="N24" s="20">
        <v>0</v>
      </c>
      <c r="O24" s="18"/>
      <c r="P24" s="6">
        <v>2263</v>
      </c>
      <c r="Q24" s="7">
        <f t="shared" si="1"/>
        <v>0</v>
      </c>
      <c r="R24" s="7">
        <f t="shared" si="2"/>
        <v>0</v>
      </c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35">
      <c r="A25" s="4" t="s">
        <v>43</v>
      </c>
      <c r="B25" s="19" t="s">
        <v>19</v>
      </c>
      <c r="C25" s="19" t="s">
        <v>20</v>
      </c>
      <c r="D25" s="19">
        <v>10</v>
      </c>
      <c r="E25" s="19">
        <v>770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f t="shared" si="0"/>
        <v>770</v>
      </c>
      <c r="L25" s="20">
        <v>0</v>
      </c>
      <c r="M25" s="19">
        <v>26</v>
      </c>
      <c r="N25" s="20">
        <v>0</v>
      </c>
      <c r="O25" s="18"/>
      <c r="P25" s="6">
        <v>2263</v>
      </c>
      <c r="Q25" s="7">
        <f t="shared" si="1"/>
        <v>0</v>
      </c>
      <c r="R25" s="7">
        <f t="shared" si="2"/>
        <v>0</v>
      </c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35">
      <c r="A26" s="4" t="s">
        <v>44</v>
      </c>
      <c r="B26" s="19" t="s">
        <v>19</v>
      </c>
      <c r="C26" s="19" t="s">
        <v>20</v>
      </c>
      <c r="D26" s="19">
        <v>10</v>
      </c>
      <c r="E26" s="19">
        <v>1300</v>
      </c>
      <c r="F26" s="19">
        <v>0</v>
      </c>
      <c r="G26" s="19">
        <v>0</v>
      </c>
      <c r="H26" s="19">
        <v>0</v>
      </c>
      <c r="I26" s="19">
        <v>0</v>
      </c>
      <c r="J26" s="19">
        <v>1300</v>
      </c>
      <c r="K26" s="19">
        <f t="shared" si="0"/>
        <v>0</v>
      </c>
      <c r="L26" s="20">
        <v>0</v>
      </c>
      <c r="M26" s="19">
        <v>26</v>
      </c>
      <c r="N26" s="20">
        <f t="shared" ref="N26:N31" si="4">(L26/(I26+J26))*M26</f>
        <v>0</v>
      </c>
      <c r="O26" s="18"/>
      <c r="P26" s="6">
        <v>2179</v>
      </c>
      <c r="Q26" s="7">
        <f t="shared" si="1"/>
        <v>2832700</v>
      </c>
      <c r="R26" s="7">
        <f t="shared" si="2"/>
        <v>0</v>
      </c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customHeight="1" x14ac:dyDescent="0.35">
      <c r="A27" s="4" t="s">
        <v>171</v>
      </c>
      <c r="B27" s="19" t="s">
        <v>22</v>
      </c>
      <c r="C27" s="19" t="s">
        <v>20</v>
      </c>
      <c r="D27" s="19">
        <v>10</v>
      </c>
      <c r="E27" s="19">
        <v>10005</v>
      </c>
      <c r="F27" s="19">
        <v>158750</v>
      </c>
      <c r="G27" s="19">
        <v>0</v>
      </c>
      <c r="H27" s="19">
        <v>0</v>
      </c>
      <c r="I27" s="19">
        <v>161250</v>
      </c>
      <c r="J27" s="19">
        <v>0</v>
      </c>
      <c r="K27" s="19">
        <f t="shared" si="0"/>
        <v>7505</v>
      </c>
      <c r="L27" s="20">
        <v>12192.5</v>
      </c>
      <c r="M27" s="19">
        <v>26</v>
      </c>
      <c r="N27" s="20">
        <f t="shared" si="4"/>
        <v>1.965922480620155</v>
      </c>
      <c r="O27" s="18"/>
      <c r="P27" s="6">
        <v>7550</v>
      </c>
      <c r="Q27" s="7">
        <f t="shared" si="1"/>
        <v>1217437500</v>
      </c>
      <c r="R27" s="7">
        <f t="shared" si="2"/>
        <v>92053375</v>
      </c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75" customHeight="1" x14ac:dyDescent="0.35">
      <c r="A28" s="4" t="s">
        <v>45</v>
      </c>
      <c r="B28" s="19" t="s">
        <v>19</v>
      </c>
      <c r="C28" s="19" t="s">
        <v>20</v>
      </c>
      <c r="D28" s="19">
        <v>10</v>
      </c>
      <c r="E28" s="19">
        <v>3467</v>
      </c>
      <c r="F28" s="19">
        <v>9100</v>
      </c>
      <c r="G28" s="19">
        <v>0</v>
      </c>
      <c r="H28" s="19">
        <v>0</v>
      </c>
      <c r="I28" s="19">
        <v>9800</v>
      </c>
      <c r="J28" s="19">
        <v>0</v>
      </c>
      <c r="K28" s="19">
        <f t="shared" si="0"/>
        <v>2767</v>
      </c>
      <c r="L28" s="20">
        <v>5283.6666666666697</v>
      </c>
      <c r="M28" s="19">
        <v>26</v>
      </c>
      <c r="N28" s="20">
        <f t="shared" si="4"/>
        <v>14.017891156462595</v>
      </c>
      <c r="O28" s="18"/>
      <c r="P28" s="6">
        <v>1956</v>
      </c>
      <c r="Q28" s="7">
        <f t="shared" si="1"/>
        <v>19168800</v>
      </c>
      <c r="R28" s="7">
        <f t="shared" si="2"/>
        <v>10334852.000000006</v>
      </c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35">
      <c r="A29" s="4" t="s">
        <v>46</v>
      </c>
      <c r="B29" s="19" t="s">
        <v>22</v>
      </c>
      <c r="C29" s="19" t="s">
        <v>20</v>
      </c>
      <c r="D29" s="19">
        <v>10</v>
      </c>
      <c r="E29" s="19">
        <v>5974</v>
      </c>
      <c r="F29" s="19">
        <v>364500</v>
      </c>
      <c r="G29" s="19">
        <v>0</v>
      </c>
      <c r="H29" s="19">
        <v>0</v>
      </c>
      <c r="I29" s="19">
        <v>0</v>
      </c>
      <c r="J29" s="19">
        <v>328565</v>
      </c>
      <c r="K29" s="19">
        <f t="shared" si="0"/>
        <v>41909</v>
      </c>
      <c r="L29" s="20">
        <v>38065.666666666708</v>
      </c>
      <c r="M29" s="19">
        <v>26</v>
      </c>
      <c r="N29" s="20">
        <f t="shared" si="4"/>
        <v>3.0122116881996996</v>
      </c>
      <c r="O29" s="18"/>
      <c r="P29" s="6">
        <v>2031</v>
      </c>
      <c r="Q29" s="7">
        <f t="shared" si="1"/>
        <v>667315515</v>
      </c>
      <c r="R29" s="7">
        <f t="shared" si="2"/>
        <v>77311369.000000089</v>
      </c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35">
      <c r="A30" s="4" t="s">
        <v>47</v>
      </c>
      <c r="B30" s="19" t="s">
        <v>19</v>
      </c>
      <c r="C30" s="19" t="s">
        <v>20</v>
      </c>
      <c r="D30" s="19">
        <v>10</v>
      </c>
      <c r="E30" s="19">
        <v>2865</v>
      </c>
      <c r="F30" s="19">
        <v>0</v>
      </c>
      <c r="G30" s="19">
        <v>0</v>
      </c>
      <c r="H30" s="19">
        <v>0</v>
      </c>
      <c r="I30" s="19">
        <v>125</v>
      </c>
      <c r="J30" s="19">
        <v>0</v>
      </c>
      <c r="K30" s="19">
        <f t="shared" si="0"/>
        <v>2740</v>
      </c>
      <c r="L30" s="20">
        <v>2740</v>
      </c>
      <c r="M30" s="19">
        <v>26</v>
      </c>
      <c r="N30" s="20">
        <f t="shared" si="4"/>
        <v>569.92000000000007</v>
      </c>
      <c r="O30" s="18"/>
      <c r="P30" s="6">
        <v>2179</v>
      </c>
      <c r="Q30" s="7">
        <f t="shared" si="1"/>
        <v>272375</v>
      </c>
      <c r="R30" s="7">
        <f t="shared" si="2"/>
        <v>5970460</v>
      </c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35">
      <c r="A31" s="4" t="s">
        <v>48</v>
      </c>
      <c r="B31" s="19" t="s">
        <v>19</v>
      </c>
      <c r="C31" s="19" t="s">
        <v>20</v>
      </c>
      <c r="D31" s="19">
        <v>10</v>
      </c>
      <c r="E31" s="19">
        <v>6008</v>
      </c>
      <c r="F31" s="19">
        <v>0</v>
      </c>
      <c r="G31" s="19">
        <v>0</v>
      </c>
      <c r="H31" s="19">
        <v>0</v>
      </c>
      <c r="I31" s="19">
        <v>1500</v>
      </c>
      <c r="J31" s="19">
        <v>0</v>
      </c>
      <c r="K31" s="19">
        <f t="shared" si="0"/>
        <v>4508</v>
      </c>
      <c r="L31" s="20">
        <v>4508</v>
      </c>
      <c r="M31" s="19">
        <v>26</v>
      </c>
      <c r="N31" s="20">
        <f t="shared" si="4"/>
        <v>78.138666666666666</v>
      </c>
      <c r="O31" s="18"/>
      <c r="P31" s="6">
        <v>2179</v>
      </c>
      <c r="Q31" s="7">
        <f t="shared" si="1"/>
        <v>3268500</v>
      </c>
      <c r="R31" s="7">
        <f t="shared" si="2"/>
        <v>9822932</v>
      </c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35">
      <c r="A32" s="4" t="s">
        <v>49</v>
      </c>
      <c r="B32" s="19" t="s">
        <v>19</v>
      </c>
      <c r="C32" s="19" t="s">
        <v>20</v>
      </c>
      <c r="D32" s="19">
        <v>10</v>
      </c>
      <c r="E32" s="19">
        <v>1495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f t="shared" si="0"/>
        <v>1495</v>
      </c>
      <c r="L32" s="20">
        <v>0</v>
      </c>
      <c r="M32" s="19">
        <v>26</v>
      </c>
      <c r="N32" s="20">
        <v>0</v>
      </c>
      <c r="O32" s="18"/>
      <c r="P32" s="6">
        <v>2179</v>
      </c>
      <c r="Q32" s="7">
        <f t="shared" si="1"/>
        <v>0</v>
      </c>
      <c r="R32" s="7">
        <f t="shared" si="2"/>
        <v>0</v>
      </c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35">
      <c r="A33" s="4" t="s">
        <v>50</v>
      </c>
      <c r="B33" s="19" t="s">
        <v>22</v>
      </c>
      <c r="C33" s="19" t="s">
        <v>20</v>
      </c>
      <c r="D33" s="19">
        <v>10</v>
      </c>
      <c r="E33" s="19">
        <v>18375</v>
      </c>
      <c r="F33" s="19">
        <v>87500</v>
      </c>
      <c r="G33" s="19">
        <v>0</v>
      </c>
      <c r="H33" s="19">
        <v>0</v>
      </c>
      <c r="I33" s="19">
        <v>87482</v>
      </c>
      <c r="J33" s="19">
        <v>10</v>
      </c>
      <c r="K33" s="19">
        <f t="shared" si="0"/>
        <v>18383</v>
      </c>
      <c r="L33" s="20">
        <v>13541.142857142899</v>
      </c>
      <c r="M33" s="19">
        <v>26</v>
      </c>
      <c r="N33" s="20">
        <f t="shared" ref="N33:N40" si="5">(L33/(I33+J33))*M33</f>
        <v>4.0240217881145171</v>
      </c>
      <c r="O33" s="18"/>
      <c r="P33" s="6">
        <v>2179</v>
      </c>
      <c r="Q33" s="7">
        <f t="shared" si="1"/>
        <v>190645068</v>
      </c>
      <c r="R33" s="7">
        <f t="shared" si="2"/>
        <v>29506150.285714377</v>
      </c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35">
      <c r="A34" s="4" t="s">
        <v>172</v>
      </c>
      <c r="B34" s="19" t="s">
        <v>19</v>
      </c>
      <c r="C34" s="19" t="s">
        <v>20</v>
      </c>
      <c r="D34" s="19">
        <v>10</v>
      </c>
      <c r="E34" s="19">
        <v>1250</v>
      </c>
      <c r="F34" s="19">
        <v>1050</v>
      </c>
      <c r="G34" s="19">
        <v>0</v>
      </c>
      <c r="H34" s="19">
        <v>0</v>
      </c>
      <c r="I34" s="19">
        <v>1050</v>
      </c>
      <c r="J34" s="19">
        <v>0</v>
      </c>
      <c r="K34" s="19">
        <f t="shared" si="0"/>
        <v>1250</v>
      </c>
      <c r="L34" s="20">
        <v>725</v>
      </c>
      <c r="M34" s="19">
        <v>26</v>
      </c>
      <c r="N34" s="20">
        <f t="shared" si="5"/>
        <v>17.952380952380953</v>
      </c>
      <c r="O34" s="18"/>
      <c r="P34" s="6">
        <v>3145</v>
      </c>
      <c r="Q34" s="7">
        <f t="shared" si="1"/>
        <v>3302250</v>
      </c>
      <c r="R34" s="7">
        <f t="shared" si="2"/>
        <v>2280125</v>
      </c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35">
      <c r="A35" s="4" t="s">
        <v>51</v>
      </c>
      <c r="B35" s="19" t="s">
        <v>19</v>
      </c>
      <c r="C35" s="19" t="s">
        <v>20</v>
      </c>
      <c r="D35" s="19">
        <v>10</v>
      </c>
      <c r="E35" s="19">
        <v>24412</v>
      </c>
      <c r="F35" s="19">
        <v>8150</v>
      </c>
      <c r="G35" s="19">
        <v>0</v>
      </c>
      <c r="H35" s="19">
        <v>0</v>
      </c>
      <c r="I35" s="19">
        <v>16075</v>
      </c>
      <c r="J35" s="19">
        <v>0</v>
      </c>
      <c r="K35" s="19">
        <f t="shared" si="0"/>
        <v>16487</v>
      </c>
      <c r="L35" s="20">
        <v>22023.111111111102</v>
      </c>
      <c r="M35" s="19">
        <v>26</v>
      </c>
      <c r="N35" s="20">
        <f t="shared" si="5"/>
        <v>35.620584067738015</v>
      </c>
      <c r="O35" s="18"/>
      <c r="P35" s="6">
        <v>2179</v>
      </c>
      <c r="Q35" s="7">
        <f t="shared" si="1"/>
        <v>35027425</v>
      </c>
      <c r="R35" s="7">
        <f t="shared" si="2"/>
        <v>47988359.11111109</v>
      </c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35">
      <c r="A36" s="4" t="s">
        <v>52</v>
      </c>
      <c r="B36" s="19" t="s">
        <v>19</v>
      </c>
      <c r="C36" s="19" t="s">
        <v>20</v>
      </c>
      <c r="D36" s="19">
        <v>10</v>
      </c>
      <c r="E36" s="19">
        <v>728</v>
      </c>
      <c r="F36" s="19">
        <v>0</v>
      </c>
      <c r="G36" s="19">
        <v>0</v>
      </c>
      <c r="H36" s="19">
        <v>0</v>
      </c>
      <c r="I36" s="19">
        <v>0</v>
      </c>
      <c r="J36" s="19">
        <v>728</v>
      </c>
      <c r="K36" s="19">
        <f t="shared" si="0"/>
        <v>0</v>
      </c>
      <c r="L36" s="20">
        <v>0</v>
      </c>
      <c r="M36" s="19">
        <v>26</v>
      </c>
      <c r="N36" s="20">
        <f t="shared" si="5"/>
        <v>0</v>
      </c>
      <c r="O36" s="18"/>
      <c r="P36" s="6">
        <v>2268</v>
      </c>
      <c r="Q36" s="7">
        <f t="shared" si="1"/>
        <v>1651104</v>
      </c>
      <c r="R36" s="7">
        <f t="shared" si="2"/>
        <v>0</v>
      </c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35">
      <c r="A37" s="4" t="s">
        <v>173</v>
      </c>
      <c r="B37" s="19" t="s">
        <v>19</v>
      </c>
      <c r="C37" s="19" t="s">
        <v>20</v>
      </c>
      <c r="D37" s="19">
        <v>10</v>
      </c>
      <c r="E37" s="19">
        <v>8750</v>
      </c>
      <c r="F37" s="19">
        <v>38000</v>
      </c>
      <c r="G37" s="19">
        <v>0</v>
      </c>
      <c r="H37" s="19">
        <v>0</v>
      </c>
      <c r="I37" s="19">
        <v>30500</v>
      </c>
      <c r="J37" s="19">
        <v>0</v>
      </c>
      <c r="K37" s="19">
        <f t="shared" si="0"/>
        <v>16250</v>
      </c>
      <c r="L37" s="20">
        <v>10000</v>
      </c>
      <c r="M37" s="19">
        <v>26</v>
      </c>
      <c r="N37" s="20">
        <f t="shared" si="5"/>
        <v>8.524590163934425</v>
      </c>
      <c r="O37" s="18"/>
      <c r="P37" s="6">
        <v>2268</v>
      </c>
      <c r="Q37" s="7">
        <f t="shared" si="1"/>
        <v>69174000</v>
      </c>
      <c r="R37" s="7">
        <f t="shared" si="2"/>
        <v>22680000</v>
      </c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35">
      <c r="A38" s="4" t="s">
        <v>53</v>
      </c>
      <c r="B38" s="19" t="s">
        <v>19</v>
      </c>
      <c r="C38" s="19" t="s">
        <v>20</v>
      </c>
      <c r="D38" s="19">
        <v>10</v>
      </c>
      <c r="E38" s="19">
        <v>7912</v>
      </c>
      <c r="F38" s="19">
        <v>0</v>
      </c>
      <c r="G38" s="19">
        <v>0</v>
      </c>
      <c r="H38" s="19">
        <v>0</v>
      </c>
      <c r="I38" s="19">
        <v>2200</v>
      </c>
      <c r="J38" s="19">
        <v>0</v>
      </c>
      <c r="K38" s="19">
        <f t="shared" si="0"/>
        <v>5712</v>
      </c>
      <c r="L38" s="20">
        <v>6228.6666666666697</v>
      </c>
      <c r="M38" s="19">
        <v>26</v>
      </c>
      <c r="N38" s="20">
        <f t="shared" si="5"/>
        <v>73.611515151515178</v>
      </c>
      <c r="O38" s="18"/>
      <c r="P38" s="6">
        <v>1956</v>
      </c>
      <c r="Q38" s="7">
        <f t="shared" si="1"/>
        <v>4303200</v>
      </c>
      <c r="R38" s="7">
        <f t="shared" si="2"/>
        <v>12183272.000000006</v>
      </c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35">
      <c r="A39" s="4" t="s">
        <v>54</v>
      </c>
      <c r="B39" s="19" t="s">
        <v>19</v>
      </c>
      <c r="C39" s="19" t="s">
        <v>20</v>
      </c>
      <c r="D39" s="19">
        <v>10</v>
      </c>
      <c r="E39" s="19">
        <v>8860</v>
      </c>
      <c r="F39" s="19">
        <v>0</v>
      </c>
      <c r="G39" s="19">
        <v>0</v>
      </c>
      <c r="H39" s="19">
        <v>0</v>
      </c>
      <c r="I39" s="19">
        <v>3200</v>
      </c>
      <c r="J39" s="19">
        <v>0</v>
      </c>
      <c r="K39" s="19">
        <f t="shared" si="0"/>
        <v>5660</v>
      </c>
      <c r="L39" s="20">
        <v>6360</v>
      </c>
      <c r="M39" s="19">
        <v>26</v>
      </c>
      <c r="N39" s="20">
        <f t="shared" si="5"/>
        <v>51.675000000000004</v>
      </c>
      <c r="O39" s="18"/>
      <c r="P39" s="6">
        <v>2218</v>
      </c>
      <c r="Q39" s="7">
        <f t="shared" si="1"/>
        <v>7097600</v>
      </c>
      <c r="R39" s="7">
        <f t="shared" si="2"/>
        <v>14106480</v>
      </c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35">
      <c r="A40" s="4" t="s">
        <v>174</v>
      </c>
      <c r="B40" s="19" t="s">
        <v>19</v>
      </c>
      <c r="C40" s="19" t="s">
        <v>20</v>
      </c>
      <c r="D40" s="19">
        <v>10</v>
      </c>
      <c r="E40" s="19">
        <v>4275</v>
      </c>
      <c r="F40" s="19">
        <v>13625</v>
      </c>
      <c r="G40" s="19">
        <v>0</v>
      </c>
      <c r="H40" s="19">
        <v>0</v>
      </c>
      <c r="I40" s="19">
        <v>9900</v>
      </c>
      <c r="J40" s="19">
        <v>0</v>
      </c>
      <c r="K40" s="19">
        <f t="shared" si="0"/>
        <v>8000</v>
      </c>
      <c r="L40" s="20">
        <v>8670</v>
      </c>
      <c r="M40" s="19">
        <v>26</v>
      </c>
      <c r="N40" s="20">
        <f t="shared" si="5"/>
        <v>22.76969696969697</v>
      </c>
      <c r="O40" s="18"/>
      <c r="P40" s="6">
        <v>2218</v>
      </c>
      <c r="Q40" s="7">
        <f t="shared" si="1"/>
        <v>21958200</v>
      </c>
      <c r="R40" s="7">
        <f t="shared" si="2"/>
        <v>19230060</v>
      </c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75" customHeight="1" x14ac:dyDescent="0.35">
      <c r="A41" s="4" t="s">
        <v>55</v>
      </c>
      <c r="B41" s="19" t="s">
        <v>19</v>
      </c>
      <c r="C41" s="19" t="s">
        <v>20</v>
      </c>
      <c r="D41" s="19">
        <v>10</v>
      </c>
      <c r="E41" s="19">
        <v>88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f t="shared" si="0"/>
        <v>88</v>
      </c>
      <c r="L41" s="20">
        <v>0</v>
      </c>
      <c r="M41" s="19">
        <v>26</v>
      </c>
      <c r="N41" s="20">
        <v>0</v>
      </c>
      <c r="O41" s="18"/>
      <c r="P41" s="6">
        <v>2218</v>
      </c>
      <c r="Q41" s="7">
        <f t="shared" si="1"/>
        <v>0</v>
      </c>
      <c r="R41" s="7">
        <f t="shared" si="2"/>
        <v>0</v>
      </c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75" customHeight="1" x14ac:dyDescent="0.35">
      <c r="A42" s="4" t="s">
        <v>56</v>
      </c>
      <c r="B42" s="19" t="s">
        <v>19</v>
      </c>
      <c r="C42" s="19" t="s">
        <v>20</v>
      </c>
      <c r="D42" s="19">
        <v>10</v>
      </c>
      <c r="E42" s="19">
        <v>150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f t="shared" si="0"/>
        <v>150</v>
      </c>
      <c r="L42" s="20">
        <v>0</v>
      </c>
      <c r="M42" s="19">
        <v>26</v>
      </c>
      <c r="N42" s="20">
        <v>0</v>
      </c>
      <c r="O42" s="18"/>
      <c r="P42" s="6">
        <v>2245</v>
      </c>
      <c r="Q42" s="7">
        <f t="shared" si="1"/>
        <v>0</v>
      </c>
      <c r="R42" s="7">
        <f t="shared" si="2"/>
        <v>0</v>
      </c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75" customHeight="1" x14ac:dyDescent="0.35">
      <c r="A43" s="4" t="s">
        <v>57</v>
      </c>
      <c r="B43" s="19" t="s">
        <v>22</v>
      </c>
      <c r="C43" s="19" t="s">
        <v>20</v>
      </c>
      <c r="D43" s="19">
        <v>10</v>
      </c>
      <c r="E43" s="19">
        <v>16450</v>
      </c>
      <c r="F43" s="19">
        <v>179125</v>
      </c>
      <c r="G43" s="19">
        <v>0</v>
      </c>
      <c r="H43" s="19">
        <v>0</v>
      </c>
      <c r="I43" s="19">
        <v>158875</v>
      </c>
      <c r="J43" s="19">
        <v>30250</v>
      </c>
      <c r="K43" s="19">
        <f t="shared" si="0"/>
        <v>6450</v>
      </c>
      <c r="L43" s="20">
        <v>11521.1538461538</v>
      </c>
      <c r="M43" s="19">
        <v>26</v>
      </c>
      <c r="N43" s="20">
        <f t="shared" ref="N43:N49" si="6">(L43/(I43+J43))*M43</f>
        <v>1.5838730998017121</v>
      </c>
      <c r="O43" s="18"/>
      <c r="P43" s="6">
        <v>2245</v>
      </c>
      <c r="Q43" s="7">
        <f t="shared" si="1"/>
        <v>424585625</v>
      </c>
      <c r="R43" s="7">
        <f t="shared" si="2"/>
        <v>25864990.38461528</v>
      </c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75" customHeight="1" x14ac:dyDescent="0.35">
      <c r="A44" s="4" t="s">
        <v>58</v>
      </c>
      <c r="B44" s="19" t="s">
        <v>22</v>
      </c>
      <c r="C44" s="19" t="s">
        <v>20</v>
      </c>
      <c r="D44" s="19">
        <v>10</v>
      </c>
      <c r="E44" s="19">
        <v>56070</v>
      </c>
      <c r="F44" s="19">
        <v>67750</v>
      </c>
      <c r="G44" s="19">
        <v>0</v>
      </c>
      <c r="H44" s="19">
        <v>0</v>
      </c>
      <c r="I44" s="19">
        <v>0</v>
      </c>
      <c r="J44" s="19">
        <v>106050</v>
      </c>
      <c r="K44" s="19">
        <f t="shared" si="0"/>
        <v>17770</v>
      </c>
      <c r="L44" s="20">
        <v>24177.692307692298</v>
      </c>
      <c r="M44" s="19">
        <v>26</v>
      </c>
      <c r="N44" s="20">
        <f t="shared" si="6"/>
        <v>5.9275813295615247</v>
      </c>
      <c r="O44" s="18"/>
      <c r="P44" s="6">
        <v>1419</v>
      </c>
      <c r="Q44" s="7">
        <f t="shared" si="1"/>
        <v>150484950</v>
      </c>
      <c r="R44" s="7">
        <f t="shared" si="2"/>
        <v>34308145.384615369</v>
      </c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75" customHeight="1" x14ac:dyDescent="0.35">
      <c r="A45" s="4" t="s">
        <v>59</v>
      </c>
      <c r="B45" s="19" t="s">
        <v>19</v>
      </c>
      <c r="C45" s="19" t="s">
        <v>20</v>
      </c>
      <c r="D45" s="19">
        <v>10</v>
      </c>
      <c r="E45" s="19">
        <v>2384</v>
      </c>
      <c r="F45" s="19">
        <v>2825</v>
      </c>
      <c r="G45" s="19">
        <v>0</v>
      </c>
      <c r="H45" s="19">
        <v>0</v>
      </c>
      <c r="I45" s="19">
        <v>0</v>
      </c>
      <c r="J45" s="19">
        <v>2500</v>
      </c>
      <c r="K45" s="19">
        <f t="shared" si="0"/>
        <v>2709</v>
      </c>
      <c r="L45" s="20">
        <v>3959</v>
      </c>
      <c r="M45" s="19">
        <v>26</v>
      </c>
      <c r="N45" s="20">
        <f t="shared" si="6"/>
        <v>41.1736</v>
      </c>
      <c r="O45" s="18"/>
      <c r="P45" s="6">
        <v>2765</v>
      </c>
      <c r="Q45" s="7">
        <f t="shared" si="1"/>
        <v>6912500</v>
      </c>
      <c r="R45" s="7">
        <f t="shared" si="2"/>
        <v>10946635</v>
      </c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75" customHeight="1" x14ac:dyDescent="0.35">
      <c r="A46" s="4" t="s">
        <v>60</v>
      </c>
      <c r="B46" s="19" t="s">
        <v>19</v>
      </c>
      <c r="C46" s="19" t="s">
        <v>20</v>
      </c>
      <c r="D46" s="19">
        <v>10</v>
      </c>
      <c r="E46" s="19">
        <v>35787</v>
      </c>
      <c r="F46" s="19">
        <v>8731</v>
      </c>
      <c r="G46" s="19">
        <v>0</v>
      </c>
      <c r="H46" s="19">
        <v>0</v>
      </c>
      <c r="I46" s="19">
        <v>0</v>
      </c>
      <c r="J46" s="19">
        <v>10790</v>
      </c>
      <c r="K46" s="19">
        <f t="shared" si="0"/>
        <v>33728</v>
      </c>
      <c r="L46" s="20">
        <v>35375.9230769231</v>
      </c>
      <c r="M46" s="19">
        <v>26</v>
      </c>
      <c r="N46" s="20">
        <f t="shared" si="6"/>
        <v>85.243188137164097</v>
      </c>
      <c r="O46" s="18"/>
      <c r="P46" s="6">
        <v>4592</v>
      </c>
      <c r="Q46" s="7">
        <f t="shared" si="1"/>
        <v>49547680</v>
      </c>
      <c r="R46" s="7">
        <f t="shared" si="2"/>
        <v>162446238.76923087</v>
      </c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75" customHeight="1" x14ac:dyDescent="0.35">
      <c r="A47" s="4" t="s">
        <v>61</v>
      </c>
      <c r="B47" s="19" t="s">
        <v>19</v>
      </c>
      <c r="C47" s="19" t="s">
        <v>20</v>
      </c>
      <c r="D47" s="19">
        <v>10</v>
      </c>
      <c r="E47" s="19">
        <v>21712</v>
      </c>
      <c r="F47" s="19">
        <v>21164</v>
      </c>
      <c r="G47" s="19">
        <v>0</v>
      </c>
      <c r="H47" s="19">
        <v>0</v>
      </c>
      <c r="I47" s="19">
        <v>0</v>
      </c>
      <c r="J47" s="19">
        <v>31214</v>
      </c>
      <c r="K47" s="19">
        <f t="shared" si="0"/>
        <v>11662</v>
      </c>
      <c r="L47" s="20">
        <v>24167.411764705899</v>
      </c>
      <c r="M47" s="19">
        <v>26</v>
      </c>
      <c r="N47" s="20">
        <f t="shared" si="6"/>
        <v>20.130476897621367</v>
      </c>
      <c r="O47" s="18"/>
      <c r="P47" s="6">
        <v>2297</v>
      </c>
      <c r="Q47" s="7">
        <f t="shared" si="1"/>
        <v>71698558</v>
      </c>
      <c r="R47" s="7">
        <f t="shared" si="2"/>
        <v>55512544.823529452</v>
      </c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75" customHeight="1" x14ac:dyDescent="0.35">
      <c r="A48" s="4" t="s">
        <v>62</v>
      </c>
      <c r="B48" s="19" t="s">
        <v>19</v>
      </c>
      <c r="C48" s="19" t="s">
        <v>20</v>
      </c>
      <c r="D48" s="19">
        <v>10</v>
      </c>
      <c r="E48" s="19">
        <v>1025</v>
      </c>
      <c r="F48" s="19">
        <v>2053</v>
      </c>
      <c r="G48" s="19">
        <v>0</v>
      </c>
      <c r="H48" s="19">
        <v>0</v>
      </c>
      <c r="I48" s="19">
        <v>0</v>
      </c>
      <c r="J48" s="19">
        <v>1350</v>
      </c>
      <c r="K48" s="19">
        <f t="shared" si="0"/>
        <v>1728</v>
      </c>
      <c r="L48" s="20">
        <v>1404.8571428571402</v>
      </c>
      <c r="M48" s="19">
        <v>26</v>
      </c>
      <c r="N48" s="20">
        <f t="shared" si="6"/>
        <v>27.056507936507884</v>
      </c>
      <c r="O48" s="18"/>
      <c r="P48" s="6">
        <v>2616</v>
      </c>
      <c r="Q48" s="7">
        <f t="shared" si="1"/>
        <v>3531600</v>
      </c>
      <c r="R48" s="7">
        <f t="shared" si="2"/>
        <v>3675106.2857142785</v>
      </c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75" customHeight="1" x14ac:dyDescent="0.35">
      <c r="A49" s="4" t="s">
        <v>64</v>
      </c>
      <c r="B49" s="19" t="s">
        <v>19</v>
      </c>
      <c r="C49" s="19" t="s">
        <v>20</v>
      </c>
      <c r="D49" s="19">
        <v>10</v>
      </c>
      <c r="E49" s="19">
        <v>20850</v>
      </c>
      <c r="F49" s="19">
        <v>97900</v>
      </c>
      <c r="G49" s="19">
        <v>0</v>
      </c>
      <c r="H49" s="19">
        <v>0</v>
      </c>
      <c r="I49" s="19">
        <v>0</v>
      </c>
      <c r="J49" s="19">
        <v>109686</v>
      </c>
      <c r="K49" s="19">
        <f t="shared" si="0"/>
        <v>9064</v>
      </c>
      <c r="L49" s="20">
        <v>17623.833333333303</v>
      </c>
      <c r="M49" s="19">
        <v>26</v>
      </c>
      <c r="N49" s="20">
        <f t="shared" si="6"/>
        <v>4.1775583635711566</v>
      </c>
      <c r="O49" s="18"/>
      <c r="P49" s="6">
        <v>1968</v>
      </c>
      <c r="Q49" s="7">
        <f t="shared" si="1"/>
        <v>215862048</v>
      </c>
      <c r="R49" s="7">
        <f t="shared" si="2"/>
        <v>34683703.99999994</v>
      </c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75" customHeight="1" x14ac:dyDescent="0.35">
      <c r="A50" s="4" t="s">
        <v>65</v>
      </c>
      <c r="B50" s="19" t="s">
        <v>19</v>
      </c>
      <c r="C50" s="19" t="s">
        <v>20</v>
      </c>
      <c r="D50" s="19">
        <v>10</v>
      </c>
      <c r="E50" s="19">
        <v>6420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f t="shared" si="0"/>
        <v>6420</v>
      </c>
      <c r="L50" s="20">
        <v>0</v>
      </c>
      <c r="M50" s="19">
        <v>26</v>
      </c>
      <c r="N50" s="20">
        <v>0</v>
      </c>
      <c r="O50" s="18"/>
      <c r="P50" s="6">
        <v>2503</v>
      </c>
      <c r="Q50" s="7">
        <f t="shared" si="1"/>
        <v>0</v>
      </c>
      <c r="R50" s="7">
        <f t="shared" si="2"/>
        <v>0</v>
      </c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75" customHeight="1" x14ac:dyDescent="0.35">
      <c r="A51" s="4" t="s">
        <v>66</v>
      </c>
      <c r="B51" s="19" t="s">
        <v>19</v>
      </c>
      <c r="C51" s="19" t="s">
        <v>20</v>
      </c>
      <c r="D51" s="19">
        <v>10</v>
      </c>
      <c r="E51" s="19">
        <v>44890</v>
      </c>
      <c r="F51" s="19">
        <v>176250</v>
      </c>
      <c r="G51" s="19">
        <v>0</v>
      </c>
      <c r="H51" s="19">
        <v>0</v>
      </c>
      <c r="I51" s="19">
        <v>0</v>
      </c>
      <c r="J51" s="19">
        <v>196250</v>
      </c>
      <c r="K51" s="19">
        <f t="shared" si="0"/>
        <v>24890</v>
      </c>
      <c r="L51" s="20">
        <v>41620.769230769205</v>
      </c>
      <c r="M51" s="19">
        <v>26</v>
      </c>
      <c r="N51" s="20">
        <f t="shared" ref="N51:N71" si="7">(L51/(I51+J51))*M51</f>
        <v>5.5140891719745184</v>
      </c>
      <c r="O51" s="18"/>
      <c r="P51" s="6">
        <v>2503</v>
      </c>
      <c r="Q51" s="7">
        <f t="shared" si="1"/>
        <v>491213750</v>
      </c>
      <c r="R51" s="7">
        <f t="shared" si="2"/>
        <v>104176785.38461532</v>
      </c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75" customHeight="1" x14ac:dyDescent="0.35">
      <c r="A52" s="4" t="s">
        <v>67</v>
      </c>
      <c r="B52" s="19" t="s">
        <v>19</v>
      </c>
      <c r="C52" s="19" t="s">
        <v>20</v>
      </c>
      <c r="D52" s="19">
        <v>10</v>
      </c>
      <c r="E52" s="19">
        <v>1698</v>
      </c>
      <c r="F52" s="19">
        <v>0</v>
      </c>
      <c r="G52" s="19">
        <v>0</v>
      </c>
      <c r="H52" s="19">
        <v>0</v>
      </c>
      <c r="I52" s="19">
        <v>0</v>
      </c>
      <c r="J52" s="19">
        <v>1387</v>
      </c>
      <c r="K52" s="19">
        <f t="shared" si="0"/>
        <v>311</v>
      </c>
      <c r="L52" s="20">
        <v>442</v>
      </c>
      <c r="M52" s="19">
        <v>26</v>
      </c>
      <c r="N52" s="20">
        <f t="shared" si="7"/>
        <v>8.2855082912761358</v>
      </c>
      <c r="O52" s="18"/>
      <c r="P52" s="6">
        <v>2103</v>
      </c>
      <c r="Q52" s="7">
        <f t="shared" si="1"/>
        <v>2916861</v>
      </c>
      <c r="R52" s="7">
        <f t="shared" si="2"/>
        <v>929526</v>
      </c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75" customHeight="1" x14ac:dyDescent="0.35">
      <c r="A53" s="4" t="s">
        <v>68</v>
      </c>
      <c r="B53" s="19" t="s">
        <v>19</v>
      </c>
      <c r="C53" s="19" t="s">
        <v>20</v>
      </c>
      <c r="D53" s="19">
        <v>10</v>
      </c>
      <c r="E53" s="19">
        <v>12854</v>
      </c>
      <c r="F53" s="19">
        <v>26150</v>
      </c>
      <c r="G53" s="19">
        <v>0</v>
      </c>
      <c r="H53" s="19">
        <v>0</v>
      </c>
      <c r="I53" s="19">
        <v>0</v>
      </c>
      <c r="J53" s="19">
        <v>10000</v>
      </c>
      <c r="K53" s="19">
        <f t="shared" si="0"/>
        <v>29004</v>
      </c>
      <c r="L53" s="20">
        <v>31825.428571428602</v>
      </c>
      <c r="M53" s="19">
        <v>26</v>
      </c>
      <c r="N53" s="20">
        <f t="shared" si="7"/>
        <v>82.746114285714356</v>
      </c>
      <c r="O53" s="18"/>
      <c r="P53" s="6">
        <v>2802</v>
      </c>
      <c r="Q53" s="7">
        <f t="shared" si="1"/>
        <v>28020000</v>
      </c>
      <c r="R53" s="7">
        <f t="shared" si="2"/>
        <v>89174850.85714294</v>
      </c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75" customHeight="1" x14ac:dyDescent="0.35">
      <c r="A54" s="4" t="s">
        <v>69</v>
      </c>
      <c r="B54" s="19" t="s">
        <v>19</v>
      </c>
      <c r="C54" s="19" t="s">
        <v>20</v>
      </c>
      <c r="D54" s="19">
        <v>10</v>
      </c>
      <c r="E54" s="19">
        <v>12500</v>
      </c>
      <c r="F54" s="19">
        <v>138750</v>
      </c>
      <c r="G54" s="19">
        <v>0</v>
      </c>
      <c r="H54" s="19">
        <v>0</v>
      </c>
      <c r="I54" s="19">
        <v>147300</v>
      </c>
      <c r="J54" s="19">
        <v>200</v>
      </c>
      <c r="K54" s="19">
        <f t="shared" si="0"/>
        <v>3750</v>
      </c>
      <c r="L54" s="20">
        <v>22113.461538461499</v>
      </c>
      <c r="M54" s="19">
        <v>26</v>
      </c>
      <c r="N54" s="20">
        <f t="shared" si="7"/>
        <v>3.8979661016949083</v>
      </c>
      <c r="O54" s="18"/>
      <c r="P54" s="6">
        <v>2126</v>
      </c>
      <c r="Q54" s="7">
        <f t="shared" si="1"/>
        <v>313585000</v>
      </c>
      <c r="R54" s="7">
        <f t="shared" si="2"/>
        <v>47013219.23076915</v>
      </c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75" customHeight="1" x14ac:dyDescent="0.35">
      <c r="A55" s="4" t="s">
        <v>70</v>
      </c>
      <c r="B55" s="19" t="s">
        <v>22</v>
      </c>
      <c r="C55" s="19" t="s">
        <v>20</v>
      </c>
      <c r="D55" s="19">
        <v>10</v>
      </c>
      <c r="E55" s="19">
        <v>22870</v>
      </c>
      <c r="F55" s="19">
        <v>70150</v>
      </c>
      <c r="G55" s="19">
        <v>0</v>
      </c>
      <c r="H55" s="19">
        <v>0</v>
      </c>
      <c r="I55" s="19">
        <v>72450</v>
      </c>
      <c r="J55" s="19">
        <v>11000</v>
      </c>
      <c r="K55" s="19">
        <f t="shared" si="0"/>
        <v>9570</v>
      </c>
      <c r="L55" s="20">
        <v>26460.384615384603</v>
      </c>
      <c r="M55" s="19">
        <v>26</v>
      </c>
      <c r="N55" s="20">
        <f t="shared" si="7"/>
        <v>8.2440982624325905</v>
      </c>
      <c r="O55" s="18"/>
      <c r="P55" s="6">
        <v>2846</v>
      </c>
      <c r="Q55" s="7">
        <f t="shared" si="1"/>
        <v>237498700</v>
      </c>
      <c r="R55" s="7">
        <f t="shared" si="2"/>
        <v>75306254.615384579</v>
      </c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75" customHeight="1" x14ac:dyDescent="0.35">
      <c r="A56" s="4" t="s">
        <v>189</v>
      </c>
      <c r="B56" s="19" t="s">
        <v>19</v>
      </c>
      <c r="C56" s="19" t="s">
        <v>20</v>
      </c>
      <c r="D56" s="19">
        <v>10</v>
      </c>
      <c r="E56" s="19">
        <v>0</v>
      </c>
      <c r="F56" s="19">
        <v>22750</v>
      </c>
      <c r="G56" s="19">
        <v>0</v>
      </c>
      <c r="H56" s="19">
        <v>0</v>
      </c>
      <c r="I56" s="19">
        <v>19500</v>
      </c>
      <c r="J56" s="19">
        <v>0</v>
      </c>
      <c r="K56" s="19">
        <f t="shared" si="0"/>
        <v>3250</v>
      </c>
      <c r="L56" s="20">
        <v>11582.142857142899</v>
      </c>
      <c r="M56" s="19">
        <v>26</v>
      </c>
      <c r="N56" s="20">
        <f t="shared" si="7"/>
        <v>15.442857142857198</v>
      </c>
      <c r="O56" s="18"/>
      <c r="P56" s="6">
        <v>2514</v>
      </c>
      <c r="Q56" s="7">
        <f t="shared" si="1"/>
        <v>49023000</v>
      </c>
      <c r="R56" s="7">
        <f t="shared" si="2"/>
        <v>29117507.142857246</v>
      </c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75" customHeight="1" x14ac:dyDescent="0.35">
      <c r="A57" s="4" t="s">
        <v>72</v>
      </c>
      <c r="B57" s="19" t="s">
        <v>19</v>
      </c>
      <c r="C57" s="19" t="s">
        <v>20</v>
      </c>
      <c r="D57" s="19">
        <v>10</v>
      </c>
      <c r="E57" s="19">
        <v>14889</v>
      </c>
      <c r="F57" s="19">
        <v>24464</v>
      </c>
      <c r="G57" s="19">
        <v>0</v>
      </c>
      <c r="H57" s="19">
        <v>0</v>
      </c>
      <c r="I57" s="19">
        <v>30290</v>
      </c>
      <c r="J57" s="19">
        <v>0</v>
      </c>
      <c r="K57" s="19">
        <f t="shared" si="0"/>
        <v>9063</v>
      </c>
      <c r="L57" s="20">
        <v>8254.1818181818198</v>
      </c>
      <c r="M57" s="19">
        <v>26</v>
      </c>
      <c r="N57" s="20">
        <f t="shared" si="7"/>
        <v>7.0851346078813906</v>
      </c>
      <c r="O57" s="18"/>
      <c r="P57" s="6">
        <v>1956</v>
      </c>
      <c r="Q57" s="7">
        <f t="shared" si="1"/>
        <v>59247240</v>
      </c>
      <c r="R57" s="7">
        <f t="shared" si="2"/>
        <v>16145179.63636364</v>
      </c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75" customHeight="1" x14ac:dyDescent="0.35">
      <c r="A58" s="4" t="s">
        <v>73</v>
      </c>
      <c r="B58" s="19" t="s">
        <v>19</v>
      </c>
      <c r="C58" s="19" t="s">
        <v>20</v>
      </c>
      <c r="D58" s="19">
        <v>10</v>
      </c>
      <c r="E58" s="19">
        <v>29061</v>
      </c>
      <c r="F58" s="19">
        <v>29084</v>
      </c>
      <c r="G58" s="19">
        <v>0</v>
      </c>
      <c r="H58" s="19">
        <v>0</v>
      </c>
      <c r="I58" s="19">
        <v>0</v>
      </c>
      <c r="J58" s="19">
        <v>40684</v>
      </c>
      <c r="K58" s="19">
        <f t="shared" si="0"/>
        <v>17461</v>
      </c>
      <c r="L58" s="20">
        <v>30419.777777777799</v>
      </c>
      <c r="M58" s="19">
        <v>26</v>
      </c>
      <c r="N58" s="20">
        <f t="shared" si="7"/>
        <v>19.440424300025139</v>
      </c>
      <c r="O58" s="18"/>
      <c r="P58" s="6">
        <v>3391</v>
      </c>
      <c r="Q58" s="7">
        <f t="shared" si="1"/>
        <v>137959444</v>
      </c>
      <c r="R58" s="7">
        <f t="shared" si="2"/>
        <v>103153466.44444452</v>
      </c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75" customHeight="1" x14ac:dyDescent="0.35">
      <c r="A59" s="4" t="s">
        <v>74</v>
      </c>
      <c r="B59" s="19" t="s">
        <v>19</v>
      </c>
      <c r="C59" s="19" t="s">
        <v>20</v>
      </c>
      <c r="D59" s="19">
        <v>10</v>
      </c>
      <c r="E59" s="19">
        <v>7175</v>
      </c>
      <c r="F59" s="19">
        <v>21225</v>
      </c>
      <c r="G59" s="19">
        <v>0</v>
      </c>
      <c r="H59" s="19">
        <v>0</v>
      </c>
      <c r="I59" s="19">
        <v>0</v>
      </c>
      <c r="J59" s="19">
        <v>26225</v>
      </c>
      <c r="K59" s="19">
        <f t="shared" si="0"/>
        <v>2175</v>
      </c>
      <c r="L59" s="20">
        <v>11176.470588235299</v>
      </c>
      <c r="M59" s="19">
        <v>26</v>
      </c>
      <c r="N59" s="20">
        <f t="shared" si="7"/>
        <v>11.080580945438237</v>
      </c>
      <c r="O59" s="18"/>
      <c r="P59" s="6">
        <v>3549</v>
      </c>
      <c r="Q59" s="7">
        <f t="shared" si="1"/>
        <v>93072525</v>
      </c>
      <c r="R59" s="7">
        <f t="shared" si="2"/>
        <v>39665294.117647074</v>
      </c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75" customHeight="1" x14ac:dyDescent="0.35">
      <c r="A60" s="4" t="s">
        <v>75</v>
      </c>
      <c r="B60" s="19" t="s">
        <v>19</v>
      </c>
      <c r="C60" s="19" t="s">
        <v>20</v>
      </c>
      <c r="D60" s="19">
        <v>10</v>
      </c>
      <c r="E60" s="19">
        <v>21652</v>
      </c>
      <c r="F60" s="19">
        <v>10135</v>
      </c>
      <c r="G60" s="19">
        <v>0</v>
      </c>
      <c r="H60" s="19">
        <v>0</v>
      </c>
      <c r="I60" s="19">
        <v>21417</v>
      </c>
      <c r="J60" s="19">
        <v>0</v>
      </c>
      <c r="K60" s="19">
        <f t="shared" si="0"/>
        <v>10370</v>
      </c>
      <c r="L60" s="20">
        <v>14734.1111111111</v>
      </c>
      <c r="M60" s="19">
        <v>26</v>
      </c>
      <c r="N60" s="20">
        <f t="shared" si="7"/>
        <v>17.887047153611086</v>
      </c>
      <c r="O60" s="18"/>
      <c r="P60" s="6">
        <v>2129</v>
      </c>
      <c r="Q60" s="7">
        <f t="shared" si="1"/>
        <v>45596793</v>
      </c>
      <c r="R60" s="7">
        <f t="shared" si="2"/>
        <v>31368922.555555534</v>
      </c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75" customHeight="1" x14ac:dyDescent="0.35">
      <c r="A61" s="4" t="s">
        <v>76</v>
      </c>
      <c r="B61" s="19" t="s">
        <v>19</v>
      </c>
      <c r="C61" s="19" t="s">
        <v>20</v>
      </c>
      <c r="D61" s="19">
        <v>10</v>
      </c>
      <c r="E61" s="19">
        <v>0</v>
      </c>
      <c r="F61" s="19">
        <v>14436</v>
      </c>
      <c r="G61" s="19">
        <v>0</v>
      </c>
      <c r="H61" s="19">
        <v>0</v>
      </c>
      <c r="I61" s="19">
        <v>10729</v>
      </c>
      <c r="J61" s="19">
        <v>0</v>
      </c>
      <c r="K61" s="19">
        <f t="shared" si="0"/>
        <v>3707</v>
      </c>
      <c r="L61" s="20">
        <v>6930</v>
      </c>
      <c r="M61" s="19">
        <v>26</v>
      </c>
      <c r="N61" s="20">
        <f t="shared" si="7"/>
        <v>16.79373660173362</v>
      </c>
      <c r="O61" s="18"/>
      <c r="P61" s="6">
        <v>2129</v>
      </c>
      <c r="Q61" s="7">
        <f t="shared" si="1"/>
        <v>22842041</v>
      </c>
      <c r="R61" s="7">
        <f t="shared" si="2"/>
        <v>14753970</v>
      </c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75" customHeight="1" x14ac:dyDescent="0.35">
      <c r="A62" s="4" t="s">
        <v>77</v>
      </c>
      <c r="B62" s="19" t="s">
        <v>19</v>
      </c>
      <c r="C62" s="19" t="s">
        <v>20</v>
      </c>
      <c r="D62" s="19">
        <v>10</v>
      </c>
      <c r="E62" s="19">
        <v>1869</v>
      </c>
      <c r="F62" s="19">
        <v>0</v>
      </c>
      <c r="G62" s="19">
        <v>0</v>
      </c>
      <c r="H62" s="19">
        <v>0</v>
      </c>
      <c r="I62" s="19">
        <v>400</v>
      </c>
      <c r="J62" s="19">
        <v>0</v>
      </c>
      <c r="K62" s="19">
        <f t="shared" si="0"/>
        <v>1469</v>
      </c>
      <c r="L62" s="20">
        <v>1619</v>
      </c>
      <c r="M62" s="19">
        <v>26</v>
      </c>
      <c r="N62" s="20">
        <f t="shared" si="7"/>
        <v>105.23500000000001</v>
      </c>
      <c r="O62" s="18"/>
      <c r="P62" s="6">
        <v>2131</v>
      </c>
      <c r="Q62" s="7">
        <f t="shared" si="1"/>
        <v>852400</v>
      </c>
      <c r="R62" s="7">
        <f t="shared" si="2"/>
        <v>3450089</v>
      </c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75" customHeight="1" x14ac:dyDescent="0.35">
      <c r="A63" s="4" t="s">
        <v>78</v>
      </c>
      <c r="B63" s="19" t="s">
        <v>19</v>
      </c>
      <c r="C63" s="19" t="s">
        <v>20</v>
      </c>
      <c r="D63" s="19">
        <v>10</v>
      </c>
      <c r="E63" s="19">
        <v>9186</v>
      </c>
      <c r="F63" s="19">
        <v>0</v>
      </c>
      <c r="G63" s="19">
        <v>0</v>
      </c>
      <c r="H63" s="19">
        <v>0</v>
      </c>
      <c r="I63" s="19">
        <v>2500</v>
      </c>
      <c r="J63" s="19">
        <v>0</v>
      </c>
      <c r="K63" s="19">
        <f t="shared" si="0"/>
        <v>6686</v>
      </c>
      <c r="L63" s="20">
        <v>7311</v>
      </c>
      <c r="M63" s="19">
        <v>26</v>
      </c>
      <c r="N63" s="20">
        <f t="shared" si="7"/>
        <v>76.034399999999991</v>
      </c>
      <c r="O63" s="18"/>
      <c r="P63" s="6">
        <v>2131</v>
      </c>
      <c r="Q63" s="7">
        <f t="shared" si="1"/>
        <v>5327500</v>
      </c>
      <c r="R63" s="7">
        <f t="shared" si="2"/>
        <v>15579741</v>
      </c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75" customHeight="1" x14ac:dyDescent="0.35">
      <c r="A64" s="4" t="s">
        <v>79</v>
      </c>
      <c r="B64" s="19" t="s">
        <v>19</v>
      </c>
      <c r="C64" s="19" t="s">
        <v>20</v>
      </c>
      <c r="D64" s="19">
        <v>10</v>
      </c>
      <c r="E64" s="19">
        <v>16812</v>
      </c>
      <c r="F64" s="19">
        <v>58750</v>
      </c>
      <c r="G64" s="19">
        <v>0</v>
      </c>
      <c r="H64" s="19">
        <v>0</v>
      </c>
      <c r="I64" s="19">
        <v>47900</v>
      </c>
      <c r="J64" s="19">
        <v>0</v>
      </c>
      <c r="K64" s="19">
        <f t="shared" si="0"/>
        <v>27662</v>
      </c>
      <c r="L64" s="20">
        <v>31501.705882352901</v>
      </c>
      <c r="M64" s="19">
        <v>26</v>
      </c>
      <c r="N64" s="20">
        <f t="shared" si="7"/>
        <v>17.099047034262533</v>
      </c>
      <c r="O64" s="18"/>
      <c r="P64" s="6">
        <v>2245</v>
      </c>
      <c r="Q64" s="7">
        <f t="shared" si="1"/>
        <v>107535500</v>
      </c>
      <c r="R64" s="7">
        <f t="shared" si="2"/>
        <v>70721329.705882266</v>
      </c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75" customHeight="1" x14ac:dyDescent="0.35">
      <c r="A65" s="4" t="s">
        <v>80</v>
      </c>
      <c r="B65" s="19" t="s">
        <v>19</v>
      </c>
      <c r="C65" s="19" t="s">
        <v>20</v>
      </c>
      <c r="D65" s="19">
        <v>10</v>
      </c>
      <c r="E65" s="19">
        <v>10773</v>
      </c>
      <c r="F65" s="19">
        <v>48771</v>
      </c>
      <c r="G65" s="19">
        <v>0</v>
      </c>
      <c r="H65" s="19">
        <v>0</v>
      </c>
      <c r="I65" s="19">
        <v>49821</v>
      </c>
      <c r="J65" s="19">
        <v>0</v>
      </c>
      <c r="K65" s="19">
        <f t="shared" si="0"/>
        <v>9723</v>
      </c>
      <c r="L65" s="20">
        <v>21879.4</v>
      </c>
      <c r="M65" s="19">
        <v>26</v>
      </c>
      <c r="N65" s="20">
        <f t="shared" si="7"/>
        <v>11.418165030810302</v>
      </c>
      <c r="O65" s="18"/>
      <c r="P65" s="6">
        <v>2121</v>
      </c>
      <c r="Q65" s="7">
        <f t="shared" si="1"/>
        <v>105670341</v>
      </c>
      <c r="R65" s="7">
        <f t="shared" si="2"/>
        <v>46406207.400000006</v>
      </c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75" customHeight="1" x14ac:dyDescent="0.35">
      <c r="A66" s="4" t="s">
        <v>81</v>
      </c>
      <c r="B66" s="19" t="s">
        <v>19</v>
      </c>
      <c r="C66" s="19" t="s">
        <v>20</v>
      </c>
      <c r="D66" s="19">
        <v>10</v>
      </c>
      <c r="E66" s="19">
        <v>0</v>
      </c>
      <c r="F66" s="19">
        <v>2100</v>
      </c>
      <c r="G66" s="19">
        <v>0</v>
      </c>
      <c r="H66" s="19">
        <v>0</v>
      </c>
      <c r="I66" s="19">
        <v>900</v>
      </c>
      <c r="J66" s="19">
        <v>0</v>
      </c>
      <c r="K66" s="19">
        <f t="shared" si="0"/>
        <v>1200</v>
      </c>
      <c r="L66" s="20">
        <v>1783.3333333333301</v>
      </c>
      <c r="M66" s="19">
        <v>26</v>
      </c>
      <c r="N66" s="20">
        <f t="shared" si="7"/>
        <v>51.518518518518427</v>
      </c>
      <c r="O66" s="18"/>
      <c r="P66" s="6">
        <v>2131</v>
      </c>
      <c r="Q66" s="7">
        <f t="shared" si="1"/>
        <v>1917900</v>
      </c>
      <c r="R66" s="7">
        <f t="shared" si="2"/>
        <v>3800283.3333333265</v>
      </c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75" customHeight="1" x14ac:dyDescent="0.35">
      <c r="A67" s="4" t="s">
        <v>82</v>
      </c>
      <c r="B67" s="19" t="s">
        <v>19</v>
      </c>
      <c r="C67" s="19" t="s">
        <v>20</v>
      </c>
      <c r="D67" s="19">
        <v>10</v>
      </c>
      <c r="E67" s="19">
        <v>2091</v>
      </c>
      <c r="F67" s="19">
        <v>1000</v>
      </c>
      <c r="G67" s="19">
        <v>0</v>
      </c>
      <c r="H67" s="19">
        <v>0</v>
      </c>
      <c r="I67" s="19">
        <v>0</v>
      </c>
      <c r="J67" s="19">
        <v>1170</v>
      </c>
      <c r="K67" s="19">
        <f t="shared" si="0"/>
        <v>1921</v>
      </c>
      <c r="L67" s="20">
        <v>1361</v>
      </c>
      <c r="M67" s="19">
        <v>26</v>
      </c>
      <c r="N67" s="20">
        <f t="shared" si="7"/>
        <v>30.244444444444447</v>
      </c>
      <c r="O67" s="18"/>
      <c r="P67" s="6">
        <v>4592</v>
      </c>
      <c r="Q67" s="7">
        <f t="shared" si="1"/>
        <v>5372640</v>
      </c>
      <c r="R67" s="7">
        <f t="shared" si="2"/>
        <v>6249712</v>
      </c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75" customHeight="1" x14ac:dyDescent="0.35">
      <c r="A68" s="4" t="s">
        <v>83</v>
      </c>
      <c r="B68" s="19" t="s">
        <v>19</v>
      </c>
      <c r="C68" s="19" t="s">
        <v>20</v>
      </c>
      <c r="D68" s="19">
        <v>10</v>
      </c>
      <c r="E68" s="19">
        <v>15194</v>
      </c>
      <c r="F68" s="19">
        <v>0</v>
      </c>
      <c r="G68" s="19">
        <v>0</v>
      </c>
      <c r="H68" s="19">
        <v>0</v>
      </c>
      <c r="I68" s="19">
        <v>0</v>
      </c>
      <c r="J68" s="19">
        <v>5850</v>
      </c>
      <c r="K68" s="19">
        <f t="shared" si="0"/>
        <v>9344</v>
      </c>
      <c r="L68" s="20">
        <v>11619</v>
      </c>
      <c r="M68" s="19">
        <v>26</v>
      </c>
      <c r="N68" s="20">
        <f t="shared" si="7"/>
        <v>51.64</v>
      </c>
      <c r="O68" s="18"/>
      <c r="P68" s="6">
        <v>2297</v>
      </c>
      <c r="Q68" s="7">
        <f t="shared" si="1"/>
        <v>13437450</v>
      </c>
      <c r="R68" s="7">
        <f t="shared" si="2"/>
        <v>26688843</v>
      </c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75" customHeight="1" x14ac:dyDescent="0.35">
      <c r="A69" s="4" t="s">
        <v>84</v>
      </c>
      <c r="B69" s="19" t="s">
        <v>19</v>
      </c>
      <c r="C69" s="19" t="s">
        <v>20</v>
      </c>
      <c r="D69" s="19">
        <v>10</v>
      </c>
      <c r="E69" s="19">
        <v>1300</v>
      </c>
      <c r="F69" s="19">
        <v>1000</v>
      </c>
      <c r="G69" s="19">
        <v>0</v>
      </c>
      <c r="H69" s="19">
        <v>0</v>
      </c>
      <c r="I69" s="19">
        <v>0</v>
      </c>
      <c r="J69" s="19">
        <v>925</v>
      </c>
      <c r="K69" s="19">
        <f t="shared" si="0"/>
        <v>1375</v>
      </c>
      <c r="L69" s="20">
        <v>1165</v>
      </c>
      <c r="M69" s="19">
        <v>26</v>
      </c>
      <c r="N69" s="20">
        <f t="shared" si="7"/>
        <v>32.745945945945948</v>
      </c>
      <c r="O69" s="18"/>
      <c r="P69" s="6">
        <v>4592</v>
      </c>
      <c r="Q69" s="7">
        <f t="shared" si="1"/>
        <v>4247600</v>
      </c>
      <c r="R69" s="7">
        <f t="shared" si="2"/>
        <v>5349680</v>
      </c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75" customHeight="1" x14ac:dyDescent="0.35">
      <c r="A70" s="4" t="s">
        <v>85</v>
      </c>
      <c r="B70" s="19" t="s">
        <v>22</v>
      </c>
      <c r="C70" s="19" t="s">
        <v>20</v>
      </c>
      <c r="D70" s="19">
        <v>10</v>
      </c>
      <c r="E70" s="19">
        <v>23305</v>
      </c>
      <c r="F70" s="19">
        <v>82725</v>
      </c>
      <c r="G70" s="19">
        <v>0</v>
      </c>
      <c r="H70" s="19">
        <v>0</v>
      </c>
      <c r="I70" s="19">
        <v>0</v>
      </c>
      <c r="J70" s="19">
        <v>86740</v>
      </c>
      <c r="K70" s="19">
        <f t="shared" si="0"/>
        <v>19290</v>
      </c>
      <c r="L70" s="20">
        <v>18346.842105263197</v>
      </c>
      <c r="M70" s="19">
        <v>26</v>
      </c>
      <c r="N70" s="20">
        <f t="shared" si="7"/>
        <v>5.4993992937150464</v>
      </c>
      <c r="O70" s="18"/>
      <c r="P70" s="6">
        <v>1419</v>
      </c>
      <c r="Q70" s="7">
        <f t="shared" si="1"/>
        <v>123084060</v>
      </c>
      <c r="R70" s="7">
        <f t="shared" si="2"/>
        <v>26034168.947368477</v>
      </c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75" customHeight="1" x14ac:dyDescent="0.35">
      <c r="A71" s="4" t="s">
        <v>86</v>
      </c>
      <c r="B71" s="19" t="s">
        <v>19</v>
      </c>
      <c r="C71" s="19" t="s">
        <v>20</v>
      </c>
      <c r="D71" s="19">
        <v>10</v>
      </c>
      <c r="E71" s="19">
        <v>5410</v>
      </c>
      <c r="F71" s="19">
        <v>0</v>
      </c>
      <c r="G71" s="19">
        <v>0</v>
      </c>
      <c r="H71" s="19">
        <v>0</v>
      </c>
      <c r="I71" s="19">
        <v>0</v>
      </c>
      <c r="J71" s="19">
        <v>2218</v>
      </c>
      <c r="K71" s="19">
        <f t="shared" si="0"/>
        <v>3192</v>
      </c>
      <c r="L71" s="20">
        <v>3754</v>
      </c>
      <c r="M71" s="19">
        <v>26</v>
      </c>
      <c r="N71" s="20">
        <f t="shared" si="7"/>
        <v>44.005410279531105</v>
      </c>
      <c r="O71" s="18"/>
      <c r="P71" s="6">
        <v>4592</v>
      </c>
      <c r="Q71" s="7">
        <f t="shared" si="1"/>
        <v>10185056</v>
      </c>
      <c r="R71" s="7">
        <f t="shared" si="2"/>
        <v>17238368</v>
      </c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75" customHeight="1" x14ac:dyDescent="0.35">
      <c r="A72" s="4" t="s">
        <v>190</v>
      </c>
      <c r="B72" s="19" t="s">
        <v>19</v>
      </c>
      <c r="C72" s="19" t="s">
        <v>20</v>
      </c>
      <c r="D72" s="19">
        <v>10</v>
      </c>
      <c r="E72" s="19">
        <v>0</v>
      </c>
      <c r="F72" s="19">
        <v>3025</v>
      </c>
      <c r="G72" s="19">
        <v>0</v>
      </c>
      <c r="H72" s="19">
        <v>0</v>
      </c>
      <c r="I72" s="19">
        <v>0</v>
      </c>
      <c r="J72" s="19">
        <v>0</v>
      </c>
      <c r="K72" s="19">
        <f t="shared" si="0"/>
        <v>3025</v>
      </c>
      <c r="L72" s="20">
        <v>3025</v>
      </c>
      <c r="M72" s="19">
        <v>26</v>
      </c>
      <c r="N72" s="20">
        <v>0</v>
      </c>
      <c r="O72" s="18"/>
      <c r="P72" s="6">
        <v>2103</v>
      </c>
      <c r="Q72" s="7">
        <f t="shared" si="1"/>
        <v>0</v>
      </c>
      <c r="R72" s="7">
        <f t="shared" si="2"/>
        <v>6361575</v>
      </c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75" customHeight="1" x14ac:dyDescent="0.35">
      <c r="A73" s="4" t="s">
        <v>88</v>
      </c>
      <c r="B73" s="19" t="s">
        <v>19</v>
      </c>
      <c r="C73" s="19" t="s">
        <v>20</v>
      </c>
      <c r="D73" s="19">
        <v>10</v>
      </c>
      <c r="E73" s="19">
        <v>24400</v>
      </c>
      <c r="F73" s="19">
        <v>0</v>
      </c>
      <c r="G73" s="19">
        <v>0</v>
      </c>
      <c r="H73" s="19">
        <v>0</v>
      </c>
      <c r="I73" s="19">
        <v>0</v>
      </c>
      <c r="J73" s="19">
        <v>7825</v>
      </c>
      <c r="K73" s="19">
        <f t="shared" si="0"/>
        <v>16575</v>
      </c>
      <c r="L73" s="20">
        <v>19808.333333333303</v>
      </c>
      <c r="M73" s="19">
        <v>26</v>
      </c>
      <c r="N73" s="20">
        <f t="shared" ref="N73:N78" si="8">(L73/(I73+J73))*M73</f>
        <v>65.81682641107551</v>
      </c>
      <c r="O73" s="18"/>
      <c r="P73" s="6">
        <v>2103</v>
      </c>
      <c r="Q73" s="7">
        <f t="shared" si="1"/>
        <v>16455975</v>
      </c>
      <c r="R73" s="7">
        <f t="shared" si="2"/>
        <v>41656924.999999933</v>
      </c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75" customHeight="1" x14ac:dyDescent="0.35">
      <c r="A74" s="4" t="s">
        <v>89</v>
      </c>
      <c r="B74" s="19" t="s">
        <v>19</v>
      </c>
      <c r="C74" s="19" t="s">
        <v>20</v>
      </c>
      <c r="D74" s="19">
        <v>10</v>
      </c>
      <c r="E74" s="19">
        <v>1624</v>
      </c>
      <c r="F74" s="19">
        <v>2020</v>
      </c>
      <c r="G74" s="19">
        <v>0</v>
      </c>
      <c r="H74" s="19">
        <v>0</v>
      </c>
      <c r="I74" s="19">
        <v>0</v>
      </c>
      <c r="J74" s="19">
        <v>1580</v>
      </c>
      <c r="K74" s="19">
        <f t="shared" si="0"/>
        <v>2064</v>
      </c>
      <c r="L74" s="20">
        <v>1734</v>
      </c>
      <c r="M74" s="19">
        <v>26</v>
      </c>
      <c r="N74" s="20">
        <f t="shared" si="8"/>
        <v>28.534177215189874</v>
      </c>
      <c r="O74" s="18"/>
      <c r="P74" s="6">
        <v>4592</v>
      </c>
      <c r="Q74" s="7">
        <f t="shared" si="1"/>
        <v>7255360</v>
      </c>
      <c r="R74" s="7">
        <f t="shared" si="2"/>
        <v>7962528</v>
      </c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75" customHeight="1" x14ac:dyDescent="0.35">
      <c r="A75" s="4" t="s">
        <v>90</v>
      </c>
      <c r="B75" s="19" t="s">
        <v>19</v>
      </c>
      <c r="C75" s="19" t="s">
        <v>20</v>
      </c>
      <c r="D75" s="19">
        <v>10</v>
      </c>
      <c r="E75" s="19">
        <v>813</v>
      </c>
      <c r="F75" s="19">
        <v>4069</v>
      </c>
      <c r="G75" s="19">
        <v>0</v>
      </c>
      <c r="H75" s="19">
        <v>0</v>
      </c>
      <c r="I75" s="19">
        <v>0</v>
      </c>
      <c r="J75" s="19">
        <v>1625</v>
      </c>
      <c r="K75" s="19">
        <f t="shared" si="0"/>
        <v>3257</v>
      </c>
      <c r="L75" s="20">
        <v>3592.75</v>
      </c>
      <c r="M75" s="19">
        <v>26</v>
      </c>
      <c r="N75" s="20">
        <f t="shared" si="8"/>
        <v>57.484000000000002</v>
      </c>
      <c r="O75" s="18"/>
      <c r="P75" s="6">
        <v>2297</v>
      </c>
      <c r="Q75" s="7">
        <f t="shared" si="1"/>
        <v>3732625</v>
      </c>
      <c r="R75" s="7">
        <f t="shared" si="2"/>
        <v>8252546.75</v>
      </c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75" customHeight="1" x14ac:dyDescent="0.35">
      <c r="A76" s="4" t="s">
        <v>91</v>
      </c>
      <c r="B76" s="19" t="s">
        <v>19</v>
      </c>
      <c r="C76" s="19" t="s">
        <v>20</v>
      </c>
      <c r="D76" s="19">
        <v>10</v>
      </c>
      <c r="E76" s="19">
        <v>1362</v>
      </c>
      <c r="F76" s="19">
        <v>0</v>
      </c>
      <c r="G76" s="19">
        <v>0</v>
      </c>
      <c r="H76" s="19">
        <v>0</v>
      </c>
      <c r="I76" s="19">
        <v>0</v>
      </c>
      <c r="J76" s="19">
        <v>412</v>
      </c>
      <c r="K76" s="19">
        <f t="shared" si="0"/>
        <v>950</v>
      </c>
      <c r="L76" s="20">
        <v>1112.5</v>
      </c>
      <c r="M76" s="19">
        <v>26</v>
      </c>
      <c r="N76" s="20">
        <f t="shared" si="8"/>
        <v>70.206310679611647</v>
      </c>
      <c r="O76" s="18"/>
      <c r="P76" s="6">
        <v>2616</v>
      </c>
      <c r="Q76" s="7">
        <f t="shared" si="1"/>
        <v>1077792</v>
      </c>
      <c r="R76" s="7">
        <f t="shared" si="2"/>
        <v>2910300</v>
      </c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75" customHeight="1" x14ac:dyDescent="0.35">
      <c r="A77" s="4" t="s">
        <v>92</v>
      </c>
      <c r="B77" s="19" t="s">
        <v>22</v>
      </c>
      <c r="C77" s="19" t="s">
        <v>20</v>
      </c>
      <c r="D77" s="19">
        <v>10</v>
      </c>
      <c r="E77" s="19">
        <v>13250</v>
      </c>
      <c r="F77" s="19">
        <v>103125</v>
      </c>
      <c r="G77" s="19">
        <v>0</v>
      </c>
      <c r="H77" s="19">
        <v>0</v>
      </c>
      <c r="I77" s="19">
        <v>0</v>
      </c>
      <c r="J77" s="19">
        <v>89050</v>
      </c>
      <c r="K77" s="19">
        <f t="shared" si="0"/>
        <v>27325</v>
      </c>
      <c r="L77" s="20">
        <v>15293.4210526316</v>
      </c>
      <c r="M77" s="19">
        <v>26</v>
      </c>
      <c r="N77" s="20">
        <f t="shared" si="8"/>
        <v>4.4652324241260146</v>
      </c>
      <c r="O77" s="18"/>
      <c r="P77" s="6">
        <v>1419</v>
      </c>
      <c r="Q77" s="7">
        <f t="shared" si="1"/>
        <v>126361950</v>
      </c>
      <c r="R77" s="7">
        <f t="shared" si="2"/>
        <v>21701364.47368424</v>
      </c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75" customHeight="1" x14ac:dyDescent="0.35">
      <c r="A78" s="4" t="s">
        <v>93</v>
      </c>
      <c r="B78" s="19" t="s">
        <v>19</v>
      </c>
      <c r="C78" s="19" t="s">
        <v>20</v>
      </c>
      <c r="D78" s="19">
        <v>10</v>
      </c>
      <c r="E78" s="19">
        <v>1958</v>
      </c>
      <c r="F78" s="19">
        <v>0</v>
      </c>
      <c r="G78" s="19">
        <v>0</v>
      </c>
      <c r="H78" s="19">
        <v>0</v>
      </c>
      <c r="I78" s="19">
        <v>0</v>
      </c>
      <c r="J78" s="19">
        <v>900</v>
      </c>
      <c r="K78" s="19">
        <f t="shared" si="0"/>
        <v>1058</v>
      </c>
      <c r="L78" s="20">
        <v>1358</v>
      </c>
      <c r="M78" s="19">
        <v>26</v>
      </c>
      <c r="N78" s="20">
        <f t="shared" si="8"/>
        <v>39.231111111111112</v>
      </c>
      <c r="O78" s="18"/>
      <c r="P78" s="6">
        <v>2616</v>
      </c>
      <c r="Q78" s="7">
        <f t="shared" si="1"/>
        <v>2354400</v>
      </c>
      <c r="R78" s="7">
        <f t="shared" si="2"/>
        <v>3552528</v>
      </c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75" customHeight="1" x14ac:dyDescent="0.35">
      <c r="A79" s="4" t="s">
        <v>94</v>
      </c>
      <c r="B79" s="19" t="s">
        <v>19</v>
      </c>
      <c r="C79" s="19" t="s">
        <v>20</v>
      </c>
      <c r="D79" s="19">
        <v>10</v>
      </c>
      <c r="E79" s="19">
        <v>360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f t="shared" si="0"/>
        <v>360</v>
      </c>
      <c r="L79" s="20">
        <v>0</v>
      </c>
      <c r="M79" s="19">
        <v>26</v>
      </c>
      <c r="N79" s="20">
        <v>0</v>
      </c>
      <c r="O79" s="18"/>
      <c r="P79" s="6">
        <v>7550</v>
      </c>
      <c r="Q79" s="7">
        <f t="shared" si="1"/>
        <v>0</v>
      </c>
      <c r="R79" s="7">
        <f t="shared" si="2"/>
        <v>0</v>
      </c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75" customHeight="1" x14ac:dyDescent="0.35">
      <c r="A80" s="4" t="s">
        <v>95</v>
      </c>
      <c r="B80" s="19" t="s">
        <v>19</v>
      </c>
      <c r="C80" s="19" t="s">
        <v>20</v>
      </c>
      <c r="D80" s="19">
        <v>10</v>
      </c>
      <c r="E80" s="19">
        <v>4160</v>
      </c>
      <c r="F80" s="19">
        <v>53478</v>
      </c>
      <c r="G80" s="19">
        <v>0</v>
      </c>
      <c r="H80" s="19">
        <v>0</v>
      </c>
      <c r="I80" s="19">
        <v>51731</v>
      </c>
      <c r="J80" s="19">
        <v>0</v>
      </c>
      <c r="K80" s="19">
        <f t="shared" si="0"/>
        <v>5907</v>
      </c>
      <c r="L80" s="20">
        <v>10288.608695652201</v>
      </c>
      <c r="M80" s="19">
        <v>26</v>
      </c>
      <c r="N80" s="20">
        <f t="shared" ref="N80:N100" si="9">(L80/(I80+J80))*M80</f>
        <v>5.1710546111027673</v>
      </c>
      <c r="O80" s="18"/>
      <c r="P80" s="6">
        <v>7550</v>
      </c>
      <c r="Q80" s="7">
        <f t="shared" si="1"/>
        <v>390569050</v>
      </c>
      <c r="R80" s="7">
        <f t="shared" si="2"/>
        <v>77678995.652174115</v>
      </c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75" customHeight="1" x14ac:dyDescent="0.35">
      <c r="A81" s="4" t="s">
        <v>96</v>
      </c>
      <c r="B81" s="19" t="s">
        <v>19</v>
      </c>
      <c r="C81" s="19" t="s">
        <v>20</v>
      </c>
      <c r="D81" s="19">
        <v>10</v>
      </c>
      <c r="E81" s="19">
        <v>5194</v>
      </c>
      <c r="F81" s="19">
        <v>2100</v>
      </c>
      <c r="G81" s="19">
        <v>0</v>
      </c>
      <c r="H81" s="19">
        <v>0</v>
      </c>
      <c r="I81" s="19">
        <v>0</v>
      </c>
      <c r="J81" s="19">
        <v>3430</v>
      </c>
      <c r="K81" s="19">
        <f t="shared" si="0"/>
        <v>3864</v>
      </c>
      <c r="L81" s="20">
        <v>4264</v>
      </c>
      <c r="M81" s="19">
        <v>26</v>
      </c>
      <c r="N81" s="20">
        <f t="shared" si="9"/>
        <v>32.321865889212823</v>
      </c>
      <c r="O81" s="18"/>
      <c r="P81" s="6">
        <v>4592</v>
      </c>
      <c r="Q81" s="7">
        <f t="shared" si="1"/>
        <v>15750560</v>
      </c>
      <c r="R81" s="7">
        <f t="shared" si="2"/>
        <v>19580288</v>
      </c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75" customHeight="1" x14ac:dyDescent="0.35">
      <c r="A82" s="4" t="s">
        <v>97</v>
      </c>
      <c r="B82" s="19" t="s">
        <v>19</v>
      </c>
      <c r="C82" s="19" t="s">
        <v>20</v>
      </c>
      <c r="D82" s="19">
        <v>10</v>
      </c>
      <c r="E82" s="19">
        <v>2905</v>
      </c>
      <c r="F82" s="19">
        <v>8975</v>
      </c>
      <c r="G82" s="19">
        <v>0</v>
      </c>
      <c r="H82" s="19">
        <v>0</v>
      </c>
      <c r="I82" s="19">
        <v>0</v>
      </c>
      <c r="J82" s="19">
        <v>7800</v>
      </c>
      <c r="K82" s="19">
        <f t="shared" si="0"/>
        <v>4080</v>
      </c>
      <c r="L82" s="20">
        <v>5126.875</v>
      </c>
      <c r="M82" s="19">
        <v>26</v>
      </c>
      <c r="N82" s="20">
        <f t="shared" si="9"/>
        <v>17.089583333333334</v>
      </c>
      <c r="O82" s="18"/>
      <c r="P82" s="6">
        <v>2297</v>
      </c>
      <c r="Q82" s="7">
        <f t="shared" si="1"/>
        <v>17916600</v>
      </c>
      <c r="R82" s="7">
        <f t="shared" si="2"/>
        <v>11776431.875</v>
      </c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75" customHeight="1" x14ac:dyDescent="0.35">
      <c r="A83" s="4" t="s">
        <v>98</v>
      </c>
      <c r="B83" s="19" t="s">
        <v>19</v>
      </c>
      <c r="C83" s="19" t="s">
        <v>20</v>
      </c>
      <c r="D83" s="19">
        <v>10</v>
      </c>
      <c r="E83" s="19">
        <v>500</v>
      </c>
      <c r="F83" s="19">
        <v>1050</v>
      </c>
      <c r="G83" s="19">
        <v>0</v>
      </c>
      <c r="H83" s="19">
        <v>0</v>
      </c>
      <c r="I83" s="19">
        <v>0</v>
      </c>
      <c r="J83" s="19">
        <v>900</v>
      </c>
      <c r="K83" s="19">
        <f t="shared" si="0"/>
        <v>650</v>
      </c>
      <c r="L83" s="20">
        <v>1187.5</v>
      </c>
      <c r="M83" s="19">
        <v>26</v>
      </c>
      <c r="N83" s="20">
        <f t="shared" si="9"/>
        <v>34.305555555555557</v>
      </c>
      <c r="O83" s="18"/>
      <c r="P83" s="6">
        <v>2616</v>
      </c>
      <c r="Q83" s="7">
        <f t="shared" si="1"/>
        <v>2354400</v>
      </c>
      <c r="R83" s="7">
        <f t="shared" si="2"/>
        <v>3106500</v>
      </c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75" customHeight="1" x14ac:dyDescent="0.35">
      <c r="A84" s="4" t="s">
        <v>99</v>
      </c>
      <c r="B84" s="19" t="s">
        <v>22</v>
      </c>
      <c r="C84" s="19" t="s">
        <v>20</v>
      </c>
      <c r="D84" s="19">
        <v>10</v>
      </c>
      <c r="E84" s="19">
        <v>8040</v>
      </c>
      <c r="F84" s="19">
        <v>55500</v>
      </c>
      <c r="G84" s="19">
        <v>0</v>
      </c>
      <c r="H84" s="19">
        <v>0</v>
      </c>
      <c r="I84" s="19">
        <v>0</v>
      </c>
      <c r="J84" s="19">
        <v>47550</v>
      </c>
      <c r="K84" s="19">
        <f t="shared" si="0"/>
        <v>15990</v>
      </c>
      <c r="L84" s="20">
        <v>14568.5714285714</v>
      </c>
      <c r="M84" s="19">
        <v>26</v>
      </c>
      <c r="N84" s="20">
        <f t="shared" si="9"/>
        <v>7.9659906864954033</v>
      </c>
      <c r="O84" s="18"/>
      <c r="P84" s="6">
        <v>1419</v>
      </c>
      <c r="Q84" s="7">
        <f t="shared" si="1"/>
        <v>67473450</v>
      </c>
      <c r="R84" s="7">
        <f t="shared" si="2"/>
        <v>20672802.857142817</v>
      </c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75" customHeight="1" x14ac:dyDescent="0.35">
      <c r="A85" s="4" t="s">
        <v>100</v>
      </c>
      <c r="B85" s="19" t="s">
        <v>19</v>
      </c>
      <c r="C85" s="19" t="s">
        <v>20</v>
      </c>
      <c r="D85" s="19">
        <v>10</v>
      </c>
      <c r="E85" s="19">
        <v>2411</v>
      </c>
      <c r="F85" s="19">
        <v>0</v>
      </c>
      <c r="G85" s="19">
        <v>0</v>
      </c>
      <c r="H85" s="19">
        <v>0</v>
      </c>
      <c r="I85" s="19">
        <v>0</v>
      </c>
      <c r="J85" s="19">
        <v>950</v>
      </c>
      <c r="K85" s="19">
        <f t="shared" si="0"/>
        <v>1461</v>
      </c>
      <c r="L85" s="20">
        <v>1648.5</v>
      </c>
      <c r="M85" s="19">
        <v>26</v>
      </c>
      <c r="N85" s="20">
        <f t="shared" si="9"/>
        <v>45.11684210526316</v>
      </c>
      <c r="O85" s="18"/>
      <c r="P85" s="6">
        <v>2616</v>
      </c>
      <c r="Q85" s="7">
        <f t="shared" si="1"/>
        <v>2485200</v>
      </c>
      <c r="R85" s="7">
        <f t="shared" si="2"/>
        <v>4312476</v>
      </c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75" customHeight="1" x14ac:dyDescent="0.35">
      <c r="A86" s="4" t="s">
        <v>101</v>
      </c>
      <c r="B86" s="19" t="s">
        <v>19</v>
      </c>
      <c r="C86" s="19" t="s">
        <v>20</v>
      </c>
      <c r="D86" s="19">
        <v>10</v>
      </c>
      <c r="E86" s="19">
        <v>1875</v>
      </c>
      <c r="F86" s="19">
        <v>0</v>
      </c>
      <c r="G86" s="19">
        <v>0</v>
      </c>
      <c r="H86" s="19">
        <v>0</v>
      </c>
      <c r="I86" s="19">
        <v>0</v>
      </c>
      <c r="J86" s="19">
        <v>290</v>
      </c>
      <c r="K86" s="19">
        <f t="shared" si="0"/>
        <v>1585</v>
      </c>
      <c r="L86" s="20">
        <v>1585</v>
      </c>
      <c r="M86" s="19">
        <v>26</v>
      </c>
      <c r="N86" s="20">
        <f t="shared" si="9"/>
        <v>142.10344827586206</v>
      </c>
      <c r="O86" s="18"/>
      <c r="P86" s="6">
        <v>4592</v>
      </c>
      <c r="Q86" s="7">
        <f t="shared" si="1"/>
        <v>1331680</v>
      </c>
      <c r="R86" s="7">
        <f t="shared" si="2"/>
        <v>7278320</v>
      </c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75" customHeight="1" x14ac:dyDescent="0.35">
      <c r="A87" s="4" t="s">
        <v>102</v>
      </c>
      <c r="B87" s="19" t="s">
        <v>19</v>
      </c>
      <c r="C87" s="19" t="s">
        <v>20</v>
      </c>
      <c r="D87" s="19">
        <v>10</v>
      </c>
      <c r="E87" s="19">
        <v>18165</v>
      </c>
      <c r="F87" s="19">
        <v>0</v>
      </c>
      <c r="G87" s="19">
        <v>0</v>
      </c>
      <c r="H87" s="19">
        <v>0</v>
      </c>
      <c r="I87" s="19">
        <v>0</v>
      </c>
      <c r="J87" s="19">
        <v>1625</v>
      </c>
      <c r="K87" s="19">
        <f t="shared" si="0"/>
        <v>16540</v>
      </c>
      <c r="L87" s="20">
        <v>16540</v>
      </c>
      <c r="M87" s="19">
        <v>26</v>
      </c>
      <c r="N87" s="20">
        <f t="shared" si="9"/>
        <v>264.64</v>
      </c>
      <c r="O87" s="18"/>
      <c r="P87" s="6">
        <v>2297</v>
      </c>
      <c r="Q87" s="7">
        <f t="shared" si="1"/>
        <v>3732625</v>
      </c>
      <c r="R87" s="7">
        <f t="shared" si="2"/>
        <v>37992380</v>
      </c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75" customHeight="1" x14ac:dyDescent="0.35">
      <c r="A88" s="4" t="s">
        <v>103</v>
      </c>
      <c r="B88" s="19" t="s">
        <v>19</v>
      </c>
      <c r="C88" s="19" t="s">
        <v>20</v>
      </c>
      <c r="D88" s="19">
        <v>10</v>
      </c>
      <c r="E88" s="19">
        <v>1125</v>
      </c>
      <c r="F88" s="19">
        <v>1000</v>
      </c>
      <c r="G88" s="19">
        <v>0</v>
      </c>
      <c r="H88" s="19">
        <v>0</v>
      </c>
      <c r="I88" s="19">
        <v>0</v>
      </c>
      <c r="J88" s="19">
        <v>325</v>
      </c>
      <c r="K88" s="19">
        <f t="shared" si="0"/>
        <v>1800</v>
      </c>
      <c r="L88" s="20">
        <v>1200</v>
      </c>
      <c r="M88" s="19">
        <v>26</v>
      </c>
      <c r="N88" s="20">
        <f t="shared" si="9"/>
        <v>96</v>
      </c>
      <c r="O88" s="18"/>
      <c r="P88" s="6">
        <v>2616</v>
      </c>
      <c r="Q88" s="7">
        <f t="shared" si="1"/>
        <v>850200</v>
      </c>
      <c r="R88" s="7">
        <f t="shared" si="2"/>
        <v>3139200</v>
      </c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75" customHeight="1" x14ac:dyDescent="0.35">
      <c r="A89" s="4" t="s">
        <v>104</v>
      </c>
      <c r="B89" s="19" t="s">
        <v>22</v>
      </c>
      <c r="C89" s="19" t="s">
        <v>20</v>
      </c>
      <c r="D89" s="19">
        <v>10</v>
      </c>
      <c r="E89" s="19">
        <v>15775</v>
      </c>
      <c r="F89" s="19">
        <v>53475</v>
      </c>
      <c r="G89" s="19">
        <v>0</v>
      </c>
      <c r="H89" s="19">
        <v>0</v>
      </c>
      <c r="I89" s="19">
        <v>0</v>
      </c>
      <c r="J89" s="19">
        <v>63150</v>
      </c>
      <c r="K89" s="19">
        <f t="shared" si="0"/>
        <v>6100</v>
      </c>
      <c r="L89" s="20">
        <v>13420</v>
      </c>
      <c r="M89" s="19">
        <v>26</v>
      </c>
      <c r="N89" s="20">
        <f t="shared" si="9"/>
        <v>5.5252573238321459</v>
      </c>
      <c r="O89" s="18"/>
      <c r="P89" s="6">
        <v>1419</v>
      </c>
      <c r="Q89" s="7">
        <f t="shared" si="1"/>
        <v>89609850</v>
      </c>
      <c r="R89" s="7">
        <f t="shared" si="2"/>
        <v>19042980</v>
      </c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75" customHeight="1" x14ac:dyDescent="0.35">
      <c r="A90" s="4" t="s">
        <v>105</v>
      </c>
      <c r="B90" s="19" t="s">
        <v>19</v>
      </c>
      <c r="C90" s="19" t="s">
        <v>20</v>
      </c>
      <c r="D90" s="19">
        <v>10</v>
      </c>
      <c r="E90" s="19">
        <v>789</v>
      </c>
      <c r="F90" s="19">
        <v>0</v>
      </c>
      <c r="G90" s="19">
        <v>0</v>
      </c>
      <c r="H90" s="19">
        <v>0</v>
      </c>
      <c r="I90" s="19">
        <v>0</v>
      </c>
      <c r="J90" s="19">
        <v>550</v>
      </c>
      <c r="K90" s="19">
        <f t="shared" si="0"/>
        <v>239</v>
      </c>
      <c r="L90" s="20">
        <v>432.75</v>
      </c>
      <c r="M90" s="19">
        <v>26</v>
      </c>
      <c r="N90" s="20">
        <f t="shared" si="9"/>
        <v>20.457272727272727</v>
      </c>
      <c r="O90" s="18"/>
      <c r="P90" s="6">
        <v>1419</v>
      </c>
      <c r="Q90" s="7">
        <f t="shared" si="1"/>
        <v>780450</v>
      </c>
      <c r="R90" s="7">
        <f t="shared" si="2"/>
        <v>614072.25</v>
      </c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 x14ac:dyDescent="0.35">
      <c r="A91" s="4" t="s">
        <v>106</v>
      </c>
      <c r="B91" s="19" t="s">
        <v>19</v>
      </c>
      <c r="C91" s="19" t="s">
        <v>20</v>
      </c>
      <c r="D91" s="19">
        <v>10</v>
      </c>
      <c r="E91" s="19">
        <v>12781</v>
      </c>
      <c r="F91" s="19">
        <v>37787</v>
      </c>
      <c r="G91" s="19">
        <v>0</v>
      </c>
      <c r="H91" s="19">
        <v>0</v>
      </c>
      <c r="I91" s="19">
        <v>0</v>
      </c>
      <c r="J91" s="19">
        <v>38892</v>
      </c>
      <c r="K91" s="19">
        <f t="shared" si="0"/>
        <v>11676</v>
      </c>
      <c r="L91" s="20">
        <v>16746.833333333303</v>
      </c>
      <c r="M91" s="19">
        <v>26</v>
      </c>
      <c r="N91" s="20">
        <f t="shared" si="9"/>
        <v>11.195558641022984</v>
      </c>
      <c r="O91" s="18"/>
      <c r="P91" s="6">
        <v>1968</v>
      </c>
      <c r="Q91" s="7">
        <f t="shared" si="1"/>
        <v>76539456</v>
      </c>
      <c r="R91" s="7">
        <f t="shared" si="2"/>
        <v>32957767.99999994</v>
      </c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 x14ac:dyDescent="0.35">
      <c r="A92" s="4" t="s">
        <v>109</v>
      </c>
      <c r="B92" s="19" t="s">
        <v>19</v>
      </c>
      <c r="C92" s="19" t="s">
        <v>20</v>
      </c>
      <c r="D92" s="19">
        <v>10</v>
      </c>
      <c r="E92" s="19">
        <v>9980</v>
      </c>
      <c r="F92" s="19">
        <v>18089</v>
      </c>
      <c r="G92" s="19">
        <v>0</v>
      </c>
      <c r="H92" s="19">
        <v>0</v>
      </c>
      <c r="I92" s="19">
        <v>15439</v>
      </c>
      <c r="J92" s="19">
        <v>0</v>
      </c>
      <c r="K92" s="19">
        <f t="shared" si="0"/>
        <v>12630</v>
      </c>
      <c r="L92" s="20">
        <v>17346.7</v>
      </c>
      <c r="M92" s="19">
        <v>26</v>
      </c>
      <c r="N92" s="20">
        <f t="shared" si="9"/>
        <v>29.212656260120475</v>
      </c>
      <c r="O92" s="18"/>
      <c r="P92" s="6">
        <v>1968</v>
      </c>
      <c r="Q92" s="7">
        <f t="shared" si="1"/>
        <v>30383952</v>
      </c>
      <c r="R92" s="7">
        <f t="shared" si="2"/>
        <v>34138305.600000001</v>
      </c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 x14ac:dyDescent="0.35">
      <c r="A93" s="4" t="s">
        <v>191</v>
      </c>
      <c r="B93" s="19" t="s">
        <v>19</v>
      </c>
      <c r="C93" s="19" t="s">
        <v>20</v>
      </c>
      <c r="D93" s="19">
        <v>10</v>
      </c>
      <c r="E93" s="19">
        <v>11971</v>
      </c>
      <c r="F93" s="19">
        <v>5022</v>
      </c>
      <c r="G93" s="19">
        <v>0</v>
      </c>
      <c r="H93" s="19">
        <v>0</v>
      </c>
      <c r="I93" s="19">
        <v>8821</v>
      </c>
      <c r="J93" s="19">
        <v>0</v>
      </c>
      <c r="K93" s="19">
        <f t="shared" si="0"/>
        <v>8172</v>
      </c>
      <c r="L93" s="20">
        <v>7468.6</v>
      </c>
      <c r="M93" s="19">
        <v>26</v>
      </c>
      <c r="N93" s="20">
        <f t="shared" si="9"/>
        <v>22.01378528511507</v>
      </c>
      <c r="O93" s="18"/>
      <c r="P93" s="6">
        <v>2157</v>
      </c>
      <c r="Q93" s="7">
        <f t="shared" si="1"/>
        <v>19026897</v>
      </c>
      <c r="R93" s="7">
        <f t="shared" si="2"/>
        <v>16109770.200000001</v>
      </c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 x14ac:dyDescent="0.35">
      <c r="A94" s="4" t="s">
        <v>111</v>
      </c>
      <c r="B94" s="19" t="s">
        <v>19</v>
      </c>
      <c r="C94" s="19" t="s">
        <v>20</v>
      </c>
      <c r="D94" s="19">
        <v>10</v>
      </c>
      <c r="E94" s="19">
        <v>15825</v>
      </c>
      <c r="F94" s="19">
        <v>0</v>
      </c>
      <c r="G94" s="19">
        <v>0</v>
      </c>
      <c r="H94" s="19">
        <v>0</v>
      </c>
      <c r="I94" s="19">
        <v>0</v>
      </c>
      <c r="J94" s="19">
        <v>13250</v>
      </c>
      <c r="K94" s="19">
        <f t="shared" si="0"/>
        <v>2575</v>
      </c>
      <c r="L94" s="20">
        <v>9293.75</v>
      </c>
      <c r="M94" s="19">
        <v>26</v>
      </c>
      <c r="N94" s="20">
        <f t="shared" si="9"/>
        <v>18.236792452830191</v>
      </c>
      <c r="O94" s="18"/>
      <c r="P94" s="6">
        <v>2031</v>
      </c>
      <c r="Q94" s="7">
        <f t="shared" si="1"/>
        <v>26910750</v>
      </c>
      <c r="R94" s="7">
        <f t="shared" si="2"/>
        <v>18875606.25</v>
      </c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 x14ac:dyDescent="0.35">
      <c r="A95" s="4" t="s">
        <v>112</v>
      </c>
      <c r="B95" s="19" t="s">
        <v>19</v>
      </c>
      <c r="C95" s="19" t="s">
        <v>20</v>
      </c>
      <c r="D95" s="19">
        <v>10</v>
      </c>
      <c r="E95" s="19">
        <v>10354</v>
      </c>
      <c r="F95" s="19">
        <v>4987</v>
      </c>
      <c r="G95" s="19">
        <v>0</v>
      </c>
      <c r="H95" s="19">
        <v>0</v>
      </c>
      <c r="I95" s="19">
        <v>0</v>
      </c>
      <c r="J95" s="19">
        <v>8658</v>
      </c>
      <c r="K95" s="19">
        <f t="shared" si="0"/>
        <v>6683</v>
      </c>
      <c r="L95" s="20">
        <v>6872</v>
      </c>
      <c r="M95" s="19">
        <v>26</v>
      </c>
      <c r="N95" s="20">
        <f t="shared" si="9"/>
        <v>20.636636636636638</v>
      </c>
      <c r="O95" s="18"/>
      <c r="P95" s="6">
        <v>2031</v>
      </c>
      <c r="Q95" s="7">
        <f t="shared" si="1"/>
        <v>17584398</v>
      </c>
      <c r="R95" s="7">
        <f t="shared" si="2"/>
        <v>13957032</v>
      </c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 x14ac:dyDescent="0.35">
      <c r="A96" s="4" t="s">
        <v>113</v>
      </c>
      <c r="B96" s="19" t="s">
        <v>19</v>
      </c>
      <c r="C96" s="19" t="s">
        <v>20</v>
      </c>
      <c r="D96" s="19">
        <v>10</v>
      </c>
      <c r="E96" s="19">
        <v>2050</v>
      </c>
      <c r="F96" s="19">
        <v>1537</v>
      </c>
      <c r="G96" s="19">
        <v>0</v>
      </c>
      <c r="H96" s="19">
        <v>0</v>
      </c>
      <c r="I96" s="19">
        <v>0</v>
      </c>
      <c r="J96" s="19">
        <v>3012</v>
      </c>
      <c r="K96" s="19">
        <f t="shared" si="0"/>
        <v>575</v>
      </c>
      <c r="L96" s="20">
        <v>2312.2000000000003</v>
      </c>
      <c r="M96" s="19">
        <v>26</v>
      </c>
      <c r="N96" s="20">
        <f t="shared" si="9"/>
        <v>19.959229747675963</v>
      </c>
      <c r="O96" s="18"/>
      <c r="P96" s="6">
        <v>2642</v>
      </c>
      <c r="Q96" s="7">
        <f t="shared" si="1"/>
        <v>7957704</v>
      </c>
      <c r="R96" s="7">
        <f t="shared" si="2"/>
        <v>6108832.4000000004</v>
      </c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 x14ac:dyDescent="0.35">
      <c r="A97" s="4" t="s">
        <v>114</v>
      </c>
      <c r="B97" s="19" t="s">
        <v>19</v>
      </c>
      <c r="C97" s="19" t="s">
        <v>20</v>
      </c>
      <c r="D97" s="19">
        <v>10</v>
      </c>
      <c r="E97" s="19">
        <v>0</v>
      </c>
      <c r="F97" s="19">
        <v>4100</v>
      </c>
      <c r="G97" s="19">
        <v>0</v>
      </c>
      <c r="H97" s="19">
        <v>0</v>
      </c>
      <c r="I97" s="19">
        <v>0</v>
      </c>
      <c r="J97" s="19">
        <v>3500</v>
      </c>
      <c r="K97" s="19">
        <f t="shared" si="0"/>
        <v>600</v>
      </c>
      <c r="L97" s="20">
        <v>862.5</v>
      </c>
      <c r="M97" s="19">
        <v>26</v>
      </c>
      <c r="N97" s="20">
        <f t="shared" si="9"/>
        <v>6.4071428571428575</v>
      </c>
      <c r="O97" s="18"/>
      <c r="P97" s="6">
        <v>2642</v>
      </c>
      <c r="Q97" s="7">
        <f t="shared" si="1"/>
        <v>9247000</v>
      </c>
      <c r="R97" s="7">
        <f t="shared" si="2"/>
        <v>2278725</v>
      </c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 x14ac:dyDescent="0.35">
      <c r="A98" s="4" t="s">
        <v>115</v>
      </c>
      <c r="B98" s="19" t="s">
        <v>19</v>
      </c>
      <c r="C98" s="19" t="s">
        <v>20</v>
      </c>
      <c r="D98" s="19">
        <v>10</v>
      </c>
      <c r="E98" s="19">
        <v>1050</v>
      </c>
      <c r="F98" s="19">
        <v>0</v>
      </c>
      <c r="G98" s="19">
        <v>0</v>
      </c>
      <c r="H98" s="19">
        <v>0</v>
      </c>
      <c r="I98" s="19">
        <v>0</v>
      </c>
      <c r="J98" s="19">
        <v>375</v>
      </c>
      <c r="K98" s="19">
        <f t="shared" si="0"/>
        <v>675</v>
      </c>
      <c r="L98" s="20">
        <v>675</v>
      </c>
      <c r="M98" s="19">
        <v>26</v>
      </c>
      <c r="N98" s="20">
        <f t="shared" si="9"/>
        <v>46.800000000000004</v>
      </c>
      <c r="O98" s="18"/>
      <c r="P98" s="6">
        <v>2488</v>
      </c>
      <c r="Q98" s="7">
        <f t="shared" si="1"/>
        <v>933000</v>
      </c>
      <c r="R98" s="7">
        <f t="shared" si="2"/>
        <v>1679400</v>
      </c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 x14ac:dyDescent="0.35">
      <c r="A99" s="4" t="s">
        <v>116</v>
      </c>
      <c r="B99" s="19" t="s">
        <v>19</v>
      </c>
      <c r="C99" s="19" t="s">
        <v>20</v>
      </c>
      <c r="D99" s="19">
        <v>10</v>
      </c>
      <c r="E99" s="19">
        <v>2000</v>
      </c>
      <c r="F99" s="19">
        <v>2550</v>
      </c>
      <c r="G99" s="19">
        <v>0</v>
      </c>
      <c r="H99" s="19">
        <v>0</v>
      </c>
      <c r="I99" s="19">
        <v>0</v>
      </c>
      <c r="J99" s="19">
        <v>4550</v>
      </c>
      <c r="K99" s="19">
        <f t="shared" si="0"/>
        <v>0</v>
      </c>
      <c r="L99" s="20">
        <v>2446.6666666666702</v>
      </c>
      <c r="M99" s="19">
        <v>26</v>
      </c>
      <c r="N99" s="20">
        <f t="shared" si="9"/>
        <v>13.980952380952401</v>
      </c>
      <c r="O99" s="18"/>
      <c r="P99" s="6">
        <v>2431</v>
      </c>
      <c r="Q99" s="7">
        <f t="shared" si="1"/>
        <v>11061050</v>
      </c>
      <c r="R99" s="7">
        <f t="shared" si="2"/>
        <v>5947846.6666666754</v>
      </c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 x14ac:dyDescent="0.35">
      <c r="A100" s="4" t="s">
        <v>117</v>
      </c>
      <c r="B100" s="19" t="s">
        <v>19</v>
      </c>
      <c r="C100" s="19" t="s">
        <v>20</v>
      </c>
      <c r="D100" s="19">
        <v>10</v>
      </c>
      <c r="E100" s="19">
        <v>1040</v>
      </c>
      <c r="F100" s="19">
        <v>4740</v>
      </c>
      <c r="G100" s="19">
        <v>0</v>
      </c>
      <c r="H100" s="19">
        <v>0</v>
      </c>
      <c r="I100" s="19">
        <v>0</v>
      </c>
      <c r="J100" s="19">
        <v>4170</v>
      </c>
      <c r="K100" s="19">
        <f t="shared" si="0"/>
        <v>1610</v>
      </c>
      <c r="L100" s="20">
        <v>2092.5</v>
      </c>
      <c r="M100" s="19">
        <v>26</v>
      </c>
      <c r="N100" s="20">
        <f t="shared" si="9"/>
        <v>13.046762589928058</v>
      </c>
      <c r="O100" s="18"/>
      <c r="P100" s="6">
        <v>4592</v>
      </c>
      <c r="Q100" s="7">
        <f t="shared" si="1"/>
        <v>19148640</v>
      </c>
      <c r="R100" s="7">
        <f t="shared" si="2"/>
        <v>9608760</v>
      </c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 x14ac:dyDescent="0.35">
      <c r="A101" s="4" t="s">
        <v>118</v>
      </c>
      <c r="B101" s="19" t="s">
        <v>19</v>
      </c>
      <c r="C101" s="19" t="s">
        <v>20</v>
      </c>
      <c r="D101" s="19">
        <v>10</v>
      </c>
      <c r="E101" s="19">
        <v>650</v>
      </c>
      <c r="F101" s="19">
        <v>1000</v>
      </c>
      <c r="G101" s="19">
        <v>0</v>
      </c>
      <c r="H101" s="19">
        <v>0</v>
      </c>
      <c r="I101" s="19">
        <v>0</v>
      </c>
      <c r="J101" s="19">
        <v>0</v>
      </c>
      <c r="K101" s="19">
        <f t="shared" si="0"/>
        <v>1650</v>
      </c>
      <c r="L101" s="20">
        <v>1650</v>
      </c>
      <c r="M101" s="19">
        <v>26</v>
      </c>
      <c r="N101" s="20">
        <v>0</v>
      </c>
      <c r="O101" s="18"/>
      <c r="P101" s="6">
        <v>2297</v>
      </c>
      <c r="Q101" s="7">
        <f t="shared" si="1"/>
        <v>0</v>
      </c>
      <c r="R101" s="7">
        <f t="shared" si="2"/>
        <v>3790050</v>
      </c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 x14ac:dyDescent="0.35">
      <c r="A102" s="4" t="s">
        <v>119</v>
      </c>
      <c r="B102" s="19" t="s">
        <v>19</v>
      </c>
      <c r="C102" s="19" t="s">
        <v>20</v>
      </c>
      <c r="D102" s="19">
        <v>10</v>
      </c>
      <c r="E102" s="19">
        <v>550</v>
      </c>
      <c r="F102" s="19">
        <v>975</v>
      </c>
      <c r="G102" s="19">
        <v>0</v>
      </c>
      <c r="H102" s="19">
        <v>0</v>
      </c>
      <c r="I102" s="19">
        <v>0</v>
      </c>
      <c r="J102" s="19">
        <v>50</v>
      </c>
      <c r="K102" s="19">
        <f t="shared" si="0"/>
        <v>1475</v>
      </c>
      <c r="L102" s="20">
        <v>1500</v>
      </c>
      <c r="M102" s="19">
        <v>26</v>
      </c>
      <c r="N102" s="20">
        <f t="shared" ref="N102:N110" si="10">(L102/(I102+J102))*M102</f>
        <v>780</v>
      </c>
      <c r="O102" s="18"/>
      <c r="P102" s="6">
        <v>2616</v>
      </c>
      <c r="Q102" s="7">
        <f t="shared" si="1"/>
        <v>130800</v>
      </c>
      <c r="R102" s="7">
        <f t="shared" si="2"/>
        <v>3924000</v>
      </c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 x14ac:dyDescent="0.35">
      <c r="A103" s="4" t="s">
        <v>120</v>
      </c>
      <c r="B103" s="19" t="s">
        <v>19</v>
      </c>
      <c r="C103" s="19" t="s">
        <v>20</v>
      </c>
      <c r="D103" s="19">
        <v>10</v>
      </c>
      <c r="E103" s="19">
        <v>3935</v>
      </c>
      <c r="F103" s="19">
        <v>9109</v>
      </c>
      <c r="G103" s="19">
        <v>0</v>
      </c>
      <c r="H103" s="19">
        <v>0</v>
      </c>
      <c r="I103" s="19">
        <v>0</v>
      </c>
      <c r="J103" s="19">
        <v>5490</v>
      </c>
      <c r="K103" s="19">
        <f t="shared" si="0"/>
        <v>7554</v>
      </c>
      <c r="L103" s="20">
        <v>8377.2857142857101</v>
      </c>
      <c r="M103" s="19">
        <v>26</v>
      </c>
      <c r="N103" s="20">
        <f t="shared" si="10"/>
        <v>39.673848555815752</v>
      </c>
      <c r="O103" s="18"/>
      <c r="P103" s="6">
        <v>1419</v>
      </c>
      <c r="Q103" s="7">
        <f t="shared" si="1"/>
        <v>7790310</v>
      </c>
      <c r="R103" s="7">
        <f t="shared" si="2"/>
        <v>11887368.428571424</v>
      </c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 x14ac:dyDescent="0.35">
      <c r="A104" s="4" t="s">
        <v>121</v>
      </c>
      <c r="B104" s="19" t="s">
        <v>19</v>
      </c>
      <c r="C104" s="19" t="s">
        <v>20</v>
      </c>
      <c r="D104" s="19">
        <v>10</v>
      </c>
      <c r="E104" s="19">
        <v>1700</v>
      </c>
      <c r="F104" s="19">
        <v>0</v>
      </c>
      <c r="G104" s="19">
        <v>0</v>
      </c>
      <c r="H104" s="19">
        <v>0</v>
      </c>
      <c r="I104" s="19">
        <v>0</v>
      </c>
      <c r="J104" s="19">
        <v>750</v>
      </c>
      <c r="K104" s="19">
        <f t="shared" si="0"/>
        <v>950</v>
      </c>
      <c r="L104" s="20">
        <v>1200</v>
      </c>
      <c r="M104" s="19">
        <v>26</v>
      </c>
      <c r="N104" s="20">
        <f t="shared" si="10"/>
        <v>41.6</v>
      </c>
      <c r="O104" s="18"/>
      <c r="P104" s="6">
        <v>2616</v>
      </c>
      <c r="Q104" s="7">
        <f t="shared" si="1"/>
        <v>1962000</v>
      </c>
      <c r="R104" s="7">
        <f t="shared" si="2"/>
        <v>3139200</v>
      </c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 x14ac:dyDescent="0.35">
      <c r="A105" s="4" t="s">
        <v>122</v>
      </c>
      <c r="B105" s="19" t="s">
        <v>19</v>
      </c>
      <c r="C105" s="19" t="s">
        <v>20</v>
      </c>
      <c r="D105" s="19">
        <v>10</v>
      </c>
      <c r="E105" s="19">
        <v>3066</v>
      </c>
      <c r="F105" s="19">
        <v>17364</v>
      </c>
      <c r="G105" s="19">
        <v>0</v>
      </c>
      <c r="H105" s="19">
        <v>0</v>
      </c>
      <c r="I105" s="19">
        <v>14674</v>
      </c>
      <c r="J105" s="19">
        <v>0</v>
      </c>
      <c r="K105" s="19">
        <f t="shared" si="0"/>
        <v>5756</v>
      </c>
      <c r="L105" s="20">
        <v>3995.2000000000003</v>
      </c>
      <c r="M105" s="19">
        <v>26</v>
      </c>
      <c r="N105" s="20">
        <f t="shared" si="10"/>
        <v>7.0788605697151432</v>
      </c>
      <c r="O105" s="18"/>
      <c r="P105" s="6">
        <v>2246</v>
      </c>
      <c r="Q105" s="7">
        <f t="shared" si="1"/>
        <v>32957804</v>
      </c>
      <c r="R105" s="7">
        <f t="shared" si="2"/>
        <v>8973219.2000000011</v>
      </c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 x14ac:dyDescent="0.35">
      <c r="A106" s="4" t="s">
        <v>123</v>
      </c>
      <c r="B106" s="19" t="s">
        <v>19</v>
      </c>
      <c r="C106" s="19" t="s">
        <v>20</v>
      </c>
      <c r="D106" s="19">
        <v>10</v>
      </c>
      <c r="E106" s="19">
        <v>10491</v>
      </c>
      <c r="F106" s="19">
        <v>0</v>
      </c>
      <c r="G106" s="19">
        <v>0</v>
      </c>
      <c r="H106" s="19">
        <v>0</v>
      </c>
      <c r="I106" s="19">
        <v>8925</v>
      </c>
      <c r="J106" s="19">
        <v>0</v>
      </c>
      <c r="K106" s="19">
        <f t="shared" si="0"/>
        <v>1566</v>
      </c>
      <c r="L106" s="20">
        <v>4771</v>
      </c>
      <c r="M106" s="19">
        <v>26</v>
      </c>
      <c r="N106" s="20">
        <f t="shared" si="10"/>
        <v>13.898711484593836</v>
      </c>
      <c r="O106" s="18"/>
      <c r="P106" s="6">
        <v>2355</v>
      </c>
      <c r="Q106" s="7">
        <f t="shared" si="1"/>
        <v>21018375</v>
      </c>
      <c r="R106" s="7">
        <f t="shared" si="2"/>
        <v>11235705</v>
      </c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 x14ac:dyDescent="0.35">
      <c r="A107" s="4" t="s">
        <v>124</v>
      </c>
      <c r="B107" s="19" t="s">
        <v>19</v>
      </c>
      <c r="C107" s="19" t="s">
        <v>20</v>
      </c>
      <c r="D107" s="19">
        <v>10</v>
      </c>
      <c r="E107" s="19">
        <v>2566</v>
      </c>
      <c r="F107" s="19">
        <v>7068</v>
      </c>
      <c r="G107" s="19">
        <v>0</v>
      </c>
      <c r="H107" s="19">
        <v>0</v>
      </c>
      <c r="I107" s="19">
        <v>0</v>
      </c>
      <c r="J107" s="19">
        <v>5918</v>
      </c>
      <c r="K107" s="19">
        <f t="shared" si="0"/>
        <v>3716</v>
      </c>
      <c r="L107" s="20">
        <v>4199.6000000000004</v>
      </c>
      <c r="M107" s="19">
        <v>26</v>
      </c>
      <c r="N107" s="20">
        <f t="shared" si="10"/>
        <v>18.450422440013519</v>
      </c>
      <c r="O107" s="18"/>
      <c r="P107" s="6">
        <v>2031</v>
      </c>
      <c r="Q107" s="7">
        <f t="shared" si="1"/>
        <v>12019458</v>
      </c>
      <c r="R107" s="7">
        <f t="shared" si="2"/>
        <v>8529387.6000000015</v>
      </c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 x14ac:dyDescent="0.35">
      <c r="A108" s="4" t="s">
        <v>125</v>
      </c>
      <c r="B108" s="19" t="s">
        <v>19</v>
      </c>
      <c r="C108" s="19" t="s">
        <v>20</v>
      </c>
      <c r="D108" s="19">
        <v>10</v>
      </c>
      <c r="E108" s="19">
        <v>4275</v>
      </c>
      <c r="F108" s="19">
        <v>4000</v>
      </c>
      <c r="G108" s="19">
        <v>0</v>
      </c>
      <c r="H108" s="19">
        <v>0</v>
      </c>
      <c r="I108" s="19">
        <v>5975</v>
      </c>
      <c r="J108" s="19">
        <v>0</v>
      </c>
      <c r="K108" s="19">
        <f t="shared" si="0"/>
        <v>2300</v>
      </c>
      <c r="L108" s="20">
        <v>3765</v>
      </c>
      <c r="M108" s="19">
        <v>26</v>
      </c>
      <c r="N108" s="20">
        <f t="shared" si="10"/>
        <v>16.383263598326359</v>
      </c>
      <c r="O108" s="18"/>
      <c r="P108" s="6">
        <v>2108</v>
      </c>
      <c r="Q108" s="7">
        <f t="shared" si="1"/>
        <v>12595300</v>
      </c>
      <c r="R108" s="7">
        <f t="shared" si="2"/>
        <v>7936620</v>
      </c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 x14ac:dyDescent="0.35">
      <c r="A109" s="4" t="s">
        <v>126</v>
      </c>
      <c r="B109" s="19" t="s">
        <v>19</v>
      </c>
      <c r="C109" s="19" t="s">
        <v>20</v>
      </c>
      <c r="D109" s="19">
        <v>10</v>
      </c>
      <c r="E109" s="19">
        <v>4250</v>
      </c>
      <c r="F109" s="19">
        <v>0</v>
      </c>
      <c r="G109" s="19">
        <v>0</v>
      </c>
      <c r="H109" s="19">
        <v>0</v>
      </c>
      <c r="I109" s="19">
        <v>2750</v>
      </c>
      <c r="J109" s="19">
        <v>0</v>
      </c>
      <c r="K109" s="19">
        <f t="shared" si="0"/>
        <v>1500</v>
      </c>
      <c r="L109" s="20">
        <v>2333.3333333333298</v>
      </c>
      <c r="M109" s="19">
        <v>26</v>
      </c>
      <c r="N109" s="20">
        <f t="shared" si="10"/>
        <v>22.060606060606027</v>
      </c>
      <c r="O109" s="18"/>
      <c r="P109" s="6">
        <v>2173</v>
      </c>
      <c r="Q109" s="7">
        <f t="shared" si="1"/>
        <v>5975750</v>
      </c>
      <c r="R109" s="7">
        <f t="shared" si="2"/>
        <v>5070333.3333333256</v>
      </c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 x14ac:dyDescent="0.35">
      <c r="A110" s="4" t="s">
        <v>127</v>
      </c>
      <c r="B110" s="19" t="s">
        <v>19</v>
      </c>
      <c r="C110" s="19" t="s">
        <v>20</v>
      </c>
      <c r="D110" s="19">
        <v>10</v>
      </c>
      <c r="E110" s="19">
        <v>2400</v>
      </c>
      <c r="F110" s="19">
        <v>3150</v>
      </c>
      <c r="G110" s="19">
        <v>0</v>
      </c>
      <c r="H110" s="19">
        <v>0</v>
      </c>
      <c r="I110" s="19">
        <v>0</v>
      </c>
      <c r="J110" s="19">
        <v>5550</v>
      </c>
      <c r="K110" s="19">
        <f t="shared" si="0"/>
        <v>0</v>
      </c>
      <c r="L110" s="20">
        <v>3000</v>
      </c>
      <c r="M110" s="19">
        <v>26</v>
      </c>
      <c r="N110" s="20">
        <f t="shared" si="10"/>
        <v>14.054054054054054</v>
      </c>
      <c r="O110" s="18"/>
      <c r="P110" s="6">
        <v>2356</v>
      </c>
      <c r="Q110" s="7">
        <f t="shared" si="1"/>
        <v>13075800</v>
      </c>
      <c r="R110" s="7">
        <f t="shared" si="2"/>
        <v>7068000</v>
      </c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 x14ac:dyDescent="0.35">
      <c r="A111" s="4" t="s">
        <v>128</v>
      </c>
      <c r="B111" s="19" t="s">
        <v>19</v>
      </c>
      <c r="C111" s="19" t="s">
        <v>20</v>
      </c>
      <c r="D111" s="19">
        <v>10</v>
      </c>
      <c r="E111" s="19">
        <v>175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f t="shared" si="0"/>
        <v>175</v>
      </c>
      <c r="L111" s="20">
        <v>0</v>
      </c>
      <c r="M111" s="19">
        <v>26</v>
      </c>
      <c r="N111" s="20">
        <v>0</v>
      </c>
      <c r="O111" s="18"/>
      <c r="P111" s="6">
        <v>1993</v>
      </c>
      <c r="Q111" s="7">
        <f t="shared" si="1"/>
        <v>0</v>
      </c>
      <c r="R111" s="7">
        <f t="shared" si="2"/>
        <v>0</v>
      </c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 x14ac:dyDescent="0.35">
      <c r="A112" s="4" t="s">
        <v>129</v>
      </c>
      <c r="B112" s="19" t="s">
        <v>19</v>
      </c>
      <c r="C112" s="19" t="s">
        <v>20</v>
      </c>
      <c r="D112" s="19">
        <v>10</v>
      </c>
      <c r="E112" s="19">
        <v>1070</v>
      </c>
      <c r="F112" s="19">
        <v>0</v>
      </c>
      <c r="G112" s="19">
        <v>0</v>
      </c>
      <c r="H112" s="19">
        <v>0</v>
      </c>
      <c r="I112" s="19">
        <v>0</v>
      </c>
      <c r="J112" s="19">
        <v>1010</v>
      </c>
      <c r="K112" s="19">
        <f t="shared" si="0"/>
        <v>60</v>
      </c>
      <c r="L112" s="20">
        <v>410</v>
      </c>
      <c r="M112" s="19">
        <v>26</v>
      </c>
      <c r="N112" s="20">
        <f t="shared" ref="N112:N113" si="11">(L112/(I112+J112))*M112</f>
        <v>10.554455445544555</v>
      </c>
      <c r="O112" s="18"/>
      <c r="P112" s="6">
        <v>2205</v>
      </c>
      <c r="Q112" s="7">
        <f t="shared" si="1"/>
        <v>2227050</v>
      </c>
      <c r="R112" s="7">
        <f t="shared" si="2"/>
        <v>904050</v>
      </c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 x14ac:dyDescent="0.35">
      <c r="A113" s="4" t="s">
        <v>130</v>
      </c>
      <c r="B113" s="19" t="s">
        <v>19</v>
      </c>
      <c r="C113" s="19" t="s">
        <v>20</v>
      </c>
      <c r="D113" s="19">
        <v>10</v>
      </c>
      <c r="E113" s="19">
        <v>1375</v>
      </c>
      <c r="F113" s="19">
        <v>3408</v>
      </c>
      <c r="G113" s="19">
        <v>0</v>
      </c>
      <c r="H113" s="19">
        <v>0</v>
      </c>
      <c r="I113" s="19">
        <v>4183</v>
      </c>
      <c r="J113" s="19">
        <v>0</v>
      </c>
      <c r="K113" s="19">
        <f t="shared" si="0"/>
        <v>600</v>
      </c>
      <c r="L113" s="20">
        <v>2489.5</v>
      </c>
      <c r="M113" s="19">
        <v>26</v>
      </c>
      <c r="N113" s="20">
        <f t="shared" si="11"/>
        <v>15.473822615347837</v>
      </c>
      <c r="O113" s="18"/>
      <c r="P113" s="6">
        <v>2503</v>
      </c>
      <c r="Q113" s="7">
        <f t="shared" si="1"/>
        <v>10470049</v>
      </c>
      <c r="R113" s="7">
        <f t="shared" si="2"/>
        <v>6231218.5</v>
      </c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 x14ac:dyDescent="0.35">
      <c r="A114" s="4" t="s">
        <v>131</v>
      </c>
      <c r="B114" s="19" t="s">
        <v>19</v>
      </c>
      <c r="C114" s="19" t="s">
        <v>20</v>
      </c>
      <c r="D114" s="19">
        <v>10</v>
      </c>
      <c r="E114" s="19">
        <v>4000</v>
      </c>
      <c r="F114" s="19">
        <v>3150</v>
      </c>
      <c r="G114" s="19">
        <v>0</v>
      </c>
      <c r="H114" s="19">
        <v>0</v>
      </c>
      <c r="I114" s="19">
        <v>0</v>
      </c>
      <c r="J114" s="19">
        <v>0</v>
      </c>
      <c r="K114" s="19">
        <f t="shared" si="0"/>
        <v>7150</v>
      </c>
      <c r="L114" s="20">
        <v>7150</v>
      </c>
      <c r="M114" s="19">
        <v>26</v>
      </c>
      <c r="N114" s="20">
        <v>0</v>
      </c>
      <c r="O114" s="18"/>
      <c r="P114" s="6">
        <v>2355</v>
      </c>
      <c r="Q114" s="7">
        <f t="shared" si="1"/>
        <v>0</v>
      </c>
      <c r="R114" s="7">
        <f t="shared" si="2"/>
        <v>16838250</v>
      </c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 x14ac:dyDescent="0.35">
      <c r="A115" s="4" t="s">
        <v>132</v>
      </c>
      <c r="B115" s="19" t="s">
        <v>19</v>
      </c>
      <c r="C115" s="19" t="s">
        <v>20</v>
      </c>
      <c r="D115" s="19">
        <v>10</v>
      </c>
      <c r="E115" s="19">
        <v>2408</v>
      </c>
      <c r="F115" s="19">
        <v>2547</v>
      </c>
      <c r="G115" s="19">
        <v>0</v>
      </c>
      <c r="H115" s="19">
        <v>0</v>
      </c>
      <c r="I115" s="19">
        <v>4240</v>
      </c>
      <c r="J115" s="19">
        <v>0</v>
      </c>
      <c r="K115" s="19">
        <f t="shared" si="0"/>
        <v>715</v>
      </c>
      <c r="L115" s="20">
        <v>1834.57142857143</v>
      </c>
      <c r="M115" s="19">
        <v>26</v>
      </c>
      <c r="N115" s="20">
        <f t="shared" ref="N115:N117" si="12">(L115/(I115+J115))*M115</f>
        <v>11.249730458221032</v>
      </c>
      <c r="O115" s="18"/>
      <c r="P115" s="6">
        <v>2216</v>
      </c>
      <c r="Q115" s="7">
        <f t="shared" si="1"/>
        <v>9395840</v>
      </c>
      <c r="R115" s="7">
        <f t="shared" si="2"/>
        <v>4065410.2857142892</v>
      </c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 x14ac:dyDescent="0.35">
      <c r="A116" s="4" t="s">
        <v>133</v>
      </c>
      <c r="B116" s="19" t="s">
        <v>19</v>
      </c>
      <c r="C116" s="19" t="s">
        <v>20</v>
      </c>
      <c r="D116" s="19">
        <v>10</v>
      </c>
      <c r="E116" s="19">
        <v>1568</v>
      </c>
      <c r="F116" s="19">
        <v>3150</v>
      </c>
      <c r="G116" s="19">
        <v>0</v>
      </c>
      <c r="H116" s="19">
        <v>0</v>
      </c>
      <c r="I116" s="19">
        <v>3143</v>
      </c>
      <c r="J116" s="19">
        <v>0</v>
      </c>
      <c r="K116" s="19">
        <f t="shared" si="0"/>
        <v>1575</v>
      </c>
      <c r="L116" s="20">
        <v>1952.2</v>
      </c>
      <c r="M116" s="19">
        <v>26</v>
      </c>
      <c r="N116" s="20">
        <f t="shared" si="12"/>
        <v>16.149284123448936</v>
      </c>
      <c r="O116" s="18"/>
      <c r="P116" s="6">
        <v>1968</v>
      </c>
      <c r="Q116" s="7">
        <f t="shared" si="1"/>
        <v>6185424</v>
      </c>
      <c r="R116" s="7">
        <f t="shared" si="2"/>
        <v>3841929.6</v>
      </c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 x14ac:dyDescent="0.35">
      <c r="A117" s="4" t="s">
        <v>192</v>
      </c>
      <c r="B117" s="19" t="s">
        <v>19</v>
      </c>
      <c r="C117" s="19" t="s">
        <v>20</v>
      </c>
      <c r="D117" s="19">
        <v>10</v>
      </c>
      <c r="E117" s="19">
        <v>0</v>
      </c>
      <c r="F117" s="19">
        <v>5000</v>
      </c>
      <c r="G117" s="19">
        <v>0</v>
      </c>
      <c r="H117" s="19">
        <v>0</v>
      </c>
      <c r="I117" s="19">
        <v>0</v>
      </c>
      <c r="J117" s="19">
        <v>4300</v>
      </c>
      <c r="K117" s="19">
        <f t="shared" si="0"/>
        <v>700</v>
      </c>
      <c r="L117" s="20">
        <v>2550</v>
      </c>
      <c r="M117" s="19">
        <v>26</v>
      </c>
      <c r="N117" s="20">
        <f t="shared" si="12"/>
        <v>15.418604651162791</v>
      </c>
      <c r="O117" s="18"/>
      <c r="P117" s="6">
        <v>2297</v>
      </c>
      <c r="Q117" s="7">
        <f t="shared" si="1"/>
        <v>9877100</v>
      </c>
      <c r="R117" s="7">
        <f t="shared" si="2"/>
        <v>5857350</v>
      </c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 x14ac:dyDescent="0.35">
      <c r="A118" s="4" t="s">
        <v>193</v>
      </c>
      <c r="B118" s="19" t="s">
        <v>19</v>
      </c>
      <c r="C118" s="19" t="s">
        <v>20</v>
      </c>
      <c r="D118" s="19">
        <v>10</v>
      </c>
      <c r="E118" s="19">
        <v>0</v>
      </c>
      <c r="F118" s="19">
        <v>1800</v>
      </c>
      <c r="G118" s="19">
        <v>0</v>
      </c>
      <c r="H118" s="19">
        <v>0</v>
      </c>
      <c r="I118" s="19">
        <v>0</v>
      </c>
      <c r="J118" s="19">
        <v>0</v>
      </c>
      <c r="K118" s="19">
        <f t="shared" si="0"/>
        <v>1800</v>
      </c>
      <c r="L118" s="20">
        <v>1800</v>
      </c>
      <c r="M118" s="19">
        <v>26</v>
      </c>
      <c r="N118" s="20">
        <v>0</v>
      </c>
      <c r="O118" s="18"/>
      <c r="P118" s="6">
        <v>2616</v>
      </c>
      <c r="Q118" s="7">
        <f t="shared" si="1"/>
        <v>0</v>
      </c>
      <c r="R118" s="7">
        <f t="shared" si="2"/>
        <v>4708800</v>
      </c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 x14ac:dyDescent="0.35">
      <c r="A119" s="4" t="s">
        <v>137</v>
      </c>
      <c r="B119" s="19" t="s">
        <v>19</v>
      </c>
      <c r="C119" s="19" t="s">
        <v>20</v>
      </c>
      <c r="D119" s="19">
        <v>10</v>
      </c>
      <c r="E119" s="19">
        <v>1246</v>
      </c>
      <c r="F119" s="19">
        <v>3667</v>
      </c>
      <c r="G119" s="19">
        <v>0</v>
      </c>
      <c r="H119" s="19">
        <v>0</v>
      </c>
      <c r="I119" s="19">
        <v>2525</v>
      </c>
      <c r="J119" s="19">
        <v>0</v>
      </c>
      <c r="K119" s="19">
        <f t="shared" si="0"/>
        <v>2388</v>
      </c>
      <c r="L119" s="20">
        <v>942</v>
      </c>
      <c r="M119" s="19">
        <v>26</v>
      </c>
      <c r="N119" s="20">
        <f t="shared" ref="N119:N120" si="13">(L119/(I119+J119))*M119</f>
        <v>9.6998019801980195</v>
      </c>
      <c r="O119" s="18"/>
      <c r="P119" s="6">
        <v>2355</v>
      </c>
      <c r="Q119" s="7">
        <f t="shared" si="1"/>
        <v>5946375</v>
      </c>
      <c r="R119" s="7">
        <f t="shared" si="2"/>
        <v>2218410</v>
      </c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 x14ac:dyDescent="0.35">
      <c r="A120" s="4" t="s">
        <v>138</v>
      </c>
      <c r="B120" s="19" t="s">
        <v>19</v>
      </c>
      <c r="C120" s="19" t="s">
        <v>20</v>
      </c>
      <c r="D120" s="19">
        <v>10</v>
      </c>
      <c r="E120" s="19">
        <v>2125</v>
      </c>
      <c r="F120" s="19">
        <v>0</v>
      </c>
      <c r="G120" s="19">
        <v>0</v>
      </c>
      <c r="H120" s="19">
        <v>0</v>
      </c>
      <c r="I120" s="19">
        <v>1225</v>
      </c>
      <c r="J120" s="19">
        <v>0</v>
      </c>
      <c r="K120" s="19">
        <f t="shared" si="0"/>
        <v>900</v>
      </c>
      <c r="L120" s="20">
        <v>1025</v>
      </c>
      <c r="M120" s="19">
        <v>26</v>
      </c>
      <c r="N120" s="20">
        <f t="shared" si="13"/>
        <v>21.755102040816329</v>
      </c>
      <c r="O120" s="18"/>
      <c r="P120" s="6">
        <v>2372</v>
      </c>
      <c r="Q120" s="7">
        <f t="shared" si="1"/>
        <v>2905700</v>
      </c>
      <c r="R120" s="7">
        <f t="shared" si="2"/>
        <v>2431300</v>
      </c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 x14ac:dyDescent="0.35">
      <c r="A121" s="4" t="s">
        <v>139</v>
      </c>
      <c r="B121" s="19" t="s">
        <v>19</v>
      </c>
      <c r="C121" s="19" t="s">
        <v>20</v>
      </c>
      <c r="D121" s="19">
        <v>10</v>
      </c>
      <c r="E121" s="19">
        <v>0</v>
      </c>
      <c r="F121" s="19">
        <v>1000</v>
      </c>
      <c r="G121" s="19">
        <v>0</v>
      </c>
      <c r="H121" s="19">
        <v>0</v>
      </c>
      <c r="I121" s="19">
        <v>0</v>
      </c>
      <c r="J121" s="19">
        <v>0</v>
      </c>
      <c r="K121" s="19">
        <f t="shared" si="0"/>
        <v>1000</v>
      </c>
      <c r="L121" s="20">
        <v>1000</v>
      </c>
      <c r="M121" s="19">
        <v>26</v>
      </c>
      <c r="N121" s="20">
        <v>0</v>
      </c>
      <c r="O121" s="18"/>
      <c r="P121" s="6">
        <v>3482</v>
      </c>
      <c r="Q121" s="7">
        <f t="shared" si="1"/>
        <v>0</v>
      </c>
      <c r="R121" s="7">
        <f t="shared" si="2"/>
        <v>3482000</v>
      </c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 x14ac:dyDescent="0.35">
      <c r="A122" s="4" t="s">
        <v>140</v>
      </c>
      <c r="B122" s="19" t="s">
        <v>19</v>
      </c>
      <c r="C122" s="19" t="s">
        <v>20</v>
      </c>
      <c r="D122" s="19">
        <v>10</v>
      </c>
      <c r="E122" s="19">
        <v>700</v>
      </c>
      <c r="F122" s="19">
        <v>2100</v>
      </c>
      <c r="G122" s="19">
        <v>0</v>
      </c>
      <c r="H122" s="19">
        <v>0</v>
      </c>
      <c r="I122" s="19">
        <v>1050</v>
      </c>
      <c r="J122" s="19">
        <v>0</v>
      </c>
      <c r="K122" s="19">
        <f t="shared" si="0"/>
        <v>1750</v>
      </c>
      <c r="L122" s="20">
        <v>1750</v>
      </c>
      <c r="M122" s="19">
        <v>26</v>
      </c>
      <c r="N122" s="20">
        <f t="shared" ref="N122:N124" si="14">(L122/(I122+J122))*M122</f>
        <v>43.333333333333336</v>
      </c>
      <c r="O122" s="18"/>
      <c r="P122" s="6">
        <v>2555</v>
      </c>
      <c r="Q122" s="7">
        <f t="shared" si="1"/>
        <v>2682750</v>
      </c>
      <c r="R122" s="7">
        <f t="shared" si="2"/>
        <v>4471250</v>
      </c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 x14ac:dyDescent="0.35">
      <c r="A123" s="4" t="s">
        <v>141</v>
      </c>
      <c r="B123" s="19" t="s">
        <v>19</v>
      </c>
      <c r="C123" s="19" t="s">
        <v>20</v>
      </c>
      <c r="D123" s="19">
        <v>10</v>
      </c>
      <c r="E123" s="19">
        <v>1050</v>
      </c>
      <c r="F123" s="19">
        <v>1575</v>
      </c>
      <c r="G123" s="19">
        <v>0</v>
      </c>
      <c r="H123" s="19">
        <v>0</v>
      </c>
      <c r="I123" s="19">
        <v>800</v>
      </c>
      <c r="J123" s="19">
        <v>0</v>
      </c>
      <c r="K123" s="19">
        <f t="shared" si="0"/>
        <v>1825</v>
      </c>
      <c r="L123" s="20">
        <v>2205</v>
      </c>
      <c r="M123" s="19">
        <v>26</v>
      </c>
      <c r="N123" s="20">
        <f t="shared" si="14"/>
        <v>71.662500000000009</v>
      </c>
      <c r="O123" s="18"/>
      <c r="P123" s="6">
        <v>3665</v>
      </c>
      <c r="Q123" s="7">
        <f t="shared" si="1"/>
        <v>2932000</v>
      </c>
      <c r="R123" s="7">
        <f t="shared" si="2"/>
        <v>8081325</v>
      </c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 x14ac:dyDescent="0.35">
      <c r="A124" s="4" t="s">
        <v>142</v>
      </c>
      <c r="B124" s="19" t="s">
        <v>19</v>
      </c>
      <c r="C124" s="19" t="s">
        <v>20</v>
      </c>
      <c r="D124" s="19">
        <v>10</v>
      </c>
      <c r="E124" s="19">
        <v>1500</v>
      </c>
      <c r="F124" s="19">
        <v>0</v>
      </c>
      <c r="G124" s="19">
        <v>0</v>
      </c>
      <c r="H124" s="19">
        <v>0</v>
      </c>
      <c r="I124" s="19">
        <v>425</v>
      </c>
      <c r="J124" s="19">
        <v>0</v>
      </c>
      <c r="K124" s="19">
        <f t="shared" si="0"/>
        <v>1075</v>
      </c>
      <c r="L124" s="20">
        <v>1075</v>
      </c>
      <c r="M124" s="19">
        <v>26</v>
      </c>
      <c r="N124" s="20">
        <f t="shared" si="14"/>
        <v>65.764705882352942</v>
      </c>
      <c r="O124" s="18"/>
      <c r="P124" s="6">
        <v>1904</v>
      </c>
      <c r="Q124" s="7">
        <f t="shared" si="1"/>
        <v>809200</v>
      </c>
      <c r="R124" s="7">
        <f t="shared" si="2"/>
        <v>2046800</v>
      </c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 x14ac:dyDescent="0.35">
      <c r="A125" s="4" t="s">
        <v>143</v>
      </c>
      <c r="B125" s="19" t="s">
        <v>19</v>
      </c>
      <c r="C125" s="19" t="s">
        <v>20</v>
      </c>
      <c r="D125" s="19">
        <v>10</v>
      </c>
      <c r="E125" s="19">
        <v>4900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f t="shared" si="0"/>
        <v>4900</v>
      </c>
      <c r="L125" s="20">
        <v>0</v>
      </c>
      <c r="M125" s="19">
        <v>26</v>
      </c>
      <c r="N125" s="20">
        <v>0</v>
      </c>
      <c r="O125" s="18"/>
      <c r="P125" s="6">
        <v>994</v>
      </c>
      <c r="Q125" s="7">
        <f t="shared" si="1"/>
        <v>0</v>
      </c>
      <c r="R125" s="7">
        <f t="shared" si="2"/>
        <v>0</v>
      </c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 x14ac:dyDescent="0.35">
      <c r="A126" s="4" t="s">
        <v>144</v>
      </c>
      <c r="B126" s="19" t="s">
        <v>19</v>
      </c>
      <c r="C126" s="19" t="s">
        <v>20</v>
      </c>
      <c r="D126" s="19">
        <v>10</v>
      </c>
      <c r="E126" s="19">
        <v>2925</v>
      </c>
      <c r="F126" s="19">
        <v>2500</v>
      </c>
      <c r="G126" s="19">
        <v>0</v>
      </c>
      <c r="H126" s="19">
        <v>0</v>
      </c>
      <c r="I126" s="19">
        <v>0</v>
      </c>
      <c r="J126" s="19">
        <v>2500</v>
      </c>
      <c r="K126" s="19">
        <f t="shared" si="0"/>
        <v>2925</v>
      </c>
      <c r="L126" s="20">
        <v>2675</v>
      </c>
      <c r="M126" s="19">
        <v>26</v>
      </c>
      <c r="N126" s="20">
        <f t="shared" ref="N126:N130" si="15">(L126/(I126+J126))*M126</f>
        <v>27.82</v>
      </c>
      <c r="O126" s="18"/>
      <c r="P126" s="6">
        <v>994</v>
      </c>
      <c r="Q126" s="7">
        <f t="shared" si="1"/>
        <v>2485000</v>
      </c>
      <c r="R126" s="7">
        <f t="shared" si="2"/>
        <v>2658950</v>
      </c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 x14ac:dyDescent="0.35">
      <c r="A127" s="4" t="s">
        <v>145</v>
      </c>
      <c r="B127" s="19" t="s">
        <v>19</v>
      </c>
      <c r="C127" s="19" t="s">
        <v>20</v>
      </c>
      <c r="D127" s="19">
        <v>10</v>
      </c>
      <c r="E127" s="19">
        <v>1020</v>
      </c>
      <c r="F127" s="19">
        <v>0</v>
      </c>
      <c r="G127" s="19">
        <v>0</v>
      </c>
      <c r="H127" s="19">
        <v>0</v>
      </c>
      <c r="I127" s="19">
        <v>0</v>
      </c>
      <c r="J127" s="19">
        <v>520</v>
      </c>
      <c r="K127" s="19">
        <f t="shared" si="0"/>
        <v>500</v>
      </c>
      <c r="L127" s="20">
        <v>500</v>
      </c>
      <c r="M127" s="19">
        <v>26</v>
      </c>
      <c r="N127" s="20">
        <f t="shared" si="15"/>
        <v>25</v>
      </c>
      <c r="O127" s="18"/>
      <c r="P127" s="6">
        <v>3489</v>
      </c>
      <c r="Q127" s="7">
        <f t="shared" si="1"/>
        <v>1814280</v>
      </c>
      <c r="R127" s="7">
        <f t="shared" si="2"/>
        <v>1744500</v>
      </c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 x14ac:dyDescent="0.35">
      <c r="A128" s="4" t="s">
        <v>175</v>
      </c>
      <c r="B128" s="19" t="s">
        <v>19</v>
      </c>
      <c r="C128" s="19" t="s">
        <v>20</v>
      </c>
      <c r="D128" s="19">
        <v>10</v>
      </c>
      <c r="E128" s="19">
        <v>875</v>
      </c>
      <c r="F128" s="19">
        <v>0</v>
      </c>
      <c r="G128" s="19">
        <v>0</v>
      </c>
      <c r="H128" s="19">
        <v>0</v>
      </c>
      <c r="I128" s="19">
        <v>500</v>
      </c>
      <c r="J128" s="19">
        <v>0</v>
      </c>
      <c r="K128" s="19">
        <f t="shared" si="0"/>
        <v>375</v>
      </c>
      <c r="L128" s="20">
        <v>587.5</v>
      </c>
      <c r="M128" s="19">
        <v>26</v>
      </c>
      <c r="N128" s="20">
        <f t="shared" si="15"/>
        <v>30.55</v>
      </c>
      <c r="O128" s="18"/>
      <c r="P128" s="6">
        <v>3162</v>
      </c>
      <c r="Q128" s="7">
        <f t="shared" si="1"/>
        <v>1581000</v>
      </c>
      <c r="R128" s="7">
        <f t="shared" si="2"/>
        <v>1857675</v>
      </c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 x14ac:dyDescent="0.35">
      <c r="A129" s="4" t="s">
        <v>176</v>
      </c>
      <c r="B129" s="19" t="s">
        <v>19</v>
      </c>
      <c r="C129" s="19" t="s">
        <v>20</v>
      </c>
      <c r="D129" s="19">
        <v>10</v>
      </c>
      <c r="E129" s="19">
        <v>2400</v>
      </c>
      <c r="F129" s="19">
        <v>2083</v>
      </c>
      <c r="G129" s="19">
        <v>0</v>
      </c>
      <c r="H129" s="19">
        <v>0</v>
      </c>
      <c r="I129" s="19">
        <v>3550</v>
      </c>
      <c r="J129" s="19">
        <v>0</v>
      </c>
      <c r="K129" s="19">
        <f t="shared" si="0"/>
        <v>933</v>
      </c>
      <c r="L129" s="20">
        <v>1549.7777777777801</v>
      </c>
      <c r="M129" s="19">
        <v>26</v>
      </c>
      <c r="N129" s="20">
        <f t="shared" si="15"/>
        <v>11.35048513302036</v>
      </c>
      <c r="O129" s="18"/>
      <c r="P129" s="6">
        <v>3567</v>
      </c>
      <c r="Q129" s="7">
        <f t="shared" si="1"/>
        <v>12662850</v>
      </c>
      <c r="R129" s="7">
        <f t="shared" si="2"/>
        <v>5528057.3333333414</v>
      </c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 x14ac:dyDescent="0.35">
      <c r="A130" s="4" t="s">
        <v>177</v>
      </c>
      <c r="B130" s="19" t="s">
        <v>19</v>
      </c>
      <c r="C130" s="19" t="s">
        <v>20</v>
      </c>
      <c r="D130" s="19">
        <v>10</v>
      </c>
      <c r="E130" s="19">
        <v>1025</v>
      </c>
      <c r="F130" s="19">
        <v>0</v>
      </c>
      <c r="G130" s="19">
        <v>0</v>
      </c>
      <c r="H130" s="19">
        <v>0</v>
      </c>
      <c r="I130" s="19">
        <v>300</v>
      </c>
      <c r="J130" s="19">
        <v>0</v>
      </c>
      <c r="K130" s="19">
        <f t="shared" si="0"/>
        <v>725</v>
      </c>
      <c r="L130" s="20">
        <v>837.5</v>
      </c>
      <c r="M130" s="19">
        <v>26</v>
      </c>
      <c r="N130" s="20">
        <f t="shared" si="15"/>
        <v>72.583333333333329</v>
      </c>
      <c r="O130" s="18"/>
      <c r="P130" s="6">
        <v>3850</v>
      </c>
      <c r="Q130" s="7">
        <f t="shared" si="1"/>
        <v>1155000</v>
      </c>
      <c r="R130" s="7">
        <f t="shared" si="2"/>
        <v>3224375</v>
      </c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 x14ac:dyDescent="0.35">
      <c r="A131" s="4" t="s">
        <v>178</v>
      </c>
      <c r="B131" s="19" t="s">
        <v>19</v>
      </c>
      <c r="C131" s="19" t="s">
        <v>20</v>
      </c>
      <c r="D131" s="19">
        <v>10</v>
      </c>
      <c r="E131" s="19">
        <v>500</v>
      </c>
      <c r="F131" s="19">
        <v>1000</v>
      </c>
      <c r="G131" s="19">
        <v>0</v>
      </c>
      <c r="H131" s="19">
        <v>0</v>
      </c>
      <c r="I131" s="19">
        <v>0</v>
      </c>
      <c r="J131" s="19">
        <v>0</v>
      </c>
      <c r="K131" s="19">
        <f t="shared" si="0"/>
        <v>1500</v>
      </c>
      <c r="L131" s="20">
        <v>1500</v>
      </c>
      <c r="M131" s="19">
        <v>26</v>
      </c>
      <c r="N131" s="20">
        <v>0</v>
      </c>
      <c r="O131" s="18"/>
      <c r="P131" s="6">
        <v>1402</v>
      </c>
      <c r="Q131" s="7">
        <f t="shared" si="1"/>
        <v>0</v>
      </c>
      <c r="R131" s="7">
        <f t="shared" si="2"/>
        <v>2103000</v>
      </c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 x14ac:dyDescent="0.35">
      <c r="A132" s="4" t="s">
        <v>147</v>
      </c>
      <c r="B132" s="19" t="s">
        <v>19</v>
      </c>
      <c r="C132" s="19" t="s">
        <v>20</v>
      </c>
      <c r="D132" s="19">
        <v>10</v>
      </c>
      <c r="E132" s="19">
        <v>2209</v>
      </c>
      <c r="F132" s="19">
        <v>8837</v>
      </c>
      <c r="G132" s="19">
        <v>0</v>
      </c>
      <c r="H132" s="19">
        <v>0</v>
      </c>
      <c r="I132" s="19">
        <v>4128</v>
      </c>
      <c r="J132" s="19">
        <v>6025</v>
      </c>
      <c r="K132" s="19">
        <f t="shared" si="0"/>
        <v>893</v>
      </c>
      <c r="L132" s="20">
        <v>4791.3571428571404</v>
      </c>
      <c r="M132" s="19">
        <v>26</v>
      </c>
      <c r="N132" s="20">
        <f t="shared" ref="N132:N147" si="16">(L132/(I132+J132))*M132</f>
        <v>12.269800621913291</v>
      </c>
      <c r="O132" s="18"/>
      <c r="P132" s="6">
        <v>6112</v>
      </c>
      <c r="Q132" s="7">
        <f t="shared" si="1"/>
        <v>62055136</v>
      </c>
      <c r="R132" s="7">
        <f t="shared" si="2"/>
        <v>29284774.857142843</v>
      </c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 x14ac:dyDescent="0.35">
      <c r="A133" s="4" t="s">
        <v>148</v>
      </c>
      <c r="B133" s="19" t="s">
        <v>19</v>
      </c>
      <c r="C133" s="19" t="s">
        <v>20</v>
      </c>
      <c r="D133" s="19">
        <v>10</v>
      </c>
      <c r="E133" s="19">
        <v>2097</v>
      </c>
      <c r="F133" s="19">
        <v>925</v>
      </c>
      <c r="G133" s="19">
        <v>0</v>
      </c>
      <c r="H133" s="19">
        <v>0</v>
      </c>
      <c r="I133" s="19">
        <v>0</v>
      </c>
      <c r="J133" s="19">
        <v>1250</v>
      </c>
      <c r="K133" s="19">
        <f t="shared" si="0"/>
        <v>1772</v>
      </c>
      <c r="L133" s="20">
        <v>1715.75</v>
      </c>
      <c r="M133" s="19">
        <v>26</v>
      </c>
      <c r="N133" s="20">
        <f t="shared" si="16"/>
        <v>35.687600000000003</v>
      </c>
      <c r="O133" s="18"/>
      <c r="P133" s="6">
        <v>2392</v>
      </c>
      <c r="Q133" s="7">
        <f t="shared" si="1"/>
        <v>2990000</v>
      </c>
      <c r="R133" s="7">
        <f t="shared" si="2"/>
        <v>4104074</v>
      </c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 x14ac:dyDescent="0.35">
      <c r="A134" s="4" t="s">
        <v>149</v>
      </c>
      <c r="B134" s="19" t="s">
        <v>19</v>
      </c>
      <c r="C134" s="19" t="s">
        <v>20</v>
      </c>
      <c r="D134" s="19">
        <v>10</v>
      </c>
      <c r="E134" s="19">
        <v>1044</v>
      </c>
      <c r="F134" s="19">
        <v>1473</v>
      </c>
      <c r="G134" s="19">
        <v>0</v>
      </c>
      <c r="H134" s="19">
        <v>0</v>
      </c>
      <c r="I134" s="19">
        <v>2493</v>
      </c>
      <c r="J134" s="19">
        <v>0</v>
      </c>
      <c r="K134" s="19">
        <f t="shared" si="0"/>
        <v>24</v>
      </c>
      <c r="L134" s="20">
        <v>234</v>
      </c>
      <c r="M134" s="19">
        <v>26</v>
      </c>
      <c r="N134" s="20">
        <f t="shared" si="16"/>
        <v>2.4404332129963899</v>
      </c>
      <c r="O134" s="18"/>
      <c r="P134" s="6">
        <v>2651</v>
      </c>
      <c r="Q134" s="7">
        <f t="shared" si="1"/>
        <v>6608943</v>
      </c>
      <c r="R134" s="7">
        <f t="shared" si="2"/>
        <v>620334</v>
      </c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 x14ac:dyDescent="0.35">
      <c r="A135" s="4" t="s">
        <v>150</v>
      </c>
      <c r="B135" s="19" t="s">
        <v>19</v>
      </c>
      <c r="C135" s="19" t="s">
        <v>20</v>
      </c>
      <c r="D135" s="19">
        <v>10</v>
      </c>
      <c r="E135" s="19">
        <v>2106</v>
      </c>
      <c r="F135" s="19">
        <v>0</v>
      </c>
      <c r="G135" s="19">
        <v>0</v>
      </c>
      <c r="H135" s="19">
        <v>0</v>
      </c>
      <c r="I135" s="19">
        <v>615</v>
      </c>
      <c r="J135" s="19">
        <v>0</v>
      </c>
      <c r="K135" s="19">
        <f t="shared" si="0"/>
        <v>1491</v>
      </c>
      <c r="L135" s="20">
        <v>1757</v>
      </c>
      <c r="M135" s="19">
        <v>26</v>
      </c>
      <c r="N135" s="20">
        <f t="shared" si="16"/>
        <v>74.279674796747969</v>
      </c>
      <c r="O135" s="18"/>
      <c r="P135" s="6">
        <v>4343</v>
      </c>
      <c r="Q135" s="7">
        <f t="shared" si="1"/>
        <v>2670945</v>
      </c>
      <c r="R135" s="7">
        <f t="shared" si="2"/>
        <v>7630651</v>
      </c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 x14ac:dyDescent="0.35">
      <c r="A136" s="4" t="s">
        <v>151</v>
      </c>
      <c r="B136" s="19" t="s">
        <v>19</v>
      </c>
      <c r="C136" s="19" t="s">
        <v>20</v>
      </c>
      <c r="D136" s="19">
        <v>10</v>
      </c>
      <c r="E136" s="19">
        <v>1796</v>
      </c>
      <c r="F136" s="19">
        <v>0</v>
      </c>
      <c r="G136" s="19">
        <v>0</v>
      </c>
      <c r="H136" s="19">
        <v>0</v>
      </c>
      <c r="I136" s="19">
        <v>825</v>
      </c>
      <c r="J136" s="19">
        <v>0</v>
      </c>
      <c r="K136" s="19">
        <f t="shared" si="0"/>
        <v>971</v>
      </c>
      <c r="L136" s="20">
        <v>1314.75</v>
      </c>
      <c r="M136" s="19">
        <v>26</v>
      </c>
      <c r="N136" s="20">
        <f t="shared" si="16"/>
        <v>41.434545454545457</v>
      </c>
      <c r="O136" s="18"/>
      <c r="P136" s="6">
        <v>2970</v>
      </c>
      <c r="Q136" s="7">
        <f t="shared" si="1"/>
        <v>2450250</v>
      </c>
      <c r="R136" s="7">
        <f t="shared" si="2"/>
        <v>3904807.5</v>
      </c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 x14ac:dyDescent="0.35">
      <c r="A137" s="4" t="s">
        <v>152</v>
      </c>
      <c r="B137" s="19" t="s">
        <v>19</v>
      </c>
      <c r="C137" s="19" t="s">
        <v>20</v>
      </c>
      <c r="D137" s="19">
        <v>10</v>
      </c>
      <c r="E137" s="19">
        <v>2322</v>
      </c>
      <c r="F137" s="19">
        <v>0</v>
      </c>
      <c r="G137" s="19">
        <v>0</v>
      </c>
      <c r="H137" s="19">
        <v>0</v>
      </c>
      <c r="I137" s="19">
        <v>1255</v>
      </c>
      <c r="J137" s="19">
        <v>0</v>
      </c>
      <c r="K137" s="19">
        <f t="shared" si="0"/>
        <v>1067</v>
      </c>
      <c r="L137" s="20">
        <v>1644.2857142857101</v>
      </c>
      <c r="M137" s="19">
        <v>26</v>
      </c>
      <c r="N137" s="20">
        <f t="shared" si="16"/>
        <v>34.064883323847383</v>
      </c>
      <c r="O137" s="18"/>
      <c r="P137" s="6">
        <v>2970</v>
      </c>
      <c r="Q137" s="7">
        <f t="shared" si="1"/>
        <v>3727350</v>
      </c>
      <c r="R137" s="7">
        <f t="shared" si="2"/>
        <v>4883528.5714285588</v>
      </c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 x14ac:dyDescent="0.35">
      <c r="A138" s="4" t="s">
        <v>153</v>
      </c>
      <c r="B138" s="19" t="s">
        <v>19</v>
      </c>
      <c r="C138" s="19" t="s">
        <v>20</v>
      </c>
      <c r="D138" s="19">
        <v>10</v>
      </c>
      <c r="E138" s="19">
        <v>1130</v>
      </c>
      <c r="F138" s="19">
        <v>0</v>
      </c>
      <c r="G138" s="19">
        <v>0</v>
      </c>
      <c r="H138" s="19">
        <v>0</v>
      </c>
      <c r="I138" s="19">
        <v>100</v>
      </c>
      <c r="J138" s="19">
        <v>0</v>
      </c>
      <c r="K138" s="19">
        <f t="shared" si="0"/>
        <v>1030</v>
      </c>
      <c r="L138" s="20">
        <v>1055</v>
      </c>
      <c r="M138" s="19">
        <v>26</v>
      </c>
      <c r="N138" s="20">
        <f t="shared" si="16"/>
        <v>274.3</v>
      </c>
      <c r="O138" s="18"/>
      <c r="P138" s="6">
        <v>2607</v>
      </c>
      <c r="Q138" s="7">
        <f t="shared" si="1"/>
        <v>260700</v>
      </c>
      <c r="R138" s="7">
        <f t="shared" si="2"/>
        <v>2750385</v>
      </c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 x14ac:dyDescent="0.35">
      <c r="A139" s="4" t="s">
        <v>154</v>
      </c>
      <c r="B139" s="19" t="s">
        <v>19</v>
      </c>
      <c r="C139" s="19" t="s">
        <v>20</v>
      </c>
      <c r="D139" s="19">
        <v>10</v>
      </c>
      <c r="E139" s="19">
        <v>2725</v>
      </c>
      <c r="F139" s="19">
        <v>0</v>
      </c>
      <c r="G139" s="19">
        <v>0</v>
      </c>
      <c r="H139" s="19">
        <v>0</v>
      </c>
      <c r="I139" s="19">
        <v>1925</v>
      </c>
      <c r="J139" s="19">
        <v>0</v>
      </c>
      <c r="K139" s="19">
        <f t="shared" si="0"/>
        <v>800</v>
      </c>
      <c r="L139" s="20">
        <v>1636.1111111111102</v>
      </c>
      <c r="M139" s="19">
        <v>26</v>
      </c>
      <c r="N139" s="20">
        <f t="shared" si="16"/>
        <v>22.098124098124085</v>
      </c>
      <c r="O139" s="18"/>
      <c r="P139" s="6">
        <v>1928</v>
      </c>
      <c r="Q139" s="7">
        <f t="shared" si="1"/>
        <v>3711400</v>
      </c>
      <c r="R139" s="7">
        <f t="shared" si="2"/>
        <v>3154422.2222222206</v>
      </c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 x14ac:dyDescent="0.35">
      <c r="A140" s="4" t="s">
        <v>155</v>
      </c>
      <c r="B140" s="19" t="s">
        <v>19</v>
      </c>
      <c r="C140" s="19" t="s">
        <v>20</v>
      </c>
      <c r="D140" s="19">
        <v>10</v>
      </c>
      <c r="E140" s="19">
        <v>3675</v>
      </c>
      <c r="F140" s="19">
        <v>0</v>
      </c>
      <c r="G140" s="19">
        <v>0</v>
      </c>
      <c r="H140" s="19">
        <v>0</v>
      </c>
      <c r="I140" s="19">
        <v>0</v>
      </c>
      <c r="J140" s="19">
        <v>50</v>
      </c>
      <c r="K140" s="19">
        <f t="shared" si="0"/>
        <v>3625</v>
      </c>
      <c r="L140" s="20">
        <v>3625</v>
      </c>
      <c r="M140" s="19">
        <v>26</v>
      </c>
      <c r="N140" s="20">
        <f t="shared" si="16"/>
        <v>1885</v>
      </c>
      <c r="O140" s="18"/>
      <c r="P140" s="6">
        <v>2129</v>
      </c>
      <c r="Q140" s="7">
        <f t="shared" si="1"/>
        <v>106450</v>
      </c>
      <c r="R140" s="7">
        <f t="shared" si="2"/>
        <v>7717625</v>
      </c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 x14ac:dyDescent="0.35">
      <c r="A141" s="4" t="s">
        <v>156</v>
      </c>
      <c r="B141" s="19" t="s">
        <v>19</v>
      </c>
      <c r="C141" s="19" t="s">
        <v>20</v>
      </c>
      <c r="D141" s="19">
        <v>10</v>
      </c>
      <c r="E141" s="19">
        <v>44882</v>
      </c>
      <c r="F141" s="19">
        <v>0</v>
      </c>
      <c r="G141" s="19">
        <v>0</v>
      </c>
      <c r="H141" s="19">
        <v>0</v>
      </c>
      <c r="I141" s="19">
        <v>4550</v>
      </c>
      <c r="J141" s="19">
        <v>0</v>
      </c>
      <c r="K141" s="19">
        <f t="shared" si="0"/>
        <v>40332</v>
      </c>
      <c r="L141" s="20">
        <v>42417</v>
      </c>
      <c r="M141" s="19">
        <v>26</v>
      </c>
      <c r="N141" s="20">
        <f t="shared" si="16"/>
        <v>242.38285714285715</v>
      </c>
      <c r="O141" s="18"/>
      <c r="P141" s="6">
        <v>2177</v>
      </c>
      <c r="Q141" s="7">
        <f t="shared" si="1"/>
        <v>9905350</v>
      </c>
      <c r="R141" s="7">
        <f t="shared" si="2"/>
        <v>92341809</v>
      </c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 x14ac:dyDescent="0.35">
      <c r="A142" s="4" t="s">
        <v>157</v>
      </c>
      <c r="B142" s="19" t="s">
        <v>19</v>
      </c>
      <c r="C142" s="19" t="s">
        <v>20</v>
      </c>
      <c r="D142" s="19">
        <v>10</v>
      </c>
      <c r="E142" s="19">
        <v>9275</v>
      </c>
      <c r="F142" s="19">
        <v>29441</v>
      </c>
      <c r="G142" s="19">
        <v>0</v>
      </c>
      <c r="H142" s="19">
        <v>0</v>
      </c>
      <c r="I142" s="19">
        <v>38691</v>
      </c>
      <c r="J142" s="19">
        <v>0</v>
      </c>
      <c r="K142" s="19">
        <f t="shared" si="0"/>
        <v>25</v>
      </c>
      <c r="L142" s="20">
        <v>5759.4000000000005</v>
      </c>
      <c r="M142" s="19">
        <v>26</v>
      </c>
      <c r="N142" s="20">
        <f t="shared" si="16"/>
        <v>3.8702644025742421</v>
      </c>
      <c r="O142" s="18"/>
      <c r="P142" s="6">
        <v>2177</v>
      </c>
      <c r="Q142" s="7">
        <f t="shared" si="1"/>
        <v>84230307</v>
      </c>
      <c r="R142" s="7">
        <f t="shared" si="2"/>
        <v>12538213.800000001</v>
      </c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 x14ac:dyDescent="0.35">
      <c r="A143" s="4" t="s">
        <v>158</v>
      </c>
      <c r="B143" s="19" t="s">
        <v>19</v>
      </c>
      <c r="C143" s="19" t="s">
        <v>20</v>
      </c>
      <c r="D143" s="19">
        <v>10</v>
      </c>
      <c r="E143" s="19">
        <v>9261</v>
      </c>
      <c r="F143" s="19">
        <v>4080</v>
      </c>
      <c r="G143" s="19">
        <v>0</v>
      </c>
      <c r="H143" s="19">
        <v>0</v>
      </c>
      <c r="I143" s="19">
        <v>7721</v>
      </c>
      <c r="J143" s="19">
        <v>25</v>
      </c>
      <c r="K143" s="19">
        <f t="shared" si="0"/>
        <v>5595</v>
      </c>
      <c r="L143" s="20">
        <v>8632.1428571428605</v>
      </c>
      <c r="M143" s="19">
        <v>26</v>
      </c>
      <c r="N143" s="20">
        <f t="shared" si="16"/>
        <v>28.974401534432531</v>
      </c>
      <c r="O143" s="18"/>
      <c r="P143" s="6">
        <v>2177</v>
      </c>
      <c r="Q143" s="7">
        <f t="shared" si="1"/>
        <v>16863042</v>
      </c>
      <c r="R143" s="7">
        <f t="shared" si="2"/>
        <v>18792175.000000007</v>
      </c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 x14ac:dyDescent="0.35">
      <c r="A144" s="4" t="s">
        <v>159</v>
      </c>
      <c r="B144" s="19" t="s">
        <v>19</v>
      </c>
      <c r="C144" s="19" t="s">
        <v>20</v>
      </c>
      <c r="D144" s="19">
        <v>10</v>
      </c>
      <c r="E144" s="19">
        <v>5596</v>
      </c>
      <c r="F144" s="19">
        <v>8250</v>
      </c>
      <c r="G144" s="19">
        <v>0</v>
      </c>
      <c r="H144" s="19">
        <v>0</v>
      </c>
      <c r="I144" s="19">
        <v>0</v>
      </c>
      <c r="J144" s="19">
        <v>11725</v>
      </c>
      <c r="K144" s="19">
        <f t="shared" si="0"/>
        <v>2121</v>
      </c>
      <c r="L144" s="20">
        <v>5473.7777777777801</v>
      </c>
      <c r="M144" s="19">
        <v>26</v>
      </c>
      <c r="N144" s="20">
        <f t="shared" si="16"/>
        <v>12.138014688462455</v>
      </c>
      <c r="O144" s="18"/>
      <c r="P144" s="6">
        <v>1948</v>
      </c>
      <c r="Q144" s="7">
        <f t="shared" si="1"/>
        <v>22840300</v>
      </c>
      <c r="R144" s="7">
        <f t="shared" si="2"/>
        <v>10662919.111111116</v>
      </c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 x14ac:dyDescent="0.35">
      <c r="A145" s="4" t="s">
        <v>160</v>
      </c>
      <c r="B145" s="19" t="s">
        <v>19</v>
      </c>
      <c r="C145" s="19" t="s">
        <v>20</v>
      </c>
      <c r="D145" s="19">
        <v>10</v>
      </c>
      <c r="E145" s="19">
        <v>1500</v>
      </c>
      <c r="F145" s="19">
        <v>6120</v>
      </c>
      <c r="G145" s="19">
        <v>0</v>
      </c>
      <c r="H145" s="19">
        <v>0</v>
      </c>
      <c r="I145" s="19">
        <v>0</v>
      </c>
      <c r="J145" s="19">
        <v>4620</v>
      </c>
      <c r="K145" s="19">
        <f t="shared" si="0"/>
        <v>3000</v>
      </c>
      <c r="L145" s="20">
        <v>5403.3333333333303</v>
      </c>
      <c r="M145" s="19">
        <v>26</v>
      </c>
      <c r="N145" s="20">
        <f t="shared" si="16"/>
        <v>30.408369408369389</v>
      </c>
      <c r="O145" s="18"/>
      <c r="P145" s="6">
        <v>1989</v>
      </c>
      <c r="Q145" s="7">
        <f t="shared" si="1"/>
        <v>9189180</v>
      </c>
      <c r="R145" s="7">
        <f t="shared" si="2"/>
        <v>10747229.999999994</v>
      </c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 x14ac:dyDescent="0.35">
      <c r="A146" s="4" t="s">
        <v>161</v>
      </c>
      <c r="B146" s="19" t="s">
        <v>19</v>
      </c>
      <c r="C146" s="19" t="s">
        <v>20</v>
      </c>
      <c r="D146" s="19">
        <v>10</v>
      </c>
      <c r="E146" s="19">
        <v>8050</v>
      </c>
      <c r="F146" s="19">
        <v>27575</v>
      </c>
      <c r="G146" s="19">
        <v>0</v>
      </c>
      <c r="H146" s="19">
        <v>0</v>
      </c>
      <c r="I146" s="19">
        <v>9200</v>
      </c>
      <c r="J146" s="19">
        <v>12500</v>
      </c>
      <c r="K146" s="19">
        <f t="shared" si="0"/>
        <v>13925</v>
      </c>
      <c r="L146" s="20">
        <v>15313.461538461501</v>
      </c>
      <c r="M146" s="19">
        <v>26</v>
      </c>
      <c r="N146" s="20">
        <f t="shared" si="16"/>
        <v>18.347926267281061</v>
      </c>
      <c r="O146" s="18"/>
      <c r="P146" s="6">
        <v>2181</v>
      </c>
      <c r="Q146" s="7">
        <f t="shared" si="1"/>
        <v>47327700</v>
      </c>
      <c r="R146" s="7">
        <f t="shared" si="2"/>
        <v>33398659.615384534</v>
      </c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 x14ac:dyDescent="0.35">
      <c r="A147" s="4" t="s">
        <v>179</v>
      </c>
      <c r="B147" s="19" t="s">
        <v>19</v>
      </c>
      <c r="C147" s="19" t="s">
        <v>20</v>
      </c>
      <c r="D147" s="19">
        <v>10</v>
      </c>
      <c r="E147" s="19">
        <v>7150</v>
      </c>
      <c r="F147" s="19">
        <v>22750</v>
      </c>
      <c r="G147" s="19">
        <v>0</v>
      </c>
      <c r="H147" s="19">
        <v>0</v>
      </c>
      <c r="I147" s="19">
        <v>21150</v>
      </c>
      <c r="J147" s="19">
        <v>0</v>
      </c>
      <c r="K147" s="19">
        <f t="shared" si="0"/>
        <v>8750</v>
      </c>
      <c r="L147" s="20">
        <v>5243.3333333333303</v>
      </c>
      <c r="M147" s="19">
        <v>26</v>
      </c>
      <c r="N147" s="20">
        <f t="shared" si="16"/>
        <v>6.4457052797478296</v>
      </c>
      <c r="O147" s="18"/>
      <c r="P147" s="6">
        <v>2181</v>
      </c>
      <c r="Q147" s="7">
        <f t="shared" si="1"/>
        <v>46128150</v>
      </c>
      <c r="R147" s="7">
        <f t="shared" si="2"/>
        <v>11435709.999999993</v>
      </c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 x14ac:dyDescent="0.35">
      <c r="A148" s="4" t="s">
        <v>180</v>
      </c>
      <c r="B148" s="19" t="s">
        <v>19</v>
      </c>
      <c r="C148" s="19" t="s">
        <v>20</v>
      </c>
      <c r="D148" s="19">
        <v>10</v>
      </c>
      <c r="E148" s="19">
        <v>11425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f t="shared" si="0"/>
        <v>11425</v>
      </c>
      <c r="L148" s="20">
        <v>0</v>
      </c>
      <c r="M148" s="19">
        <v>26</v>
      </c>
      <c r="N148" s="20">
        <v>0</v>
      </c>
      <c r="O148" s="18"/>
      <c r="P148" s="6">
        <v>2181</v>
      </c>
      <c r="Q148" s="7">
        <f t="shared" si="1"/>
        <v>0</v>
      </c>
      <c r="R148" s="7">
        <f t="shared" si="2"/>
        <v>0</v>
      </c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 x14ac:dyDescent="0.35">
      <c r="A149" s="4" t="s">
        <v>181</v>
      </c>
      <c r="B149" s="19" t="s">
        <v>22</v>
      </c>
      <c r="C149" s="19" t="s">
        <v>20</v>
      </c>
      <c r="D149" s="19">
        <v>10</v>
      </c>
      <c r="E149" s="19">
        <v>14575</v>
      </c>
      <c r="F149" s="19">
        <v>233550</v>
      </c>
      <c r="G149" s="19">
        <v>0</v>
      </c>
      <c r="H149" s="19">
        <v>0</v>
      </c>
      <c r="I149" s="19">
        <v>0</v>
      </c>
      <c r="J149" s="19">
        <v>229050</v>
      </c>
      <c r="K149" s="19">
        <f t="shared" si="0"/>
        <v>19075</v>
      </c>
      <c r="L149" s="20">
        <v>25564.285714285699</v>
      </c>
      <c r="M149" s="19">
        <v>26</v>
      </c>
      <c r="N149" s="20">
        <f t="shared" ref="N149:N159" si="17">(L149/(I149+J149))*M149</f>
        <v>2.9018617270090732</v>
      </c>
      <c r="O149" s="18"/>
      <c r="P149" s="6">
        <v>2208</v>
      </c>
      <c r="Q149" s="7">
        <f t="shared" si="1"/>
        <v>505742400</v>
      </c>
      <c r="R149" s="7">
        <f t="shared" si="2"/>
        <v>56445942.857142821</v>
      </c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 x14ac:dyDescent="0.35">
      <c r="A150" s="4" t="s">
        <v>182</v>
      </c>
      <c r="B150" s="19" t="s">
        <v>22</v>
      </c>
      <c r="C150" s="19" t="s">
        <v>20</v>
      </c>
      <c r="D150" s="19">
        <v>10</v>
      </c>
      <c r="E150" s="19">
        <v>10275</v>
      </c>
      <c r="F150" s="19">
        <v>23925</v>
      </c>
      <c r="G150" s="19">
        <v>0</v>
      </c>
      <c r="H150" s="19">
        <v>0</v>
      </c>
      <c r="I150" s="19">
        <v>0</v>
      </c>
      <c r="J150" s="19">
        <v>29325</v>
      </c>
      <c r="K150" s="19">
        <f t="shared" si="0"/>
        <v>4875</v>
      </c>
      <c r="L150" s="20">
        <v>7585.4166666666697</v>
      </c>
      <c r="M150" s="19">
        <v>26</v>
      </c>
      <c r="N150" s="20">
        <f t="shared" si="17"/>
        <v>6.7253481102585981</v>
      </c>
      <c r="O150" s="18"/>
      <c r="P150" s="6">
        <v>2245</v>
      </c>
      <c r="Q150" s="7">
        <f t="shared" si="1"/>
        <v>65834625</v>
      </c>
      <c r="R150" s="7">
        <f t="shared" si="2"/>
        <v>17029260.416666672</v>
      </c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 x14ac:dyDescent="0.35">
      <c r="A151" s="4" t="s">
        <v>164</v>
      </c>
      <c r="B151" s="19" t="s">
        <v>19</v>
      </c>
      <c r="C151" s="19" t="s">
        <v>20</v>
      </c>
      <c r="D151" s="19">
        <v>10</v>
      </c>
      <c r="E151" s="19">
        <v>8193</v>
      </c>
      <c r="F151" s="19">
        <v>66075</v>
      </c>
      <c r="G151" s="19">
        <v>0</v>
      </c>
      <c r="H151" s="19">
        <v>0</v>
      </c>
      <c r="I151" s="19">
        <v>31300</v>
      </c>
      <c r="J151" s="19">
        <v>21575</v>
      </c>
      <c r="K151" s="19">
        <f t="shared" si="0"/>
        <v>21393</v>
      </c>
      <c r="L151" s="20">
        <v>13739</v>
      </c>
      <c r="M151" s="19">
        <v>26</v>
      </c>
      <c r="N151" s="20">
        <f t="shared" si="17"/>
        <v>6.7558203309692679</v>
      </c>
      <c r="O151" s="18"/>
      <c r="P151" s="6">
        <v>2355</v>
      </c>
      <c r="Q151" s="7">
        <f t="shared" si="1"/>
        <v>124520625</v>
      </c>
      <c r="R151" s="7">
        <f t="shared" si="2"/>
        <v>32355345</v>
      </c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 x14ac:dyDescent="0.35">
      <c r="A152" s="4" t="s">
        <v>183</v>
      </c>
      <c r="B152" s="19" t="s">
        <v>19</v>
      </c>
      <c r="C152" s="19" t="s">
        <v>20</v>
      </c>
      <c r="D152" s="19">
        <v>10</v>
      </c>
      <c r="E152" s="19">
        <v>7706</v>
      </c>
      <c r="F152" s="19">
        <v>3150</v>
      </c>
      <c r="G152" s="19">
        <v>0</v>
      </c>
      <c r="H152" s="19">
        <v>0</v>
      </c>
      <c r="I152" s="19">
        <v>0</v>
      </c>
      <c r="J152" s="19">
        <v>6232</v>
      </c>
      <c r="K152" s="19">
        <f t="shared" si="0"/>
        <v>4624</v>
      </c>
      <c r="L152" s="20">
        <v>6468.3333333333303</v>
      </c>
      <c r="M152" s="19">
        <v>26</v>
      </c>
      <c r="N152" s="20">
        <f t="shared" si="17"/>
        <v>26.985986307231482</v>
      </c>
      <c r="O152" s="18"/>
      <c r="P152" s="6">
        <v>2021</v>
      </c>
      <c r="Q152" s="7">
        <f t="shared" si="1"/>
        <v>12594872</v>
      </c>
      <c r="R152" s="7">
        <f t="shared" si="2"/>
        <v>13072501.66666666</v>
      </c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 x14ac:dyDescent="0.35">
      <c r="A153" s="4" t="s">
        <v>184</v>
      </c>
      <c r="B153" s="19" t="s">
        <v>19</v>
      </c>
      <c r="C153" s="19" t="s">
        <v>20</v>
      </c>
      <c r="D153" s="19">
        <v>10</v>
      </c>
      <c r="E153" s="19">
        <v>7168</v>
      </c>
      <c r="F153" s="19">
        <v>5000</v>
      </c>
      <c r="G153" s="19">
        <v>0</v>
      </c>
      <c r="H153" s="19">
        <v>0</v>
      </c>
      <c r="I153" s="19">
        <v>0</v>
      </c>
      <c r="J153" s="19">
        <v>8630</v>
      </c>
      <c r="K153" s="19">
        <f t="shared" si="0"/>
        <v>3538</v>
      </c>
      <c r="L153" s="20">
        <v>6456</v>
      </c>
      <c r="M153" s="19">
        <v>26</v>
      </c>
      <c r="N153" s="20">
        <f t="shared" si="17"/>
        <v>19.450289687137889</v>
      </c>
      <c r="O153" s="18"/>
      <c r="P153" s="6">
        <v>2021</v>
      </c>
      <c r="Q153" s="7">
        <f t="shared" si="1"/>
        <v>17441230</v>
      </c>
      <c r="R153" s="7">
        <f t="shared" si="2"/>
        <v>13047576</v>
      </c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 x14ac:dyDescent="0.35">
      <c r="A154" s="4" t="s">
        <v>185</v>
      </c>
      <c r="B154" s="19" t="s">
        <v>19</v>
      </c>
      <c r="C154" s="19" t="s">
        <v>20</v>
      </c>
      <c r="D154" s="19">
        <v>10</v>
      </c>
      <c r="E154" s="19">
        <v>5200</v>
      </c>
      <c r="F154" s="19">
        <v>2000</v>
      </c>
      <c r="G154" s="19">
        <v>0</v>
      </c>
      <c r="H154" s="19">
        <v>0</v>
      </c>
      <c r="I154" s="19">
        <v>0</v>
      </c>
      <c r="J154" s="19">
        <v>6255</v>
      </c>
      <c r="K154" s="19">
        <f t="shared" si="0"/>
        <v>945</v>
      </c>
      <c r="L154" s="20">
        <v>2963.5714285714303</v>
      </c>
      <c r="M154" s="19">
        <v>26</v>
      </c>
      <c r="N154" s="20">
        <f t="shared" si="17"/>
        <v>12.31860226104831</v>
      </c>
      <c r="O154" s="18"/>
      <c r="P154" s="6">
        <v>2021</v>
      </c>
      <c r="Q154" s="7">
        <f t="shared" si="1"/>
        <v>12641355</v>
      </c>
      <c r="R154" s="7">
        <f t="shared" si="2"/>
        <v>5989377.857142861</v>
      </c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 x14ac:dyDescent="0.35">
      <c r="A155" s="4" t="s">
        <v>186</v>
      </c>
      <c r="B155" s="19" t="s">
        <v>19</v>
      </c>
      <c r="C155" s="19" t="s">
        <v>20</v>
      </c>
      <c r="D155" s="19">
        <v>10</v>
      </c>
      <c r="E155" s="19">
        <v>6000</v>
      </c>
      <c r="F155" s="19">
        <v>10000</v>
      </c>
      <c r="G155" s="19">
        <v>0</v>
      </c>
      <c r="H155" s="19">
        <v>0</v>
      </c>
      <c r="I155" s="19">
        <v>16000</v>
      </c>
      <c r="J155" s="19">
        <v>0</v>
      </c>
      <c r="K155" s="19">
        <f t="shared" si="0"/>
        <v>0</v>
      </c>
      <c r="L155" s="20">
        <v>4600</v>
      </c>
      <c r="M155" s="19">
        <v>26</v>
      </c>
      <c r="N155" s="20">
        <f t="shared" si="17"/>
        <v>7.4749999999999996</v>
      </c>
      <c r="O155" s="18"/>
      <c r="P155" s="6">
        <v>2846</v>
      </c>
      <c r="Q155" s="7">
        <f t="shared" si="1"/>
        <v>45536000</v>
      </c>
      <c r="R155" s="7">
        <f t="shared" si="2"/>
        <v>13091600</v>
      </c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 x14ac:dyDescent="0.35">
      <c r="A156" s="4" t="s">
        <v>187</v>
      </c>
      <c r="B156" s="19" t="s">
        <v>19</v>
      </c>
      <c r="C156" s="19" t="s">
        <v>20</v>
      </c>
      <c r="D156" s="19">
        <v>10</v>
      </c>
      <c r="E156" s="19">
        <v>2463</v>
      </c>
      <c r="F156" s="19">
        <v>12376</v>
      </c>
      <c r="G156" s="19">
        <v>0</v>
      </c>
      <c r="H156" s="19">
        <v>0</v>
      </c>
      <c r="I156" s="19">
        <v>8903</v>
      </c>
      <c r="J156" s="19">
        <v>0</v>
      </c>
      <c r="K156" s="19">
        <f t="shared" si="0"/>
        <v>5936</v>
      </c>
      <c r="L156" s="20">
        <v>6057.6</v>
      </c>
      <c r="M156" s="19">
        <v>26</v>
      </c>
      <c r="N156" s="20">
        <f t="shared" si="17"/>
        <v>17.690396495563295</v>
      </c>
      <c r="O156" s="18"/>
      <c r="P156" s="6">
        <v>7550</v>
      </c>
      <c r="Q156" s="7">
        <f t="shared" si="1"/>
        <v>67217650</v>
      </c>
      <c r="R156" s="7">
        <f t="shared" si="2"/>
        <v>45734880</v>
      </c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 x14ac:dyDescent="0.35">
      <c r="A157" s="4" t="s">
        <v>188</v>
      </c>
      <c r="B157" s="19" t="s">
        <v>19</v>
      </c>
      <c r="C157" s="19" t="s">
        <v>20</v>
      </c>
      <c r="D157" s="19">
        <v>10</v>
      </c>
      <c r="E157" s="19">
        <v>2900</v>
      </c>
      <c r="F157" s="19">
        <v>1900</v>
      </c>
      <c r="G157" s="19">
        <v>0</v>
      </c>
      <c r="H157" s="19">
        <v>0</v>
      </c>
      <c r="I157" s="19">
        <v>3400</v>
      </c>
      <c r="J157" s="19">
        <v>0</v>
      </c>
      <c r="K157" s="19">
        <f t="shared" si="0"/>
        <v>1400</v>
      </c>
      <c r="L157" s="20">
        <v>1931.25</v>
      </c>
      <c r="M157" s="19">
        <v>26</v>
      </c>
      <c r="N157" s="20">
        <f t="shared" si="17"/>
        <v>14.768382352941176</v>
      </c>
      <c r="O157" s="18"/>
      <c r="P157" s="6">
        <v>2658</v>
      </c>
      <c r="Q157" s="7">
        <f t="shared" si="1"/>
        <v>9037200</v>
      </c>
      <c r="R157" s="7">
        <f t="shared" si="2"/>
        <v>5133262.5</v>
      </c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 x14ac:dyDescent="0.35">
      <c r="A158" s="4" t="s">
        <v>194</v>
      </c>
      <c r="B158" s="19" t="s">
        <v>19</v>
      </c>
      <c r="C158" s="19" t="s">
        <v>20</v>
      </c>
      <c r="D158" s="19">
        <v>10</v>
      </c>
      <c r="E158" s="19">
        <v>10000</v>
      </c>
      <c r="F158" s="19">
        <v>12725</v>
      </c>
      <c r="G158" s="19">
        <v>0</v>
      </c>
      <c r="H158" s="19">
        <v>0</v>
      </c>
      <c r="I158" s="19">
        <v>0</v>
      </c>
      <c r="J158" s="19">
        <v>875</v>
      </c>
      <c r="K158" s="19">
        <f t="shared" si="0"/>
        <v>21850</v>
      </c>
      <c r="L158" s="20">
        <v>20141.666666666697</v>
      </c>
      <c r="M158" s="19">
        <v>26</v>
      </c>
      <c r="N158" s="20">
        <f t="shared" si="17"/>
        <v>598.49523809523907</v>
      </c>
      <c r="O158" s="18"/>
      <c r="P158" s="6">
        <v>2103</v>
      </c>
      <c r="Q158" s="7">
        <f t="shared" si="1"/>
        <v>1840125</v>
      </c>
      <c r="R158" s="7">
        <f t="shared" si="2"/>
        <v>42357925.000000067</v>
      </c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 x14ac:dyDescent="0.35">
      <c r="A159" s="8" t="s">
        <v>165</v>
      </c>
      <c r="B159" s="8"/>
      <c r="C159" s="8"/>
      <c r="D159" s="8"/>
      <c r="E159" s="9">
        <f t="shared" ref="E159:L159" si="18">SUM(E2:E158)</f>
        <v>1393947</v>
      </c>
      <c r="F159" s="9">
        <f t="shared" si="18"/>
        <v>5567254</v>
      </c>
      <c r="G159" s="9">
        <f t="shared" si="18"/>
        <v>0</v>
      </c>
      <c r="H159" s="9">
        <f t="shared" si="18"/>
        <v>0</v>
      </c>
      <c r="I159" s="9">
        <f t="shared" si="18"/>
        <v>3803700</v>
      </c>
      <c r="J159" s="9">
        <f t="shared" si="18"/>
        <v>2014623</v>
      </c>
      <c r="K159" s="9">
        <f t="shared" si="18"/>
        <v>1142878</v>
      </c>
      <c r="L159" s="9">
        <f t="shared" si="18"/>
        <v>1450306.3560255961</v>
      </c>
      <c r="M159" s="9">
        <v>26</v>
      </c>
      <c r="N159" s="9">
        <f t="shared" si="17"/>
        <v>6.4808992654181461</v>
      </c>
      <c r="O159" s="18"/>
      <c r="P159" s="21"/>
      <c r="Q159" s="21">
        <f t="shared" ref="Q159:R159" si="19">SUM(Q2:Q158)</f>
        <v>13492280520</v>
      </c>
      <c r="R159" s="21">
        <f t="shared" si="19"/>
        <v>3473559906.2817965</v>
      </c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 x14ac:dyDescent="0.35">
      <c r="A160" s="18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20"/>
      <c r="O160" s="18"/>
      <c r="P160" s="19"/>
      <c r="Q160" s="19"/>
      <c r="R160" s="19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 x14ac:dyDescent="0.35">
      <c r="A161" s="18"/>
      <c r="B161" s="19"/>
      <c r="C161" s="19"/>
      <c r="D161" s="19"/>
      <c r="E161" s="19"/>
      <c r="F161" s="19"/>
      <c r="G161" s="19"/>
      <c r="H161" s="19"/>
      <c r="I161" s="26">
        <f>I159+J159</f>
        <v>5818323</v>
      </c>
      <c r="J161" s="19"/>
      <c r="K161" s="19"/>
      <c r="L161" s="19"/>
      <c r="M161" s="19"/>
      <c r="N161" s="20"/>
      <c r="O161" s="18"/>
      <c r="P161" s="12" t="s">
        <v>166</v>
      </c>
      <c r="Q161" s="23">
        <v>5.1999999999999998E-3</v>
      </c>
      <c r="R161" s="19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 x14ac:dyDescent="0.35">
      <c r="A162" s="18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20"/>
      <c r="O162" s="18"/>
      <c r="P162" s="12" t="s">
        <v>167</v>
      </c>
      <c r="Q162" s="24">
        <f>(R159*Q161)/Q159</f>
        <v>1.3387293190273324E-3</v>
      </c>
      <c r="R162" s="19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 x14ac:dyDescent="0.35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20"/>
      <c r="O163" s="18"/>
      <c r="P163" s="12" t="s">
        <v>168</v>
      </c>
      <c r="Q163" s="24">
        <v>1.5100000000000001E-3</v>
      </c>
      <c r="R163" s="19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 x14ac:dyDescent="0.35">
      <c r="A164" s="4"/>
      <c r="B164" s="19"/>
      <c r="C164" s="18"/>
      <c r="D164" s="19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6" t="s">
        <v>169</v>
      </c>
      <c r="Q164" s="25">
        <f>(R159/Q159)*M159</f>
        <v>6.693646595136661</v>
      </c>
      <c r="R164" s="19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 x14ac:dyDescent="0.35">
      <c r="A165" s="4"/>
      <c r="B165" s="19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9"/>
      <c r="Q165" s="19"/>
      <c r="R165" s="19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 x14ac:dyDescent="0.35">
      <c r="A166" s="4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9"/>
      <c r="Q166" s="19"/>
      <c r="R166" s="19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 x14ac:dyDescent="0.35">
      <c r="A167" s="4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9"/>
      <c r="Q167" s="19"/>
      <c r="R167" s="19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 x14ac:dyDescent="0.35">
      <c r="A168" s="4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/>
      <c r="Q168" s="19"/>
      <c r="R168" s="19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 x14ac:dyDescent="0.35">
      <c r="A169" s="4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9"/>
      <c r="Q169" s="19"/>
      <c r="R169" s="19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 x14ac:dyDescent="0.35">
      <c r="A170" s="4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9"/>
      <c r="Q170" s="19"/>
      <c r="R170" s="19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 x14ac:dyDescent="0.35">
      <c r="A171" s="4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9"/>
      <c r="Q171" s="19"/>
      <c r="R171" s="19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 x14ac:dyDescent="0.35">
      <c r="A172" s="4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9"/>
      <c r="Q172" s="19"/>
      <c r="R172" s="19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 x14ac:dyDescent="0.35">
      <c r="A173" s="4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9"/>
      <c r="Q173" s="19"/>
      <c r="R173" s="19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 x14ac:dyDescent="0.35">
      <c r="A174" s="4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9"/>
      <c r="Q174" s="19"/>
      <c r="R174" s="19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 x14ac:dyDescent="0.35">
      <c r="A175" s="4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9"/>
      <c r="Q175" s="19"/>
      <c r="R175" s="19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 x14ac:dyDescent="0.35">
      <c r="A176" s="4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/>
      <c r="Q176" s="19"/>
      <c r="R176" s="19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 x14ac:dyDescent="0.35">
      <c r="A177" s="4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9"/>
      <c r="Q177" s="19"/>
      <c r="R177" s="19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 x14ac:dyDescent="0.35">
      <c r="A178" s="4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9"/>
      <c r="Q178" s="19"/>
      <c r="R178" s="19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 x14ac:dyDescent="0.35">
      <c r="A179" s="4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9"/>
      <c r="Q179" s="19"/>
      <c r="R179" s="19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 x14ac:dyDescent="0.35">
      <c r="A180" s="4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9"/>
      <c r="Q180" s="19"/>
      <c r="R180" s="19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 x14ac:dyDescent="0.35">
      <c r="A181" s="4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9"/>
      <c r="Q181" s="19"/>
      <c r="R181" s="19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 x14ac:dyDescent="0.35">
      <c r="A182" s="4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9"/>
      <c r="Q182" s="19"/>
      <c r="R182" s="19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 x14ac:dyDescent="0.35">
      <c r="A183" s="4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9"/>
      <c r="Q183" s="19"/>
      <c r="R183" s="19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 x14ac:dyDescent="0.35">
      <c r="A184" s="4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9"/>
      <c r="Q184" s="19"/>
      <c r="R184" s="19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 x14ac:dyDescent="0.35">
      <c r="A185" s="4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9"/>
      <c r="Q185" s="19"/>
      <c r="R185" s="19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 x14ac:dyDescent="0.35">
      <c r="A186" s="4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9"/>
      <c r="Q186" s="19"/>
      <c r="R186" s="19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 x14ac:dyDescent="0.35">
      <c r="A187" s="4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9"/>
      <c r="Q187" s="19"/>
      <c r="R187" s="19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 x14ac:dyDescent="0.35">
      <c r="A188" s="4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9"/>
      <c r="Q188" s="19"/>
      <c r="R188" s="19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 x14ac:dyDescent="0.35">
      <c r="A189" s="4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9"/>
      <c r="Q189" s="19"/>
      <c r="R189" s="19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 x14ac:dyDescent="0.35">
      <c r="A190" s="4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9"/>
      <c r="Q190" s="19"/>
      <c r="R190" s="19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 x14ac:dyDescent="0.35">
      <c r="A191" s="4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9"/>
      <c r="Q191" s="19"/>
      <c r="R191" s="19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 x14ac:dyDescent="0.35">
      <c r="A192" s="4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9"/>
      <c r="Q192" s="19"/>
      <c r="R192" s="19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 x14ac:dyDescent="0.35">
      <c r="A193" s="4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9"/>
      <c r="Q193" s="19"/>
      <c r="R193" s="19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 x14ac:dyDescent="0.35">
      <c r="A194" s="4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9"/>
      <c r="Q194" s="19"/>
      <c r="R194" s="19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 x14ac:dyDescent="0.35">
      <c r="A195" s="4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9"/>
      <c r="Q195" s="19"/>
      <c r="R195" s="19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 x14ac:dyDescent="0.35">
      <c r="A196" s="4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9"/>
      <c r="Q196" s="19"/>
      <c r="R196" s="19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 x14ac:dyDescent="0.35">
      <c r="A197" s="4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9"/>
      <c r="Q197" s="19"/>
      <c r="R197" s="19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 x14ac:dyDescent="0.35">
      <c r="A198" s="4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9"/>
      <c r="Q198" s="19"/>
      <c r="R198" s="19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 x14ac:dyDescent="0.35">
      <c r="A199" s="4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9"/>
      <c r="Q199" s="19"/>
      <c r="R199" s="19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 x14ac:dyDescent="0.35">
      <c r="A200" s="4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9"/>
      <c r="Q200" s="19"/>
      <c r="R200" s="19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 x14ac:dyDescent="0.35">
      <c r="A201" s="4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9"/>
      <c r="Q201" s="19"/>
      <c r="R201" s="19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 x14ac:dyDescent="0.35">
      <c r="A202" s="4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9"/>
      <c r="Q202" s="19"/>
      <c r="R202" s="19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 x14ac:dyDescent="0.35">
      <c r="A203" s="4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9"/>
      <c r="Q203" s="19"/>
      <c r="R203" s="19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75" customHeight="1" x14ac:dyDescent="0.35">
      <c r="A204" s="4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9"/>
      <c r="Q204" s="19"/>
      <c r="R204" s="19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75" customHeight="1" x14ac:dyDescent="0.35">
      <c r="A205" s="4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9"/>
      <c r="Q205" s="19"/>
      <c r="R205" s="19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75" customHeight="1" x14ac:dyDescent="0.35">
      <c r="A206" s="4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9"/>
      <c r="Q206" s="19"/>
      <c r="R206" s="19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75" customHeight="1" x14ac:dyDescent="0.35">
      <c r="A207" s="4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9"/>
      <c r="Q207" s="19"/>
      <c r="R207" s="19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75" customHeight="1" x14ac:dyDescent="0.35">
      <c r="A208" s="4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9"/>
      <c r="Q208" s="19"/>
      <c r="R208" s="19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75" customHeight="1" x14ac:dyDescent="0.35">
      <c r="A209" s="4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9"/>
      <c r="Q209" s="19"/>
      <c r="R209" s="19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75" customHeight="1" x14ac:dyDescent="0.35">
      <c r="A210" s="4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9"/>
      <c r="Q210" s="19"/>
      <c r="R210" s="19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75" customHeight="1" x14ac:dyDescent="0.35">
      <c r="A211" s="4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9"/>
      <c r="Q211" s="19"/>
      <c r="R211" s="19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75" customHeight="1" x14ac:dyDescent="0.35">
      <c r="A212" s="4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9"/>
      <c r="Q212" s="19"/>
      <c r="R212" s="19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75" customHeight="1" x14ac:dyDescent="0.35">
      <c r="A213" s="4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9"/>
      <c r="Q213" s="19"/>
      <c r="R213" s="19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75" customHeight="1" x14ac:dyDescent="0.35">
      <c r="A214" s="4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9"/>
      <c r="Q214" s="19"/>
      <c r="R214" s="19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75" customHeight="1" x14ac:dyDescent="0.35">
      <c r="A215" s="4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9"/>
      <c r="Q215" s="19"/>
      <c r="R215" s="19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5.75" customHeight="1" x14ac:dyDescent="0.35">
      <c r="A216" s="4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9"/>
      <c r="Q216" s="19"/>
      <c r="R216" s="19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5.75" customHeight="1" x14ac:dyDescent="0.35">
      <c r="A217" s="4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9"/>
      <c r="Q217" s="19"/>
      <c r="R217" s="19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5.75" customHeight="1" x14ac:dyDescent="0.35">
      <c r="A218" s="4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9"/>
      <c r="Q218" s="19"/>
      <c r="R218" s="19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5.75" customHeight="1" x14ac:dyDescent="0.35">
      <c r="A219" s="4"/>
      <c r="B219" s="19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9"/>
      <c r="Q219" s="19"/>
      <c r="R219" s="19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5.75" customHeight="1" x14ac:dyDescent="0.35">
      <c r="A220" s="4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9"/>
      <c r="Q220" s="19"/>
      <c r="R220" s="19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5.75" customHeight="1" x14ac:dyDescent="0.35">
      <c r="A221" s="4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9"/>
      <c r="Q221" s="19"/>
      <c r="R221" s="19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5.75" customHeight="1" x14ac:dyDescent="0.35">
      <c r="A222" s="4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9"/>
      <c r="Q222" s="19"/>
      <c r="R222" s="19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5.75" customHeight="1" x14ac:dyDescent="0.35">
      <c r="A223" s="4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9"/>
      <c r="Q223" s="19"/>
      <c r="R223" s="19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5.75" customHeight="1" x14ac:dyDescent="0.35">
      <c r="A224" s="4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9"/>
      <c r="Q224" s="19"/>
      <c r="R224" s="19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5.75" customHeight="1" x14ac:dyDescent="0.35">
      <c r="A225" s="4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9"/>
      <c r="Q225" s="19"/>
      <c r="R225" s="19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5.75" customHeight="1" x14ac:dyDescent="0.35">
      <c r="A226" s="4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9"/>
      <c r="Q226" s="19"/>
      <c r="R226" s="19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5.75" customHeight="1" x14ac:dyDescent="0.35">
      <c r="A227" s="4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9"/>
      <c r="Q227" s="19"/>
      <c r="R227" s="19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5.75" customHeight="1" x14ac:dyDescent="0.35">
      <c r="A228" s="4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9"/>
      <c r="Q228" s="19"/>
      <c r="R228" s="19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5.75" customHeight="1" x14ac:dyDescent="0.35">
      <c r="A229" s="4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9"/>
      <c r="Q229" s="19"/>
      <c r="R229" s="19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5.75" customHeight="1" x14ac:dyDescent="0.35">
      <c r="A230" s="4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9"/>
      <c r="Q230" s="19"/>
      <c r="R230" s="19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5.75" customHeight="1" x14ac:dyDescent="0.35">
      <c r="A231" s="4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9"/>
      <c r="Q231" s="19"/>
      <c r="R231" s="19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5.75" customHeight="1" x14ac:dyDescent="0.35">
      <c r="A232" s="4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9"/>
      <c r="Q232" s="19"/>
      <c r="R232" s="19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5.75" customHeight="1" x14ac:dyDescent="0.35">
      <c r="A233" s="4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9"/>
      <c r="Q233" s="19"/>
      <c r="R233" s="19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5.75" customHeight="1" x14ac:dyDescent="0.35">
      <c r="A234" s="4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9"/>
      <c r="Q234" s="19"/>
      <c r="R234" s="19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5.75" customHeight="1" x14ac:dyDescent="0.35">
      <c r="A235" s="4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9"/>
      <c r="Q235" s="19"/>
      <c r="R235" s="19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5.75" customHeight="1" x14ac:dyDescent="0.35">
      <c r="A236" s="4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9"/>
      <c r="Q236" s="19"/>
      <c r="R236" s="19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5.75" customHeight="1" x14ac:dyDescent="0.35">
      <c r="A237" s="4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9"/>
      <c r="Q237" s="19"/>
      <c r="R237" s="19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5.75" customHeight="1" x14ac:dyDescent="0.35">
      <c r="A238" s="4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9"/>
      <c r="Q238" s="19"/>
      <c r="R238" s="19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5.75" customHeight="1" x14ac:dyDescent="0.35">
      <c r="A239" s="4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9"/>
      <c r="Q239" s="19"/>
      <c r="R239" s="19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5.75" customHeight="1" x14ac:dyDescent="0.35">
      <c r="A240" s="4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9"/>
      <c r="Q240" s="19"/>
      <c r="R240" s="19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5.75" customHeight="1" x14ac:dyDescent="0.35">
      <c r="A241" s="4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9"/>
      <c r="Q241" s="19"/>
      <c r="R241" s="19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5.75" customHeight="1" x14ac:dyDescent="0.35">
      <c r="A242" s="4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9"/>
      <c r="Q242" s="19"/>
      <c r="R242" s="19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5.75" customHeight="1" x14ac:dyDescent="0.35">
      <c r="A243" s="4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9"/>
      <c r="Q243" s="19"/>
      <c r="R243" s="19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5.75" customHeight="1" x14ac:dyDescent="0.35">
      <c r="A244" s="4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9"/>
      <c r="Q244" s="19"/>
      <c r="R244" s="19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5.75" customHeight="1" x14ac:dyDescent="0.35">
      <c r="A245" s="4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9"/>
      <c r="Q245" s="19"/>
      <c r="R245" s="19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5.75" customHeight="1" x14ac:dyDescent="0.35">
      <c r="A246" s="4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9"/>
      <c r="Q246" s="19"/>
      <c r="R246" s="19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5.75" customHeight="1" x14ac:dyDescent="0.35">
      <c r="A247" s="4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9"/>
      <c r="Q247" s="19"/>
      <c r="R247" s="19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5.75" customHeight="1" x14ac:dyDescent="0.35">
      <c r="A248" s="4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9"/>
      <c r="Q248" s="19"/>
      <c r="R248" s="19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5.75" customHeight="1" x14ac:dyDescent="0.35">
      <c r="A249" s="4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9"/>
      <c r="Q249" s="19"/>
      <c r="R249" s="19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5.75" customHeight="1" x14ac:dyDescent="0.35">
      <c r="A250" s="4"/>
      <c r="B250" s="19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9"/>
      <c r="Q250" s="19"/>
      <c r="R250" s="19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5.75" customHeight="1" x14ac:dyDescent="0.35">
      <c r="A251" s="4"/>
      <c r="B251" s="19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9"/>
      <c r="Q251" s="19"/>
      <c r="R251" s="19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5.75" customHeight="1" x14ac:dyDescent="0.35">
      <c r="A252" s="4"/>
      <c r="B252" s="19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9"/>
      <c r="Q252" s="19"/>
      <c r="R252" s="19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5.75" customHeight="1" x14ac:dyDescent="0.35">
      <c r="A253" s="4"/>
      <c r="B253" s="19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9"/>
      <c r="Q253" s="19"/>
      <c r="R253" s="19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5.75" customHeight="1" x14ac:dyDescent="0.35">
      <c r="A254" s="4"/>
      <c r="B254" s="19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9"/>
      <c r="Q254" s="19"/>
      <c r="R254" s="19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5.75" customHeight="1" x14ac:dyDescent="0.35">
      <c r="A255" s="4"/>
      <c r="B255" s="19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9"/>
      <c r="Q255" s="19"/>
      <c r="R255" s="19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5.75" customHeight="1" x14ac:dyDescent="0.35">
      <c r="A256" s="4"/>
      <c r="B256" s="19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9"/>
      <c r="Q256" s="19"/>
      <c r="R256" s="19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5.75" customHeight="1" x14ac:dyDescent="0.35">
      <c r="A257" s="4"/>
      <c r="B257" s="19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9"/>
      <c r="Q257" s="19"/>
      <c r="R257" s="19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5.75" customHeight="1" x14ac:dyDescent="0.35">
      <c r="A258" s="4"/>
      <c r="B258" s="19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9"/>
      <c r="Q258" s="19"/>
      <c r="R258" s="19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5.75" customHeight="1" x14ac:dyDescent="0.35">
      <c r="A259" s="4"/>
      <c r="B259" s="19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9"/>
      <c r="Q259" s="19"/>
      <c r="R259" s="19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5.75" customHeight="1" x14ac:dyDescent="0.35">
      <c r="A260" s="4"/>
      <c r="B260" s="19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9"/>
      <c r="Q260" s="19"/>
      <c r="R260" s="19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5.75" customHeight="1" x14ac:dyDescent="0.35">
      <c r="A261" s="4"/>
      <c r="B261" s="19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9"/>
      <c r="Q261" s="19"/>
      <c r="R261" s="19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5.75" customHeight="1" x14ac:dyDescent="0.35">
      <c r="A262" s="4"/>
      <c r="B262" s="19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9"/>
      <c r="Q262" s="19"/>
      <c r="R262" s="19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5.75" customHeight="1" x14ac:dyDescent="0.35">
      <c r="A263" s="4"/>
      <c r="B263" s="19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9"/>
      <c r="Q263" s="19"/>
      <c r="R263" s="19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5.75" customHeight="1" x14ac:dyDescent="0.35">
      <c r="A264" s="4"/>
      <c r="B264" s="19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9"/>
      <c r="Q264" s="19"/>
      <c r="R264" s="19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5.75" customHeight="1" x14ac:dyDescent="0.35">
      <c r="A265" s="4"/>
      <c r="B265" s="19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9"/>
      <c r="Q265" s="19"/>
      <c r="R265" s="19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5.75" customHeight="1" x14ac:dyDescent="0.35">
      <c r="A266" s="4"/>
      <c r="B266" s="19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9"/>
      <c r="Q266" s="19"/>
      <c r="R266" s="19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5.75" customHeight="1" x14ac:dyDescent="0.35">
      <c r="A267" s="4"/>
      <c r="B267" s="19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9"/>
      <c r="Q267" s="19"/>
      <c r="R267" s="19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5.75" customHeight="1" x14ac:dyDescent="0.35">
      <c r="A268" s="4"/>
      <c r="B268" s="19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9"/>
      <c r="Q268" s="19"/>
      <c r="R268" s="19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5.75" customHeight="1" x14ac:dyDescent="0.35">
      <c r="A269" s="4"/>
      <c r="B269" s="19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9"/>
      <c r="Q269" s="19"/>
      <c r="R269" s="19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5.75" customHeight="1" x14ac:dyDescent="0.35">
      <c r="A270" s="4"/>
      <c r="B270" s="19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9"/>
      <c r="Q270" s="19"/>
      <c r="R270" s="19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5.75" customHeight="1" x14ac:dyDescent="0.35">
      <c r="A271" s="4"/>
      <c r="B271" s="19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9"/>
      <c r="Q271" s="19"/>
      <c r="R271" s="19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5.75" customHeight="1" x14ac:dyDescent="0.35">
      <c r="A272" s="4"/>
      <c r="B272" s="19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9"/>
      <c r="Q272" s="19"/>
      <c r="R272" s="19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5.75" customHeight="1" x14ac:dyDescent="0.35">
      <c r="A273" s="4"/>
      <c r="B273" s="19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9"/>
      <c r="Q273" s="19"/>
      <c r="R273" s="19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5.75" customHeight="1" x14ac:dyDescent="0.35">
      <c r="A274" s="4"/>
      <c r="B274" s="19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9"/>
      <c r="Q274" s="19"/>
      <c r="R274" s="19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5.75" customHeight="1" x14ac:dyDescent="0.35">
      <c r="A275" s="4"/>
      <c r="B275" s="19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9"/>
      <c r="Q275" s="19"/>
      <c r="R275" s="19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5.75" customHeight="1" x14ac:dyDescent="0.35">
      <c r="A276" s="4"/>
      <c r="B276" s="19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9"/>
      <c r="Q276" s="19"/>
      <c r="R276" s="19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5.75" customHeight="1" x14ac:dyDescent="0.35">
      <c r="A277" s="4"/>
      <c r="B277" s="19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9"/>
      <c r="Q277" s="19"/>
      <c r="R277" s="19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5.75" customHeight="1" x14ac:dyDescent="0.35">
      <c r="A278" s="4"/>
      <c r="B278" s="19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9"/>
      <c r="Q278" s="19"/>
      <c r="R278" s="19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5.75" customHeight="1" x14ac:dyDescent="0.35">
      <c r="A279" s="4"/>
      <c r="B279" s="19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9"/>
      <c r="Q279" s="19"/>
      <c r="R279" s="19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5.75" customHeight="1" x14ac:dyDescent="0.35">
      <c r="A280" s="4"/>
      <c r="B280" s="19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9"/>
      <c r="Q280" s="19"/>
      <c r="R280" s="19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5.75" customHeight="1" x14ac:dyDescent="0.35">
      <c r="A281" s="4"/>
      <c r="B281" s="19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9"/>
      <c r="Q281" s="19"/>
      <c r="R281" s="19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5.75" customHeight="1" x14ac:dyDescent="0.35">
      <c r="A282" s="4"/>
      <c r="B282" s="19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9"/>
      <c r="Q282" s="19"/>
      <c r="R282" s="19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5.75" customHeight="1" x14ac:dyDescent="0.35">
      <c r="A283" s="4"/>
      <c r="B283" s="19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9"/>
      <c r="Q283" s="19"/>
      <c r="R283" s="19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5.75" customHeight="1" x14ac:dyDescent="0.35">
      <c r="A284" s="4"/>
      <c r="B284" s="19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9"/>
      <c r="Q284" s="19"/>
      <c r="R284" s="19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5.75" customHeight="1" x14ac:dyDescent="0.35">
      <c r="A285" s="4"/>
      <c r="B285" s="19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9"/>
      <c r="Q285" s="19"/>
      <c r="R285" s="19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5.75" customHeight="1" x14ac:dyDescent="0.35">
      <c r="A286" s="4"/>
      <c r="B286" s="19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9"/>
      <c r="Q286" s="19"/>
      <c r="R286" s="19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5.75" customHeight="1" x14ac:dyDescent="0.35">
      <c r="A287" s="4"/>
      <c r="B287" s="19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9"/>
      <c r="Q287" s="19"/>
      <c r="R287" s="19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5.75" customHeight="1" x14ac:dyDescent="0.35">
      <c r="A288" s="4"/>
      <c r="B288" s="19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9"/>
      <c r="Q288" s="19"/>
      <c r="R288" s="19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5.75" customHeight="1" x14ac:dyDescent="0.35">
      <c r="A289" s="4"/>
      <c r="B289" s="19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9"/>
      <c r="Q289" s="19"/>
      <c r="R289" s="19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5.75" customHeight="1" x14ac:dyDescent="0.35">
      <c r="A290" s="4"/>
      <c r="B290" s="19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9"/>
      <c r="Q290" s="19"/>
      <c r="R290" s="19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5.75" customHeight="1" x14ac:dyDescent="0.35">
      <c r="A291" s="4"/>
      <c r="B291" s="19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9"/>
      <c r="Q291" s="19"/>
      <c r="R291" s="19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5.75" customHeight="1" x14ac:dyDescent="0.35">
      <c r="A292" s="4"/>
      <c r="B292" s="19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9"/>
      <c r="Q292" s="19"/>
      <c r="R292" s="19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5.75" customHeight="1" x14ac:dyDescent="0.35">
      <c r="A293" s="4"/>
      <c r="B293" s="19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9"/>
      <c r="Q293" s="19"/>
      <c r="R293" s="19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5.75" customHeight="1" x14ac:dyDescent="0.35">
      <c r="A294" s="4"/>
      <c r="B294" s="19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9"/>
      <c r="Q294" s="19"/>
      <c r="R294" s="19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5.75" customHeight="1" x14ac:dyDescent="0.35">
      <c r="A295" s="4"/>
      <c r="B295" s="19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9"/>
      <c r="Q295" s="19"/>
      <c r="R295" s="19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5.75" customHeight="1" x14ac:dyDescent="0.35">
      <c r="A296" s="4"/>
      <c r="B296" s="19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9"/>
      <c r="Q296" s="19"/>
      <c r="R296" s="19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5.75" customHeight="1" x14ac:dyDescent="0.35">
      <c r="A297" s="4"/>
      <c r="B297" s="19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9"/>
      <c r="Q297" s="19"/>
      <c r="R297" s="19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5.75" customHeight="1" x14ac:dyDescent="0.35">
      <c r="A298" s="4"/>
      <c r="B298" s="19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9"/>
      <c r="Q298" s="19"/>
      <c r="R298" s="19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5.75" customHeight="1" x14ac:dyDescent="0.35">
      <c r="A299" s="4"/>
      <c r="B299" s="19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9"/>
      <c r="Q299" s="19"/>
      <c r="R299" s="19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5.75" customHeight="1" x14ac:dyDescent="0.35">
      <c r="A300" s="4"/>
      <c r="B300" s="19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9"/>
      <c r="Q300" s="19"/>
      <c r="R300" s="19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5.75" customHeight="1" x14ac:dyDescent="0.35">
      <c r="A301" s="4"/>
      <c r="B301" s="19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9"/>
      <c r="Q301" s="19"/>
      <c r="R301" s="19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5.75" customHeight="1" x14ac:dyDescent="0.35">
      <c r="A302" s="4"/>
      <c r="B302" s="19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9"/>
      <c r="Q302" s="19"/>
      <c r="R302" s="19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5.75" customHeight="1" x14ac:dyDescent="0.35">
      <c r="A303" s="4"/>
      <c r="B303" s="19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9"/>
      <c r="Q303" s="19"/>
      <c r="R303" s="19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5.75" customHeight="1" x14ac:dyDescent="0.35">
      <c r="A304" s="4"/>
      <c r="B304" s="19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9"/>
      <c r="Q304" s="19"/>
      <c r="R304" s="19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5.75" customHeight="1" x14ac:dyDescent="0.35">
      <c r="A305" s="4"/>
      <c r="B305" s="19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9"/>
      <c r="Q305" s="19"/>
      <c r="R305" s="19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5.75" customHeight="1" x14ac:dyDescent="0.35">
      <c r="A306" s="4"/>
      <c r="B306" s="19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9"/>
      <c r="Q306" s="19"/>
      <c r="R306" s="19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5.75" customHeight="1" x14ac:dyDescent="0.35">
      <c r="A307" s="4"/>
      <c r="B307" s="19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9"/>
      <c r="Q307" s="19"/>
      <c r="R307" s="19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5.75" customHeight="1" x14ac:dyDescent="0.35">
      <c r="A308" s="4"/>
      <c r="B308" s="19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9"/>
      <c r="Q308" s="19"/>
      <c r="R308" s="19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5.75" customHeight="1" x14ac:dyDescent="0.35">
      <c r="A309" s="4"/>
      <c r="B309" s="19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9"/>
      <c r="Q309" s="19"/>
      <c r="R309" s="19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5.75" customHeight="1" x14ac:dyDescent="0.35">
      <c r="A310" s="4"/>
      <c r="B310" s="19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9"/>
      <c r="Q310" s="19"/>
      <c r="R310" s="19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5.75" customHeight="1" x14ac:dyDescent="0.35">
      <c r="A311" s="4"/>
      <c r="B311" s="19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9"/>
      <c r="Q311" s="19"/>
      <c r="R311" s="19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5.75" customHeight="1" x14ac:dyDescent="0.35">
      <c r="A312" s="4"/>
      <c r="B312" s="19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9"/>
      <c r="Q312" s="19"/>
      <c r="R312" s="19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5.75" customHeight="1" x14ac:dyDescent="0.35">
      <c r="A313" s="4"/>
      <c r="B313" s="19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9"/>
      <c r="Q313" s="19"/>
      <c r="R313" s="19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5.75" customHeight="1" x14ac:dyDescent="0.35">
      <c r="A314" s="4"/>
      <c r="B314" s="19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9"/>
      <c r="Q314" s="19"/>
      <c r="R314" s="19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5.75" customHeight="1" x14ac:dyDescent="0.35">
      <c r="A315" s="4"/>
      <c r="B315" s="19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9"/>
      <c r="Q315" s="19"/>
      <c r="R315" s="19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5.75" customHeight="1" x14ac:dyDescent="0.35">
      <c r="A316" s="4"/>
      <c r="B316" s="19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9"/>
      <c r="Q316" s="19"/>
      <c r="R316" s="19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5.75" customHeight="1" x14ac:dyDescent="0.35">
      <c r="A317" s="4"/>
      <c r="B317" s="19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9"/>
      <c r="Q317" s="19"/>
      <c r="R317" s="19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5.75" customHeight="1" x14ac:dyDescent="0.35">
      <c r="A318" s="4"/>
      <c r="B318" s="19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9"/>
      <c r="Q318" s="19"/>
      <c r="R318" s="19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5.75" customHeight="1" x14ac:dyDescent="0.35">
      <c r="A319" s="4"/>
      <c r="B319" s="19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9"/>
      <c r="Q319" s="19"/>
      <c r="R319" s="19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5.75" customHeight="1" x14ac:dyDescent="0.35">
      <c r="A320" s="4"/>
      <c r="B320" s="19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9"/>
      <c r="Q320" s="19"/>
      <c r="R320" s="19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5.75" customHeight="1" x14ac:dyDescent="0.35">
      <c r="A321" s="4"/>
      <c r="B321" s="19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9"/>
      <c r="Q321" s="19"/>
      <c r="R321" s="19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5.75" customHeight="1" x14ac:dyDescent="0.35">
      <c r="A322" s="4"/>
      <c r="B322" s="19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9"/>
      <c r="Q322" s="19"/>
      <c r="R322" s="19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5.75" customHeight="1" x14ac:dyDescent="0.35">
      <c r="A323" s="4"/>
      <c r="B323" s="19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9"/>
      <c r="Q323" s="19"/>
      <c r="R323" s="19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5.75" customHeight="1" x14ac:dyDescent="0.35">
      <c r="A324" s="4"/>
      <c r="B324" s="19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9"/>
      <c r="Q324" s="19"/>
      <c r="R324" s="19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5.75" customHeight="1" x14ac:dyDescent="0.35">
      <c r="A325" s="4"/>
      <c r="B325" s="19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9"/>
      <c r="Q325" s="19"/>
      <c r="R325" s="19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5.75" customHeight="1" x14ac:dyDescent="0.35">
      <c r="A326" s="4"/>
      <c r="B326" s="19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9"/>
      <c r="Q326" s="19"/>
      <c r="R326" s="19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5.75" customHeight="1" x14ac:dyDescent="0.35">
      <c r="A327" s="4"/>
      <c r="B327" s="19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9"/>
      <c r="Q327" s="19"/>
      <c r="R327" s="19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5.75" customHeight="1" x14ac:dyDescent="0.35">
      <c r="A328" s="4"/>
      <c r="B328" s="19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9"/>
      <c r="Q328" s="19"/>
      <c r="R328" s="19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5.75" customHeight="1" x14ac:dyDescent="0.35">
      <c r="A329" s="4"/>
      <c r="B329" s="19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9"/>
      <c r="R329" s="19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5.75" customHeight="1" x14ac:dyDescent="0.35">
      <c r="A330" s="4"/>
      <c r="B330" s="19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9"/>
      <c r="Q330" s="19"/>
      <c r="R330" s="19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5.75" customHeight="1" x14ac:dyDescent="0.35">
      <c r="A331" s="4"/>
      <c r="B331" s="19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9"/>
      <c r="Q331" s="19"/>
      <c r="R331" s="19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5.75" customHeight="1" x14ac:dyDescent="0.35">
      <c r="A332" s="4"/>
      <c r="B332" s="19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9"/>
      <c r="Q332" s="19"/>
      <c r="R332" s="19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5.75" customHeight="1" x14ac:dyDescent="0.35">
      <c r="A333" s="4"/>
      <c r="B333" s="19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9"/>
      <c r="Q333" s="19"/>
      <c r="R333" s="19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5.75" customHeight="1" x14ac:dyDescent="0.35">
      <c r="A334" s="4"/>
      <c r="B334" s="19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9"/>
      <c r="Q334" s="19"/>
      <c r="R334" s="19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5.75" customHeight="1" x14ac:dyDescent="0.35">
      <c r="A335" s="4"/>
      <c r="B335" s="19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9"/>
      <c r="Q335" s="19"/>
      <c r="R335" s="19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5.75" customHeight="1" x14ac:dyDescent="0.35">
      <c r="A336" s="4"/>
      <c r="B336" s="19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9"/>
      <c r="Q336" s="19"/>
      <c r="R336" s="19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5.75" customHeight="1" x14ac:dyDescent="0.35">
      <c r="A337" s="4"/>
      <c r="B337" s="19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9"/>
      <c r="Q337" s="19"/>
      <c r="R337" s="19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5.75" customHeight="1" x14ac:dyDescent="0.35">
      <c r="A338" s="4"/>
      <c r="B338" s="19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9"/>
      <c r="Q338" s="19"/>
      <c r="R338" s="19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5.75" customHeight="1" x14ac:dyDescent="0.35">
      <c r="A339" s="4"/>
      <c r="B339" s="19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9"/>
      <c r="Q339" s="19"/>
      <c r="R339" s="19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5.75" customHeight="1" x14ac:dyDescent="0.35">
      <c r="A340" s="4"/>
      <c r="B340" s="19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9"/>
      <c r="Q340" s="19"/>
      <c r="R340" s="19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5.75" customHeight="1" x14ac:dyDescent="0.35">
      <c r="A341" s="4"/>
      <c r="B341" s="19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9"/>
      <c r="Q341" s="19"/>
      <c r="R341" s="19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5.75" customHeight="1" x14ac:dyDescent="0.35">
      <c r="A342" s="4"/>
      <c r="B342" s="19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9"/>
      <c r="Q342" s="19"/>
      <c r="R342" s="19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5.75" customHeight="1" x14ac:dyDescent="0.35">
      <c r="A343" s="4"/>
      <c r="B343" s="19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9"/>
      <c r="Q343" s="19"/>
      <c r="R343" s="19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5.75" customHeight="1" x14ac:dyDescent="0.35">
      <c r="A344" s="4"/>
      <c r="B344" s="19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9"/>
      <c r="Q344" s="19"/>
      <c r="R344" s="19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5.75" customHeight="1" x14ac:dyDescent="0.35">
      <c r="A345" s="4"/>
      <c r="B345" s="19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9"/>
      <c r="Q345" s="19"/>
      <c r="R345" s="19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5.75" customHeight="1" x14ac:dyDescent="0.35">
      <c r="A346" s="4"/>
      <c r="B346" s="19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9"/>
      <c r="Q346" s="19"/>
      <c r="R346" s="19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5.75" customHeight="1" x14ac:dyDescent="0.35">
      <c r="A347" s="4"/>
      <c r="B347" s="19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9"/>
      <c r="Q347" s="19"/>
      <c r="R347" s="19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5.75" customHeight="1" x14ac:dyDescent="0.35">
      <c r="A348" s="4"/>
      <c r="B348" s="19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9"/>
      <c r="Q348" s="19"/>
      <c r="R348" s="19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5.75" customHeight="1" x14ac:dyDescent="0.35">
      <c r="A349" s="4"/>
      <c r="B349" s="19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9"/>
      <c r="Q349" s="19"/>
      <c r="R349" s="19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5.75" customHeight="1" x14ac:dyDescent="0.35">
      <c r="A350" s="4"/>
      <c r="B350" s="19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9"/>
      <c r="Q350" s="19"/>
      <c r="R350" s="19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5.75" customHeight="1" x14ac:dyDescent="0.35">
      <c r="A351" s="4"/>
      <c r="B351" s="19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9"/>
      <c r="Q351" s="19"/>
      <c r="R351" s="19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5.75" customHeight="1" x14ac:dyDescent="0.35">
      <c r="A352" s="4"/>
      <c r="B352" s="19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9"/>
      <c r="Q352" s="19"/>
      <c r="R352" s="19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5.75" customHeight="1" x14ac:dyDescent="0.35">
      <c r="A353" s="4"/>
      <c r="B353" s="19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9"/>
      <c r="Q353" s="19"/>
      <c r="R353" s="19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5.75" customHeight="1" x14ac:dyDescent="0.35">
      <c r="A354" s="4"/>
      <c r="B354" s="19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9"/>
      <c r="Q354" s="19"/>
      <c r="R354" s="19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5.75" customHeight="1" x14ac:dyDescent="0.35">
      <c r="A355" s="4"/>
      <c r="B355" s="19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9"/>
      <c r="Q355" s="19"/>
      <c r="R355" s="19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5.75" customHeight="1" x14ac:dyDescent="0.35">
      <c r="A356" s="4"/>
      <c r="B356" s="19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9"/>
      <c r="Q356" s="19"/>
      <c r="R356" s="19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5.75" customHeight="1" x14ac:dyDescent="0.35">
      <c r="A357" s="4"/>
      <c r="B357" s="19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9"/>
      <c r="Q357" s="19"/>
      <c r="R357" s="19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5.75" customHeight="1" x14ac:dyDescent="0.35">
      <c r="A358" s="4"/>
      <c r="B358" s="19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9"/>
      <c r="Q358" s="19"/>
      <c r="R358" s="19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5.75" customHeight="1" x14ac:dyDescent="0.35">
      <c r="A359" s="4"/>
      <c r="B359" s="19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9"/>
      <c r="Q359" s="19"/>
      <c r="R359" s="19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5.75" customHeight="1" x14ac:dyDescent="0.35">
      <c r="A360" s="4"/>
      <c r="B360" s="19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9"/>
      <c r="Q360" s="19"/>
      <c r="R360" s="19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5.75" customHeight="1" x14ac:dyDescent="0.35">
      <c r="A361" s="4"/>
      <c r="B361" s="19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9"/>
      <c r="Q361" s="19"/>
      <c r="R361" s="19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5.75" customHeight="1" x14ac:dyDescent="0.35">
      <c r="A362" s="4"/>
      <c r="B362" s="19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9"/>
      <c r="Q362" s="19"/>
      <c r="R362" s="19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5.75" customHeight="1" x14ac:dyDescent="0.35">
      <c r="A363" s="4"/>
      <c r="B363" s="19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9"/>
      <c r="Q363" s="19"/>
      <c r="R363" s="19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5.75" customHeight="1" x14ac:dyDescent="0.35">
      <c r="A364" s="4"/>
      <c r="B364" s="19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9"/>
      <c r="Q364" s="19"/>
      <c r="R364" s="19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5.75" customHeight="1" x14ac:dyDescent="0.35">
      <c r="A365" s="4"/>
      <c r="B365" s="19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9"/>
      <c r="Q365" s="19"/>
      <c r="R365" s="19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5.75" customHeight="1" x14ac:dyDescent="0.35">
      <c r="A366" s="4"/>
      <c r="B366" s="19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9"/>
      <c r="Q366" s="19"/>
      <c r="R366" s="19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5.75" customHeight="1" x14ac:dyDescent="0.35">
      <c r="A367" s="4"/>
      <c r="B367" s="19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9"/>
      <c r="Q367" s="19"/>
      <c r="R367" s="19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5.75" customHeight="1" x14ac:dyDescent="0.35">
      <c r="A368" s="4"/>
      <c r="B368" s="19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9"/>
      <c r="Q368" s="19"/>
      <c r="R368" s="19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5.75" customHeight="1" x14ac:dyDescent="0.35">
      <c r="A369" s="4"/>
      <c r="B369" s="19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9"/>
      <c r="Q369" s="19"/>
      <c r="R369" s="19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5.75" customHeight="1" x14ac:dyDescent="0.35">
      <c r="A370" s="4"/>
      <c r="B370" s="19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9"/>
      <c r="Q370" s="19"/>
      <c r="R370" s="19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5.75" customHeight="1" x14ac:dyDescent="0.35">
      <c r="A371" s="4"/>
      <c r="B371" s="19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9"/>
      <c r="Q371" s="19"/>
      <c r="R371" s="19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5.75" customHeight="1" x14ac:dyDescent="0.35">
      <c r="A372" s="4"/>
      <c r="B372" s="19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9"/>
      <c r="Q372" s="19"/>
      <c r="R372" s="19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5.75" customHeight="1" x14ac:dyDescent="0.35">
      <c r="A373" s="4"/>
      <c r="B373" s="19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9"/>
      <c r="Q373" s="19"/>
      <c r="R373" s="19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5.75" customHeight="1" x14ac:dyDescent="0.35">
      <c r="A374" s="4"/>
      <c r="B374" s="19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9"/>
      <c r="Q374" s="19"/>
      <c r="R374" s="19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5.75" customHeight="1" x14ac:dyDescent="0.35">
      <c r="A375" s="4"/>
      <c r="B375" s="19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9"/>
      <c r="Q375" s="19"/>
      <c r="R375" s="19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5.75" customHeight="1" x14ac:dyDescent="0.35">
      <c r="A376" s="4"/>
      <c r="B376" s="19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9"/>
      <c r="Q376" s="19"/>
      <c r="R376" s="19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5.75" customHeight="1" x14ac:dyDescent="0.35">
      <c r="A377" s="4"/>
      <c r="B377" s="19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9"/>
      <c r="Q377" s="19"/>
      <c r="R377" s="19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5.75" customHeight="1" x14ac:dyDescent="0.35">
      <c r="A378" s="4"/>
      <c r="B378" s="19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9"/>
      <c r="Q378" s="19"/>
      <c r="R378" s="19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5.75" customHeight="1" x14ac:dyDescent="0.35">
      <c r="A379" s="4"/>
      <c r="B379" s="19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9"/>
      <c r="Q379" s="19"/>
      <c r="R379" s="19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5.75" customHeight="1" x14ac:dyDescent="0.35">
      <c r="A380" s="4"/>
      <c r="B380" s="19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9"/>
      <c r="Q380" s="19"/>
      <c r="R380" s="19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5.75" customHeight="1" x14ac:dyDescent="0.35">
      <c r="A381" s="4"/>
      <c r="B381" s="19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9"/>
      <c r="Q381" s="19"/>
      <c r="R381" s="19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5.75" customHeight="1" x14ac:dyDescent="0.35">
      <c r="A382" s="4"/>
      <c r="B382" s="19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9"/>
      <c r="Q382" s="19"/>
      <c r="R382" s="19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5.75" customHeight="1" x14ac:dyDescent="0.35">
      <c r="A383" s="4"/>
      <c r="B383" s="19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9"/>
      <c r="Q383" s="19"/>
      <c r="R383" s="19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5.75" customHeight="1" x14ac:dyDescent="0.35">
      <c r="A384" s="4"/>
      <c r="B384" s="19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9"/>
      <c r="Q384" s="19"/>
      <c r="R384" s="19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5.75" customHeight="1" x14ac:dyDescent="0.35">
      <c r="A385" s="4"/>
      <c r="B385" s="19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9"/>
      <c r="Q385" s="19"/>
      <c r="R385" s="19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5.75" customHeight="1" x14ac:dyDescent="0.35">
      <c r="A386" s="4"/>
      <c r="B386" s="19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9"/>
      <c r="Q386" s="19"/>
      <c r="R386" s="19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5.75" customHeight="1" x14ac:dyDescent="0.35">
      <c r="A387" s="4"/>
      <c r="B387" s="19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9"/>
      <c r="Q387" s="19"/>
      <c r="R387" s="19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5.75" customHeight="1" x14ac:dyDescent="0.35">
      <c r="A388" s="4"/>
      <c r="B388" s="19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9"/>
      <c r="Q388" s="19"/>
      <c r="R388" s="19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5.75" customHeight="1" x14ac:dyDescent="0.35">
      <c r="A389" s="4"/>
      <c r="B389" s="19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9"/>
      <c r="Q389" s="19"/>
      <c r="R389" s="19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5.75" customHeight="1" x14ac:dyDescent="0.35">
      <c r="A390" s="4"/>
      <c r="B390" s="19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9"/>
      <c r="Q390" s="19"/>
      <c r="R390" s="19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5.75" customHeight="1" x14ac:dyDescent="0.35">
      <c r="A391" s="4"/>
      <c r="B391" s="19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9"/>
      <c r="Q391" s="19"/>
      <c r="R391" s="19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5.75" customHeight="1" x14ac:dyDescent="0.35">
      <c r="A392" s="4"/>
      <c r="B392" s="19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9"/>
      <c r="Q392" s="19"/>
      <c r="R392" s="19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5.75" customHeight="1" x14ac:dyDescent="0.35">
      <c r="A393" s="4"/>
      <c r="B393" s="19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9"/>
      <c r="Q393" s="19"/>
      <c r="R393" s="19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5.75" customHeight="1" x14ac:dyDescent="0.35">
      <c r="A394" s="4"/>
      <c r="B394" s="19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9"/>
      <c r="Q394" s="19"/>
      <c r="R394" s="19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5.75" customHeight="1" x14ac:dyDescent="0.35">
      <c r="A395" s="4"/>
      <c r="B395" s="19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9"/>
      <c r="Q395" s="19"/>
      <c r="R395" s="19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5.75" customHeight="1" x14ac:dyDescent="0.35">
      <c r="A396" s="4"/>
      <c r="B396" s="19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9"/>
      <c r="Q396" s="19"/>
      <c r="R396" s="19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5.75" customHeight="1" x14ac:dyDescent="0.35">
      <c r="A397" s="4"/>
      <c r="B397" s="19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9"/>
      <c r="Q397" s="19"/>
      <c r="R397" s="19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5.75" customHeight="1" x14ac:dyDescent="0.35">
      <c r="A398" s="4"/>
      <c r="B398" s="19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9"/>
      <c r="Q398" s="19"/>
      <c r="R398" s="19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5.75" customHeight="1" x14ac:dyDescent="0.35">
      <c r="A399" s="4"/>
      <c r="B399" s="19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9"/>
      <c r="Q399" s="19"/>
      <c r="R399" s="19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5.75" customHeight="1" x14ac:dyDescent="0.35">
      <c r="A400" s="4"/>
      <c r="B400" s="19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9"/>
      <c r="Q400" s="19"/>
      <c r="R400" s="19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5.75" customHeight="1" x14ac:dyDescent="0.35">
      <c r="A401" s="4"/>
      <c r="B401" s="19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9"/>
      <c r="Q401" s="19"/>
      <c r="R401" s="19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5.75" customHeight="1" x14ac:dyDescent="0.35">
      <c r="A402" s="4"/>
      <c r="B402" s="19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9"/>
      <c r="Q402" s="19"/>
      <c r="R402" s="19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5.75" customHeight="1" x14ac:dyDescent="0.35">
      <c r="A403" s="4"/>
      <c r="B403" s="19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9"/>
      <c r="Q403" s="19"/>
      <c r="R403" s="19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5.75" customHeight="1" x14ac:dyDescent="0.35">
      <c r="A404" s="4"/>
      <c r="B404" s="19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9"/>
      <c r="Q404" s="19"/>
      <c r="R404" s="19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5.75" customHeight="1" x14ac:dyDescent="0.35">
      <c r="A405" s="4"/>
      <c r="B405" s="19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9"/>
      <c r="Q405" s="19"/>
      <c r="R405" s="19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5.75" customHeight="1" x14ac:dyDescent="0.35">
      <c r="A406" s="4"/>
      <c r="B406" s="19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9"/>
      <c r="Q406" s="19"/>
      <c r="R406" s="19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5.75" customHeight="1" x14ac:dyDescent="0.35">
      <c r="A407" s="4"/>
      <c r="B407" s="19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9"/>
      <c r="Q407" s="19"/>
      <c r="R407" s="19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5.75" customHeight="1" x14ac:dyDescent="0.35">
      <c r="A408" s="4"/>
      <c r="B408" s="19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9"/>
      <c r="Q408" s="19"/>
      <c r="R408" s="19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5.75" customHeight="1" x14ac:dyDescent="0.35">
      <c r="A409" s="4"/>
      <c r="B409" s="19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9"/>
      <c r="Q409" s="19"/>
      <c r="R409" s="19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5.75" customHeight="1" x14ac:dyDescent="0.35">
      <c r="A410" s="4"/>
      <c r="B410" s="19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9"/>
      <c r="Q410" s="19"/>
      <c r="R410" s="19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5.75" customHeight="1" x14ac:dyDescent="0.35">
      <c r="A411" s="4"/>
      <c r="B411" s="19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9"/>
      <c r="Q411" s="19"/>
      <c r="R411" s="19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5.75" customHeight="1" x14ac:dyDescent="0.35">
      <c r="A412" s="4"/>
      <c r="B412" s="19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9"/>
      <c r="Q412" s="19"/>
      <c r="R412" s="19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5.75" customHeight="1" x14ac:dyDescent="0.35">
      <c r="A413" s="4"/>
      <c r="B413" s="19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9"/>
      <c r="Q413" s="19"/>
      <c r="R413" s="19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5.75" customHeight="1" x14ac:dyDescent="0.35">
      <c r="A414" s="4"/>
      <c r="B414" s="19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9"/>
      <c r="Q414" s="19"/>
      <c r="R414" s="19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5.75" customHeight="1" x14ac:dyDescent="0.35">
      <c r="A415" s="4"/>
      <c r="B415" s="19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9"/>
      <c r="Q415" s="19"/>
      <c r="R415" s="19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5.75" customHeight="1" x14ac:dyDescent="0.35">
      <c r="A416" s="4"/>
      <c r="B416" s="19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9"/>
      <c r="Q416" s="19"/>
      <c r="R416" s="19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5.75" customHeight="1" x14ac:dyDescent="0.35">
      <c r="A417" s="4"/>
      <c r="B417" s="19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9"/>
      <c r="Q417" s="19"/>
      <c r="R417" s="19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5.75" customHeight="1" x14ac:dyDescent="0.35">
      <c r="A418" s="4"/>
      <c r="B418" s="19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9"/>
      <c r="Q418" s="19"/>
      <c r="R418" s="19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5.75" customHeight="1" x14ac:dyDescent="0.35">
      <c r="A419" s="4"/>
      <c r="B419" s="19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9"/>
      <c r="Q419" s="19"/>
      <c r="R419" s="19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5.75" customHeight="1" x14ac:dyDescent="0.35">
      <c r="A420" s="4"/>
      <c r="B420" s="19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9"/>
      <c r="Q420" s="19"/>
      <c r="R420" s="19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5.75" customHeight="1" x14ac:dyDescent="0.35">
      <c r="A421" s="4"/>
      <c r="B421" s="19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9"/>
      <c r="Q421" s="19"/>
      <c r="R421" s="19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5.75" customHeight="1" x14ac:dyDescent="0.35">
      <c r="A422" s="4"/>
      <c r="B422" s="19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9"/>
      <c r="Q422" s="19"/>
      <c r="R422" s="19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5.75" customHeight="1" x14ac:dyDescent="0.35">
      <c r="A423" s="4"/>
      <c r="B423" s="19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9"/>
      <c r="Q423" s="19"/>
      <c r="R423" s="19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5.75" customHeight="1" x14ac:dyDescent="0.35">
      <c r="A424" s="4"/>
      <c r="B424" s="19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9"/>
      <c r="Q424" s="19"/>
      <c r="R424" s="19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5.75" customHeight="1" x14ac:dyDescent="0.35">
      <c r="A425" s="4"/>
      <c r="B425" s="19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9"/>
      <c r="Q425" s="19"/>
      <c r="R425" s="19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5.75" customHeight="1" x14ac:dyDescent="0.35">
      <c r="A426" s="4"/>
      <c r="B426" s="19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9"/>
      <c r="Q426" s="19"/>
      <c r="R426" s="19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5.75" customHeight="1" x14ac:dyDescent="0.35">
      <c r="A427" s="4"/>
      <c r="B427" s="19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9"/>
      <c r="Q427" s="19"/>
      <c r="R427" s="19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5.75" customHeight="1" x14ac:dyDescent="0.35">
      <c r="A428" s="4"/>
      <c r="B428" s="19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9"/>
      <c r="Q428" s="19"/>
      <c r="R428" s="19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5.75" customHeight="1" x14ac:dyDescent="0.35">
      <c r="A429" s="4"/>
      <c r="B429" s="19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9"/>
      <c r="Q429" s="19"/>
      <c r="R429" s="19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5.75" customHeight="1" x14ac:dyDescent="0.35">
      <c r="A430" s="4"/>
      <c r="B430" s="19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9"/>
      <c r="Q430" s="19"/>
      <c r="R430" s="19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5.75" customHeight="1" x14ac:dyDescent="0.35">
      <c r="A431" s="4"/>
      <c r="B431" s="19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9"/>
      <c r="Q431" s="19"/>
      <c r="R431" s="19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5.75" customHeight="1" x14ac:dyDescent="0.35">
      <c r="A432" s="4"/>
      <c r="B432" s="19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9"/>
      <c r="Q432" s="19"/>
      <c r="R432" s="19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5.75" customHeight="1" x14ac:dyDescent="0.35">
      <c r="A433" s="4"/>
      <c r="B433" s="19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9"/>
      <c r="Q433" s="19"/>
      <c r="R433" s="19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5.75" customHeight="1" x14ac:dyDescent="0.35">
      <c r="A434" s="4"/>
      <c r="B434" s="19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9"/>
      <c r="Q434" s="19"/>
      <c r="R434" s="19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5.75" customHeight="1" x14ac:dyDescent="0.35">
      <c r="A435" s="4"/>
      <c r="B435" s="19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9"/>
      <c r="Q435" s="19"/>
      <c r="R435" s="19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5.75" customHeight="1" x14ac:dyDescent="0.35">
      <c r="A436" s="4"/>
      <c r="B436" s="19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9"/>
      <c r="Q436" s="19"/>
      <c r="R436" s="19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5.75" customHeight="1" x14ac:dyDescent="0.35">
      <c r="A437" s="4"/>
      <c r="B437" s="19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9"/>
      <c r="Q437" s="19"/>
      <c r="R437" s="19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5.75" customHeight="1" x14ac:dyDescent="0.35">
      <c r="A438" s="4"/>
      <c r="B438" s="19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9"/>
      <c r="Q438" s="19"/>
      <c r="R438" s="19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5.75" customHeight="1" x14ac:dyDescent="0.35">
      <c r="A439" s="4"/>
      <c r="B439" s="19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9"/>
      <c r="Q439" s="19"/>
      <c r="R439" s="19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5.75" customHeight="1" x14ac:dyDescent="0.35">
      <c r="A440" s="4"/>
      <c r="B440" s="19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9"/>
      <c r="Q440" s="19"/>
      <c r="R440" s="19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5.75" customHeight="1" x14ac:dyDescent="0.35">
      <c r="A441" s="4"/>
      <c r="B441" s="19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9"/>
      <c r="Q441" s="19"/>
      <c r="R441" s="19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5.75" customHeight="1" x14ac:dyDescent="0.35">
      <c r="A442" s="4"/>
      <c r="B442" s="19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9"/>
      <c r="Q442" s="19"/>
      <c r="R442" s="19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5.75" customHeight="1" x14ac:dyDescent="0.35">
      <c r="A443" s="4"/>
      <c r="B443" s="19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9"/>
      <c r="Q443" s="19"/>
      <c r="R443" s="19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5.75" customHeight="1" x14ac:dyDescent="0.35">
      <c r="A444" s="4"/>
      <c r="B444" s="19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9"/>
      <c r="Q444" s="19"/>
      <c r="R444" s="19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5.75" customHeight="1" x14ac:dyDescent="0.35">
      <c r="A445" s="4"/>
      <c r="B445" s="19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9"/>
      <c r="Q445" s="19"/>
      <c r="R445" s="19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5.75" customHeight="1" x14ac:dyDescent="0.35">
      <c r="A446" s="4"/>
      <c r="B446" s="19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9"/>
      <c r="Q446" s="19"/>
      <c r="R446" s="19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5.75" customHeight="1" x14ac:dyDescent="0.35">
      <c r="A447" s="4"/>
      <c r="B447" s="19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9"/>
      <c r="Q447" s="19"/>
      <c r="R447" s="19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5.75" customHeight="1" x14ac:dyDescent="0.35">
      <c r="A448" s="4"/>
      <c r="B448" s="19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9"/>
      <c r="Q448" s="19"/>
      <c r="R448" s="19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5.75" customHeight="1" x14ac:dyDescent="0.35">
      <c r="A449" s="4"/>
      <c r="B449" s="19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9"/>
      <c r="Q449" s="19"/>
      <c r="R449" s="19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5.75" customHeight="1" x14ac:dyDescent="0.35">
      <c r="A450" s="4"/>
      <c r="B450" s="19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9"/>
      <c r="Q450" s="19"/>
      <c r="R450" s="19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5.75" customHeight="1" x14ac:dyDescent="0.35">
      <c r="A451" s="4"/>
      <c r="B451" s="19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9"/>
      <c r="Q451" s="19"/>
      <c r="R451" s="19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5.75" customHeight="1" x14ac:dyDescent="0.35">
      <c r="A452" s="4"/>
      <c r="B452" s="19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9"/>
      <c r="Q452" s="19"/>
      <c r="R452" s="19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5.75" customHeight="1" x14ac:dyDescent="0.35">
      <c r="A453" s="4"/>
      <c r="B453" s="19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9"/>
      <c r="Q453" s="19"/>
      <c r="R453" s="19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5.75" customHeight="1" x14ac:dyDescent="0.35">
      <c r="A454" s="4"/>
      <c r="B454" s="19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9"/>
      <c r="Q454" s="19"/>
      <c r="R454" s="19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5.75" customHeight="1" x14ac:dyDescent="0.35">
      <c r="A455" s="4"/>
      <c r="B455" s="19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9"/>
      <c r="Q455" s="19"/>
      <c r="R455" s="19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5.75" customHeight="1" x14ac:dyDescent="0.35">
      <c r="A456" s="4"/>
      <c r="B456" s="19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9"/>
      <c r="Q456" s="19"/>
      <c r="R456" s="19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5.75" customHeight="1" x14ac:dyDescent="0.35">
      <c r="A457" s="4"/>
      <c r="B457" s="19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9"/>
      <c r="Q457" s="19"/>
      <c r="R457" s="19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5.75" customHeight="1" x14ac:dyDescent="0.35">
      <c r="A458" s="4"/>
      <c r="B458" s="19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9"/>
      <c r="Q458" s="19"/>
      <c r="R458" s="19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5.75" customHeight="1" x14ac:dyDescent="0.35">
      <c r="A459" s="4"/>
      <c r="B459" s="19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9"/>
      <c r="Q459" s="19"/>
      <c r="R459" s="19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5.75" customHeight="1" x14ac:dyDescent="0.35">
      <c r="A460" s="4"/>
      <c r="B460" s="19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9"/>
      <c r="Q460" s="19"/>
      <c r="R460" s="19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5.75" customHeight="1" x14ac:dyDescent="0.35">
      <c r="A461" s="4"/>
      <c r="B461" s="19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9"/>
      <c r="Q461" s="19"/>
      <c r="R461" s="19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5.75" customHeight="1" x14ac:dyDescent="0.35">
      <c r="A462" s="4"/>
      <c r="B462" s="19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9"/>
      <c r="Q462" s="19"/>
      <c r="R462" s="19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5.75" customHeight="1" x14ac:dyDescent="0.35">
      <c r="A463" s="4"/>
      <c r="B463" s="19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9"/>
      <c r="Q463" s="19"/>
      <c r="R463" s="19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5.75" customHeight="1" x14ac:dyDescent="0.35">
      <c r="A464" s="4"/>
      <c r="B464" s="19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9"/>
      <c r="Q464" s="19"/>
      <c r="R464" s="19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5.75" customHeight="1" x14ac:dyDescent="0.35">
      <c r="A465" s="4"/>
      <c r="B465" s="19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9"/>
      <c r="Q465" s="19"/>
      <c r="R465" s="19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5.75" customHeight="1" x14ac:dyDescent="0.35">
      <c r="A466" s="4"/>
      <c r="B466" s="19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9"/>
      <c r="Q466" s="19"/>
      <c r="R466" s="19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5.75" customHeight="1" x14ac:dyDescent="0.35">
      <c r="A467" s="4"/>
      <c r="B467" s="19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9"/>
      <c r="Q467" s="19"/>
      <c r="R467" s="19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5.75" customHeight="1" x14ac:dyDescent="0.35">
      <c r="A468" s="4"/>
      <c r="B468" s="19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9"/>
      <c r="Q468" s="19"/>
      <c r="R468" s="19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5.75" customHeight="1" x14ac:dyDescent="0.35">
      <c r="A469" s="4"/>
      <c r="B469" s="19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9"/>
      <c r="Q469" s="19"/>
      <c r="R469" s="19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5.75" customHeight="1" x14ac:dyDescent="0.35">
      <c r="A470" s="4"/>
      <c r="B470" s="19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9"/>
      <c r="Q470" s="19"/>
      <c r="R470" s="19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5.75" customHeight="1" x14ac:dyDescent="0.35">
      <c r="A471" s="4"/>
      <c r="B471" s="19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9"/>
      <c r="Q471" s="19"/>
      <c r="R471" s="19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5.75" customHeight="1" x14ac:dyDescent="0.35">
      <c r="A472" s="4"/>
      <c r="B472" s="19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9"/>
      <c r="Q472" s="19"/>
      <c r="R472" s="19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5.75" customHeight="1" x14ac:dyDescent="0.35">
      <c r="A473" s="4"/>
      <c r="B473" s="19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9"/>
      <c r="Q473" s="19"/>
      <c r="R473" s="19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5.75" customHeight="1" x14ac:dyDescent="0.35">
      <c r="A474" s="4"/>
      <c r="B474" s="19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9"/>
      <c r="Q474" s="19"/>
      <c r="R474" s="19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5.75" customHeight="1" x14ac:dyDescent="0.35">
      <c r="A475" s="4"/>
      <c r="B475" s="19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9"/>
      <c r="Q475" s="19"/>
      <c r="R475" s="19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5.75" customHeight="1" x14ac:dyDescent="0.35">
      <c r="A476" s="4"/>
      <c r="B476" s="19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9"/>
      <c r="Q476" s="19"/>
      <c r="R476" s="19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5.75" customHeight="1" x14ac:dyDescent="0.35">
      <c r="A477" s="4"/>
      <c r="B477" s="19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9"/>
      <c r="Q477" s="19"/>
      <c r="R477" s="19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5.75" customHeight="1" x14ac:dyDescent="0.35">
      <c r="A478" s="4"/>
      <c r="B478" s="19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9"/>
      <c r="Q478" s="19"/>
      <c r="R478" s="19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5.75" customHeight="1" x14ac:dyDescent="0.35">
      <c r="A479" s="4"/>
      <c r="B479" s="19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9"/>
      <c r="Q479" s="19"/>
      <c r="R479" s="19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5.75" customHeight="1" x14ac:dyDescent="0.35">
      <c r="A480" s="4"/>
      <c r="B480" s="19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9"/>
      <c r="Q480" s="19"/>
      <c r="R480" s="19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5.75" customHeight="1" x14ac:dyDescent="0.35">
      <c r="A481" s="4"/>
      <c r="B481" s="19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9"/>
      <c r="Q481" s="19"/>
      <c r="R481" s="19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5.75" customHeight="1" x14ac:dyDescent="0.35">
      <c r="A482" s="4"/>
      <c r="B482" s="19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9"/>
      <c r="Q482" s="19"/>
      <c r="R482" s="19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5.75" customHeight="1" x14ac:dyDescent="0.35">
      <c r="A483" s="4"/>
      <c r="B483" s="19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9"/>
      <c r="Q483" s="19"/>
      <c r="R483" s="19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5.75" customHeight="1" x14ac:dyDescent="0.35">
      <c r="A484" s="4"/>
      <c r="B484" s="19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9"/>
      <c r="Q484" s="19"/>
      <c r="R484" s="19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5.75" customHeight="1" x14ac:dyDescent="0.35">
      <c r="A485" s="4"/>
      <c r="B485" s="19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9"/>
      <c r="Q485" s="19"/>
      <c r="R485" s="19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5.75" customHeight="1" x14ac:dyDescent="0.35">
      <c r="A486" s="4"/>
      <c r="B486" s="19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9"/>
      <c r="Q486" s="19"/>
      <c r="R486" s="19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5.75" customHeight="1" x14ac:dyDescent="0.35">
      <c r="A487" s="4"/>
      <c r="B487" s="19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9"/>
      <c r="Q487" s="19"/>
      <c r="R487" s="19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5.75" customHeight="1" x14ac:dyDescent="0.35">
      <c r="A488" s="4"/>
      <c r="B488" s="19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9"/>
      <c r="Q488" s="19"/>
      <c r="R488" s="19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5.75" customHeight="1" x14ac:dyDescent="0.35">
      <c r="A489" s="4"/>
      <c r="B489" s="19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9"/>
      <c r="Q489" s="19"/>
      <c r="R489" s="19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5.75" customHeight="1" x14ac:dyDescent="0.35">
      <c r="A490" s="4"/>
      <c r="B490" s="19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9"/>
      <c r="Q490" s="19"/>
      <c r="R490" s="19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5.75" customHeight="1" x14ac:dyDescent="0.35">
      <c r="A491" s="4"/>
      <c r="B491" s="19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9"/>
      <c r="Q491" s="19"/>
      <c r="R491" s="19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5.75" customHeight="1" x14ac:dyDescent="0.35">
      <c r="A492" s="4"/>
      <c r="B492" s="19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9"/>
      <c r="Q492" s="19"/>
      <c r="R492" s="19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5.75" customHeight="1" x14ac:dyDescent="0.35">
      <c r="A493" s="4"/>
      <c r="B493" s="19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9"/>
      <c r="Q493" s="19"/>
      <c r="R493" s="19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5.75" customHeight="1" x14ac:dyDescent="0.35">
      <c r="A494" s="4"/>
      <c r="B494" s="19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9"/>
      <c r="Q494" s="19"/>
      <c r="R494" s="19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5.75" customHeight="1" x14ac:dyDescent="0.35">
      <c r="A495" s="4"/>
      <c r="B495" s="19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9"/>
      <c r="Q495" s="19"/>
      <c r="R495" s="19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5.75" customHeight="1" x14ac:dyDescent="0.35">
      <c r="A496" s="4"/>
      <c r="B496" s="19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9"/>
      <c r="Q496" s="19"/>
      <c r="R496" s="19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5.75" customHeight="1" x14ac:dyDescent="0.35">
      <c r="A497" s="4"/>
      <c r="B497" s="19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9"/>
      <c r="Q497" s="19"/>
      <c r="R497" s="19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5.75" customHeight="1" x14ac:dyDescent="0.35">
      <c r="A498" s="4"/>
      <c r="B498" s="19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9"/>
      <c r="Q498" s="19"/>
      <c r="R498" s="19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5.75" customHeight="1" x14ac:dyDescent="0.35">
      <c r="A499" s="4"/>
      <c r="B499" s="19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9"/>
      <c r="Q499" s="19"/>
      <c r="R499" s="19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5.75" customHeight="1" x14ac:dyDescent="0.35">
      <c r="A500" s="4"/>
      <c r="B500" s="19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9"/>
      <c r="Q500" s="19"/>
      <c r="R500" s="19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5.75" customHeight="1" x14ac:dyDescent="0.35">
      <c r="A501" s="4"/>
      <c r="B501" s="19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9"/>
      <c r="Q501" s="19"/>
      <c r="R501" s="19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5.75" customHeight="1" x14ac:dyDescent="0.35">
      <c r="A502" s="4"/>
      <c r="B502" s="19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9"/>
      <c r="Q502" s="19"/>
      <c r="R502" s="19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5.75" customHeight="1" x14ac:dyDescent="0.35">
      <c r="A503" s="4"/>
      <c r="B503" s="19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9"/>
      <c r="Q503" s="19"/>
      <c r="R503" s="19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5.75" customHeight="1" x14ac:dyDescent="0.35">
      <c r="A504" s="4"/>
      <c r="B504" s="19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9"/>
      <c r="Q504" s="19"/>
      <c r="R504" s="19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5.75" customHeight="1" x14ac:dyDescent="0.35">
      <c r="A505" s="4"/>
      <c r="B505" s="19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9"/>
      <c r="Q505" s="19"/>
      <c r="R505" s="19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5.75" customHeight="1" x14ac:dyDescent="0.35">
      <c r="A506" s="4"/>
      <c r="B506" s="19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9"/>
      <c r="Q506" s="19"/>
      <c r="R506" s="19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5.75" customHeight="1" x14ac:dyDescent="0.35">
      <c r="A507" s="4"/>
      <c r="B507" s="19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9"/>
      <c r="Q507" s="19"/>
      <c r="R507" s="19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5.75" customHeight="1" x14ac:dyDescent="0.35">
      <c r="A508" s="4"/>
      <c r="B508" s="19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9"/>
      <c r="Q508" s="19"/>
      <c r="R508" s="19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5.75" customHeight="1" x14ac:dyDescent="0.35">
      <c r="A509" s="4"/>
      <c r="B509" s="19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9"/>
      <c r="Q509" s="19"/>
      <c r="R509" s="19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5.75" customHeight="1" x14ac:dyDescent="0.35">
      <c r="A510" s="4"/>
      <c r="B510" s="19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9"/>
      <c r="Q510" s="19"/>
      <c r="R510" s="19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5.75" customHeight="1" x14ac:dyDescent="0.35">
      <c r="A511" s="4"/>
      <c r="B511" s="19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9"/>
      <c r="Q511" s="19"/>
      <c r="R511" s="19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5.75" customHeight="1" x14ac:dyDescent="0.35">
      <c r="A512" s="4"/>
      <c r="B512" s="19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9"/>
      <c r="Q512" s="19"/>
      <c r="R512" s="19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5.75" customHeight="1" x14ac:dyDescent="0.35">
      <c r="A513" s="4"/>
      <c r="B513" s="19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9"/>
      <c r="Q513" s="19"/>
      <c r="R513" s="19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5.75" customHeight="1" x14ac:dyDescent="0.35">
      <c r="A514" s="4"/>
      <c r="B514" s="19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9"/>
      <c r="Q514" s="19"/>
      <c r="R514" s="19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5.75" customHeight="1" x14ac:dyDescent="0.35">
      <c r="A515" s="4"/>
      <c r="B515" s="19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9"/>
      <c r="Q515" s="19"/>
      <c r="R515" s="19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5.75" customHeight="1" x14ac:dyDescent="0.35">
      <c r="A516" s="4"/>
      <c r="B516" s="19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9"/>
      <c r="Q516" s="19"/>
      <c r="R516" s="19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5.75" customHeight="1" x14ac:dyDescent="0.35">
      <c r="A517" s="4"/>
      <c r="B517" s="19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9"/>
      <c r="Q517" s="19"/>
      <c r="R517" s="19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5.75" customHeight="1" x14ac:dyDescent="0.35">
      <c r="A518" s="4"/>
      <c r="B518" s="19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9"/>
      <c r="Q518" s="19"/>
      <c r="R518" s="19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5.75" customHeight="1" x14ac:dyDescent="0.35">
      <c r="A519" s="4"/>
      <c r="B519" s="19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9"/>
      <c r="Q519" s="19"/>
      <c r="R519" s="19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5.75" customHeight="1" x14ac:dyDescent="0.35">
      <c r="A520" s="4"/>
      <c r="B520" s="19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9"/>
      <c r="Q520" s="19"/>
      <c r="R520" s="19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5.75" customHeight="1" x14ac:dyDescent="0.35">
      <c r="A521" s="4"/>
      <c r="B521" s="19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9"/>
      <c r="Q521" s="19"/>
      <c r="R521" s="19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5.75" customHeight="1" x14ac:dyDescent="0.35">
      <c r="A522" s="4"/>
      <c r="B522" s="19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9"/>
      <c r="Q522" s="19"/>
      <c r="R522" s="19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5.75" customHeight="1" x14ac:dyDescent="0.35">
      <c r="A523" s="4"/>
      <c r="B523" s="19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9"/>
      <c r="Q523" s="19"/>
      <c r="R523" s="19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5.75" customHeight="1" x14ac:dyDescent="0.35">
      <c r="A524" s="4"/>
      <c r="B524" s="19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9"/>
      <c r="Q524" s="19"/>
      <c r="R524" s="19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5.75" customHeight="1" x14ac:dyDescent="0.35">
      <c r="A525" s="4"/>
      <c r="B525" s="19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9"/>
      <c r="Q525" s="19"/>
      <c r="R525" s="19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5.75" customHeight="1" x14ac:dyDescent="0.35">
      <c r="A526" s="4"/>
      <c r="B526" s="19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9"/>
      <c r="Q526" s="19"/>
      <c r="R526" s="19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5.75" customHeight="1" x14ac:dyDescent="0.35">
      <c r="A527" s="4"/>
      <c r="B527" s="19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9"/>
      <c r="Q527" s="19"/>
      <c r="R527" s="19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5.75" customHeight="1" x14ac:dyDescent="0.35">
      <c r="A528" s="4"/>
      <c r="B528" s="19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9"/>
      <c r="Q528" s="19"/>
      <c r="R528" s="19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5.75" customHeight="1" x14ac:dyDescent="0.35">
      <c r="A529" s="4"/>
      <c r="B529" s="19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9"/>
      <c r="Q529" s="19"/>
      <c r="R529" s="19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5.75" customHeight="1" x14ac:dyDescent="0.35">
      <c r="A530" s="4"/>
      <c r="B530" s="19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9"/>
      <c r="Q530" s="19"/>
      <c r="R530" s="19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5.75" customHeight="1" x14ac:dyDescent="0.35">
      <c r="A531" s="4"/>
      <c r="B531" s="19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9"/>
      <c r="Q531" s="19"/>
      <c r="R531" s="19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5.75" customHeight="1" x14ac:dyDescent="0.35">
      <c r="A532" s="4"/>
      <c r="B532" s="19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9"/>
      <c r="Q532" s="19"/>
      <c r="R532" s="19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5.75" customHeight="1" x14ac:dyDescent="0.35">
      <c r="A533" s="4"/>
      <c r="B533" s="19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9"/>
      <c r="Q533" s="19"/>
      <c r="R533" s="19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5.75" customHeight="1" x14ac:dyDescent="0.35">
      <c r="A534" s="4"/>
      <c r="B534" s="19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9"/>
      <c r="Q534" s="19"/>
      <c r="R534" s="19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5.75" customHeight="1" x14ac:dyDescent="0.35">
      <c r="A535" s="4"/>
      <c r="B535" s="19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9"/>
      <c r="Q535" s="19"/>
      <c r="R535" s="19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5.75" customHeight="1" x14ac:dyDescent="0.35">
      <c r="A536" s="4"/>
      <c r="B536" s="19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9"/>
      <c r="Q536" s="19"/>
      <c r="R536" s="19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5.75" customHeight="1" x14ac:dyDescent="0.35">
      <c r="A537" s="4"/>
      <c r="B537" s="19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9"/>
      <c r="Q537" s="19"/>
      <c r="R537" s="19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5.75" customHeight="1" x14ac:dyDescent="0.35">
      <c r="A538" s="4"/>
      <c r="B538" s="19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9"/>
      <c r="Q538" s="19"/>
      <c r="R538" s="19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5.75" customHeight="1" x14ac:dyDescent="0.35">
      <c r="A539" s="4"/>
      <c r="B539" s="19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9"/>
      <c r="Q539" s="19"/>
      <c r="R539" s="19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5.75" customHeight="1" x14ac:dyDescent="0.35">
      <c r="A540" s="4"/>
      <c r="B540" s="19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9"/>
      <c r="Q540" s="19"/>
      <c r="R540" s="19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5.75" customHeight="1" x14ac:dyDescent="0.35">
      <c r="A541" s="4"/>
      <c r="B541" s="19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9"/>
      <c r="Q541" s="19"/>
      <c r="R541" s="19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5.75" customHeight="1" x14ac:dyDescent="0.35">
      <c r="A542" s="4"/>
      <c r="B542" s="19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9"/>
      <c r="Q542" s="19"/>
      <c r="R542" s="19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5.75" customHeight="1" x14ac:dyDescent="0.35">
      <c r="A543" s="4"/>
      <c r="B543" s="19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9"/>
      <c r="Q543" s="19"/>
      <c r="R543" s="19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5.75" customHeight="1" x14ac:dyDescent="0.35">
      <c r="A544" s="4"/>
      <c r="B544" s="19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9"/>
      <c r="Q544" s="19"/>
      <c r="R544" s="19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5.75" customHeight="1" x14ac:dyDescent="0.35">
      <c r="A545" s="4"/>
      <c r="B545" s="19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9"/>
      <c r="Q545" s="19"/>
      <c r="R545" s="19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5.75" customHeight="1" x14ac:dyDescent="0.35">
      <c r="A546" s="4"/>
      <c r="B546" s="19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9"/>
      <c r="Q546" s="19"/>
      <c r="R546" s="19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5.75" customHeight="1" x14ac:dyDescent="0.35">
      <c r="A547" s="4"/>
      <c r="B547" s="19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9"/>
      <c r="Q547" s="19"/>
      <c r="R547" s="19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5.75" customHeight="1" x14ac:dyDescent="0.35">
      <c r="A548" s="4"/>
      <c r="B548" s="19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9"/>
      <c r="Q548" s="19"/>
      <c r="R548" s="19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5.75" customHeight="1" x14ac:dyDescent="0.35">
      <c r="A549" s="4"/>
      <c r="B549" s="19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9"/>
      <c r="Q549" s="19"/>
      <c r="R549" s="19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5.75" customHeight="1" x14ac:dyDescent="0.35">
      <c r="A550" s="4"/>
      <c r="B550" s="19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9"/>
      <c r="Q550" s="19"/>
      <c r="R550" s="19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5.75" customHeight="1" x14ac:dyDescent="0.35">
      <c r="A551" s="4"/>
      <c r="B551" s="19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9"/>
      <c r="Q551" s="19"/>
      <c r="R551" s="19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5.75" customHeight="1" x14ac:dyDescent="0.35">
      <c r="A552" s="4"/>
      <c r="B552" s="19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9"/>
      <c r="Q552" s="19"/>
      <c r="R552" s="19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5.75" customHeight="1" x14ac:dyDescent="0.35">
      <c r="A553" s="4"/>
      <c r="B553" s="19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9"/>
      <c r="Q553" s="19"/>
      <c r="R553" s="19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5.75" customHeight="1" x14ac:dyDescent="0.35">
      <c r="A554" s="4"/>
      <c r="B554" s="19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9"/>
      <c r="Q554" s="19"/>
      <c r="R554" s="19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5.75" customHeight="1" x14ac:dyDescent="0.35">
      <c r="A555" s="4"/>
      <c r="B555" s="19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9"/>
      <c r="Q555" s="19"/>
      <c r="R555" s="19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5.75" customHeight="1" x14ac:dyDescent="0.35">
      <c r="A556" s="4"/>
      <c r="B556" s="19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9"/>
      <c r="Q556" s="19"/>
      <c r="R556" s="19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5.75" customHeight="1" x14ac:dyDescent="0.35">
      <c r="A557" s="4"/>
      <c r="B557" s="19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9"/>
      <c r="Q557" s="19"/>
      <c r="R557" s="19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5.75" customHeight="1" x14ac:dyDescent="0.35">
      <c r="A558" s="4"/>
      <c r="B558" s="19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9"/>
      <c r="Q558" s="19"/>
      <c r="R558" s="19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5.75" customHeight="1" x14ac:dyDescent="0.35">
      <c r="A559" s="4"/>
      <c r="B559" s="19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9"/>
      <c r="Q559" s="19"/>
      <c r="R559" s="19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5.75" customHeight="1" x14ac:dyDescent="0.35">
      <c r="A560" s="4"/>
      <c r="B560" s="19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9"/>
      <c r="Q560" s="19"/>
      <c r="R560" s="19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5.75" customHeight="1" x14ac:dyDescent="0.35">
      <c r="A561" s="4"/>
      <c r="B561" s="19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9"/>
      <c r="Q561" s="19"/>
      <c r="R561" s="19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5.75" customHeight="1" x14ac:dyDescent="0.35">
      <c r="A562" s="4"/>
      <c r="B562" s="19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9"/>
      <c r="Q562" s="19"/>
      <c r="R562" s="19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5.75" customHeight="1" x14ac:dyDescent="0.35">
      <c r="A563" s="4"/>
      <c r="B563" s="19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9"/>
      <c r="Q563" s="19"/>
      <c r="R563" s="19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5.75" customHeight="1" x14ac:dyDescent="0.35">
      <c r="A564" s="4"/>
      <c r="B564" s="19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9"/>
      <c r="Q564" s="19"/>
      <c r="R564" s="19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5.75" customHeight="1" x14ac:dyDescent="0.35">
      <c r="A565" s="4"/>
      <c r="B565" s="19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9"/>
      <c r="Q565" s="19"/>
      <c r="R565" s="19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5.75" customHeight="1" x14ac:dyDescent="0.35">
      <c r="A566" s="4"/>
      <c r="B566" s="19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9"/>
      <c r="Q566" s="19"/>
      <c r="R566" s="19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5.75" customHeight="1" x14ac:dyDescent="0.35">
      <c r="A567" s="4"/>
      <c r="B567" s="19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9"/>
      <c r="Q567" s="19"/>
      <c r="R567" s="19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5.75" customHeight="1" x14ac:dyDescent="0.35">
      <c r="A568" s="4"/>
      <c r="B568" s="19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9"/>
      <c r="Q568" s="19"/>
      <c r="R568" s="19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5.75" customHeight="1" x14ac:dyDescent="0.35">
      <c r="A569" s="4"/>
      <c r="B569" s="19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9"/>
      <c r="Q569" s="19"/>
      <c r="R569" s="19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5.75" customHeight="1" x14ac:dyDescent="0.35">
      <c r="A570" s="4"/>
      <c r="B570" s="19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9"/>
      <c r="Q570" s="19"/>
      <c r="R570" s="19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5.75" customHeight="1" x14ac:dyDescent="0.35">
      <c r="A571" s="4"/>
      <c r="B571" s="19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9"/>
      <c r="Q571" s="19"/>
      <c r="R571" s="19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5.75" customHeight="1" x14ac:dyDescent="0.35">
      <c r="A572" s="4"/>
      <c r="B572" s="19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9"/>
      <c r="Q572" s="19"/>
      <c r="R572" s="19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5.75" customHeight="1" x14ac:dyDescent="0.35">
      <c r="A573" s="4"/>
      <c r="B573" s="19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9"/>
      <c r="Q573" s="19"/>
      <c r="R573" s="19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5.75" customHeight="1" x14ac:dyDescent="0.35">
      <c r="A574" s="4"/>
      <c r="B574" s="19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9"/>
      <c r="Q574" s="19"/>
      <c r="R574" s="19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5.75" customHeight="1" x14ac:dyDescent="0.35">
      <c r="A575" s="4"/>
      <c r="B575" s="19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9"/>
      <c r="Q575" s="19"/>
      <c r="R575" s="19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5.75" customHeight="1" x14ac:dyDescent="0.35">
      <c r="A576" s="4"/>
      <c r="B576" s="19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9"/>
      <c r="Q576" s="19"/>
      <c r="R576" s="19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5.75" customHeight="1" x14ac:dyDescent="0.35">
      <c r="A577" s="4"/>
      <c r="B577" s="19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9"/>
      <c r="Q577" s="19"/>
      <c r="R577" s="19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5.75" customHeight="1" x14ac:dyDescent="0.35">
      <c r="A578" s="4"/>
      <c r="B578" s="19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9"/>
      <c r="Q578" s="19"/>
      <c r="R578" s="19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5.75" customHeight="1" x14ac:dyDescent="0.35">
      <c r="A579" s="4"/>
      <c r="B579" s="19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9"/>
      <c r="Q579" s="19"/>
      <c r="R579" s="19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5.75" customHeight="1" x14ac:dyDescent="0.35">
      <c r="A580" s="4"/>
      <c r="B580" s="19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9"/>
      <c r="Q580" s="19"/>
      <c r="R580" s="19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5.75" customHeight="1" x14ac:dyDescent="0.35">
      <c r="A581" s="4"/>
      <c r="B581" s="19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9"/>
      <c r="Q581" s="19"/>
      <c r="R581" s="19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5.75" customHeight="1" x14ac:dyDescent="0.35">
      <c r="A582" s="4"/>
      <c r="B582" s="19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9"/>
      <c r="Q582" s="19"/>
      <c r="R582" s="19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5.75" customHeight="1" x14ac:dyDescent="0.35">
      <c r="A583" s="4"/>
      <c r="B583" s="19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9"/>
      <c r="Q583" s="19"/>
      <c r="R583" s="19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5.75" customHeight="1" x14ac:dyDescent="0.35">
      <c r="A584" s="4"/>
      <c r="B584" s="19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9"/>
      <c r="Q584" s="19"/>
      <c r="R584" s="19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5.75" customHeight="1" x14ac:dyDescent="0.35">
      <c r="A585" s="4"/>
      <c r="B585" s="19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9"/>
      <c r="Q585" s="19"/>
      <c r="R585" s="19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5.75" customHeight="1" x14ac:dyDescent="0.35">
      <c r="A586" s="4"/>
      <c r="B586" s="19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9"/>
      <c r="Q586" s="19"/>
      <c r="R586" s="19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5.75" customHeight="1" x14ac:dyDescent="0.35">
      <c r="A587" s="4"/>
      <c r="B587" s="19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9"/>
      <c r="Q587" s="19"/>
      <c r="R587" s="19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5.75" customHeight="1" x14ac:dyDescent="0.35">
      <c r="A588" s="4"/>
      <c r="B588" s="19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9"/>
      <c r="Q588" s="19"/>
      <c r="R588" s="19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5.75" customHeight="1" x14ac:dyDescent="0.35">
      <c r="A589" s="4"/>
      <c r="B589" s="19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9"/>
      <c r="Q589" s="19"/>
      <c r="R589" s="19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5.75" customHeight="1" x14ac:dyDescent="0.35">
      <c r="A590" s="4"/>
      <c r="B590" s="19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9"/>
      <c r="Q590" s="19"/>
      <c r="R590" s="19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5.75" customHeight="1" x14ac:dyDescent="0.35">
      <c r="A591" s="4"/>
      <c r="B591" s="19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9"/>
      <c r="Q591" s="19"/>
      <c r="R591" s="19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5.75" customHeight="1" x14ac:dyDescent="0.35">
      <c r="A592" s="4"/>
      <c r="B592" s="19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9"/>
      <c r="Q592" s="19"/>
      <c r="R592" s="19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5.75" customHeight="1" x14ac:dyDescent="0.35">
      <c r="A593" s="4"/>
      <c r="B593" s="19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9"/>
      <c r="Q593" s="19"/>
      <c r="R593" s="19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5.75" customHeight="1" x14ac:dyDescent="0.35">
      <c r="A594" s="4"/>
      <c r="B594" s="19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9"/>
      <c r="Q594" s="19"/>
      <c r="R594" s="19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5.75" customHeight="1" x14ac:dyDescent="0.35">
      <c r="A595" s="4"/>
      <c r="B595" s="19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9"/>
      <c r="Q595" s="19"/>
      <c r="R595" s="19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5.75" customHeight="1" x14ac:dyDescent="0.35">
      <c r="A596" s="4"/>
      <c r="B596" s="19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9"/>
      <c r="Q596" s="19"/>
      <c r="R596" s="19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5.75" customHeight="1" x14ac:dyDescent="0.35">
      <c r="A597" s="4"/>
      <c r="B597" s="19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9"/>
      <c r="Q597" s="19"/>
      <c r="R597" s="19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5.75" customHeight="1" x14ac:dyDescent="0.35">
      <c r="A598" s="4"/>
      <c r="B598" s="19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9"/>
      <c r="Q598" s="19"/>
      <c r="R598" s="19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5.75" customHeight="1" x14ac:dyDescent="0.35">
      <c r="A599" s="4"/>
      <c r="B599" s="19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9"/>
      <c r="Q599" s="19"/>
      <c r="R599" s="19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5.75" customHeight="1" x14ac:dyDescent="0.35">
      <c r="A600" s="4"/>
      <c r="B600" s="19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9"/>
      <c r="Q600" s="19"/>
      <c r="R600" s="19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5.75" customHeight="1" x14ac:dyDescent="0.35">
      <c r="A601" s="4"/>
      <c r="B601" s="19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9"/>
      <c r="Q601" s="19"/>
      <c r="R601" s="19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5.75" customHeight="1" x14ac:dyDescent="0.35">
      <c r="A602" s="4"/>
      <c r="B602" s="19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9"/>
      <c r="Q602" s="19"/>
      <c r="R602" s="19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5.75" customHeight="1" x14ac:dyDescent="0.35">
      <c r="A603" s="4"/>
      <c r="B603" s="19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9"/>
      <c r="Q603" s="19"/>
      <c r="R603" s="19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5.75" customHeight="1" x14ac:dyDescent="0.35">
      <c r="A604" s="4"/>
      <c r="B604" s="19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9"/>
      <c r="Q604" s="19"/>
      <c r="R604" s="19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5.75" customHeight="1" x14ac:dyDescent="0.35">
      <c r="A605" s="4"/>
      <c r="B605" s="19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9"/>
      <c r="Q605" s="19"/>
      <c r="R605" s="19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5.75" customHeight="1" x14ac:dyDescent="0.35">
      <c r="A606" s="4"/>
      <c r="B606" s="19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9"/>
      <c r="Q606" s="19"/>
      <c r="R606" s="19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5.75" customHeight="1" x14ac:dyDescent="0.35">
      <c r="A607" s="4"/>
      <c r="B607" s="19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9"/>
      <c r="Q607" s="19"/>
      <c r="R607" s="19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5.75" customHeight="1" x14ac:dyDescent="0.35">
      <c r="A608" s="4"/>
      <c r="B608" s="19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9"/>
      <c r="Q608" s="19"/>
      <c r="R608" s="19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5.75" customHeight="1" x14ac:dyDescent="0.35">
      <c r="A609" s="4"/>
      <c r="B609" s="19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9"/>
      <c r="Q609" s="19"/>
      <c r="R609" s="19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5.75" customHeight="1" x14ac:dyDescent="0.35">
      <c r="A610" s="4"/>
      <c r="B610" s="19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9"/>
      <c r="Q610" s="19"/>
      <c r="R610" s="19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5.75" customHeight="1" x14ac:dyDescent="0.35">
      <c r="A611" s="4"/>
      <c r="B611" s="19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9"/>
      <c r="Q611" s="19"/>
      <c r="R611" s="19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5.75" customHeight="1" x14ac:dyDescent="0.35">
      <c r="A612" s="4"/>
      <c r="B612" s="19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9"/>
      <c r="Q612" s="19"/>
      <c r="R612" s="19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5.75" customHeight="1" x14ac:dyDescent="0.35">
      <c r="A613" s="4"/>
      <c r="B613" s="19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9"/>
      <c r="Q613" s="19"/>
      <c r="R613" s="19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5.75" customHeight="1" x14ac:dyDescent="0.35">
      <c r="A614" s="4"/>
      <c r="B614" s="19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9"/>
      <c r="Q614" s="19"/>
      <c r="R614" s="19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5.75" customHeight="1" x14ac:dyDescent="0.35">
      <c r="A615" s="4"/>
      <c r="B615" s="19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9"/>
      <c r="Q615" s="19"/>
      <c r="R615" s="19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5.75" customHeight="1" x14ac:dyDescent="0.35">
      <c r="A616" s="4"/>
      <c r="B616" s="19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9"/>
      <c r="Q616" s="19"/>
      <c r="R616" s="19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5.75" customHeight="1" x14ac:dyDescent="0.35">
      <c r="A617" s="4"/>
      <c r="B617" s="19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9"/>
      <c r="Q617" s="19"/>
      <c r="R617" s="19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5.75" customHeight="1" x14ac:dyDescent="0.35">
      <c r="A618" s="4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9"/>
      <c r="Q618" s="19"/>
      <c r="R618" s="19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5.75" customHeight="1" x14ac:dyDescent="0.35">
      <c r="A619" s="4"/>
      <c r="B619" s="19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9"/>
      <c r="Q619" s="19"/>
      <c r="R619" s="19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5.75" customHeight="1" x14ac:dyDescent="0.35">
      <c r="A620" s="4"/>
      <c r="B620" s="19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9"/>
      <c r="Q620" s="19"/>
      <c r="R620" s="19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5.75" customHeight="1" x14ac:dyDescent="0.35">
      <c r="A621" s="4"/>
      <c r="B621" s="19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9"/>
      <c r="Q621" s="19"/>
      <c r="R621" s="19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5.75" customHeight="1" x14ac:dyDescent="0.35">
      <c r="A622" s="4"/>
      <c r="B622" s="19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9"/>
      <c r="Q622" s="19"/>
      <c r="R622" s="19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5.75" customHeight="1" x14ac:dyDescent="0.35">
      <c r="A623" s="4"/>
      <c r="B623" s="19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9"/>
      <c r="Q623" s="19"/>
      <c r="R623" s="19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5.75" customHeight="1" x14ac:dyDescent="0.35">
      <c r="A624" s="4"/>
      <c r="B624" s="19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9"/>
      <c r="Q624" s="19"/>
      <c r="R624" s="19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5.75" customHeight="1" x14ac:dyDescent="0.35">
      <c r="A625" s="4"/>
      <c r="B625" s="19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9"/>
      <c r="Q625" s="19"/>
      <c r="R625" s="19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5.75" customHeight="1" x14ac:dyDescent="0.35">
      <c r="A626" s="4"/>
      <c r="B626" s="19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9"/>
      <c r="Q626" s="19"/>
      <c r="R626" s="19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5.75" customHeight="1" x14ac:dyDescent="0.35">
      <c r="A627" s="4"/>
      <c r="B627" s="19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9"/>
      <c r="Q627" s="19"/>
      <c r="R627" s="19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5.75" customHeight="1" x14ac:dyDescent="0.35">
      <c r="A628" s="4"/>
      <c r="B628" s="19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9"/>
      <c r="Q628" s="19"/>
      <c r="R628" s="19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5.75" customHeight="1" x14ac:dyDescent="0.35">
      <c r="A629" s="4"/>
      <c r="B629" s="19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9"/>
      <c r="Q629" s="19"/>
      <c r="R629" s="19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5.75" customHeight="1" x14ac:dyDescent="0.35">
      <c r="A630" s="4"/>
      <c r="B630" s="19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9"/>
      <c r="Q630" s="19"/>
      <c r="R630" s="19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5.75" customHeight="1" x14ac:dyDescent="0.35">
      <c r="A631" s="4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9"/>
      <c r="Q631" s="19"/>
      <c r="R631" s="19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5.75" customHeight="1" x14ac:dyDescent="0.35">
      <c r="A632" s="4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9"/>
      <c r="Q632" s="19"/>
      <c r="R632" s="19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5.75" customHeight="1" x14ac:dyDescent="0.35">
      <c r="A633" s="4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9"/>
      <c r="Q633" s="19"/>
      <c r="R633" s="19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5.75" customHeight="1" x14ac:dyDescent="0.35">
      <c r="A634" s="4"/>
      <c r="B634" s="19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9"/>
      <c r="Q634" s="19"/>
      <c r="R634" s="19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5.75" customHeight="1" x14ac:dyDescent="0.35">
      <c r="A635" s="4"/>
      <c r="B635" s="19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9"/>
      <c r="Q635" s="19"/>
      <c r="R635" s="19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5.75" customHeight="1" x14ac:dyDescent="0.35">
      <c r="A636" s="4"/>
      <c r="B636" s="19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9"/>
      <c r="Q636" s="19"/>
      <c r="R636" s="19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5.75" customHeight="1" x14ac:dyDescent="0.35">
      <c r="A637" s="4"/>
      <c r="B637" s="19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9"/>
      <c r="Q637" s="19"/>
      <c r="R637" s="19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5.75" customHeight="1" x14ac:dyDescent="0.35">
      <c r="A638" s="4"/>
      <c r="B638" s="19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9"/>
      <c r="Q638" s="19"/>
      <c r="R638" s="19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5.75" customHeight="1" x14ac:dyDescent="0.35">
      <c r="A639" s="4"/>
      <c r="B639" s="19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9"/>
      <c r="Q639" s="19"/>
      <c r="R639" s="19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5.75" customHeight="1" x14ac:dyDescent="0.35">
      <c r="A640" s="4"/>
      <c r="B640" s="19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9"/>
      <c r="Q640" s="19"/>
      <c r="R640" s="19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5.75" customHeight="1" x14ac:dyDescent="0.35">
      <c r="A641" s="4"/>
      <c r="B641" s="19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9"/>
      <c r="Q641" s="19"/>
      <c r="R641" s="19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5.75" customHeight="1" x14ac:dyDescent="0.35">
      <c r="A642" s="4"/>
      <c r="B642" s="19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9"/>
      <c r="Q642" s="19"/>
      <c r="R642" s="19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5.75" customHeight="1" x14ac:dyDescent="0.35">
      <c r="A643" s="4"/>
      <c r="B643" s="19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9"/>
      <c r="Q643" s="19"/>
      <c r="R643" s="19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5.75" customHeight="1" x14ac:dyDescent="0.35">
      <c r="A644" s="4"/>
      <c r="B644" s="19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9"/>
      <c r="Q644" s="19"/>
      <c r="R644" s="19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5.75" customHeight="1" x14ac:dyDescent="0.35">
      <c r="A645" s="4"/>
      <c r="B645" s="19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9"/>
      <c r="Q645" s="19"/>
      <c r="R645" s="19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5.75" customHeight="1" x14ac:dyDescent="0.35">
      <c r="A646" s="4"/>
      <c r="B646" s="19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9"/>
      <c r="Q646" s="19"/>
      <c r="R646" s="19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5.75" customHeight="1" x14ac:dyDescent="0.35">
      <c r="A647" s="4"/>
      <c r="B647" s="19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9"/>
      <c r="Q647" s="19"/>
      <c r="R647" s="19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5.75" customHeight="1" x14ac:dyDescent="0.35">
      <c r="A648" s="4"/>
      <c r="B648" s="19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9"/>
      <c r="Q648" s="19"/>
      <c r="R648" s="19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5.75" customHeight="1" x14ac:dyDescent="0.35">
      <c r="A649" s="4"/>
      <c r="B649" s="19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9"/>
      <c r="Q649" s="19"/>
      <c r="R649" s="19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5.75" customHeight="1" x14ac:dyDescent="0.35">
      <c r="A650" s="4"/>
      <c r="B650" s="19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9"/>
      <c r="Q650" s="19"/>
      <c r="R650" s="19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5.75" customHeight="1" x14ac:dyDescent="0.35">
      <c r="A651" s="4"/>
      <c r="B651" s="19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9"/>
      <c r="Q651" s="19"/>
      <c r="R651" s="19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5.75" customHeight="1" x14ac:dyDescent="0.35">
      <c r="A652" s="4"/>
      <c r="B652" s="19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9"/>
      <c r="Q652" s="19"/>
      <c r="R652" s="19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5.75" customHeight="1" x14ac:dyDescent="0.35">
      <c r="A653" s="4"/>
      <c r="B653" s="19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9"/>
      <c r="Q653" s="19"/>
      <c r="R653" s="19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5.75" customHeight="1" x14ac:dyDescent="0.35">
      <c r="A654" s="4"/>
      <c r="B654" s="19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9"/>
      <c r="Q654" s="19"/>
      <c r="R654" s="19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5.75" customHeight="1" x14ac:dyDescent="0.35">
      <c r="A655" s="4"/>
      <c r="B655" s="19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9"/>
      <c r="Q655" s="19"/>
      <c r="R655" s="19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5.75" customHeight="1" x14ac:dyDescent="0.35">
      <c r="A656" s="4"/>
      <c r="B656" s="19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9"/>
      <c r="Q656" s="19"/>
      <c r="R656" s="19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5.75" customHeight="1" x14ac:dyDescent="0.35">
      <c r="A657" s="4"/>
      <c r="B657" s="19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9"/>
      <c r="Q657" s="19"/>
      <c r="R657" s="19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5.75" customHeight="1" x14ac:dyDescent="0.35">
      <c r="A658" s="4"/>
      <c r="B658" s="19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9"/>
      <c r="Q658" s="19"/>
      <c r="R658" s="19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5.75" customHeight="1" x14ac:dyDescent="0.35">
      <c r="A659" s="4"/>
      <c r="B659" s="19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9"/>
      <c r="Q659" s="19"/>
      <c r="R659" s="19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5.75" customHeight="1" x14ac:dyDescent="0.35">
      <c r="A660" s="4"/>
      <c r="B660" s="19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9"/>
      <c r="Q660" s="19"/>
      <c r="R660" s="19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5.75" customHeight="1" x14ac:dyDescent="0.35">
      <c r="A661" s="4"/>
      <c r="B661" s="19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9"/>
      <c r="Q661" s="19"/>
      <c r="R661" s="19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5.75" customHeight="1" x14ac:dyDescent="0.35">
      <c r="A662" s="4"/>
      <c r="B662" s="19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9"/>
      <c r="Q662" s="19"/>
      <c r="R662" s="19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5.75" customHeight="1" x14ac:dyDescent="0.35">
      <c r="A663" s="4"/>
      <c r="B663" s="19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9"/>
      <c r="Q663" s="19"/>
      <c r="R663" s="19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5.75" customHeight="1" x14ac:dyDescent="0.35">
      <c r="A664" s="4"/>
      <c r="B664" s="19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9"/>
      <c r="Q664" s="19"/>
      <c r="R664" s="19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5.75" customHeight="1" x14ac:dyDescent="0.35">
      <c r="A665" s="4"/>
      <c r="B665" s="19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9"/>
      <c r="Q665" s="19"/>
      <c r="R665" s="19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5.75" customHeight="1" x14ac:dyDescent="0.35">
      <c r="A666" s="4"/>
      <c r="B666" s="19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9"/>
      <c r="Q666" s="19"/>
      <c r="R666" s="19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5.75" customHeight="1" x14ac:dyDescent="0.35">
      <c r="A667" s="4"/>
      <c r="B667" s="19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9"/>
      <c r="Q667" s="19"/>
      <c r="R667" s="19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5.75" customHeight="1" x14ac:dyDescent="0.35">
      <c r="A668" s="4"/>
      <c r="B668" s="19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9"/>
      <c r="Q668" s="19"/>
      <c r="R668" s="19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5.75" customHeight="1" x14ac:dyDescent="0.35">
      <c r="A669" s="4"/>
      <c r="B669" s="19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9"/>
      <c r="Q669" s="19"/>
      <c r="R669" s="19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5.75" customHeight="1" x14ac:dyDescent="0.35">
      <c r="A670" s="4"/>
      <c r="B670" s="19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9"/>
      <c r="Q670" s="19"/>
      <c r="R670" s="19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5.75" customHeight="1" x14ac:dyDescent="0.35">
      <c r="A671" s="4"/>
      <c r="B671" s="19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9"/>
      <c r="Q671" s="19"/>
      <c r="R671" s="19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5.75" customHeight="1" x14ac:dyDescent="0.35">
      <c r="A672" s="4"/>
      <c r="B672" s="19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9"/>
      <c r="Q672" s="19"/>
      <c r="R672" s="19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5.75" customHeight="1" x14ac:dyDescent="0.35">
      <c r="A673" s="4"/>
      <c r="B673" s="19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9"/>
      <c r="Q673" s="19"/>
      <c r="R673" s="19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5.75" customHeight="1" x14ac:dyDescent="0.35">
      <c r="A674" s="4"/>
      <c r="B674" s="19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9"/>
      <c r="Q674" s="19"/>
      <c r="R674" s="19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5.75" customHeight="1" x14ac:dyDescent="0.35">
      <c r="A675" s="4"/>
      <c r="B675" s="19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9"/>
      <c r="Q675" s="19"/>
      <c r="R675" s="19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5.75" customHeight="1" x14ac:dyDescent="0.35">
      <c r="A676" s="4"/>
      <c r="B676" s="19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9"/>
      <c r="Q676" s="19"/>
      <c r="R676" s="19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5.75" customHeight="1" x14ac:dyDescent="0.35">
      <c r="A677" s="4"/>
      <c r="B677" s="19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9"/>
      <c r="Q677" s="19"/>
      <c r="R677" s="19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5.75" customHeight="1" x14ac:dyDescent="0.35">
      <c r="A678" s="4"/>
      <c r="B678" s="19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9"/>
      <c r="Q678" s="19"/>
      <c r="R678" s="19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5.75" customHeight="1" x14ac:dyDescent="0.35">
      <c r="A679" s="4"/>
      <c r="B679" s="19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9"/>
      <c r="Q679" s="19"/>
      <c r="R679" s="19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5.75" customHeight="1" x14ac:dyDescent="0.35">
      <c r="A680" s="4"/>
      <c r="B680" s="19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9"/>
      <c r="Q680" s="19"/>
      <c r="R680" s="19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5.75" customHeight="1" x14ac:dyDescent="0.35">
      <c r="A681" s="4"/>
      <c r="B681" s="19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9"/>
      <c r="Q681" s="19"/>
      <c r="R681" s="19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5.75" customHeight="1" x14ac:dyDescent="0.35">
      <c r="A682" s="4"/>
      <c r="B682" s="19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9"/>
      <c r="Q682" s="19"/>
      <c r="R682" s="19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5.75" customHeight="1" x14ac:dyDescent="0.35">
      <c r="A683" s="4"/>
      <c r="B683" s="19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9"/>
      <c r="Q683" s="19"/>
      <c r="R683" s="19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5.75" customHeight="1" x14ac:dyDescent="0.35">
      <c r="A684" s="4"/>
      <c r="B684" s="19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9"/>
      <c r="Q684" s="19"/>
      <c r="R684" s="19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5.75" customHeight="1" x14ac:dyDescent="0.35">
      <c r="A685" s="4"/>
      <c r="B685" s="19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9"/>
      <c r="Q685" s="19"/>
      <c r="R685" s="19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5.75" customHeight="1" x14ac:dyDescent="0.35">
      <c r="A686" s="4"/>
      <c r="B686" s="19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9"/>
      <c r="Q686" s="19"/>
      <c r="R686" s="19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5.75" customHeight="1" x14ac:dyDescent="0.35">
      <c r="A687" s="4"/>
      <c r="B687" s="19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9"/>
      <c r="Q687" s="19"/>
      <c r="R687" s="19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5.75" customHeight="1" x14ac:dyDescent="0.35">
      <c r="A688" s="4"/>
      <c r="B688" s="19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9"/>
      <c r="Q688" s="19"/>
      <c r="R688" s="19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5.75" customHeight="1" x14ac:dyDescent="0.35">
      <c r="A689" s="4"/>
      <c r="B689" s="19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9"/>
      <c r="Q689" s="19"/>
      <c r="R689" s="19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5.75" customHeight="1" x14ac:dyDescent="0.35">
      <c r="A690" s="4"/>
      <c r="B690" s="19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9"/>
      <c r="Q690" s="19"/>
      <c r="R690" s="19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5.75" customHeight="1" x14ac:dyDescent="0.35">
      <c r="A691" s="4"/>
      <c r="B691" s="19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9"/>
      <c r="Q691" s="19"/>
      <c r="R691" s="19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5.75" customHeight="1" x14ac:dyDescent="0.35">
      <c r="A692" s="4"/>
      <c r="B692" s="19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9"/>
      <c r="Q692" s="19"/>
      <c r="R692" s="19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5.75" customHeight="1" x14ac:dyDescent="0.35">
      <c r="A693" s="4"/>
      <c r="B693" s="19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9"/>
      <c r="Q693" s="19"/>
      <c r="R693" s="19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5.75" customHeight="1" x14ac:dyDescent="0.35">
      <c r="A694" s="4"/>
      <c r="B694" s="19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9"/>
      <c r="Q694" s="19"/>
      <c r="R694" s="19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5.75" customHeight="1" x14ac:dyDescent="0.35">
      <c r="A695" s="4"/>
      <c r="B695" s="19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9"/>
      <c r="Q695" s="19"/>
      <c r="R695" s="19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5.75" customHeight="1" x14ac:dyDescent="0.35">
      <c r="A696" s="4"/>
      <c r="B696" s="19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9"/>
      <c r="Q696" s="19"/>
      <c r="R696" s="19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5.75" customHeight="1" x14ac:dyDescent="0.35">
      <c r="A697" s="4"/>
      <c r="B697" s="19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9"/>
      <c r="Q697" s="19"/>
      <c r="R697" s="19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5.75" customHeight="1" x14ac:dyDescent="0.35">
      <c r="A698" s="4"/>
      <c r="B698" s="19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9"/>
      <c r="Q698" s="19"/>
      <c r="R698" s="19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5.75" customHeight="1" x14ac:dyDescent="0.35">
      <c r="A699" s="4"/>
      <c r="B699" s="19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9"/>
      <c r="Q699" s="19"/>
      <c r="R699" s="19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5.75" customHeight="1" x14ac:dyDescent="0.35">
      <c r="A700" s="4"/>
      <c r="B700" s="19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9"/>
      <c r="Q700" s="19"/>
      <c r="R700" s="19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5.75" customHeight="1" x14ac:dyDescent="0.35">
      <c r="A701" s="4"/>
      <c r="B701" s="19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9"/>
      <c r="Q701" s="19"/>
      <c r="R701" s="19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5.75" customHeight="1" x14ac:dyDescent="0.35">
      <c r="A702" s="4"/>
      <c r="B702" s="19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9"/>
      <c r="Q702" s="19"/>
      <c r="R702" s="19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5.75" customHeight="1" x14ac:dyDescent="0.35">
      <c r="A703" s="4"/>
      <c r="B703" s="19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9"/>
      <c r="Q703" s="19"/>
      <c r="R703" s="19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5.75" customHeight="1" x14ac:dyDescent="0.35">
      <c r="A704" s="4"/>
      <c r="B704" s="19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9"/>
      <c r="Q704" s="19"/>
      <c r="R704" s="19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5.75" customHeight="1" x14ac:dyDescent="0.35">
      <c r="A705" s="4"/>
      <c r="B705" s="19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9"/>
      <c r="Q705" s="19"/>
      <c r="R705" s="19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5.75" customHeight="1" x14ac:dyDescent="0.35">
      <c r="A706" s="4"/>
      <c r="B706" s="19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9"/>
      <c r="Q706" s="19"/>
      <c r="R706" s="19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5.75" customHeight="1" x14ac:dyDescent="0.35">
      <c r="A707" s="4"/>
      <c r="B707" s="19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9"/>
      <c r="Q707" s="19"/>
      <c r="R707" s="19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5.75" customHeight="1" x14ac:dyDescent="0.35">
      <c r="A708" s="4"/>
      <c r="B708" s="19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9"/>
      <c r="Q708" s="19"/>
      <c r="R708" s="19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5.75" customHeight="1" x14ac:dyDescent="0.35">
      <c r="A709" s="4"/>
      <c r="B709" s="19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9"/>
      <c r="Q709" s="19"/>
      <c r="R709" s="19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5.75" customHeight="1" x14ac:dyDescent="0.35">
      <c r="A710" s="4"/>
      <c r="B710" s="19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9"/>
      <c r="Q710" s="19"/>
      <c r="R710" s="19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5.75" customHeight="1" x14ac:dyDescent="0.35">
      <c r="A711" s="4"/>
      <c r="B711" s="19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9"/>
      <c r="Q711" s="19"/>
      <c r="R711" s="19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5.75" customHeight="1" x14ac:dyDescent="0.35">
      <c r="A712" s="4"/>
      <c r="B712" s="19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9"/>
      <c r="Q712" s="19"/>
      <c r="R712" s="19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5.75" customHeight="1" x14ac:dyDescent="0.35">
      <c r="A713" s="4"/>
      <c r="B713" s="19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9"/>
      <c r="Q713" s="19"/>
      <c r="R713" s="19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5.75" customHeight="1" x14ac:dyDescent="0.35">
      <c r="A714" s="4"/>
      <c r="B714" s="19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9"/>
      <c r="Q714" s="19"/>
      <c r="R714" s="19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5.75" customHeight="1" x14ac:dyDescent="0.35">
      <c r="A715" s="4"/>
      <c r="B715" s="19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9"/>
      <c r="Q715" s="19"/>
      <c r="R715" s="19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5.75" customHeight="1" x14ac:dyDescent="0.35">
      <c r="A716" s="4"/>
      <c r="B716" s="19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9"/>
      <c r="Q716" s="19"/>
      <c r="R716" s="19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5.75" customHeight="1" x14ac:dyDescent="0.35">
      <c r="A717" s="4"/>
      <c r="B717" s="19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9"/>
      <c r="Q717" s="19"/>
      <c r="R717" s="19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5.75" customHeight="1" x14ac:dyDescent="0.35">
      <c r="A718" s="4"/>
      <c r="B718" s="19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9"/>
      <c r="Q718" s="19"/>
      <c r="R718" s="19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5.75" customHeight="1" x14ac:dyDescent="0.35">
      <c r="A719" s="4"/>
      <c r="B719" s="19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9"/>
      <c r="Q719" s="19"/>
      <c r="R719" s="19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5.75" customHeight="1" x14ac:dyDescent="0.35">
      <c r="A720" s="4"/>
      <c r="B720" s="19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9"/>
      <c r="Q720" s="19"/>
      <c r="R720" s="19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5.75" customHeight="1" x14ac:dyDescent="0.35">
      <c r="A721" s="4"/>
      <c r="B721" s="19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9"/>
      <c r="Q721" s="19"/>
      <c r="R721" s="19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5.75" customHeight="1" x14ac:dyDescent="0.35">
      <c r="A722" s="4"/>
      <c r="B722" s="19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9"/>
      <c r="Q722" s="19"/>
      <c r="R722" s="19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5.75" customHeight="1" x14ac:dyDescent="0.35">
      <c r="A723" s="4"/>
      <c r="B723" s="19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9"/>
      <c r="Q723" s="19"/>
      <c r="R723" s="19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5.75" customHeight="1" x14ac:dyDescent="0.35">
      <c r="A724" s="4"/>
      <c r="B724" s="19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9"/>
      <c r="Q724" s="19"/>
      <c r="R724" s="19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5.75" customHeight="1" x14ac:dyDescent="0.35">
      <c r="A725" s="4"/>
      <c r="B725" s="19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9"/>
      <c r="Q725" s="19"/>
      <c r="R725" s="19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5.75" customHeight="1" x14ac:dyDescent="0.35">
      <c r="A726" s="4"/>
      <c r="B726" s="19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9"/>
      <c r="Q726" s="19"/>
      <c r="R726" s="19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5.75" customHeight="1" x14ac:dyDescent="0.35">
      <c r="A727" s="4"/>
      <c r="B727" s="19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9"/>
      <c r="Q727" s="19"/>
      <c r="R727" s="19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5.75" customHeight="1" x14ac:dyDescent="0.35">
      <c r="A728" s="4"/>
      <c r="B728" s="19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9"/>
      <c r="Q728" s="19"/>
      <c r="R728" s="19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5.75" customHeight="1" x14ac:dyDescent="0.35">
      <c r="A729" s="4"/>
      <c r="B729" s="19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9"/>
      <c r="Q729" s="19"/>
      <c r="R729" s="19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5.75" customHeight="1" x14ac:dyDescent="0.35">
      <c r="A730" s="4"/>
      <c r="B730" s="19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9"/>
      <c r="Q730" s="19"/>
      <c r="R730" s="19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5.75" customHeight="1" x14ac:dyDescent="0.35">
      <c r="A731" s="4"/>
      <c r="B731" s="19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9"/>
      <c r="Q731" s="19"/>
      <c r="R731" s="19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5.75" customHeight="1" x14ac:dyDescent="0.35">
      <c r="A732" s="4"/>
      <c r="B732" s="19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9"/>
      <c r="Q732" s="19"/>
      <c r="R732" s="19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5.75" customHeight="1" x14ac:dyDescent="0.35">
      <c r="A733" s="4"/>
      <c r="B733" s="19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9"/>
      <c r="Q733" s="19"/>
      <c r="R733" s="19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5.75" customHeight="1" x14ac:dyDescent="0.35">
      <c r="A734" s="4"/>
      <c r="B734" s="19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9"/>
      <c r="Q734" s="19"/>
      <c r="R734" s="19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5.75" customHeight="1" x14ac:dyDescent="0.35">
      <c r="A735" s="4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9"/>
      <c r="Q735" s="19"/>
      <c r="R735" s="19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5.75" customHeight="1" x14ac:dyDescent="0.35">
      <c r="A736" s="4"/>
      <c r="B736" s="19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9"/>
      <c r="Q736" s="19"/>
      <c r="R736" s="19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5.75" customHeight="1" x14ac:dyDescent="0.35">
      <c r="A737" s="4"/>
      <c r="B737" s="19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9"/>
      <c r="Q737" s="19"/>
      <c r="R737" s="19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5.75" customHeight="1" x14ac:dyDescent="0.35">
      <c r="A738" s="4"/>
      <c r="B738" s="19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9"/>
      <c r="Q738" s="19"/>
      <c r="R738" s="19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5.75" customHeight="1" x14ac:dyDescent="0.35">
      <c r="A739" s="4"/>
      <c r="B739" s="19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9"/>
      <c r="Q739" s="19"/>
      <c r="R739" s="19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5.75" customHeight="1" x14ac:dyDescent="0.35">
      <c r="A740" s="4"/>
      <c r="B740" s="19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9"/>
      <c r="Q740" s="19"/>
      <c r="R740" s="19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5.75" customHeight="1" x14ac:dyDescent="0.35">
      <c r="A741" s="4"/>
      <c r="B741" s="19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9"/>
      <c r="Q741" s="19"/>
      <c r="R741" s="19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5.75" customHeight="1" x14ac:dyDescent="0.35">
      <c r="A742" s="4"/>
      <c r="B742" s="19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9"/>
      <c r="Q742" s="19"/>
      <c r="R742" s="19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5.75" customHeight="1" x14ac:dyDescent="0.35">
      <c r="A743" s="4"/>
      <c r="B743" s="19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9"/>
      <c r="Q743" s="19"/>
      <c r="R743" s="19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5.75" customHeight="1" x14ac:dyDescent="0.35">
      <c r="A744" s="4"/>
      <c r="B744" s="19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9"/>
      <c r="Q744" s="19"/>
      <c r="R744" s="19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5.75" customHeight="1" x14ac:dyDescent="0.35">
      <c r="A745" s="4"/>
      <c r="B745" s="19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9"/>
      <c r="Q745" s="19"/>
      <c r="R745" s="19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5.75" customHeight="1" x14ac:dyDescent="0.35">
      <c r="A746" s="4"/>
      <c r="B746" s="19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9"/>
      <c r="Q746" s="19"/>
      <c r="R746" s="19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5.75" customHeight="1" x14ac:dyDescent="0.35">
      <c r="A747" s="4"/>
      <c r="B747" s="19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9"/>
      <c r="Q747" s="19"/>
      <c r="R747" s="19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5.75" customHeight="1" x14ac:dyDescent="0.35">
      <c r="A748" s="4"/>
      <c r="B748" s="19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9"/>
      <c r="Q748" s="19"/>
      <c r="R748" s="19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5.75" customHeight="1" x14ac:dyDescent="0.35">
      <c r="A749" s="4"/>
      <c r="B749" s="19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9"/>
      <c r="Q749" s="19"/>
      <c r="R749" s="19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5.75" customHeight="1" x14ac:dyDescent="0.35">
      <c r="A750" s="4"/>
      <c r="B750" s="19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9"/>
      <c r="Q750" s="19"/>
      <c r="R750" s="19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5.75" customHeight="1" x14ac:dyDescent="0.35">
      <c r="A751" s="4"/>
      <c r="B751" s="19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9"/>
      <c r="Q751" s="19"/>
      <c r="R751" s="19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5.75" customHeight="1" x14ac:dyDescent="0.35">
      <c r="A752" s="4"/>
      <c r="B752" s="19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9"/>
      <c r="Q752" s="19"/>
      <c r="R752" s="19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5.75" customHeight="1" x14ac:dyDescent="0.35">
      <c r="A753" s="4"/>
      <c r="B753" s="19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9"/>
      <c r="Q753" s="19"/>
      <c r="R753" s="19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5.75" customHeight="1" x14ac:dyDescent="0.35">
      <c r="A754" s="4"/>
      <c r="B754" s="19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9"/>
      <c r="Q754" s="19"/>
      <c r="R754" s="19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5.75" customHeight="1" x14ac:dyDescent="0.35">
      <c r="A755" s="4"/>
      <c r="B755" s="19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9"/>
      <c r="Q755" s="19"/>
      <c r="R755" s="19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5.75" customHeight="1" x14ac:dyDescent="0.35">
      <c r="A756" s="4"/>
      <c r="B756" s="19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9"/>
      <c r="Q756" s="19"/>
      <c r="R756" s="19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5.75" customHeight="1" x14ac:dyDescent="0.35">
      <c r="A757" s="4"/>
      <c r="B757" s="19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9"/>
      <c r="Q757" s="19"/>
      <c r="R757" s="19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5.75" customHeight="1" x14ac:dyDescent="0.35">
      <c r="A758" s="4"/>
      <c r="B758" s="19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9"/>
      <c r="Q758" s="19"/>
      <c r="R758" s="19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5.75" customHeight="1" x14ac:dyDescent="0.35">
      <c r="A759" s="4"/>
      <c r="B759" s="19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9"/>
      <c r="Q759" s="19"/>
      <c r="R759" s="19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5.75" customHeight="1" x14ac:dyDescent="0.35">
      <c r="A760" s="4"/>
      <c r="B760" s="19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9"/>
      <c r="Q760" s="19"/>
      <c r="R760" s="19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5.75" customHeight="1" x14ac:dyDescent="0.35">
      <c r="A761" s="4"/>
      <c r="B761" s="19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9"/>
      <c r="Q761" s="19"/>
      <c r="R761" s="19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5.75" customHeight="1" x14ac:dyDescent="0.35">
      <c r="A762" s="4"/>
      <c r="B762" s="19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9"/>
      <c r="Q762" s="19"/>
      <c r="R762" s="19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5.75" customHeight="1" x14ac:dyDescent="0.35">
      <c r="A763" s="4"/>
      <c r="B763" s="19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9"/>
      <c r="Q763" s="19"/>
      <c r="R763" s="19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5.75" customHeight="1" x14ac:dyDescent="0.35">
      <c r="A764" s="4"/>
      <c r="B764" s="19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9"/>
      <c r="Q764" s="19"/>
      <c r="R764" s="19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5.75" customHeight="1" x14ac:dyDescent="0.35">
      <c r="A765" s="4"/>
      <c r="B765" s="19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9"/>
      <c r="Q765" s="19"/>
      <c r="R765" s="19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5.75" customHeight="1" x14ac:dyDescent="0.35">
      <c r="A766" s="4"/>
      <c r="B766" s="19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9"/>
      <c r="Q766" s="19"/>
      <c r="R766" s="19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5.75" customHeight="1" x14ac:dyDescent="0.35">
      <c r="A767" s="4"/>
      <c r="B767" s="19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9"/>
      <c r="Q767" s="19"/>
      <c r="R767" s="19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5.75" customHeight="1" x14ac:dyDescent="0.35">
      <c r="A768" s="4"/>
      <c r="B768" s="19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9"/>
      <c r="Q768" s="19"/>
      <c r="R768" s="19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5.75" customHeight="1" x14ac:dyDescent="0.35">
      <c r="A769" s="4"/>
      <c r="B769" s="19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9"/>
      <c r="Q769" s="19"/>
      <c r="R769" s="19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5.75" customHeight="1" x14ac:dyDescent="0.35">
      <c r="A770" s="4"/>
      <c r="B770" s="19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9"/>
      <c r="Q770" s="19"/>
      <c r="R770" s="19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5.75" customHeight="1" x14ac:dyDescent="0.35">
      <c r="A771" s="4"/>
      <c r="B771" s="19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9"/>
      <c r="Q771" s="19"/>
      <c r="R771" s="19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5.75" customHeight="1" x14ac:dyDescent="0.35">
      <c r="A772" s="4"/>
      <c r="B772" s="19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9"/>
      <c r="Q772" s="19"/>
      <c r="R772" s="19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5.75" customHeight="1" x14ac:dyDescent="0.35">
      <c r="A773" s="4"/>
      <c r="B773" s="19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9"/>
      <c r="Q773" s="19"/>
      <c r="R773" s="19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5.75" customHeight="1" x14ac:dyDescent="0.35">
      <c r="A774" s="4"/>
      <c r="B774" s="19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9"/>
      <c r="Q774" s="19"/>
      <c r="R774" s="19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5.75" customHeight="1" x14ac:dyDescent="0.35">
      <c r="A775" s="4"/>
      <c r="B775" s="19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9"/>
      <c r="Q775" s="19"/>
      <c r="R775" s="19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5.75" customHeight="1" x14ac:dyDescent="0.35">
      <c r="A776" s="4"/>
      <c r="B776" s="19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9"/>
      <c r="Q776" s="19"/>
      <c r="R776" s="19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5.75" customHeight="1" x14ac:dyDescent="0.35">
      <c r="A777" s="4"/>
      <c r="B777" s="19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9"/>
      <c r="Q777" s="19"/>
      <c r="R777" s="19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5.75" customHeight="1" x14ac:dyDescent="0.35">
      <c r="A778" s="4"/>
      <c r="B778" s="19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9"/>
      <c r="Q778" s="19"/>
      <c r="R778" s="19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5.75" customHeight="1" x14ac:dyDescent="0.35">
      <c r="A779" s="4"/>
      <c r="B779" s="19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9"/>
      <c r="Q779" s="19"/>
      <c r="R779" s="19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5.75" customHeight="1" x14ac:dyDescent="0.35">
      <c r="A780" s="4"/>
      <c r="B780" s="19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9"/>
      <c r="Q780" s="19"/>
      <c r="R780" s="19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5.75" customHeight="1" x14ac:dyDescent="0.35">
      <c r="A781" s="4"/>
      <c r="B781" s="19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9"/>
      <c r="Q781" s="19"/>
      <c r="R781" s="19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5.75" customHeight="1" x14ac:dyDescent="0.35">
      <c r="A782" s="4"/>
      <c r="B782" s="19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9"/>
      <c r="Q782" s="19"/>
      <c r="R782" s="19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5.75" customHeight="1" x14ac:dyDescent="0.35">
      <c r="A783" s="4"/>
      <c r="B783" s="19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9"/>
      <c r="Q783" s="19"/>
      <c r="R783" s="19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5.75" customHeight="1" x14ac:dyDescent="0.35">
      <c r="A784" s="4"/>
      <c r="B784" s="19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9"/>
      <c r="Q784" s="19"/>
      <c r="R784" s="19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5.75" customHeight="1" x14ac:dyDescent="0.35">
      <c r="A785" s="4"/>
      <c r="B785" s="19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9"/>
      <c r="Q785" s="19"/>
      <c r="R785" s="19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5.75" customHeight="1" x14ac:dyDescent="0.35">
      <c r="A786" s="4"/>
      <c r="B786" s="19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9"/>
      <c r="Q786" s="19"/>
      <c r="R786" s="19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5.75" customHeight="1" x14ac:dyDescent="0.35">
      <c r="A787" s="4"/>
      <c r="B787" s="19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9"/>
      <c r="Q787" s="19"/>
      <c r="R787" s="19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5.75" customHeight="1" x14ac:dyDescent="0.35">
      <c r="A788" s="4"/>
      <c r="B788" s="19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9"/>
      <c r="Q788" s="19"/>
      <c r="R788" s="19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5.75" customHeight="1" x14ac:dyDescent="0.35">
      <c r="A789" s="4"/>
      <c r="B789" s="19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9"/>
      <c r="Q789" s="19"/>
      <c r="R789" s="19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5.75" customHeight="1" x14ac:dyDescent="0.35">
      <c r="A790" s="4"/>
      <c r="B790" s="19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9"/>
      <c r="Q790" s="19"/>
      <c r="R790" s="19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5.75" customHeight="1" x14ac:dyDescent="0.35">
      <c r="A791" s="4"/>
      <c r="B791" s="19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9"/>
      <c r="Q791" s="19"/>
      <c r="R791" s="19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5.75" customHeight="1" x14ac:dyDescent="0.35">
      <c r="A792" s="4"/>
      <c r="B792" s="19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9"/>
      <c r="Q792" s="19"/>
      <c r="R792" s="19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5.75" customHeight="1" x14ac:dyDescent="0.35">
      <c r="A793" s="4"/>
      <c r="B793" s="19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9"/>
      <c r="Q793" s="19"/>
      <c r="R793" s="19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5.75" customHeight="1" x14ac:dyDescent="0.35">
      <c r="A794" s="4"/>
      <c r="B794" s="19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9"/>
      <c r="Q794" s="19"/>
      <c r="R794" s="19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5.75" customHeight="1" x14ac:dyDescent="0.35">
      <c r="A795" s="4"/>
      <c r="B795" s="19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9"/>
      <c r="Q795" s="19"/>
      <c r="R795" s="19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5.75" customHeight="1" x14ac:dyDescent="0.35">
      <c r="A796" s="4"/>
      <c r="B796" s="19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9"/>
      <c r="Q796" s="19"/>
      <c r="R796" s="19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5.75" customHeight="1" x14ac:dyDescent="0.35">
      <c r="A797" s="4"/>
      <c r="B797" s="19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9"/>
      <c r="Q797" s="19"/>
      <c r="R797" s="19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5.75" customHeight="1" x14ac:dyDescent="0.35">
      <c r="A798" s="4"/>
      <c r="B798" s="19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9"/>
      <c r="Q798" s="19"/>
      <c r="R798" s="19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5.75" customHeight="1" x14ac:dyDescent="0.35">
      <c r="A799" s="4"/>
      <c r="B799" s="19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9"/>
      <c r="Q799" s="19"/>
      <c r="R799" s="19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5.75" customHeight="1" x14ac:dyDescent="0.35">
      <c r="A800" s="4"/>
      <c r="B800" s="19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9"/>
      <c r="Q800" s="19"/>
      <c r="R800" s="19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5.75" customHeight="1" x14ac:dyDescent="0.35">
      <c r="A801" s="4"/>
      <c r="B801" s="19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9"/>
      <c r="Q801" s="19"/>
      <c r="R801" s="19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5.75" customHeight="1" x14ac:dyDescent="0.35">
      <c r="A802" s="4"/>
      <c r="B802" s="19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9"/>
      <c r="Q802" s="19"/>
      <c r="R802" s="19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5.75" customHeight="1" x14ac:dyDescent="0.35">
      <c r="A803" s="4"/>
      <c r="B803" s="19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9"/>
      <c r="Q803" s="19"/>
      <c r="R803" s="19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5.75" customHeight="1" x14ac:dyDescent="0.35">
      <c r="A804" s="4"/>
      <c r="B804" s="19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9"/>
      <c r="Q804" s="19"/>
      <c r="R804" s="19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5.75" customHeight="1" x14ac:dyDescent="0.35">
      <c r="A805" s="4"/>
      <c r="B805" s="19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9"/>
      <c r="Q805" s="19"/>
      <c r="R805" s="19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5.75" customHeight="1" x14ac:dyDescent="0.35">
      <c r="A806" s="4"/>
      <c r="B806" s="19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9"/>
      <c r="Q806" s="19"/>
      <c r="R806" s="19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5.75" customHeight="1" x14ac:dyDescent="0.35">
      <c r="A807" s="4"/>
      <c r="B807" s="19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9"/>
      <c r="Q807" s="19"/>
      <c r="R807" s="19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5.75" customHeight="1" x14ac:dyDescent="0.35">
      <c r="A808" s="4"/>
      <c r="B808" s="19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9"/>
      <c r="Q808" s="19"/>
      <c r="R808" s="19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5.75" customHeight="1" x14ac:dyDescent="0.35">
      <c r="A809" s="4"/>
      <c r="B809" s="19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9"/>
      <c r="Q809" s="19"/>
      <c r="R809" s="19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5.75" customHeight="1" x14ac:dyDescent="0.35">
      <c r="A810" s="4"/>
      <c r="B810" s="19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9"/>
      <c r="Q810" s="19"/>
      <c r="R810" s="19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5.75" customHeight="1" x14ac:dyDescent="0.35">
      <c r="A811" s="4"/>
      <c r="B811" s="19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9"/>
      <c r="Q811" s="19"/>
      <c r="R811" s="19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5.75" customHeight="1" x14ac:dyDescent="0.35">
      <c r="A812" s="4"/>
      <c r="B812" s="19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9"/>
      <c r="Q812" s="19"/>
      <c r="R812" s="19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5.75" customHeight="1" x14ac:dyDescent="0.35">
      <c r="A813" s="4"/>
      <c r="B813" s="19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9"/>
      <c r="Q813" s="19"/>
      <c r="R813" s="19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5.75" customHeight="1" x14ac:dyDescent="0.35">
      <c r="A814" s="4"/>
      <c r="B814" s="19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9"/>
      <c r="Q814" s="19"/>
      <c r="R814" s="19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5.75" customHeight="1" x14ac:dyDescent="0.35">
      <c r="A815" s="4"/>
      <c r="B815" s="19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9"/>
      <c r="Q815" s="19"/>
      <c r="R815" s="19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5.75" customHeight="1" x14ac:dyDescent="0.35">
      <c r="A816" s="4"/>
      <c r="B816" s="19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9"/>
      <c r="Q816" s="19"/>
      <c r="R816" s="19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5.75" customHeight="1" x14ac:dyDescent="0.35">
      <c r="A817" s="4"/>
      <c r="B817" s="19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9"/>
      <c r="Q817" s="19"/>
      <c r="R817" s="19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5.75" customHeight="1" x14ac:dyDescent="0.35">
      <c r="A818" s="4"/>
      <c r="B818" s="19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9"/>
      <c r="Q818" s="19"/>
      <c r="R818" s="19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5.75" customHeight="1" x14ac:dyDescent="0.35">
      <c r="A819" s="4"/>
      <c r="B819" s="19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9"/>
      <c r="Q819" s="19"/>
      <c r="R819" s="19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5.75" customHeight="1" x14ac:dyDescent="0.35">
      <c r="A820" s="4"/>
      <c r="B820" s="19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9"/>
      <c r="Q820" s="19"/>
      <c r="R820" s="19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5.75" customHeight="1" x14ac:dyDescent="0.35">
      <c r="A821" s="4"/>
      <c r="B821" s="19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9"/>
      <c r="Q821" s="19"/>
      <c r="R821" s="19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5.75" customHeight="1" x14ac:dyDescent="0.35">
      <c r="A822" s="4"/>
      <c r="B822" s="19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9"/>
      <c r="Q822" s="19"/>
      <c r="R822" s="19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5.75" customHeight="1" x14ac:dyDescent="0.35">
      <c r="A823" s="4"/>
      <c r="B823" s="19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9"/>
      <c r="Q823" s="19"/>
      <c r="R823" s="19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5.75" customHeight="1" x14ac:dyDescent="0.35">
      <c r="A824" s="4"/>
      <c r="B824" s="19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9"/>
      <c r="Q824" s="19"/>
      <c r="R824" s="19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5.75" customHeight="1" x14ac:dyDescent="0.35">
      <c r="A825" s="4"/>
      <c r="B825" s="19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9"/>
      <c r="Q825" s="19"/>
      <c r="R825" s="19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5.75" customHeight="1" x14ac:dyDescent="0.35">
      <c r="A826" s="4"/>
      <c r="B826" s="19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9"/>
      <c r="Q826" s="19"/>
      <c r="R826" s="19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5.75" customHeight="1" x14ac:dyDescent="0.35">
      <c r="A827" s="4"/>
      <c r="B827" s="19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9"/>
      <c r="Q827" s="19"/>
      <c r="R827" s="19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5.75" customHeight="1" x14ac:dyDescent="0.35">
      <c r="A828" s="4"/>
      <c r="B828" s="19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9"/>
      <c r="Q828" s="19"/>
      <c r="R828" s="19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5.75" customHeight="1" x14ac:dyDescent="0.35">
      <c r="A829" s="4"/>
      <c r="B829" s="19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9"/>
      <c r="Q829" s="19"/>
      <c r="R829" s="19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5.75" customHeight="1" x14ac:dyDescent="0.35">
      <c r="A830" s="4"/>
      <c r="B830" s="19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9"/>
      <c r="Q830" s="19"/>
      <c r="R830" s="19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5.75" customHeight="1" x14ac:dyDescent="0.35">
      <c r="A831" s="4"/>
      <c r="B831" s="19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9"/>
      <c r="Q831" s="19"/>
      <c r="R831" s="19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5.75" customHeight="1" x14ac:dyDescent="0.35">
      <c r="A832" s="4"/>
      <c r="B832" s="19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9"/>
      <c r="Q832" s="19"/>
      <c r="R832" s="19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5.75" customHeight="1" x14ac:dyDescent="0.35">
      <c r="A833" s="4"/>
      <c r="B833" s="19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9"/>
      <c r="Q833" s="19"/>
      <c r="R833" s="19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5.75" customHeight="1" x14ac:dyDescent="0.35">
      <c r="A834" s="4"/>
      <c r="B834" s="19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9"/>
      <c r="Q834" s="19"/>
      <c r="R834" s="19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5.75" customHeight="1" x14ac:dyDescent="0.35">
      <c r="A835" s="4"/>
      <c r="B835" s="19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9"/>
      <c r="Q835" s="19"/>
      <c r="R835" s="19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5.75" customHeight="1" x14ac:dyDescent="0.35">
      <c r="A836" s="4"/>
      <c r="B836" s="19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9"/>
      <c r="Q836" s="19"/>
      <c r="R836" s="19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5.75" customHeight="1" x14ac:dyDescent="0.35">
      <c r="A837" s="4"/>
      <c r="B837" s="19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9"/>
      <c r="Q837" s="19"/>
      <c r="R837" s="19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5.75" customHeight="1" x14ac:dyDescent="0.35">
      <c r="A838" s="4"/>
      <c r="B838" s="19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9"/>
      <c r="Q838" s="19"/>
      <c r="R838" s="19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5.75" customHeight="1" x14ac:dyDescent="0.35">
      <c r="A839" s="4"/>
      <c r="B839" s="19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9"/>
      <c r="Q839" s="19"/>
      <c r="R839" s="19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5.75" customHeight="1" x14ac:dyDescent="0.35">
      <c r="A840" s="4"/>
      <c r="B840" s="19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9"/>
      <c r="Q840" s="19"/>
      <c r="R840" s="19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5.75" customHeight="1" x14ac:dyDescent="0.35">
      <c r="A841" s="4"/>
      <c r="B841" s="19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9"/>
      <c r="Q841" s="19"/>
      <c r="R841" s="19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5.75" customHeight="1" x14ac:dyDescent="0.35">
      <c r="A842" s="4"/>
      <c r="B842" s="19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9"/>
      <c r="Q842" s="19"/>
      <c r="R842" s="19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5.75" customHeight="1" x14ac:dyDescent="0.35">
      <c r="A843" s="4"/>
      <c r="B843" s="19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9"/>
      <c r="Q843" s="19"/>
      <c r="R843" s="19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5.75" customHeight="1" x14ac:dyDescent="0.35">
      <c r="A844" s="4"/>
      <c r="B844" s="19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9"/>
      <c r="Q844" s="19"/>
      <c r="R844" s="19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5.75" customHeight="1" x14ac:dyDescent="0.35">
      <c r="A845" s="4"/>
      <c r="B845" s="19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9"/>
      <c r="Q845" s="19"/>
      <c r="R845" s="19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5.75" customHeight="1" x14ac:dyDescent="0.35">
      <c r="A846" s="4"/>
      <c r="B846" s="19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9"/>
      <c r="Q846" s="19"/>
      <c r="R846" s="19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5.75" customHeight="1" x14ac:dyDescent="0.35">
      <c r="A847" s="4"/>
      <c r="B847" s="19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9"/>
      <c r="Q847" s="19"/>
      <c r="R847" s="19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5.75" customHeight="1" x14ac:dyDescent="0.35">
      <c r="A848" s="4"/>
      <c r="B848" s="19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9"/>
      <c r="Q848" s="19"/>
      <c r="R848" s="19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5.75" customHeight="1" x14ac:dyDescent="0.35">
      <c r="A849" s="4"/>
      <c r="B849" s="19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9"/>
      <c r="Q849" s="19"/>
      <c r="R849" s="19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5.75" customHeight="1" x14ac:dyDescent="0.35">
      <c r="A850" s="4"/>
      <c r="B850" s="19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9"/>
      <c r="Q850" s="19"/>
      <c r="R850" s="19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5.75" customHeight="1" x14ac:dyDescent="0.35">
      <c r="A851" s="4"/>
      <c r="B851" s="19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9"/>
      <c r="Q851" s="19"/>
      <c r="R851" s="19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5.75" customHeight="1" x14ac:dyDescent="0.35">
      <c r="A852" s="4"/>
      <c r="B852" s="19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9"/>
      <c r="Q852" s="19"/>
      <c r="R852" s="19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5.75" customHeight="1" x14ac:dyDescent="0.35">
      <c r="A853" s="4"/>
      <c r="B853" s="19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9"/>
      <c r="Q853" s="19"/>
      <c r="R853" s="19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5.75" customHeight="1" x14ac:dyDescent="0.35">
      <c r="A854" s="4"/>
      <c r="B854" s="19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9"/>
      <c r="Q854" s="19"/>
      <c r="R854" s="19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5.75" customHeight="1" x14ac:dyDescent="0.35">
      <c r="A855" s="4"/>
      <c r="B855" s="19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9"/>
      <c r="Q855" s="19"/>
      <c r="R855" s="19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5.75" customHeight="1" x14ac:dyDescent="0.35">
      <c r="A856" s="4"/>
      <c r="B856" s="19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9"/>
      <c r="Q856" s="19"/>
      <c r="R856" s="19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5.75" customHeight="1" x14ac:dyDescent="0.35">
      <c r="A857" s="4"/>
      <c r="B857" s="19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9"/>
      <c r="Q857" s="19"/>
      <c r="R857" s="19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5.75" customHeight="1" x14ac:dyDescent="0.35">
      <c r="A858" s="4"/>
      <c r="B858" s="19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9"/>
      <c r="Q858" s="19"/>
      <c r="R858" s="19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5.75" customHeight="1" x14ac:dyDescent="0.35">
      <c r="A859" s="4"/>
      <c r="B859" s="19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9"/>
      <c r="Q859" s="19"/>
      <c r="R859" s="19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5.75" customHeight="1" x14ac:dyDescent="0.35">
      <c r="A860" s="4"/>
      <c r="B860" s="19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9"/>
      <c r="Q860" s="19"/>
      <c r="R860" s="19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5.75" customHeight="1" x14ac:dyDescent="0.35">
      <c r="A861" s="4"/>
      <c r="B861" s="19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9"/>
      <c r="Q861" s="19"/>
      <c r="R861" s="19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5.75" customHeight="1" x14ac:dyDescent="0.35">
      <c r="A862" s="4"/>
      <c r="B862" s="19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9"/>
      <c r="Q862" s="19"/>
      <c r="R862" s="19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5.75" customHeight="1" x14ac:dyDescent="0.35">
      <c r="A863" s="4"/>
      <c r="B863" s="19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9"/>
      <c r="Q863" s="19"/>
      <c r="R863" s="19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5.75" customHeight="1" x14ac:dyDescent="0.35">
      <c r="A864" s="4"/>
      <c r="B864" s="19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9"/>
      <c r="Q864" s="19"/>
      <c r="R864" s="19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5.75" customHeight="1" x14ac:dyDescent="0.35">
      <c r="A865" s="4"/>
      <c r="B865" s="19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9"/>
      <c r="Q865" s="19"/>
      <c r="R865" s="19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5.75" customHeight="1" x14ac:dyDescent="0.35">
      <c r="A866" s="4"/>
      <c r="B866" s="19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9"/>
      <c r="Q866" s="19"/>
      <c r="R866" s="19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5.75" customHeight="1" x14ac:dyDescent="0.35">
      <c r="A867" s="4"/>
      <c r="B867" s="19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9"/>
      <c r="Q867" s="19"/>
      <c r="R867" s="19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5.75" customHeight="1" x14ac:dyDescent="0.35">
      <c r="A868" s="4"/>
      <c r="B868" s="19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9"/>
      <c r="Q868" s="19"/>
      <c r="R868" s="19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5.75" customHeight="1" x14ac:dyDescent="0.35">
      <c r="A869" s="4"/>
      <c r="B869" s="19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9"/>
      <c r="Q869" s="19"/>
      <c r="R869" s="19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5.75" customHeight="1" x14ac:dyDescent="0.35">
      <c r="A870" s="4"/>
      <c r="B870" s="19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9"/>
      <c r="Q870" s="19"/>
      <c r="R870" s="19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5.75" customHeight="1" x14ac:dyDescent="0.35">
      <c r="A871" s="4"/>
      <c r="B871" s="19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9"/>
      <c r="Q871" s="19"/>
      <c r="R871" s="19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5.75" customHeight="1" x14ac:dyDescent="0.35">
      <c r="A872" s="4"/>
      <c r="B872" s="19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9"/>
      <c r="Q872" s="19"/>
      <c r="R872" s="19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5.75" customHeight="1" x14ac:dyDescent="0.35">
      <c r="A873" s="4"/>
      <c r="B873" s="19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9"/>
      <c r="Q873" s="19"/>
      <c r="R873" s="19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5.75" customHeight="1" x14ac:dyDescent="0.35">
      <c r="A874" s="4"/>
      <c r="B874" s="19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9"/>
      <c r="Q874" s="19"/>
      <c r="R874" s="19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5.75" customHeight="1" x14ac:dyDescent="0.35">
      <c r="A875" s="4"/>
      <c r="B875" s="19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9"/>
      <c r="Q875" s="19"/>
      <c r="R875" s="19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5.75" customHeight="1" x14ac:dyDescent="0.35">
      <c r="A876" s="4"/>
      <c r="B876" s="19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9"/>
      <c r="Q876" s="19"/>
      <c r="R876" s="19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5.75" customHeight="1" x14ac:dyDescent="0.35">
      <c r="A877" s="4"/>
      <c r="B877" s="19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9"/>
      <c r="Q877" s="19"/>
      <c r="R877" s="19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5.75" customHeight="1" x14ac:dyDescent="0.35">
      <c r="A878" s="4"/>
      <c r="B878" s="19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9"/>
      <c r="Q878" s="19"/>
      <c r="R878" s="19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5.75" customHeight="1" x14ac:dyDescent="0.35">
      <c r="A879" s="4"/>
      <c r="B879" s="19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9"/>
      <c r="Q879" s="19"/>
      <c r="R879" s="19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5.75" customHeight="1" x14ac:dyDescent="0.35">
      <c r="A880" s="4"/>
      <c r="B880" s="19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9"/>
      <c r="Q880" s="19"/>
      <c r="R880" s="19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5.75" customHeight="1" x14ac:dyDescent="0.35">
      <c r="A881" s="4"/>
      <c r="B881" s="19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9"/>
      <c r="Q881" s="19"/>
      <c r="R881" s="19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5.75" customHeight="1" x14ac:dyDescent="0.35">
      <c r="A882" s="4"/>
      <c r="B882" s="19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9"/>
      <c r="Q882" s="19"/>
      <c r="R882" s="19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5.75" customHeight="1" x14ac:dyDescent="0.35">
      <c r="A883" s="4"/>
      <c r="B883" s="19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9"/>
      <c r="Q883" s="19"/>
      <c r="R883" s="19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5.75" customHeight="1" x14ac:dyDescent="0.35">
      <c r="A884" s="4"/>
      <c r="B884" s="19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9"/>
      <c r="Q884" s="19"/>
      <c r="R884" s="19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5.75" customHeight="1" x14ac:dyDescent="0.35">
      <c r="A885" s="4"/>
      <c r="B885" s="19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9"/>
      <c r="Q885" s="19"/>
      <c r="R885" s="19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5.75" customHeight="1" x14ac:dyDescent="0.35">
      <c r="A886" s="4"/>
      <c r="B886" s="19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9"/>
      <c r="Q886" s="19"/>
      <c r="R886" s="19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5.75" customHeight="1" x14ac:dyDescent="0.35">
      <c r="A887" s="4"/>
      <c r="B887" s="19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9"/>
      <c r="Q887" s="19"/>
      <c r="R887" s="19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5.75" customHeight="1" x14ac:dyDescent="0.35">
      <c r="A888" s="4"/>
      <c r="B888" s="19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9"/>
      <c r="Q888" s="19"/>
      <c r="R888" s="19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5.75" customHeight="1" x14ac:dyDescent="0.35">
      <c r="A889" s="4"/>
      <c r="B889" s="19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9"/>
      <c r="Q889" s="19"/>
      <c r="R889" s="19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5.75" customHeight="1" x14ac:dyDescent="0.35">
      <c r="A890" s="4"/>
      <c r="B890" s="19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9"/>
      <c r="Q890" s="19"/>
      <c r="R890" s="19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5.75" customHeight="1" x14ac:dyDescent="0.35">
      <c r="A891" s="4"/>
      <c r="B891" s="19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9"/>
      <c r="Q891" s="19"/>
      <c r="R891" s="19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5.75" customHeight="1" x14ac:dyDescent="0.35">
      <c r="A892" s="4"/>
      <c r="B892" s="19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9"/>
      <c r="Q892" s="19"/>
      <c r="R892" s="19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5.75" customHeight="1" x14ac:dyDescent="0.35">
      <c r="A893" s="4"/>
      <c r="B893" s="19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9"/>
      <c r="Q893" s="19"/>
      <c r="R893" s="19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5.75" customHeight="1" x14ac:dyDescent="0.35">
      <c r="A894" s="4"/>
      <c r="B894" s="19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9"/>
      <c r="Q894" s="19"/>
      <c r="R894" s="19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5.75" customHeight="1" x14ac:dyDescent="0.35">
      <c r="A895" s="4"/>
      <c r="B895" s="19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9"/>
      <c r="Q895" s="19"/>
      <c r="R895" s="19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5.75" customHeight="1" x14ac:dyDescent="0.35">
      <c r="A896" s="4"/>
      <c r="B896" s="19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9"/>
      <c r="Q896" s="19"/>
      <c r="R896" s="19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5.75" customHeight="1" x14ac:dyDescent="0.35">
      <c r="A897" s="4"/>
      <c r="B897" s="19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9"/>
      <c r="Q897" s="19"/>
      <c r="R897" s="19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5.75" customHeight="1" x14ac:dyDescent="0.35">
      <c r="A898" s="4"/>
      <c r="B898" s="19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9"/>
      <c r="Q898" s="19"/>
      <c r="R898" s="19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5.75" customHeight="1" x14ac:dyDescent="0.35">
      <c r="A899" s="4"/>
      <c r="B899" s="19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9"/>
      <c r="Q899" s="19"/>
      <c r="R899" s="19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5.75" customHeight="1" x14ac:dyDescent="0.35">
      <c r="A900" s="4"/>
      <c r="B900" s="19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9"/>
      <c r="Q900" s="19"/>
      <c r="R900" s="19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5.75" customHeight="1" x14ac:dyDescent="0.35">
      <c r="A901" s="4"/>
      <c r="B901" s="19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9"/>
      <c r="Q901" s="19"/>
      <c r="R901" s="19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5.75" customHeight="1" x14ac:dyDescent="0.35">
      <c r="A902" s="4"/>
      <c r="B902" s="19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9"/>
      <c r="Q902" s="19"/>
      <c r="R902" s="19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5.75" customHeight="1" x14ac:dyDescent="0.35">
      <c r="A903" s="4"/>
      <c r="B903" s="19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9"/>
      <c r="Q903" s="19"/>
      <c r="R903" s="19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5.75" customHeight="1" x14ac:dyDescent="0.35">
      <c r="A904" s="4"/>
      <c r="B904" s="19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9"/>
      <c r="Q904" s="19"/>
      <c r="R904" s="19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5.75" customHeight="1" x14ac:dyDescent="0.35">
      <c r="A905" s="4"/>
      <c r="B905" s="19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9"/>
      <c r="Q905" s="19"/>
      <c r="R905" s="19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5.75" customHeight="1" x14ac:dyDescent="0.35">
      <c r="A906" s="4"/>
      <c r="B906" s="19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9"/>
      <c r="Q906" s="19"/>
      <c r="R906" s="19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5.75" customHeight="1" x14ac:dyDescent="0.35">
      <c r="A907" s="4"/>
      <c r="B907" s="19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9"/>
      <c r="Q907" s="19"/>
      <c r="R907" s="19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5.75" customHeight="1" x14ac:dyDescent="0.35">
      <c r="A908" s="4"/>
      <c r="B908" s="19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9"/>
      <c r="Q908" s="19"/>
      <c r="R908" s="19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5.75" customHeight="1" x14ac:dyDescent="0.35">
      <c r="A909" s="4"/>
      <c r="B909" s="19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9"/>
      <c r="Q909" s="19"/>
      <c r="R909" s="19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5.75" customHeight="1" x14ac:dyDescent="0.35">
      <c r="A910" s="4"/>
      <c r="B910" s="19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9"/>
      <c r="Q910" s="19"/>
      <c r="R910" s="19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5.75" customHeight="1" x14ac:dyDescent="0.35">
      <c r="A911" s="4"/>
      <c r="B911" s="19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9"/>
      <c r="Q911" s="19"/>
      <c r="R911" s="19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5.75" customHeight="1" x14ac:dyDescent="0.35">
      <c r="A912" s="4"/>
      <c r="B912" s="19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9"/>
      <c r="Q912" s="19"/>
      <c r="R912" s="19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5.75" customHeight="1" x14ac:dyDescent="0.35">
      <c r="A913" s="4"/>
      <c r="B913" s="19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9"/>
      <c r="Q913" s="19"/>
      <c r="R913" s="19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5.75" customHeight="1" x14ac:dyDescent="0.35">
      <c r="A914" s="4"/>
      <c r="B914" s="19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9"/>
      <c r="Q914" s="19"/>
      <c r="R914" s="19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5.75" customHeight="1" x14ac:dyDescent="0.35">
      <c r="A915" s="4"/>
      <c r="B915" s="19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9"/>
      <c r="Q915" s="19"/>
      <c r="R915" s="19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5.75" customHeight="1" x14ac:dyDescent="0.35">
      <c r="A916" s="4"/>
      <c r="B916" s="19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9"/>
      <c r="Q916" s="19"/>
      <c r="R916" s="19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5.75" customHeight="1" x14ac:dyDescent="0.35">
      <c r="A917" s="4"/>
      <c r="B917" s="19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9"/>
      <c r="Q917" s="19"/>
      <c r="R917" s="19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5.75" customHeight="1" x14ac:dyDescent="0.35">
      <c r="A918" s="4"/>
      <c r="B918" s="19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9"/>
      <c r="Q918" s="19"/>
      <c r="R918" s="19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5.75" customHeight="1" x14ac:dyDescent="0.35">
      <c r="A919" s="4"/>
      <c r="B919" s="19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9"/>
      <c r="Q919" s="19"/>
      <c r="R919" s="19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5.75" customHeight="1" x14ac:dyDescent="0.35">
      <c r="A920" s="4"/>
      <c r="B920" s="19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9"/>
      <c r="Q920" s="19"/>
      <c r="R920" s="19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5.75" customHeight="1" x14ac:dyDescent="0.35">
      <c r="A921" s="4"/>
      <c r="B921" s="19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9"/>
      <c r="Q921" s="19"/>
      <c r="R921" s="19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5.75" customHeight="1" x14ac:dyDescent="0.35">
      <c r="A922" s="4"/>
      <c r="B922" s="19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9"/>
      <c r="Q922" s="19"/>
      <c r="R922" s="19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5.75" customHeight="1" x14ac:dyDescent="0.35">
      <c r="A923" s="4"/>
      <c r="B923" s="19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9"/>
      <c r="Q923" s="19"/>
      <c r="R923" s="19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5.75" customHeight="1" x14ac:dyDescent="0.35">
      <c r="A924" s="4"/>
      <c r="B924" s="19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9"/>
      <c r="Q924" s="19"/>
      <c r="R924" s="19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5.75" customHeight="1" x14ac:dyDescent="0.35">
      <c r="A925" s="4"/>
      <c r="B925" s="19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9"/>
      <c r="Q925" s="19"/>
      <c r="R925" s="19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5.75" customHeight="1" x14ac:dyDescent="0.35">
      <c r="A926" s="4"/>
      <c r="B926" s="19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9"/>
      <c r="Q926" s="19"/>
      <c r="R926" s="19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5.75" customHeight="1" x14ac:dyDescent="0.35">
      <c r="A927" s="4"/>
      <c r="B927" s="19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9"/>
      <c r="Q927" s="19"/>
      <c r="R927" s="19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5.75" customHeight="1" x14ac:dyDescent="0.35">
      <c r="A928" s="4"/>
      <c r="B928" s="19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9"/>
      <c r="Q928" s="19"/>
      <c r="R928" s="19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5.75" customHeight="1" x14ac:dyDescent="0.35">
      <c r="A929" s="4"/>
      <c r="B929" s="19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9"/>
      <c r="Q929" s="19"/>
      <c r="R929" s="19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5.75" customHeight="1" x14ac:dyDescent="0.35">
      <c r="A930" s="4"/>
      <c r="B930" s="19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9"/>
      <c r="Q930" s="19"/>
      <c r="R930" s="19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5.75" customHeight="1" x14ac:dyDescent="0.35">
      <c r="A931" s="4"/>
      <c r="B931" s="19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9"/>
      <c r="Q931" s="19"/>
      <c r="R931" s="19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5.75" customHeight="1" x14ac:dyDescent="0.35">
      <c r="A932" s="4"/>
      <c r="B932" s="19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9"/>
      <c r="Q932" s="19"/>
      <c r="R932" s="19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5.75" customHeight="1" x14ac:dyDescent="0.35">
      <c r="A933" s="4"/>
      <c r="B933" s="19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9"/>
      <c r="Q933" s="19"/>
      <c r="R933" s="19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5.75" customHeight="1" x14ac:dyDescent="0.35">
      <c r="A934" s="4"/>
      <c r="B934" s="19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9"/>
      <c r="Q934" s="19"/>
      <c r="R934" s="19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5.75" customHeight="1" x14ac:dyDescent="0.35">
      <c r="A935" s="4"/>
      <c r="B935" s="19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9"/>
      <c r="Q935" s="19"/>
      <c r="R935" s="19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5.75" customHeight="1" x14ac:dyDescent="0.35">
      <c r="A936" s="4"/>
      <c r="B936" s="19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9"/>
      <c r="Q936" s="19"/>
      <c r="R936" s="19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5.75" customHeight="1" x14ac:dyDescent="0.35">
      <c r="A937" s="4"/>
      <c r="B937" s="19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9"/>
      <c r="Q937" s="19"/>
      <c r="R937" s="19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5.75" customHeight="1" x14ac:dyDescent="0.35">
      <c r="A938" s="4"/>
      <c r="B938" s="19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9"/>
      <c r="Q938" s="19"/>
      <c r="R938" s="19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5.75" customHeight="1" x14ac:dyDescent="0.35">
      <c r="A939" s="4"/>
      <c r="B939" s="19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9"/>
      <c r="Q939" s="19"/>
      <c r="R939" s="19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5.75" customHeight="1" x14ac:dyDescent="0.35">
      <c r="A940" s="4"/>
      <c r="B940" s="19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9"/>
      <c r="Q940" s="19"/>
      <c r="R940" s="19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5.75" customHeight="1" x14ac:dyDescent="0.35">
      <c r="A941" s="4"/>
      <c r="B941" s="19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9"/>
      <c r="Q941" s="19"/>
      <c r="R941" s="19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5.75" customHeight="1" x14ac:dyDescent="0.35">
      <c r="A942" s="4"/>
      <c r="B942" s="19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9"/>
      <c r="Q942" s="19"/>
      <c r="R942" s="19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5.75" customHeight="1" x14ac:dyDescent="0.35">
      <c r="A943" s="4"/>
      <c r="B943" s="19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9"/>
      <c r="Q943" s="19"/>
      <c r="R943" s="19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5.75" customHeight="1" x14ac:dyDescent="0.35">
      <c r="A944" s="4"/>
      <c r="B944" s="19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9"/>
      <c r="Q944" s="19"/>
      <c r="R944" s="19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5.75" customHeight="1" x14ac:dyDescent="0.35">
      <c r="A945" s="4"/>
      <c r="B945" s="19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9"/>
      <c r="Q945" s="19"/>
      <c r="R945" s="19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5.75" customHeight="1" x14ac:dyDescent="0.35">
      <c r="A946" s="4"/>
      <c r="B946" s="19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9"/>
      <c r="Q946" s="19"/>
      <c r="R946" s="19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5.75" customHeight="1" x14ac:dyDescent="0.35">
      <c r="A947" s="4"/>
      <c r="B947" s="19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9"/>
      <c r="Q947" s="19"/>
      <c r="R947" s="19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5.75" customHeight="1" x14ac:dyDescent="0.35">
      <c r="A948" s="4"/>
      <c r="B948" s="19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9"/>
      <c r="Q948" s="19"/>
      <c r="R948" s="19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5.75" customHeight="1" x14ac:dyDescent="0.35">
      <c r="A949" s="4"/>
      <c r="B949" s="19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9"/>
      <c r="Q949" s="19"/>
      <c r="R949" s="19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5.75" customHeight="1" x14ac:dyDescent="0.35">
      <c r="A950" s="4"/>
      <c r="B950" s="19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9"/>
      <c r="Q950" s="19"/>
      <c r="R950" s="19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5.75" customHeight="1" x14ac:dyDescent="0.35">
      <c r="A951" s="4"/>
      <c r="B951" s="19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9"/>
      <c r="Q951" s="19"/>
      <c r="R951" s="19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5.75" customHeight="1" x14ac:dyDescent="0.35">
      <c r="A952" s="4"/>
      <c r="B952" s="19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9"/>
      <c r="Q952" s="19"/>
      <c r="R952" s="19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5.75" customHeight="1" x14ac:dyDescent="0.35">
      <c r="A953" s="4"/>
      <c r="B953" s="19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9"/>
      <c r="Q953" s="19"/>
      <c r="R953" s="19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5.75" customHeight="1" x14ac:dyDescent="0.35">
      <c r="A954" s="4"/>
      <c r="B954" s="19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9"/>
      <c r="Q954" s="19"/>
      <c r="R954" s="19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5.75" customHeight="1" x14ac:dyDescent="0.35">
      <c r="A955" s="4"/>
      <c r="B955" s="19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9"/>
      <c r="Q955" s="19"/>
      <c r="R955" s="19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5.75" customHeight="1" x14ac:dyDescent="0.35">
      <c r="A956" s="4"/>
      <c r="B956" s="19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9"/>
      <c r="Q956" s="19"/>
      <c r="R956" s="19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5.75" customHeight="1" x14ac:dyDescent="0.35">
      <c r="A957" s="4"/>
      <c r="B957" s="19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9"/>
      <c r="Q957" s="19"/>
      <c r="R957" s="19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5.75" customHeight="1" x14ac:dyDescent="0.35">
      <c r="A958" s="4"/>
      <c r="B958" s="19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9"/>
      <c r="Q958" s="19"/>
      <c r="R958" s="19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5.75" customHeight="1" x14ac:dyDescent="0.35">
      <c r="A959" s="4"/>
      <c r="B959" s="19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9"/>
      <c r="Q959" s="19"/>
      <c r="R959" s="19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5.75" customHeight="1" x14ac:dyDescent="0.35">
      <c r="A960" s="4"/>
      <c r="B960" s="19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9"/>
      <c r="Q960" s="19"/>
      <c r="R960" s="19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5.75" customHeight="1" x14ac:dyDescent="0.35">
      <c r="A961" s="4"/>
      <c r="B961" s="19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9"/>
      <c r="Q961" s="19"/>
      <c r="R961" s="19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5.75" customHeight="1" x14ac:dyDescent="0.35">
      <c r="A962" s="4"/>
      <c r="B962" s="19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9"/>
      <c r="Q962" s="19"/>
      <c r="R962" s="19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5.75" customHeight="1" x14ac:dyDescent="0.35">
      <c r="A963" s="4"/>
      <c r="B963" s="19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9"/>
      <c r="Q963" s="19"/>
      <c r="R963" s="19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5.75" customHeight="1" x14ac:dyDescent="0.35">
      <c r="A964" s="4"/>
      <c r="B964" s="19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9"/>
      <c r="Q964" s="19"/>
      <c r="R964" s="19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5.75" customHeight="1" x14ac:dyDescent="0.35">
      <c r="A965" s="4"/>
      <c r="B965" s="19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9"/>
      <c r="Q965" s="19"/>
      <c r="R965" s="19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5.75" customHeight="1" x14ac:dyDescent="0.35">
      <c r="A966" s="4"/>
      <c r="B966" s="19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9"/>
      <c r="Q966" s="19"/>
      <c r="R966" s="19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5.75" customHeight="1" x14ac:dyDescent="0.35">
      <c r="A967" s="4"/>
      <c r="B967" s="19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9"/>
      <c r="Q967" s="19"/>
      <c r="R967" s="19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5.75" customHeight="1" x14ac:dyDescent="0.35">
      <c r="A968" s="4"/>
      <c r="B968" s="19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9"/>
      <c r="Q968" s="19"/>
      <c r="R968" s="19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5.75" customHeight="1" x14ac:dyDescent="0.35">
      <c r="A969" s="4"/>
      <c r="B969" s="19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9"/>
      <c r="Q969" s="19"/>
      <c r="R969" s="19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5.75" customHeight="1" x14ac:dyDescent="0.35">
      <c r="A970" s="4"/>
      <c r="B970" s="19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9"/>
      <c r="Q970" s="19"/>
      <c r="R970" s="19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5.75" customHeight="1" x14ac:dyDescent="0.35">
      <c r="A971" s="4"/>
      <c r="B971" s="19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9"/>
      <c r="Q971" s="19"/>
      <c r="R971" s="19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5.75" customHeight="1" x14ac:dyDescent="0.35">
      <c r="A972" s="4"/>
      <c r="B972" s="19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9"/>
      <c r="Q972" s="19"/>
      <c r="R972" s="19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5.75" customHeight="1" x14ac:dyDescent="0.35">
      <c r="A973" s="4"/>
      <c r="B973" s="19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9"/>
      <c r="Q973" s="19"/>
      <c r="R973" s="19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5.75" customHeight="1" x14ac:dyDescent="0.35">
      <c r="A974" s="4"/>
      <c r="B974" s="19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9"/>
      <c r="Q974" s="19"/>
      <c r="R974" s="19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5.75" customHeight="1" x14ac:dyDescent="0.35">
      <c r="A975" s="4"/>
      <c r="B975" s="19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9"/>
      <c r="Q975" s="19"/>
      <c r="R975" s="19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5.75" customHeight="1" x14ac:dyDescent="0.35">
      <c r="A976" s="4"/>
      <c r="B976" s="19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9"/>
      <c r="Q976" s="19"/>
      <c r="R976" s="19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5.75" customHeight="1" x14ac:dyDescent="0.35">
      <c r="A977" s="4"/>
      <c r="B977" s="19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9"/>
      <c r="Q977" s="19"/>
      <c r="R977" s="19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5.75" customHeight="1" x14ac:dyDescent="0.35">
      <c r="A978" s="4"/>
      <c r="B978" s="19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9"/>
      <c r="Q978" s="19"/>
      <c r="R978" s="19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5.75" customHeight="1" x14ac:dyDescent="0.35">
      <c r="A979" s="4"/>
      <c r="B979" s="19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9"/>
      <c r="Q979" s="19"/>
      <c r="R979" s="19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5.75" customHeight="1" x14ac:dyDescent="0.35">
      <c r="A980" s="4"/>
      <c r="B980" s="19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9"/>
      <c r="Q980" s="19"/>
      <c r="R980" s="19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5.75" customHeight="1" x14ac:dyDescent="0.35">
      <c r="A981" s="4"/>
      <c r="B981" s="19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9"/>
      <c r="Q981" s="19"/>
      <c r="R981" s="19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5.75" customHeight="1" x14ac:dyDescent="0.35">
      <c r="A982" s="4"/>
      <c r="B982" s="19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9"/>
      <c r="Q982" s="19"/>
      <c r="R982" s="19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5.75" customHeight="1" x14ac:dyDescent="0.35">
      <c r="A983" s="4"/>
      <c r="B983" s="19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9"/>
      <c r="Q983" s="19"/>
      <c r="R983" s="19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5.75" customHeight="1" x14ac:dyDescent="0.35">
      <c r="A984" s="4"/>
      <c r="B984" s="19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9"/>
      <c r="Q984" s="19"/>
      <c r="R984" s="19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5.75" customHeight="1" x14ac:dyDescent="0.35">
      <c r="A985" s="4"/>
      <c r="B985" s="19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9"/>
      <c r="Q985" s="19"/>
      <c r="R985" s="19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5.75" customHeight="1" x14ac:dyDescent="0.35">
      <c r="A986" s="4"/>
      <c r="B986" s="19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9"/>
      <c r="Q986" s="19"/>
      <c r="R986" s="19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5.75" customHeight="1" x14ac:dyDescent="0.35">
      <c r="A987" s="4"/>
      <c r="B987" s="19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9"/>
      <c r="Q987" s="19"/>
      <c r="R987" s="19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5.75" customHeight="1" x14ac:dyDescent="0.35">
      <c r="A988" s="4"/>
      <c r="B988" s="19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9"/>
      <c r="Q988" s="19"/>
      <c r="R988" s="19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5.75" customHeight="1" x14ac:dyDescent="0.35">
      <c r="A989" s="4"/>
      <c r="B989" s="19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9"/>
      <c r="Q989" s="19"/>
      <c r="R989" s="19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5.75" customHeight="1" x14ac:dyDescent="0.35">
      <c r="A990" s="4"/>
      <c r="B990" s="19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9"/>
      <c r="Q990" s="19"/>
      <c r="R990" s="19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5.75" customHeight="1" x14ac:dyDescent="0.35">
      <c r="A991" s="4"/>
      <c r="B991" s="19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9"/>
      <c r="Q991" s="19"/>
      <c r="R991" s="19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5.75" customHeight="1" x14ac:dyDescent="0.35">
      <c r="A992" s="4"/>
      <c r="B992" s="19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9"/>
      <c r="Q992" s="19"/>
      <c r="R992" s="19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5.75" customHeight="1" x14ac:dyDescent="0.35">
      <c r="A993" s="4"/>
      <c r="B993" s="19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9"/>
      <c r="Q993" s="19"/>
      <c r="R993" s="19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5.75" customHeight="1" x14ac:dyDescent="0.35">
      <c r="A994" s="4"/>
      <c r="B994" s="19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9"/>
      <c r="Q994" s="19"/>
      <c r="R994" s="19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5.75" customHeight="1" x14ac:dyDescent="0.35">
      <c r="A995" s="4"/>
      <c r="B995" s="19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9"/>
      <c r="Q995" s="19"/>
      <c r="R995" s="19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5.75" customHeight="1" x14ac:dyDescent="0.35">
      <c r="A996" s="4"/>
      <c r="B996" s="19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9"/>
      <c r="Q996" s="19"/>
      <c r="R996" s="19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5.75" customHeight="1" x14ac:dyDescent="0.35">
      <c r="A997" s="4"/>
      <c r="B997" s="19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9"/>
      <c r="Q997" s="19"/>
      <c r="R997" s="19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5.75" customHeight="1" x14ac:dyDescent="0.35">
      <c r="A998" s="4"/>
      <c r="B998" s="19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9"/>
      <c r="Q998" s="19"/>
      <c r="R998" s="19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ht="15.75" customHeight="1" x14ac:dyDescent="0.35">
      <c r="A999" s="4"/>
      <c r="B999" s="19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9"/>
      <c r="Q999" s="19"/>
      <c r="R999" s="19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ht="15.75" customHeight="1" x14ac:dyDescent="0.35">
      <c r="A1000" s="4"/>
      <c r="B1000" s="19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9"/>
      <c r="Q1000" s="19"/>
      <c r="R1000" s="19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autoFilter ref="A1:R168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4.26953125" customWidth="1"/>
    <col min="2" max="2" width="16.81640625" customWidth="1"/>
    <col min="3" max="3" width="9.08984375" customWidth="1"/>
    <col min="4" max="4" width="13.54296875" customWidth="1"/>
    <col min="5" max="5" width="12.81640625" customWidth="1"/>
    <col min="6" max="6" width="13.26953125" customWidth="1"/>
    <col min="7" max="8" width="9.08984375" customWidth="1"/>
    <col min="9" max="9" width="11.26953125" customWidth="1"/>
    <col min="10" max="10" width="11" customWidth="1"/>
    <col min="11" max="12" width="11.26953125" customWidth="1"/>
    <col min="13" max="15" width="9.08984375" customWidth="1"/>
    <col min="16" max="16" width="15" customWidth="1"/>
    <col min="17" max="18" width="19.08984375" customWidth="1"/>
    <col min="19" max="26" width="8.7265625" customWidth="1"/>
  </cols>
  <sheetData>
    <row r="1" spans="1:2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8"/>
      <c r="P1" s="3" t="s">
        <v>15</v>
      </c>
      <c r="Q1" s="1" t="s">
        <v>16</v>
      </c>
      <c r="R1" s="1" t="s">
        <v>17</v>
      </c>
      <c r="S1" s="18"/>
      <c r="T1" s="18"/>
      <c r="U1" s="18"/>
      <c r="V1" s="18"/>
      <c r="W1" s="18"/>
      <c r="X1" s="18"/>
      <c r="Y1" s="18"/>
      <c r="Z1" s="18"/>
    </row>
    <row r="2" spans="1:26" ht="14.5" x14ac:dyDescent="0.35">
      <c r="A2" s="4" t="s">
        <v>18</v>
      </c>
      <c r="B2" s="19" t="s">
        <v>19</v>
      </c>
      <c r="C2" s="19" t="s">
        <v>20</v>
      </c>
      <c r="D2" s="19">
        <v>10</v>
      </c>
      <c r="E2" s="19">
        <v>2410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f t="shared" ref="K2:K161" si="0">(E2+F2+G2)-(I2+J2)</f>
        <v>2410</v>
      </c>
      <c r="L2" s="20">
        <v>0</v>
      </c>
      <c r="M2" s="19">
        <v>23</v>
      </c>
      <c r="N2" s="20">
        <v>0</v>
      </c>
      <c r="O2" s="18"/>
      <c r="P2" s="6">
        <v>2129</v>
      </c>
      <c r="Q2" s="7">
        <f t="shared" ref="Q2:Q161" si="1">P2*(I2+J2)</f>
        <v>0</v>
      </c>
      <c r="R2" s="7">
        <f t="shared" ref="R2:R161" si="2">P2*L2</f>
        <v>0</v>
      </c>
      <c r="S2" s="18"/>
      <c r="T2" s="18"/>
      <c r="U2" s="18"/>
      <c r="V2" s="18"/>
      <c r="W2" s="18"/>
      <c r="X2" s="18"/>
      <c r="Y2" s="18"/>
      <c r="Z2" s="18"/>
    </row>
    <row r="3" spans="1:26" ht="14.5" x14ac:dyDescent="0.35">
      <c r="A3" s="4" t="s">
        <v>21</v>
      </c>
      <c r="B3" s="19" t="s">
        <v>22</v>
      </c>
      <c r="C3" s="19" t="s">
        <v>20</v>
      </c>
      <c r="D3" s="19">
        <v>10</v>
      </c>
      <c r="E3" s="19">
        <v>64866</v>
      </c>
      <c r="F3" s="19">
        <v>282965</v>
      </c>
      <c r="G3" s="19">
        <v>0</v>
      </c>
      <c r="H3" s="19">
        <v>0</v>
      </c>
      <c r="I3" s="19">
        <v>301155</v>
      </c>
      <c r="J3" s="19">
        <v>120</v>
      </c>
      <c r="K3" s="19">
        <f t="shared" si="0"/>
        <v>46556</v>
      </c>
      <c r="L3" s="20">
        <v>71729.333333333299</v>
      </c>
      <c r="M3" s="19">
        <v>23</v>
      </c>
      <c r="N3" s="20">
        <f t="shared" ref="N3:N23" si="3">(L3/(I3+J3))*M3</f>
        <v>5.4759759909274441</v>
      </c>
      <c r="O3" s="18"/>
      <c r="P3" s="6">
        <v>2129</v>
      </c>
      <c r="Q3" s="7">
        <f t="shared" si="1"/>
        <v>641414475</v>
      </c>
      <c r="R3" s="7">
        <f t="shared" si="2"/>
        <v>152711750.6666666</v>
      </c>
      <c r="S3" s="18"/>
      <c r="T3" s="18"/>
      <c r="U3" s="18"/>
      <c r="V3" s="18"/>
      <c r="W3" s="18"/>
      <c r="X3" s="18"/>
      <c r="Y3" s="18"/>
      <c r="Z3" s="18"/>
    </row>
    <row r="4" spans="1:26" ht="14.5" x14ac:dyDescent="0.35">
      <c r="A4" s="4" t="s">
        <v>23</v>
      </c>
      <c r="B4" s="19" t="s">
        <v>19</v>
      </c>
      <c r="C4" s="19" t="s">
        <v>20</v>
      </c>
      <c r="D4" s="19">
        <v>10</v>
      </c>
      <c r="E4" s="19">
        <v>3640</v>
      </c>
      <c r="F4" s="19">
        <v>21265</v>
      </c>
      <c r="G4" s="19">
        <v>0</v>
      </c>
      <c r="H4" s="19">
        <v>0</v>
      </c>
      <c r="I4" s="19">
        <v>24250</v>
      </c>
      <c r="J4" s="19">
        <v>0</v>
      </c>
      <c r="K4" s="19">
        <f t="shared" si="0"/>
        <v>655</v>
      </c>
      <c r="L4" s="20">
        <v>2916</v>
      </c>
      <c r="M4" s="19">
        <v>23</v>
      </c>
      <c r="N4" s="20">
        <f t="shared" si="3"/>
        <v>2.7656907216494844</v>
      </c>
      <c r="O4" s="18"/>
      <c r="P4" s="6">
        <v>2129</v>
      </c>
      <c r="Q4" s="7">
        <f t="shared" si="1"/>
        <v>51628250</v>
      </c>
      <c r="R4" s="7">
        <f t="shared" si="2"/>
        <v>6208164</v>
      </c>
      <c r="S4" s="18"/>
      <c r="T4" s="18"/>
      <c r="U4" s="18"/>
      <c r="V4" s="18"/>
      <c r="W4" s="18"/>
      <c r="X4" s="18"/>
      <c r="Y4" s="18"/>
      <c r="Z4" s="18"/>
    </row>
    <row r="5" spans="1:26" ht="14.5" x14ac:dyDescent="0.35">
      <c r="A5" s="4" t="s">
        <v>24</v>
      </c>
      <c r="B5" s="19" t="s">
        <v>19</v>
      </c>
      <c r="C5" s="19" t="s">
        <v>20</v>
      </c>
      <c r="D5" s="19">
        <v>10</v>
      </c>
      <c r="E5" s="19">
        <v>475</v>
      </c>
      <c r="F5" s="19">
        <v>1020</v>
      </c>
      <c r="G5" s="19">
        <v>0</v>
      </c>
      <c r="H5" s="19">
        <v>0</v>
      </c>
      <c r="I5" s="19">
        <v>600</v>
      </c>
      <c r="J5" s="19">
        <v>0</v>
      </c>
      <c r="K5" s="19">
        <f t="shared" si="0"/>
        <v>895</v>
      </c>
      <c r="L5" s="20">
        <v>533</v>
      </c>
      <c r="M5" s="19">
        <v>23</v>
      </c>
      <c r="N5" s="20">
        <f t="shared" si="3"/>
        <v>20.431666666666665</v>
      </c>
      <c r="O5" s="18"/>
      <c r="P5" s="6">
        <v>2131</v>
      </c>
      <c r="Q5" s="7">
        <f t="shared" si="1"/>
        <v>1278600</v>
      </c>
      <c r="R5" s="7">
        <f t="shared" si="2"/>
        <v>1135823</v>
      </c>
      <c r="S5" s="18"/>
      <c r="T5" s="18"/>
      <c r="U5" s="18"/>
      <c r="V5" s="18"/>
      <c r="W5" s="18"/>
      <c r="X5" s="18"/>
      <c r="Y5" s="18"/>
      <c r="Z5" s="18"/>
    </row>
    <row r="6" spans="1:26" ht="14.5" x14ac:dyDescent="0.35">
      <c r="A6" s="4" t="s">
        <v>25</v>
      </c>
      <c r="B6" s="19" t="s">
        <v>19</v>
      </c>
      <c r="C6" s="19" t="s">
        <v>20</v>
      </c>
      <c r="D6" s="19">
        <v>10</v>
      </c>
      <c r="E6" s="19">
        <v>16400</v>
      </c>
      <c r="F6" s="19">
        <v>1525</v>
      </c>
      <c r="G6" s="19">
        <v>0</v>
      </c>
      <c r="H6" s="19">
        <v>0</v>
      </c>
      <c r="I6" s="19">
        <v>6850</v>
      </c>
      <c r="J6" s="19">
        <v>0</v>
      </c>
      <c r="K6" s="19">
        <f t="shared" si="0"/>
        <v>11075</v>
      </c>
      <c r="L6" s="20">
        <v>14929.166666666701</v>
      </c>
      <c r="M6" s="19">
        <v>23</v>
      </c>
      <c r="N6" s="20">
        <f t="shared" si="3"/>
        <v>50.127128953771404</v>
      </c>
      <c r="O6" s="18"/>
      <c r="P6" s="6">
        <v>2131</v>
      </c>
      <c r="Q6" s="7">
        <f t="shared" si="1"/>
        <v>14597350</v>
      </c>
      <c r="R6" s="7">
        <f t="shared" si="2"/>
        <v>31814054.166666739</v>
      </c>
      <c r="S6" s="18"/>
      <c r="T6" s="18"/>
      <c r="U6" s="18"/>
      <c r="V6" s="18"/>
      <c r="W6" s="18"/>
      <c r="X6" s="18"/>
      <c r="Y6" s="18"/>
      <c r="Z6" s="18"/>
    </row>
    <row r="7" spans="1:26" ht="14.5" x14ac:dyDescent="0.35">
      <c r="A7" s="4" t="s">
        <v>26</v>
      </c>
      <c r="B7" s="19" t="s">
        <v>22</v>
      </c>
      <c r="C7" s="19" t="s">
        <v>20</v>
      </c>
      <c r="D7" s="19">
        <v>10</v>
      </c>
      <c r="E7" s="19">
        <v>25604</v>
      </c>
      <c r="F7" s="19">
        <v>187000</v>
      </c>
      <c r="G7" s="19">
        <v>0</v>
      </c>
      <c r="H7" s="19">
        <v>0</v>
      </c>
      <c r="I7" s="19">
        <v>139244</v>
      </c>
      <c r="J7" s="19">
        <v>6820</v>
      </c>
      <c r="K7" s="19">
        <f t="shared" si="0"/>
        <v>66540</v>
      </c>
      <c r="L7" s="20">
        <v>83204.052631578903</v>
      </c>
      <c r="M7" s="19">
        <v>23</v>
      </c>
      <c r="N7" s="20">
        <f t="shared" si="3"/>
        <v>13.101744512859533</v>
      </c>
      <c r="O7" s="18"/>
      <c r="P7" s="6">
        <v>1910</v>
      </c>
      <c r="Q7" s="7">
        <f t="shared" si="1"/>
        <v>278982240</v>
      </c>
      <c r="R7" s="7">
        <f t="shared" si="2"/>
        <v>158919740.52631572</v>
      </c>
      <c r="S7" s="18"/>
      <c r="T7" s="18"/>
      <c r="U7" s="18"/>
      <c r="V7" s="18"/>
      <c r="W7" s="18"/>
      <c r="X7" s="18"/>
      <c r="Y7" s="18"/>
      <c r="Z7" s="18"/>
    </row>
    <row r="8" spans="1:26" ht="14.5" x14ac:dyDescent="0.35">
      <c r="A8" s="4" t="s">
        <v>170</v>
      </c>
      <c r="B8" s="19" t="s">
        <v>22</v>
      </c>
      <c r="C8" s="19" t="s">
        <v>20</v>
      </c>
      <c r="D8" s="19">
        <v>10</v>
      </c>
      <c r="E8" s="19">
        <v>13950</v>
      </c>
      <c r="F8" s="19">
        <v>140125</v>
      </c>
      <c r="G8" s="19">
        <v>0</v>
      </c>
      <c r="H8" s="19">
        <v>0</v>
      </c>
      <c r="I8" s="19">
        <v>115575</v>
      </c>
      <c r="J8" s="19">
        <v>0</v>
      </c>
      <c r="K8" s="19">
        <f t="shared" si="0"/>
        <v>38500</v>
      </c>
      <c r="L8" s="20">
        <v>19031.25</v>
      </c>
      <c r="M8" s="19">
        <v>23</v>
      </c>
      <c r="N8" s="20">
        <f t="shared" si="3"/>
        <v>3.7873134328358211</v>
      </c>
      <c r="O8" s="18"/>
      <c r="P8" s="6">
        <v>1910</v>
      </c>
      <c r="Q8" s="7">
        <f t="shared" si="1"/>
        <v>220748250</v>
      </c>
      <c r="R8" s="7">
        <f t="shared" si="2"/>
        <v>36349687.5</v>
      </c>
      <c r="S8" s="18"/>
      <c r="T8" s="18"/>
      <c r="U8" s="18"/>
      <c r="V8" s="18"/>
      <c r="W8" s="18"/>
      <c r="X8" s="18"/>
      <c r="Y8" s="18"/>
      <c r="Z8" s="18"/>
    </row>
    <row r="9" spans="1:26" ht="14.5" x14ac:dyDescent="0.35">
      <c r="A9" s="4" t="s">
        <v>27</v>
      </c>
      <c r="B9" s="19" t="s">
        <v>22</v>
      </c>
      <c r="C9" s="19" t="s">
        <v>20</v>
      </c>
      <c r="D9" s="19">
        <v>10</v>
      </c>
      <c r="E9" s="19">
        <v>1915</v>
      </c>
      <c r="F9" s="19">
        <v>49103</v>
      </c>
      <c r="G9" s="19">
        <v>0</v>
      </c>
      <c r="H9" s="19">
        <v>0</v>
      </c>
      <c r="I9" s="19">
        <v>44778</v>
      </c>
      <c r="J9" s="19">
        <v>0</v>
      </c>
      <c r="K9" s="19">
        <f t="shared" si="0"/>
        <v>6240</v>
      </c>
      <c r="L9" s="20">
        <v>4937.7272727272702</v>
      </c>
      <c r="M9" s="19">
        <v>23</v>
      </c>
      <c r="N9" s="20">
        <f t="shared" si="3"/>
        <v>2.5362393870366522</v>
      </c>
      <c r="O9" s="18"/>
      <c r="P9" s="6">
        <v>2217</v>
      </c>
      <c r="Q9" s="7">
        <f t="shared" si="1"/>
        <v>99272826</v>
      </c>
      <c r="R9" s="7">
        <f t="shared" si="2"/>
        <v>10946941.363636358</v>
      </c>
      <c r="S9" s="18"/>
      <c r="T9" s="18"/>
      <c r="U9" s="18"/>
      <c r="V9" s="18"/>
      <c r="W9" s="18"/>
      <c r="X9" s="18"/>
      <c r="Y9" s="18"/>
      <c r="Z9" s="18"/>
    </row>
    <row r="10" spans="1:26" ht="14.5" x14ac:dyDescent="0.35">
      <c r="A10" s="4" t="s">
        <v>28</v>
      </c>
      <c r="B10" s="19" t="s">
        <v>19</v>
      </c>
      <c r="C10" s="19" t="s">
        <v>20</v>
      </c>
      <c r="D10" s="19">
        <v>10</v>
      </c>
      <c r="E10" s="19">
        <v>4271</v>
      </c>
      <c r="F10" s="19">
        <v>14640</v>
      </c>
      <c r="G10" s="19">
        <v>0</v>
      </c>
      <c r="H10" s="19">
        <v>0</v>
      </c>
      <c r="I10" s="19">
        <v>9171</v>
      </c>
      <c r="J10" s="19">
        <v>202</v>
      </c>
      <c r="K10" s="19">
        <f t="shared" si="0"/>
        <v>9538</v>
      </c>
      <c r="L10" s="20">
        <v>12073</v>
      </c>
      <c r="M10" s="19">
        <v>23</v>
      </c>
      <c r="N10" s="20">
        <f t="shared" si="3"/>
        <v>29.625413421529924</v>
      </c>
      <c r="O10" s="18"/>
      <c r="P10" s="6">
        <v>2131</v>
      </c>
      <c r="Q10" s="7">
        <f t="shared" si="1"/>
        <v>19973863</v>
      </c>
      <c r="R10" s="7">
        <f t="shared" si="2"/>
        <v>25727563</v>
      </c>
      <c r="S10" s="18"/>
      <c r="T10" s="18"/>
      <c r="U10" s="18"/>
      <c r="V10" s="18"/>
      <c r="W10" s="18"/>
      <c r="X10" s="18"/>
      <c r="Y10" s="18"/>
      <c r="Z10" s="18"/>
    </row>
    <row r="11" spans="1:26" ht="14.5" x14ac:dyDescent="0.35">
      <c r="A11" s="4" t="s">
        <v>29</v>
      </c>
      <c r="B11" s="19" t="s">
        <v>19</v>
      </c>
      <c r="C11" s="19" t="s">
        <v>20</v>
      </c>
      <c r="D11" s="19">
        <v>10</v>
      </c>
      <c r="E11" s="19">
        <v>3412</v>
      </c>
      <c r="F11" s="19">
        <v>0</v>
      </c>
      <c r="G11" s="19">
        <v>0</v>
      </c>
      <c r="H11" s="19">
        <v>0</v>
      </c>
      <c r="I11" s="19">
        <v>1612</v>
      </c>
      <c r="J11" s="19">
        <v>0</v>
      </c>
      <c r="K11" s="19">
        <f t="shared" si="0"/>
        <v>1800</v>
      </c>
      <c r="L11" s="20">
        <v>2068.75</v>
      </c>
      <c r="M11" s="19">
        <v>23</v>
      </c>
      <c r="N11" s="20">
        <f t="shared" si="3"/>
        <v>29.516904466501241</v>
      </c>
      <c r="O11" s="18"/>
      <c r="P11" s="6">
        <v>2131</v>
      </c>
      <c r="Q11" s="7">
        <f t="shared" si="1"/>
        <v>3435172</v>
      </c>
      <c r="R11" s="7">
        <f t="shared" si="2"/>
        <v>4408506.25</v>
      </c>
      <c r="S11" s="18"/>
      <c r="T11" s="18"/>
      <c r="U11" s="18"/>
      <c r="V11" s="18"/>
      <c r="W11" s="18"/>
      <c r="X11" s="18"/>
      <c r="Y11" s="18"/>
      <c r="Z11" s="18"/>
    </row>
    <row r="12" spans="1:26" ht="14.5" x14ac:dyDescent="0.35">
      <c r="A12" s="4" t="s">
        <v>30</v>
      </c>
      <c r="B12" s="19" t="s">
        <v>22</v>
      </c>
      <c r="C12" s="19" t="s">
        <v>20</v>
      </c>
      <c r="D12" s="19">
        <v>10</v>
      </c>
      <c r="E12" s="19">
        <v>13425</v>
      </c>
      <c r="F12" s="19">
        <v>160100</v>
      </c>
      <c r="G12" s="19">
        <v>0</v>
      </c>
      <c r="H12" s="19">
        <v>0</v>
      </c>
      <c r="I12" s="19">
        <v>128800</v>
      </c>
      <c r="J12" s="19">
        <v>15</v>
      </c>
      <c r="K12" s="19">
        <f t="shared" si="0"/>
        <v>44710</v>
      </c>
      <c r="L12" s="20">
        <v>28921.818181818198</v>
      </c>
      <c r="M12" s="19">
        <v>23</v>
      </c>
      <c r="N12" s="20">
        <f t="shared" si="3"/>
        <v>5.1640089910477709</v>
      </c>
      <c r="O12" s="18"/>
      <c r="P12" s="6">
        <v>1691</v>
      </c>
      <c r="Q12" s="7">
        <f t="shared" si="1"/>
        <v>217826165</v>
      </c>
      <c r="R12" s="7">
        <f t="shared" si="2"/>
        <v>48906794.545454577</v>
      </c>
      <c r="S12" s="18"/>
      <c r="T12" s="18"/>
      <c r="U12" s="18"/>
      <c r="V12" s="18"/>
      <c r="W12" s="18"/>
      <c r="X12" s="18"/>
      <c r="Y12" s="18"/>
      <c r="Z12" s="18"/>
    </row>
    <row r="13" spans="1:26" ht="14.5" x14ac:dyDescent="0.35">
      <c r="A13" s="4" t="s">
        <v>31</v>
      </c>
      <c r="B13" s="19" t="s">
        <v>19</v>
      </c>
      <c r="C13" s="19" t="s">
        <v>20</v>
      </c>
      <c r="D13" s="19">
        <v>10</v>
      </c>
      <c r="E13" s="19">
        <v>63780</v>
      </c>
      <c r="F13" s="19">
        <v>158750</v>
      </c>
      <c r="G13" s="19">
        <v>0</v>
      </c>
      <c r="H13" s="19">
        <v>0</v>
      </c>
      <c r="I13" s="19">
        <v>218750</v>
      </c>
      <c r="J13" s="19">
        <v>0</v>
      </c>
      <c r="K13" s="19">
        <f t="shared" si="0"/>
        <v>3780</v>
      </c>
      <c r="L13" s="20">
        <v>44951.875</v>
      </c>
      <c r="M13" s="19">
        <v>23</v>
      </c>
      <c r="N13" s="20">
        <f t="shared" si="3"/>
        <v>4.726368571428571</v>
      </c>
      <c r="O13" s="18"/>
      <c r="P13" s="6">
        <v>1694</v>
      </c>
      <c r="Q13" s="7">
        <f t="shared" si="1"/>
        <v>370562500</v>
      </c>
      <c r="R13" s="7">
        <f t="shared" si="2"/>
        <v>76148476.25</v>
      </c>
      <c r="S13" s="18"/>
      <c r="T13" s="18"/>
      <c r="U13" s="18"/>
      <c r="V13" s="18"/>
      <c r="W13" s="18"/>
      <c r="X13" s="18"/>
      <c r="Y13" s="18"/>
      <c r="Z13" s="18"/>
    </row>
    <row r="14" spans="1:26" ht="14.5" x14ac:dyDescent="0.35">
      <c r="A14" s="4" t="s">
        <v>32</v>
      </c>
      <c r="B14" s="19" t="s">
        <v>19</v>
      </c>
      <c r="C14" s="19" t="s">
        <v>20</v>
      </c>
      <c r="D14" s="19">
        <v>10</v>
      </c>
      <c r="E14" s="19">
        <v>1500</v>
      </c>
      <c r="F14" s="19">
        <v>7139</v>
      </c>
      <c r="G14" s="19">
        <v>0</v>
      </c>
      <c r="H14" s="19">
        <v>0</v>
      </c>
      <c r="I14" s="19">
        <v>8639</v>
      </c>
      <c r="J14" s="19">
        <v>0</v>
      </c>
      <c r="K14" s="19">
        <f t="shared" si="0"/>
        <v>0</v>
      </c>
      <c r="L14" s="20">
        <v>1178.1666666666702</v>
      </c>
      <c r="M14" s="19">
        <v>23</v>
      </c>
      <c r="N14" s="20">
        <f t="shared" si="3"/>
        <v>3.1366863448701716</v>
      </c>
      <c r="O14" s="18"/>
      <c r="P14" s="6">
        <v>1694</v>
      </c>
      <c r="Q14" s="7">
        <f t="shared" si="1"/>
        <v>14634466</v>
      </c>
      <c r="R14" s="7">
        <f t="shared" si="2"/>
        <v>1995814.3333333393</v>
      </c>
      <c r="S14" s="18"/>
      <c r="T14" s="18"/>
      <c r="U14" s="18"/>
      <c r="V14" s="18"/>
      <c r="W14" s="18"/>
      <c r="X14" s="18"/>
      <c r="Y14" s="18"/>
      <c r="Z14" s="18"/>
    </row>
    <row r="15" spans="1:26" ht="14.5" x14ac:dyDescent="0.35">
      <c r="A15" s="4" t="s">
        <v>33</v>
      </c>
      <c r="B15" s="19" t="s">
        <v>22</v>
      </c>
      <c r="C15" s="19" t="s">
        <v>20</v>
      </c>
      <c r="D15" s="19">
        <v>10</v>
      </c>
      <c r="E15" s="19">
        <v>7547</v>
      </c>
      <c r="F15" s="19">
        <v>46285</v>
      </c>
      <c r="G15" s="19">
        <v>0</v>
      </c>
      <c r="H15" s="19">
        <v>0</v>
      </c>
      <c r="I15" s="19">
        <v>50560</v>
      </c>
      <c r="J15" s="19">
        <v>0</v>
      </c>
      <c r="K15" s="19">
        <f t="shared" si="0"/>
        <v>3272</v>
      </c>
      <c r="L15" s="20">
        <v>11430.4375</v>
      </c>
      <c r="M15" s="19">
        <v>23</v>
      </c>
      <c r="N15" s="20">
        <f t="shared" si="3"/>
        <v>5.1997638943829116</v>
      </c>
      <c r="O15" s="18"/>
      <c r="P15" s="6">
        <v>1890</v>
      </c>
      <c r="Q15" s="7">
        <f t="shared" si="1"/>
        <v>95558400</v>
      </c>
      <c r="R15" s="7">
        <f t="shared" si="2"/>
        <v>21603526.875</v>
      </c>
      <c r="S15" s="18"/>
      <c r="T15" s="18"/>
      <c r="U15" s="18"/>
      <c r="V15" s="18"/>
      <c r="W15" s="18"/>
      <c r="X15" s="18"/>
      <c r="Y15" s="18"/>
      <c r="Z15" s="18"/>
    </row>
    <row r="16" spans="1:26" ht="14.5" x14ac:dyDescent="0.35">
      <c r="A16" s="4" t="s">
        <v>34</v>
      </c>
      <c r="B16" s="19" t="s">
        <v>22</v>
      </c>
      <c r="C16" s="19" t="s">
        <v>20</v>
      </c>
      <c r="D16" s="19">
        <v>10</v>
      </c>
      <c r="E16" s="19">
        <v>20565</v>
      </c>
      <c r="F16" s="19">
        <v>192700</v>
      </c>
      <c r="G16" s="19">
        <v>0</v>
      </c>
      <c r="H16" s="19">
        <v>0</v>
      </c>
      <c r="I16" s="19">
        <v>158210</v>
      </c>
      <c r="J16" s="19">
        <v>0</v>
      </c>
      <c r="K16" s="19">
        <f t="shared" si="0"/>
        <v>55055</v>
      </c>
      <c r="L16" s="20">
        <v>36320.833333333299</v>
      </c>
      <c r="M16" s="19">
        <v>23</v>
      </c>
      <c r="N16" s="20">
        <f t="shared" si="3"/>
        <v>5.2801919389840464</v>
      </c>
      <c r="O16" s="18"/>
      <c r="P16" s="6">
        <v>2216</v>
      </c>
      <c r="Q16" s="7">
        <f t="shared" si="1"/>
        <v>350593360</v>
      </c>
      <c r="R16" s="7">
        <f t="shared" si="2"/>
        <v>80486966.666666597</v>
      </c>
      <c r="S16" s="18"/>
      <c r="T16" s="18"/>
      <c r="U16" s="18"/>
      <c r="V16" s="18"/>
      <c r="W16" s="18"/>
      <c r="X16" s="18"/>
      <c r="Y16" s="18"/>
      <c r="Z16" s="18"/>
    </row>
    <row r="17" spans="1:26" ht="14.5" x14ac:dyDescent="0.35">
      <c r="A17" s="4" t="s">
        <v>35</v>
      </c>
      <c r="B17" s="19" t="s">
        <v>19</v>
      </c>
      <c r="C17" s="19" t="s">
        <v>20</v>
      </c>
      <c r="D17" s="19">
        <v>10</v>
      </c>
      <c r="E17" s="19">
        <v>28755</v>
      </c>
      <c r="F17" s="19">
        <v>208475</v>
      </c>
      <c r="G17" s="19">
        <v>0</v>
      </c>
      <c r="H17" s="19">
        <v>0</v>
      </c>
      <c r="I17" s="19">
        <v>0</v>
      </c>
      <c r="J17" s="19">
        <v>168325</v>
      </c>
      <c r="K17" s="19">
        <f t="shared" si="0"/>
        <v>68905</v>
      </c>
      <c r="L17" s="20">
        <v>60303.611111111102</v>
      </c>
      <c r="M17" s="19">
        <v>23</v>
      </c>
      <c r="N17" s="20">
        <f t="shared" si="3"/>
        <v>8.2399112167268989</v>
      </c>
      <c r="O17" s="18"/>
      <c r="P17" s="6">
        <v>2846</v>
      </c>
      <c r="Q17" s="7">
        <f t="shared" si="1"/>
        <v>479052950</v>
      </c>
      <c r="R17" s="7">
        <f t="shared" si="2"/>
        <v>171624077.22222221</v>
      </c>
      <c r="S17" s="18"/>
      <c r="T17" s="18"/>
      <c r="U17" s="18"/>
      <c r="V17" s="18"/>
      <c r="W17" s="18"/>
      <c r="X17" s="18"/>
      <c r="Y17" s="18"/>
      <c r="Z17" s="18"/>
    </row>
    <row r="18" spans="1:26" ht="14.5" x14ac:dyDescent="0.35">
      <c r="A18" s="4" t="s">
        <v>36</v>
      </c>
      <c r="B18" s="19" t="s">
        <v>22</v>
      </c>
      <c r="C18" s="19" t="s">
        <v>20</v>
      </c>
      <c r="D18" s="19">
        <v>10</v>
      </c>
      <c r="E18" s="19">
        <v>5358</v>
      </c>
      <c r="F18" s="19">
        <v>111250</v>
      </c>
      <c r="G18" s="19">
        <v>0</v>
      </c>
      <c r="H18" s="19">
        <v>0</v>
      </c>
      <c r="I18" s="19">
        <v>100000</v>
      </c>
      <c r="J18" s="19">
        <v>60</v>
      </c>
      <c r="K18" s="19">
        <f t="shared" si="0"/>
        <v>16548</v>
      </c>
      <c r="L18" s="20">
        <v>19703</v>
      </c>
      <c r="M18" s="19">
        <v>23</v>
      </c>
      <c r="N18" s="20">
        <f t="shared" si="3"/>
        <v>4.528972616430142</v>
      </c>
      <c r="O18" s="18"/>
      <c r="P18" s="6">
        <v>2129</v>
      </c>
      <c r="Q18" s="7">
        <f t="shared" si="1"/>
        <v>213027740</v>
      </c>
      <c r="R18" s="7">
        <f t="shared" si="2"/>
        <v>41947687</v>
      </c>
      <c r="S18" s="18"/>
      <c r="T18" s="18"/>
      <c r="U18" s="18"/>
      <c r="V18" s="18"/>
      <c r="W18" s="18"/>
      <c r="X18" s="18"/>
      <c r="Y18" s="18"/>
      <c r="Z18" s="18"/>
    </row>
    <row r="19" spans="1:26" ht="14.5" x14ac:dyDescent="0.35">
      <c r="A19" s="4" t="s">
        <v>37</v>
      </c>
      <c r="B19" s="19" t="s">
        <v>19</v>
      </c>
      <c r="C19" s="19" t="s">
        <v>20</v>
      </c>
      <c r="D19" s="19">
        <v>10</v>
      </c>
      <c r="E19" s="19">
        <v>575</v>
      </c>
      <c r="F19" s="19">
        <v>4200</v>
      </c>
      <c r="G19" s="19">
        <v>0</v>
      </c>
      <c r="H19" s="19">
        <v>0</v>
      </c>
      <c r="I19" s="19">
        <v>1750</v>
      </c>
      <c r="J19" s="19">
        <v>0</v>
      </c>
      <c r="K19" s="19">
        <f t="shared" si="0"/>
        <v>3025</v>
      </c>
      <c r="L19" s="20">
        <v>4008.3333333333298</v>
      </c>
      <c r="M19" s="19">
        <v>23</v>
      </c>
      <c r="N19" s="20">
        <f t="shared" si="3"/>
        <v>52.680952380952334</v>
      </c>
      <c r="O19" s="18"/>
      <c r="P19" s="6">
        <v>2129</v>
      </c>
      <c r="Q19" s="7">
        <f t="shared" si="1"/>
        <v>3725750</v>
      </c>
      <c r="R19" s="7">
        <f t="shared" si="2"/>
        <v>8533741.6666666586</v>
      </c>
      <c r="S19" s="18"/>
      <c r="T19" s="18"/>
      <c r="U19" s="18"/>
      <c r="V19" s="18"/>
      <c r="W19" s="18"/>
      <c r="X19" s="18"/>
      <c r="Y19" s="18"/>
      <c r="Z19" s="18"/>
    </row>
    <row r="20" spans="1:26" ht="14.5" x14ac:dyDescent="0.35">
      <c r="A20" s="4" t="s">
        <v>38</v>
      </c>
      <c r="B20" s="19" t="s">
        <v>22</v>
      </c>
      <c r="C20" s="19" t="s">
        <v>20</v>
      </c>
      <c r="D20" s="19">
        <v>10</v>
      </c>
      <c r="E20" s="19">
        <v>24577</v>
      </c>
      <c r="F20" s="19">
        <v>78000</v>
      </c>
      <c r="G20" s="19">
        <v>0</v>
      </c>
      <c r="H20" s="19">
        <v>0</v>
      </c>
      <c r="I20" s="19">
        <v>0</v>
      </c>
      <c r="J20" s="19">
        <v>81418</v>
      </c>
      <c r="K20" s="19">
        <f t="shared" si="0"/>
        <v>21159</v>
      </c>
      <c r="L20" s="20">
        <v>25804.125</v>
      </c>
      <c r="M20" s="19">
        <v>23</v>
      </c>
      <c r="N20" s="20">
        <f t="shared" si="3"/>
        <v>7.2894799061632565</v>
      </c>
      <c r="O20" s="18"/>
      <c r="P20" s="6">
        <v>2263</v>
      </c>
      <c r="Q20" s="7">
        <f t="shared" si="1"/>
        <v>184248934</v>
      </c>
      <c r="R20" s="7">
        <f t="shared" si="2"/>
        <v>58394734.875</v>
      </c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35">
      <c r="A21" s="4" t="s">
        <v>39</v>
      </c>
      <c r="B21" s="19" t="s">
        <v>19</v>
      </c>
      <c r="C21" s="19" t="s">
        <v>20</v>
      </c>
      <c r="D21" s="19">
        <v>10</v>
      </c>
      <c r="E21" s="19">
        <v>14019</v>
      </c>
      <c r="F21" s="19">
        <v>42976</v>
      </c>
      <c r="G21" s="19">
        <v>0</v>
      </c>
      <c r="H21" s="19">
        <v>0</v>
      </c>
      <c r="I21" s="19">
        <v>0</v>
      </c>
      <c r="J21" s="19">
        <v>46659</v>
      </c>
      <c r="K21" s="19">
        <f t="shared" si="0"/>
        <v>10336</v>
      </c>
      <c r="L21" s="20">
        <v>9906.8125</v>
      </c>
      <c r="M21" s="19">
        <v>23</v>
      </c>
      <c r="N21" s="20">
        <f t="shared" si="3"/>
        <v>4.8834455839173581</v>
      </c>
      <c r="O21" s="18"/>
      <c r="P21" s="6">
        <v>2263</v>
      </c>
      <c r="Q21" s="7">
        <f t="shared" si="1"/>
        <v>105589317</v>
      </c>
      <c r="R21" s="7">
        <f t="shared" si="2"/>
        <v>22419116.6875</v>
      </c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35">
      <c r="A22" s="4" t="s">
        <v>40</v>
      </c>
      <c r="B22" s="19" t="s">
        <v>19</v>
      </c>
      <c r="C22" s="19" t="s">
        <v>20</v>
      </c>
      <c r="D22" s="19">
        <v>10</v>
      </c>
      <c r="E22" s="19">
        <v>2300</v>
      </c>
      <c r="F22" s="19">
        <v>4000</v>
      </c>
      <c r="G22" s="19">
        <v>0</v>
      </c>
      <c r="H22" s="19">
        <v>0</v>
      </c>
      <c r="I22" s="19">
        <v>0</v>
      </c>
      <c r="J22" s="19">
        <v>2000</v>
      </c>
      <c r="K22" s="19">
        <f t="shared" si="0"/>
        <v>4300</v>
      </c>
      <c r="L22" s="20">
        <v>5050</v>
      </c>
      <c r="M22" s="19">
        <v>23</v>
      </c>
      <c r="N22" s="20">
        <f t="shared" si="3"/>
        <v>58.074999999999996</v>
      </c>
      <c r="O22" s="18"/>
      <c r="P22" s="6">
        <v>2732</v>
      </c>
      <c r="Q22" s="7">
        <f t="shared" si="1"/>
        <v>5464000</v>
      </c>
      <c r="R22" s="7">
        <f t="shared" si="2"/>
        <v>13796600</v>
      </c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35">
      <c r="A23" s="4" t="s">
        <v>41</v>
      </c>
      <c r="B23" s="19" t="s">
        <v>19</v>
      </c>
      <c r="C23" s="19" t="s">
        <v>20</v>
      </c>
      <c r="D23" s="19">
        <v>10</v>
      </c>
      <c r="E23" s="19">
        <v>6246</v>
      </c>
      <c r="F23" s="19">
        <v>6325</v>
      </c>
      <c r="G23" s="19">
        <v>0</v>
      </c>
      <c r="H23" s="19">
        <v>0</v>
      </c>
      <c r="I23" s="19">
        <v>0</v>
      </c>
      <c r="J23" s="19">
        <v>4062</v>
      </c>
      <c r="K23" s="19">
        <f t="shared" si="0"/>
        <v>8509</v>
      </c>
      <c r="L23" s="20">
        <v>4430.75</v>
      </c>
      <c r="M23" s="19">
        <v>23</v>
      </c>
      <c r="N23" s="20">
        <f t="shared" si="3"/>
        <v>25.087949286065978</v>
      </c>
      <c r="O23" s="18"/>
      <c r="P23" s="6">
        <v>2962</v>
      </c>
      <c r="Q23" s="7">
        <f t="shared" si="1"/>
        <v>12031644</v>
      </c>
      <c r="R23" s="7">
        <f t="shared" si="2"/>
        <v>13123881.5</v>
      </c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35">
      <c r="A24" s="4" t="s">
        <v>42</v>
      </c>
      <c r="B24" s="19" t="s">
        <v>19</v>
      </c>
      <c r="C24" s="19" t="s">
        <v>20</v>
      </c>
      <c r="D24" s="19">
        <v>10</v>
      </c>
      <c r="E24" s="19">
        <v>124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f t="shared" si="0"/>
        <v>124</v>
      </c>
      <c r="L24" s="20">
        <v>0</v>
      </c>
      <c r="M24" s="19">
        <v>23</v>
      </c>
      <c r="N24" s="20">
        <v>0</v>
      </c>
      <c r="O24" s="18"/>
      <c r="P24" s="6">
        <v>2263</v>
      </c>
      <c r="Q24" s="7">
        <f t="shared" si="1"/>
        <v>0</v>
      </c>
      <c r="R24" s="7">
        <f t="shared" si="2"/>
        <v>0</v>
      </c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35">
      <c r="A25" s="4" t="s">
        <v>43</v>
      </c>
      <c r="B25" s="19" t="s">
        <v>19</v>
      </c>
      <c r="C25" s="19" t="s">
        <v>20</v>
      </c>
      <c r="D25" s="19">
        <v>10</v>
      </c>
      <c r="E25" s="19">
        <v>770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f t="shared" si="0"/>
        <v>770</v>
      </c>
      <c r="L25" s="20">
        <v>0</v>
      </c>
      <c r="M25" s="19">
        <v>23</v>
      </c>
      <c r="N25" s="20">
        <v>0</v>
      </c>
      <c r="O25" s="18"/>
      <c r="P25" s="6">
        <v>2263</v>
      </c>
      <c r="Q25" s="7">
        <f t="shared" si="1"/>
        <v>0</v>
      </c>
      <c r="R25" s="7">
        <f t="shared" si="2"/>
        <v>0</v>
      </c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35">
      <c r="A26" s="4" t="s">
        <v>44</v>
      </c>
      <c r="B26" s="19" t="s">
        <v>19</v>
      </c>
      <c r="C26" s="19" t="s">
        <v>20</v>
      </c>
      <c r="D26" s="19">
        <v>10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f t="shared" si="0"/>
        <v>0</v>
      </c>
      <c r="L26" s="20">
        <v>0</v>
      </c>
      <c r="M26" s="19">
        <v>23</v>
      </c>
      <c r="N26" s="20">
        <v>0</v>
      </c>
      <c r="O26" s="18"/>
      <c r="P26" s="6">
        <v>2268</v>
      </c>
      <c r="Q26" s="7">
        <f t="shared" si="1"/>
        <v>0</v>
      </c>
      <c r="R26" s="7">
        <f t="shared" si="2"/>
        <v>0</v>
      </c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35">
      <c r="A27" s="4" t="s">
        <v>171</v>
      </c>
      <c r="B27" s="19" t="s">
        <v>22</v>
      </c>
      <c r="C27" s="19" t="s">
        <v>20</v>
      </c>
      <c r="D27" s="19">
        <v>10</v>
      </c>
      <c r="E27" s="19">
        <v>7505</v>
      </c>
      <c r="F27" s="19">
        <v>115000</v>
      </c>
      <c r="G27" s="19">
        <v>0</v>
      </c>
      <c r="H27" s="19">
        <v>0</v>
      </c>
      <c r="I27" s="19">
        <v>113500</v>
      </c>
      <c r="J27" s="19">
        <v>0</v>
      </c>
      <c r="K27" s="19">
        <f t="shared" si="0"/>
        <v>9005</v>
      </c>
      <c r="L27" s="20">
        <v>12114.375</v>
      </c>
      <c r="M27" s="19">
        <v>23</v>
      </c>
      <c r="N27" s="20">
        <f t="shared" ref="N27:N31" si="4">(L27/(I27+J27))*M27</f>
        <v>2.4548953744493391</v>
      </c>
      <c r="O27" s="18"/>
      <c r="P27" s="6">
        <v>2268</v>
      </c>
      <c r="Q27" s="7">
        <f t="shared" si="1"/>
        <v>257418000</v>
      </c>
      <c r="R27" s="7">
        <f t="shared" si="2"/>
        <v>27475402.5</v>
      </c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5">
      <c r="A28" s="4" t="s">
        <v>45</v>
      </c>
      <c r="B28" s="19" t="s">
        <v>19</v>
      </c>
      <c r="C28" s="19" t="s">
        <v>20</v>
      </c>
      <c r="D28" s="19">
        <v>10</v>
      </c>
      <c r="E28" s="19">
        <v>2767</v>
      </c>
      <c r="F28" s="19">
        <v>13178</v>
      </c>
      <c r="G28" s="19">
        <v>0</v>
      </c>
      <c r="H28" s="19">
        <v>0</v>
      </c>
      <c r="I28" s="19">
        <v>14903</v>
      </c>
      <c r="J28" s="19">
        <v>0</v>
      </c>
      <c r="K28" s="19">
        <f t="shared" si="0"/>
        <v>1042</v>
      </c>
      <c r="L28" s="20">
        <v>4188</v>
      </c>
      <c r="M28" s="19">
        <v>23</v>
      </c>
      <c r="N28" s="20">
        <f t="shared" si="4"/>
        <v>6.4633966315506948</v>
      </c>
      <c r="O28" s="18"/>
      <c r="P28" s="6">
        <v>1956</v>
      </c>
      <c r="Q28" s="7">
        <f t="shared" si="1"/>
        <v>29150268</v>
      </c>
      <c r="R28" s="7">
        <f t="shared" si="2"/>
        <v>8191728</v>
      </c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35">
      <c r="A29" s="4" t="s">
        <v>46</v>
      </c>
      <c r="B29" s="19" t="s">
        <v>22</v>
      </c>
      <c r="C29" s="19" t="s">
        <v>20</v>
      </c>
      <c r="D29" s="19">
        <v>10</v>
      </c>
      <c r="E29" s="19">
        <v>41909</v>
      </c>
      <c r="F29" s="19">
        <v>67500</v>
      </c>
      <c r="G29" s="19">
        <v>0</v>
      </c>
      <c r="H29" s="19">
        <v>0</v>
      </c>
      <c r="I29" s="19">
        <v>0</v>
      </c>
      <c r="J29" s="19">
        <v>92514</v>
      </c>
      <c r="K29" s="19">
        <f t="shared" si="0"/>
        <v>16895</v>
      </c>
      <c r="L29" s="20">
        <v>28627.055555555598</v>
      </c>
      <c r="M29" s="19">
        <v>23</v>
      </c>
      <c r="N29" s="20">
        <f t="shared" si="4"/>
        <v>7.1170015108824476</v>
      </c>
      <c r="O29" s="18"/>
      <c r="P29" s="6">
        <v>2031</v>
      </c>
      <c r="Q29" s="7">
        <f t="shared" si="1"/>
        <v>187895934</v>
      </c>
      <c r="R29" s="7">
        <f t="shared" si="2"/>
        <v>58141549.833333418</v>
      </c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35">
      <c r="A30" s="4" t="s">
        <v>47</v>
      </c>
      <c r="B30" s="19" t="s">
        <v>19</v>
      </c>
      <c r="C30" s="19" t="s">
        <v>20</v>
      </c>
      <c r="D30" s="19">
        <v>10</v>
      </c>
      <c r="E30" s="19">
        <v>2740</v>
      </c>
      <c r="F30" s="19">
        <v>0</v>
      </c>
      <c r="G30" s="19">
        <v>0</v>
      </c>
      <c r="H30" s="19">
        <v>0</v>
      </c>
      <c r="I30" s="19">
        <v>400</v>
      </c>
      <c r="J30" s="19">
        <v>0</v>
      </c>
      <c r="K30" s="19">
        <f t="shared" si="0"/>
        <v>2340</v>
      </c>
      <c r="L30" s="20">
        <v>2473.3333333333298</v>
      </c>
      <c r="M30" s="19">
        <v>23</v>
      </c>
      <c r="N30" s="20">
        <f t="shared" si="4"/>
        <v>142.21666666666647</v>
      </c>
      <c r="O30" s="18"/>
      <c r="P30" s="6">
        <v>2179</v>
      </c>
      <c r="Q30" s="7">
        <f t="shared" si="1"/>
        <v>871600</v>
      </c>
      <c r="R30" s="7">
        <f t="shared" si="2"/>
        <v>5389393.3333333256</v>
      </c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35">
      <c r="A31" s="4" t="s">
        <v>48</v>
      </c>
      <c r="B31" s="19" t="s">
        <v>19</v>
      </c>
      <c r="C31" s="19" t="s">
        <v>20</v>
      </c>
      <c r="D31" s="19">
        <v>10</v>
      </c>
      <c r="E31" s="19">
        <v>4508</v>
      </c>
      <c r="F31" s="19">
        <v>0</v>
      </c>
      <c r="G31" s="19">
        <v>0</v>
      </c>
      <c r="H31" s="19">
        <v>0</v>
      </c>
      <c r="I31" s="19">
        <v>1475</v>
      </c>
      <c r="J31" s="19">
        <v>0</v>
      </c>
      <c r="K31" s="19">
        <f t="shared" si="0"/>
        <v>3033</v>
      </c>
      <c r="L31" s="20">
        <v>3033</v>
      </c>
      <c r="M31" s="19">
        <v>23</v>
      </c>
      <c r="N31" s="20">
        <f t="shared" si="4"/>
        <v>47.294237288135591</v>
      </c>
      <c r="O31" s="18"/>
      <c r="P31" s="6">
        <v>2179</v>
      </c>
      <c r="Q31" s="7">
        <f t="shared" si="1"/>
        <v>3214025</v>
      </c>
      <c r="R31" s="7">
        <f t="shared" si="2"/>
        <v>6608907</v>
      </c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35">
      <c r="A32" s="4" t="s">
        <v>49</v>
      </c>
      <c r="B32" s="19" t="s">
        <v>19</v>
      </c>
      <c r="C32" s="19" t="s">
        <v>20</v>
      </c>
      <c r="D32" s="19">
        <v>10</v>
      </c>
      <c r="E32" s="19">
        <v>1495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f t="shared" si="0"/>
        <v>1495</v>
      </c>
      <c r="L32" s="20">
        <v>0</v>
      </c>
      <c r="M32" s="19">
        <v>23</v>
      </c>
      <c r="N32" s="20">
        <v>0</v>
      </c>
      <c r="O32" s="18"/>
      <c r="P32" s="6">
        <v>2179</v>
      </c>
      <c r="Q32" s="7">
        <f t="shared" si="1"/>
        <v>0</v>
      </c>
      <c r="R32" s="7">
        <f t="shared" si="2"/>
        <v>0</v>
      </c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5">
      <c r="A33" s="4" t="s">
        <v>50</v>
      </c>
      <c r="B33" s="19" t="s">
        <v>22</v>
      </c>
      <c r="C33" s="19" t="s">
        <v>20</v>
      </c>
      <c r="D33" s="19">
        <v>10</v>
      </c>
      <c r="E33" s="19">
        <v>18383</v>
      </c>
      <c r="F33" s="19">
        <v>70075</v>
      </c>
      <c r="G33" s="19">
        <v>0</v>
      </c>
      <c r="H33" s="19">
        <v>0</v>
      </c>
      <c r="I33" s="19">
        <v>82575</v>
      </c>
      <c r="J33" s="19">
        <v>0</v>
      </c>
      <c r="K33" s="19">
        <f t="shared" si="0"/>
        <v>5883</v>
      </c>
      <c r="L33" s="20">
        <v>23240.352941176501</v>
      </c>
      <c r="M33" s="19">
        <v>23</v>
      </c>
      <c r="N33" s="20">
        <f t="shared" ref="N33:N35" si="5">(L33/(I33+J33))*M33</f>
        <v>6.4732439315417452</v>
      </c>
      <c r="O33" s="18"/>
      <c r="P33" s="6">
        <v>2179</v>
      </c>
      <c r="Q33" s="7">
        <f t="shared" si="1"/>
        <v>179930925</v>
      </c>
      <c r="R33" s="7">
        <f t="shared" si="2"/>
        <v>50640729.058823593</v>
      </c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35">
      <c r="A34" s="4" t="s">
        <v>172</v>
      </c>
      <c r="B34" s="19" t="s">
        <v>19</v>
      </c>
      <c r="C34" s="19" t="s">
        <v>20</v>
      </c>
      <c r="D34" s="19">
        <v>10</v>
      </c>
      <c r="E34" s="19">
        <v>1250</v>
      </c>
      <c r="F34" s="19">
        <v>2100</v>
      </c>
      <c r="G34" s="19">
        <v>0</v>
      </c>
      <c r="H34" s="19">
        <v>0</v>
      </c>
      <c r="I34" s="19">
        <v>475</v>
      </c>
      <c r="J34" s="19">
        <v>0</v>
      </c>
      <c r="K34" s="19">
        <f t="shared" si="0"/>
        <v>2875</v>
      </c>
      <c r="L34" s="20">
        <v>1975</v>
      </c>
      <c r="M34" s="19">
        <v>23</v>
      </c>
      <c r="N34" s="20">
        <f t="shared" si="5"/>
        <v>95.631578947368425</v>
      </c>
      <c r="O34" s="18"/>
      <c r="P34" s="6">
        <v>3145</v>
      </c>
      <c r="Q34" s="7">
        <f t="shared" si="1"/>
        <v>1493875</v>
      </c>
      <c r="R34" s="7">
        <f t="shared" si="2"/>
        <v>6211375</v>
      </c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35">
      <c r="A35" s="4" t="s">
        <v>51</v>
      </c>
      <c r="B35" s="19" t="s">
        <v>19</v>
      </c>
      <c r="C35" s="19" t="s">
        <v>20</v>
      </c>
      <c r="D35" s="19">
        <v>10</v>
      </c>
      <c r="E35" s="19">
        <v>16487</v>
      </c>
      <c r="F35" s="19">
        <v>22309</v>
      </c>
      <c r="G35" s="19">
        <v>0</v>
      </c>
      <c r="H35" s="19">
        <v>0</v>
      </c>
      <c r="I35" s="19">
        <v>33659</v>
      </c>
      <c r="J35" s="19">
        <v>0</v>
      </c>
      <c r="K35" s="19">
        <f t="shared" si="0"/>
        <v>5137</v>
      </c>
      <c r="L35" s="20">
        <v>7657</v>
      </c>
      <c r="M35" s="19">
        <v>23</v>
      </c>
      <c r="N35" s="20">
        <f t="shared" si="5"/>
        <v>5.2322112956415818</v>
      </c>
      <c r="O35" s="18"/>
      <c r="P35" s="6">
        <v>2179</v>
      </c>
      <c r="Q35" s="7">
        <f t="shared" si="1"/>
        <v>73342961</v>
      </c>
      <c r="R35" s="7">
        <f t="shared" si="2"/>
        <v>16684603</v>
      </c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35">
      <c r="A36" s="4" t="s">
        <v>52</v>
      </c>
      <c r="B36" s="19" t="s">
        <v>19</v>
      </c>
      <c r="C36" s="19" t="s">
        <v>20</v>
      </c>
      <c r="D36" s="19">
        <v>10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f t="shared" si="0"/>
        <v>0</v>
      </c>
      <c r="L36" s="20">
        <v>0</v>
      </c>
      <c r="M36" s="19">
        <v>23</v>
      </c>
      <c r="N36" s="20">
        <v>0</v>
      </c>
      <c r="O36" s="18"/>
      <c r="P36" s="6">
        <v>2268</v>
      </c>
      <c r="Q36" s="7">
        <f t="shared" si="1"/>
        <v>0</v>
      </c>
      <c r="R36" s="7">
        <f t="shared" si="2"/>
        <v>0</v>
      </c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35">
      <c r="A37" s="4" t="s">
        <v>173</v>
      </c>
      <c r="B37" s="19" t="s">
        <v>19</v>
      </c>
      <c r="C37" s="19" t="s">
        <v>20</v>
      </c>
      <c r="D37" s="19">
        <v>10</v>
      </c>
      <c r="E37" s="19">
        <v>16250</v>
      </c>
      <c r="F37" s="19">
        <v>27500</v>
      </c>
      <c r="G37" s="19">
        <v>0</v>
      </c>
      <c r="H37" s="19">
        <v>0</v>
      </c>
      <c r="I37" s="19">
        <v>35000</v>
      </c>
      <c r="J37" s="19">
        <v>0</v>
      </c>
      <c r="K37" s="19">
        <f t="shared" si="0"/>
        <v>8750</v>
      </c>
      <c r="L37" s="20">
        <v>10694.4444444444</v>
      </c>
      <c r="M37" s="19">
        <v>23</v>
      </c>
      <c r="N37" s="20">
        <f t="shared" ref="N37:N40" si="6">(L37/(I37+J37))*M37</f>
        <v>7.0277777777777493</v>
      </c>
      <c r="O37" s="18"/>
      <c r="P37" s="6">
        <v>2268</v>
      </c>
      <c r="Q37" s="7">
        <f t="shared" si="1"/>
        <v>79380000</v>
      </c>
      <c r="R37" s="7">
        <f t="shared" si="2"/>
        <v>24254999.999999899</v>
      </c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5">
      <c r="A38" s="4" t="s">
        <v>53</v>
      </c>
      <c r="B38" s="19" t="s">
        <v>19</v>
      </c>
      <c r="C38" s="19" t="s">
        <v>20</v>
      </c>
      <c r="D38" s="19">
        <v>10</v>
      </c>
      <c r="E38" s="19">
        <v>5712</v>
      </c>
      <c r="F38" s="19">
        <v>0</v>
      </c>
      <c r="G38" s="19">
        <v>0</v>
      </c>
      <c r="H38" s="19">
        <v>0</v>
      </c>
      <c r="I38" s="19">
        <v>4591</v>
      </c>
      <c r="J38" s="19">
        <v>0</v>
      </c>
      <c r="K38" s="19">
        <f t="shared" si="0"/>
        <v>1121</v>
      </c>
      <c r="L38" s="20">
        <v>3109.6666666666702</v>
      </c>
      <c r="M38" s="19">
        <v>23</v>
      </c>
      <c r="N38" s="20">
        <f t="shared" si="6"/>
        <v>15.57881362085241</v>
      </c>
      <c r="O38" s="18"/>
      <c r="P38" s="6">
        <v>1956</v>
      </c>
      <c r="Q38" s="7">
        <f t="shared" si="1"/>
        <v>8979996</v>
      </c>
      <c r="R38" s="7">
        <f t="shared" si="2"/>
        <v>6082508.0000000065</v>
      </c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35">
      <c r="A39" s="4" t="s">
        <v>54</v>
      </c>
      <c r="B39" s="19" t="s">
        <v>19</v>
      </c>
      <c r="C39" s="19" t="s">
        <v>20</v>
      </c>
      <c r="D39" s="19">
        <v>10</v>
      </c>
      <c r="E39" s="19">
        <v>5660</v>
      </c>
      <c r="F39" s="19">
        <v>0</v>
      </c>
      <c r="G39" s="19">
        <v>0</v>
      </c>
      <c r="H39" s="19">
        <v>0</v>
      </c>
      <c r="I39" s="19">
        <v>5575</v>
      </c>
      <c r="J39" s="19">
        <v>0</v>
      </c>
      <c r="K39" s="19">
        <f t="shared" si="0"/>
        <v>85</v>
      </c>
      <c r="L39" s="20">
        <v>2122.5</v>
      </c>
      <c r="M39" s="19">
        <v>23</v>
      </c>
      <c r="N39" s="20">
        <f t="shared" si="6"/>
        <v>8.7565022421524663</v>
      </c>
      <c r="O39" s="18"/>
      <c r="P39" s="6">
        <v>2218</v>
      </c>
      <c r="Q39" s="7">
        <f t="shared" si="1"/>
        <v>12365350</v>
      </c>
      <c r="R39" s="7">
        <f t="shared" si="2"/>
        <v>4707705</v>
      </c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35">
      <c r="A40" s="4" t="s">
        <v>174</v>
      </c>
      <c r="B40" s="19" t="s">
        <v>19</v>
      </c>
      <c r="C40" s="19" t="s">
        <v>20</v>
      </c>
      <c r="D40" s="19">
        <v>10</v>
      </c>
      <c r="E40" s="19">
        <v>8000</v>
      </c>
      <c r="F40" s="19">
        <v>5925</v>
      </c>
      <c r="G40" s="19">
        <v>0</v>
      </c>
      <c r="H40" s="19">
        <v>0</v>
      </c>
      <c r="I40" s="19">
        <v>11025</v>
      </c>
      <c r="J40" s="19">
        <v>0</v>
      </c>
      <c r="K40" s="19">
        <f t="shared" si="0"/>
        <v>2900</v>
      </c>
      <c r="L40" s="20">
        <v>4383.3333333333303</v>
      </c>
      <c r="M40" s="19">
        <v>23</v>
      </c>
      <c r="N40" s="20">
        <f t="shared" si="6"/>
        <v>9.1443688586545662</v>
      </c>
      <c r="O40" s="18"/>
      <c r="P40" s="6">
        <v>2218</v>
      </c>
      <c r="Q40" s="7">
        <f t="shared" si="1"/>
        <v>24453450</v>
      </c>
      <c r="R40" s="7">
        <f t="shared" si="2"/>
        <v>9722233.3333333265</v>
      </c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35">
      <c r="A41" s="4" t="s">
        <v>55</v>
      </c>
      <c r="B41" s="19" t="s">
        <v>19</v>
      </c>
      <c r="C41" s="19" t="s">
        <v>20</v>
      </c>
      <c r="D41" s="19">
        <v>10</v>
      </c>
      <c r="E41" s="19">
        <v>88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f t="shared" si="0"/>
        <v>88</v>
      </c>
      <c r="L41" s="20">
        <v>0</v>
      </c>
      <c r="M41" s="19">
        <v>23</v>
      </c>
      <c r="N41" s="20">
        <v>0</v>
      </c>
      <c r="O41" s="18"/>
      <c r="P41" s="6">
        <v>2218</v>
      </c>
      <c r="Q41" s="7">
        <f t="shared" si="1"/>
        <v>0</v>
      </c>
      <c r="R41" s="7">
        <f t="shared" si="2"/>
        <v>0</v>
      </c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35">
      <c r="A42" s="4" t="s">
        <v>56</v>
      </c>
      <c r="B42" s="19" t="s">
        <v>19</v>
      </c>
      <c r="C42" s="19" t="s">
        <v>20</v>
      </c>
      <c r="D42" s="19">
        <v>10</v>
      </c>
      <c r="E42" s="19">
        <v>150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f t="shared" si="0"/>
        <v>150</v>
      </c>
      <c r="L42" s="20">
        <v>0</v>
      </c>
      <c r="M42" s="19">
        <v>23</v>
      </c>
      <c r="N42" s="20">
        <v>0</v>
      </c>
      <c r="O42" s="18"/>
      <c r="P42" s="6">
        <v>2245</v>
      </c>
      <c r="Q42" s="7">
        <f t="shared" si="1"/>
        <v>0</v>
      </c>
      <c r="R42" s="7">
        <f t="shared" si="2"/>
        <v>0</v>
      </c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35">
      <c r="A43" s="4" t="s">
        <v>57</v>
      </c>
      <c r="B43" s="19" t="s">
        <v>22</v>
      </c>
      <c r="C43" s="19" t="s">
        <v>20</v>
      </c>
      <c r="D43" s="19">
        <v>10</v>
      </c>
      <c r="E43" s="19">
        <v>6450</v>
      </c>
      <c r="F43" s="19">
        <v>139600</v>
      </c>
      <c r="G43" s="19">
        <v>0</v>
      </c>
      <c r="H43" s="19">
        <v>0</v>
      </c>
      <c r="I43" s="19">
        <v>96600</v>
      </c>
      <c r="J43" s="19">
        <v>29508</v>
      </c>
      <c r="K43" s="19">
        <f t="shared" si="0"/>
        <v>19942</v>
      </c>
      <c r="L43" s="20">
        <v>16091.368421052601</v>
      </c>
      <c r="M43" s="19">
        <v>23</v>
      </c>
      <c r="N43" s="20">
        <f t="shared" ref="N43:N49" si="7">(L43/(I43+J43))*M43</f>
        <v>2.9347977422860549</v>
      </c>
      <c r="O43" s="18"/>
      <c r="P43" s="6">
        <v>2245</v>
      </c>
      <c r="Q43" s="7">
        <f t="shared" si="1"/>
        <v>283112460</v>
      </c>
      <c r="R43" s="7">
        <f t="shared" si="2"/>
        <v>36125122.105263092</v>
      </c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5">
      <c r="A44" s="4" t="s">
        <v>58</v>
      </c>
      <c r="B44" s="19" t="s">
        <v>22</v>
      </c>
      <c r="C44" s="19" t="s">
        <v>20</v>
      </c>
      <c r="D44" s="19">
        <v>10</v>
      </c>
      <c r="E44" s="19">
        <v>17770</v>
      </c>
      <c r="F44" s="19">
        <v>117400</v>
      </c>
      <c r="G44" s="19">
        <v>0</v>
      </c>
      <c r="H44" s="19">
        <v>0</v>
      </c>
      <c r="I44" s="19">
        <v>0</v>
      </c>
      <c r="J44" s="19">
        <v>118770</v>
      </c>
      <c r="K44" s="19">
        <f t="shared" si="0"/>
        <v>16400</v>
      </c>
      <c r="L44" s="20">
        <v>14545.294117647101</v>
      </c>
      <c r="M44" s="19">
        <v>23</v>
      </c>
      <c r="N44" s="20">
        <f t="shared" si="7"/>
        <v>2.8167194132010045</v>
      </c>
      <c r="O44" s="18"/>
      <c r="P44" s="6">
        <v>1419</v>
      </c>
      <c r="Q44" s="7">
        <f t="shared" si="1"/>
        <v>168534630</v>
      </c>
      <c r="R44" s="7">
        <f t="shared" si="2"/>
        <v>20639772.352941237</v>
      </c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35">
      <c r="A45" s="4" t="s">
        <v>59</v>
      </c>
      <c r="B45" s="19" t="s">
        <v>19</v>
      </c>
      <c r="C45" s="19" t="s">
        <v>20</v>
      </c>
      <c r="D45" s="19">
        <v>10</v>
      </c>
      <c r="E45" s="19">
        <v>2709</v>
      </c>
      <c r="F45" s="19">
        <v>0</v>
      </c>
      <c r="G45" s="19">
        <v>0</v>
      </c>
      <c r="H45" s="19">
        <v>0</v>
      </c>
      <c r="I45" s="19">
        <v>0</v>
      </c>
      <c r="J45" s="19">
        <v>1179</v>
      </c>
      <c r="K45" s="19">
        <f t="shared" si="0"/>
        <v>1530</v>
      </c>
      <c r="L45" s="20">
        <v>1530</v>
      </c>
      <c r="M45" s="19">
        <v>23</v>
      </c>
      <c r="N45" s="20">
        <f t="shared" si="7"/>
        <v>29.847328244274809</v>
      </c>
      <c r="O45" s="18"/>
      <c r="P45" s="6">
        <v>2765</v>
      </c>
      <c r="Q45" s="7">
        <f t="shared" si="1"/>
        <v>3259935</v>
      </c>
      <c r="R45" s="7">
        <f t="shared" si="2"/>
        <v>4230450</v>
      </c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35">
      <c r="A46" s="4" t="s">
        <v>60</v>
      </c>
      <c r="B46" s="19" t="s">
        <v>19</v>
      </c>
      <c r="C46" s="19" t="s">
        <v>20</v>
      </c>
      <c r="D46" s="19">
        <v>10</v>
      </c>
      <c r="E46" s="19">
        <v>33728</v>
      </c>
      <c r="F46" s="19">
        <v>0</v>
      </c>
      <c r="G46" s="19">
        <v>0</v>
      </c>
      <c r="H46" s="19">
        <v>0</v>
      </c>
      <c r="I46" s="19">
        <v>0</v>
      </c>
      <c r="J46" s="19">
        <v>4762</v>
      </c>
      <c r="K46" s="19">
        <f t="shared" si="0"/>
        <v>28966</v>
      </c>
      <c r="L46" s="20">
        <v>31489.600000000002</v>
      </c>
      <c r="M46" s="19">
        <v>23</v>
      </c>
      <c r="N46" s="20">
        <f t="shared" si="7"/>
        <v>152.0917261654767</v>
      </c>
      <c r="O46" s="18"/>
      <c r="P46" s="6">
        <v>4592</v>
      </c>
      <c r="Q46" s="7">
        <f t="shared" si="1"/>
        <v>21867104</v>
      </c>
      <c r="R46" s="7">
        <f t="shared" si="2"/>
        <v>144600243.20000002</v>
      </c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35">
      <c r="A47" s="4" t="s">
        <v>61</v>
      </c>
      <c r="B47" s="19" t="s">
        <v>19</v>
      </c>
      <c r="C47" s="19" t="s">
        <v>20</v>
      </c>
      <c r="D47" s="19">
        <v>10</v>
      </c>
      <c r="E47" s="19">
        <v>11662</v>
      </c>
      <c r="F47" s="19">
        <v>25386</v>
      </c>
      <c r="G47" s="19">
        <v>0</v>
      </c>
      <c r="H47" s="19">
        <v>0</v>
      </c>
      <c r="I47" s="19">
        <v>0</v>
      </c>
      <c r="J47" s="19">
        <v>33298</v>
      </c>
      <c r="K47" s="19">
        <f t="shared" si="0"/>
        <v>3750</v>
      </c>
      <c r="L47" s="20">
        <v>5610</v>
      </c>
      <c r="M47" s="19">
        <v>23</v>
      </c>
      <c r="N47" s="20">
        <f t="shared" si="7"/>
        <v>3.8750075079584363</v>
      </c>
      <c r="O47" s="18"/>
      <c r="P47" s="6">
        <v>2297</v>
      </c>
      <c r="Q47" s="7">
        <f t="shared" si="1"/>
        <v>76485506</v>
      </c>
      <c r="R47" s="7">
        <f t="shared" si="2"/>
        <v>12886170</v>
      </c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35">
      <c r="A48" s="4" t="s">
        <v>62</v>
      </c>
      <c r="B48" s="19" t="s">
        <v>19</v>
      </c>
      <c r="C48" s="19" t="s">
        <v>20</v>
      </c>
      <c r="D48" s="19">
        <v>10</v>
      </c>
      <c r="E48" s="19">
        <v>1728</v>
      </c>
      <c r="F48" s="19">
        <v>875</v>
      </c>
      <c r="G48" s="19">
        <v>0</v>
      </c>
      <c r="H48" s="19">
        <v>0</v>
      </c>
      <c r="I48" s="19">
        <v>0</v>
      </c>
      <c r="J48" s="19">
        <v>1953</v>
      </c>
      <c r="K48" s="19">
        <f t="shared" si="0"/>
        <v>650</v>
      </c>
      <c r="L48" s="20">
        <v>1093.75</v>
      </c>
      <c r="M48" s="19">
        <v>23</v>
      </c>
      <c r="N48" s="20">
        <f t="shared" si="7"/>
        <v>12.880824372759855</v>
      </c>
      <c r="O48" s="18"/>
      <c r="P48" s="6">
        <v>2616</v>
      </c>
      <c r="Q48" s="7">
        <f t="shared" si="1"/>
        <v>5109048</v>
      </c>
      <c r="R48" s="7">
        <f t="shared" si="2"/>
        <v>2861250</v>
      </c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35">
      <c r="A49" s="4" t="s">
        <v>64</v>
      </c>
      <c r="B49" s="19" t="s">
        <v>19</v>
      </c>
      <c r="C49" s="19" t="s">
        <v>20</v>
      </c>
      <c r="D49" s="19">
        <v>10</v>
      </c>
      <c r="E49" s="19">
        <v>9064</v>
      </c>
      <c r="F49" s="19">
        <v>81600</v>
      </c>
      <c r="G49" s="19">
        <v>0</v>
      </c>
      <c r="H49" s="19">
        <v>0</v>
      </c>
      <c r="I49" s="19">
        <v>0</v>
      </c>
      <c r="J49" s="19">
        <v>67850</v>
      </c>
      <c r="K49" s="19">
        <f t="shared" si="0"/>
        <v>22814</v>
      </c>
      <c r="L49" s="20">
        <v>18654.277777777799</v>
      </c>
      <c r="M49" s="19">
        <v>23</v>
      </c>
      <c r="N49" s="20">
        <f t="shared" si="7"/>
        <v>6.3234839924670503</v>
      </c>
      <c r="O49" s="18"/>
      <c r="P49" s="6">
        <v>1968</v>
      </c>
      <c r="Q49" s="7">
        <f t="shared" si="1"/>
        <v>133528800</v>
      </c>
      <c r="R49" s="7">
        <f t="shared" si="2"/>
        <v>36711618.666666709</v>
      </c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35">
      <c r="A50" s="4" t="s">
        <v>65</v>
      </c>
      <c r="B50" s="19" t="s">
        <v>19</v>
      </c>
      <c r="C50" s="19" t="s">
        <v>20</v>
      </c>
      <c r="D50" s="19">
        <v>10</v>
      </c>
      <c r="E50" s="19">
        <v>6420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f t="shared" si="0"/>
        <v>6420</v>
      </c>
      <c r="L50" s="20">
        <v>0</v>
      </c>
      <c r="M50" s="19">
        <v>23</v>
      </c>
      <c r="N50" s="20">
        <v>0</v>
      </c>
      <c r="O50" s="18"/>
      <c r="P50" s="6">
        <v>2503</v>
      </c>
      <c r="Q50" s="7">
        <f t="shared" si="1"/>
        <v>0</v>
      </c>
      <c r="R50" s="7">
        <f t="shared" si="2"/>
        <v>0</v>
      </c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35">
      <c r="A51" s="4" t="s">
        <v>66</v>
      </c>
      <c r="B51" s="19" t="s">
        <v>19</v>
      </c>
      <c r="C51" s="19" t="s">
        <v>20</v>
      </c>
      <c r="D51" s="19">
        <v>10</v>
      </c>
      <c r="E51" s="19">
        <v>24890</v>
      </c>
      <c r="F51" s="19">
        <v>151250</v>
      </c>
      <c r="G51" s="19">
        <v>0</v>
      </c>
      <c r="H51" s="19">
        <v>0</v>
      </c>
      <c r="I51" s="19">
        <v>0</v>
      </c>
      <c r="J51" s="19">
        <v>130000</v>
      </c>
      <c r="K51" s="19">
        <f t="shared" si="0"/>
        <v>46140</v>
      </c>
      <c r="L51" s="20">
        <v>53047.8947368421</v>
      </c>
      <c r="M51" s="19">
        <v>23</v>
      </c>
      <c r="N51" s="20">
        <f>(L51/(I51+J51))*M51</f>
        <v>9.3853967611336024</v>
      </c>
      <c r="O51" s="18"/>
      <c r="P51" s="6">
        <v>2503</v>
      </c>
      <c r="Q51" s="7">
        <f t="shared" si="1"/>
        <v>325390000</v>
      </c>
      <c r="R51" s="7">
        <f t="shared" si="2"/>
        <v>132778880.52631578</v>
      </c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35">
      <c r="A52" s="4" t="s">
        <v>67</v>
      </c>
      <c r="B52" s="19" t="s">
        <v>19</v>
      </c>
      <c r="C52" s="19" t="s">
        <v>20</v>
      </c>
      <c r="D52" s="19">
        <v>10</v>
      </c>
      <c r="E52" s="19">
        <v>311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f t="shared" si="0"/>
        <v>311</v>
      </c>
      <c r="L52" s="20">
        <v>0</v>
      </c>
      <c r="M52" s="19">
        <v>23</v>
      </c>
      <c r="N52" s="20">
        <v>0</v>
      </c>
      <c r="O52" s="18"/>
      <c r="P52" s="6">
        <v>2103</v>
      </c>
      <c r="Q52" s="7">
        <f t="shared" si="1"/>
        <v>0</v>
      </c>
      <c r="R52" s="7">
        <f t="shared" si="2"/>
        <v>0</v>
      </c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35">
      <c r="A53" s="4" t="s">
        <v>68</v>
      </c>
      <c r="B53" s="19" t="s">
        <v>19</v>
      </c>
      <c r="C53" s="19" t="s">
        <v>20</v>
      </c>
      <c r="D53" s="19">
        <v>10</v>
      </c>
      <c r="E53" s="19">
        <v>29004</v>
      </c>
      <c r="F53" s="19">
        <v>0</v>
      </c>
      <c r="G53" s="19">
        <v>0</v>
      </c>
      <c r="H53" s="19">
        <v>0</v>
      </c>
      <c r="I53" s="19">
        <v>0</v>
      </c>
      <c r="J53" s="19">
        <v>16575</v>
      </c>
      <c r="K53" s="19">
        <f t="shared" si="0"/>
        <v>12429</v>
      </c>
      <c r="L53" s="20">
        <v>19124</v>
      </c>
      <c r="M53" s="19">
        <v>23</v>
      </c>
      <c r="N53" s="20">
        <f t="shared" ref="N53:N61" si="8">(L53/(I53+J53))*M53</f>
        <v>26.53707390648567</v>
      </c>
      <c r="O53" s="18"/>
      <c r="P53" s="6">
        <v>2802</v>
      </c>
      <c r="Q53" s="7">
        <f t="shared" si="1"/>
        <v>46443150</v>
      </c>
      <c r="R53" s="7">
        <f t="shared" si="2"/>
        <v>53585448</v>
      </c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35">
      <c r="A54" s="4" t="s">
        <v>69</v>
      </c>
      <c r="B54" s="19" t="s">
        <v>19</v>
      </c>
      <c r="C54" s="19" t="s">
        <v>20</v>
      </c>
      <c r="D54" s="19">
        <v>10</v>
      </c>
      <c r="E54" s="19">
        <v>3750</v>
      </c>
      <c r="F54" s="19">
        <v>110000</v>
      </c>
      <c r="G54" s="19">
        <v>0</v>
      </c>
      <c r="H54" s="19">
        <v>0</v>
      </c>
      <c r="I54" s="19">
        <v>78750</v>
      </c>
      <c r="J54" s="19">
        <v>0</v>
      </c>
      <c r="K54" s="19">
        <f t="shared" si="0"/>
        <v>35000</v>
      </c>
      <c r="L54" s="20">
        <v>23157.8947368421</v>
      </c>
      <c r="M54" s="19">
        <v>23</v>
      </c>
      <c r="N54" s="20">
        <f t="shared" si="8"/>
        <v>6.7635756056808676</v>
      </c>
      <c r="O54" s="18"/>
      <c r="P54" s="6">
        <v>2126</v>
      </c>
      <c r="Q54" s="7">
        <f t="shared" si="1"/>
        <v>167422500</v>
      </c>
      <c r="R54" s="7">
        <f t="shared" si="2"/>
        <v>49233684.210526302</v>
      </c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35">
      <c r="A55" s="4" t="s">
        <v>70</v>
      </c>
      <c r="B55" s="19" t="s">
        <v>22</v>
      </c>
      <c r="C55" s="19" t="s">
        <v>20</v>
      </c>
      <c r="D55" s="19">
        <v>10</v>
      </c>
      <c r="E55" s="19">
        <v>9570</v>
      </c>
      <c r="F55" s="19">
        <v>84275</v>
      </c>
      <c r="G55" s="19">
        <v>0</v>
      </c>
      <c r="H55" s="19">
        <v>0</v>
      </c>
      <c r="I55" s="19">
        <v>44000</v>
      </c>
      <c r="J55" s="19">
        <v>17985</v>
      </c>
      <c r="K55" s="19">
        <f t="shared" si="0"/>
        <v>31860</v>
      </c>
      <c r="L55" s="20">
        <v>26273.5</v>
      </c>
      <c r="M55" s="19">
        <v>23</v>
      </c>
      <c r="N55" s="20">
        <f t="shared" si="8"/>
        <v>9.7489795918367346</v>
      </c>
      <c r="O55" s="18"/>
      <c r="P55" s="6">
        <v>2846</v>
      </c>
      <c r="Q55" s="7">
        <f t="shared" si="1"/>
        <v>176409310</v>
      </c>
      <c r="R55" s="7">
        <f t="shared" si="2"/>
        <v>74774381</v>
      </c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35">
      <c r="A56" s="4" t="s">
        <v>189</v>
      </c>
      <c r="B56" s="19" t="s">
        <v>19</v>
      </c>
      <c r="C56" s="19" t="s">
        <v>20</v>
      </c>
      <c r="D56" s="19">
        <v>10</v>
      </c>
      <c r="E56" s="19">
        <v>3250</v>
      </c>
      <c r="F56" s="19">
        <v>30575</v>
      </c>
      <c r="G56" s="19">
        <v>0</v>
      </c>
      <c r="H56" s="19">
        <v>0</v>
      </c>
      <c r="I56" s="19">
        <v>15100</v>
      </c>
      <c r="J56" s="19">
        <v>0</v>
      </c>
      <c r="K56" s="19">
        <f t="shared" si="0"/>
        <v>18725</v>
      </c>
      <c r="L56" s="20">
        <v>7133.3333333333303</v>
      </c>
      <c r="M56" s="19">
        <v>23</v>
      </c>
      <c r="N56" s="20">
        <f t="shared" si="8"/>
        <v>10.865342163355404</v>
      </c>
      <c r="O56" s="18"/>
      <c r="P56" s="6">
        <v>2514</v>
      </c>
      <c r="Q56" s="7">
        <f t="shared" si="1"/>
        <v>37961400</v>
      </c>
      <c r="R56" s="7">
        <f t="shared" si="2"/>
        <v>17933199.999999993</v>
      </c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35">
      <c r="A57" s="4" t="s">
        <v>72</v>
      </c>
      <c r="B57" s="19" t="s">
        <v>19</v>
      </c>
      <c r="C57" s="19" t="s">
        <v>20</v>
      </c>
      <c r="D57" s="19">
        <v>10</v>
      </c>
      <c r="E57" s="19">
        <v>9063</v>
      </c>
      <c r="F57" s="19">
        <v>22380</v>
      </c>
      <c r="G57" s="19">
        <v>0</v>
      </c>
      <c r="H57" s="19">
        <v>0</v>
      </c>
      <c r="I57" s="19">
        <v>21340</v>
      </c>
      <c r="J57" s="19">
        <v>0</v>
      </c>
      <c r="K57" s="19">
        <f t="shared" si="0"/>
        <v>10103</v>
      </c>
      <c r="L57" s="20">
        <v>5627.285714285711</v>
      </c>
      <c r="M57" s="19">
        <v>23</v>
      </c>
      <c r="N57" s="20">
        <f t="shared" si="8"/>
        <v>6.0650220913107473</v>
      </c>
      <c r="O57" s="18"/>
      <c r="P57" s="6">
        <v>1956</v>
      </c>
      <c r="Q57" s="7">
        <f t="shared" si="1"/>
        <v>41741040</v>
      </c>
      <c r="R57" s="7">
        <f t="shared" si="2"/>
        <v>11006970.857142851</v>
      </c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35">
      <c r="A58" s="4" t="s">
        <v>73</v>
      </c>
      <c r="B58" s="19" t="s">
        <v>19</v>
      </c>
      <c r="C58" s="19" t="s">
        <v>20</v>
      </c>
      <c r="D58" s="19">
        <v>10</v>
      </c>
      <c r="E58" s="19">
        <v>17461</v>
      </c>
      <c r="F58" s="19">
        <v>14090</v>
      </c>
      <c r="G58" s="19">
        <v>0</v>
      </c>
      <c r="H58" s="19">
        <v>0</v>
      </c>
      <c r="I58" s="19">
        <v>0</v>
      </c>
      <c r="J58" s="19">
        <v>14915</v>
      </c>
      <c r="K58" s="19">
        <f t="shared" si="0"/>
        <v>16636</v>
      </c>
      <c r="L58" s="20">
        <v>18659.125</v>
      </c>
      <c r="M58" s="19">
        <v>23</v>
      </c>
      <c r="N58" s="20">
        <f t="shared" si="8"/>
        <v>28.773709353000338</v>
      </c>
      <c r="O58" s="18"/>
      <c r="P58" s="6">
        <v>3391</v>
      </c>
      <c r="Q58" s="7">
        <f t="shared" si="1"/>
        <v>50576765</v>
      </c>
      <c r="R58" s="7">
        <f t="shared" si="2"/>
        <v>63273092.875</v>
      </c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35">
      <c r="A59" s="4" t="s">
        <v>74</v>
      </c>
      <c r="B59" s="19" t="s">
        <v>19</v>
      </c>
      <c r="C59" s="19" t="s">
        <v>20</v>
      </c>
      <c r="D59" s="19">
        <v>10</v>
      </c>
      <c r="E59" s="19">
        <v>2175</v>
      </c>
      <c r="F59" s="19">
        <v>36490</v>
      </c>
      <c r="G59" s="19">
        <v>0</v>
      </c>
      <c r="H59" s="19">
        <v>0</v>
      </c>
      <c r="I59" s="19">
        <v>0</v>
      </c>
      <c r="J59" s="19">
        <v>24990</v>
      </c>
      <c r="K59" s="19">
        <f t="shared" si="0"/>
        <v>13675</v>
      </c>
      <c r="L59" s="20">
        <v>5241.4285714285697</v>
      </c>
      <c r="M59" s="19">
        <v>23</v>
      </c>
      <c r="N59" s="20">
        <f t="shared" si="8"/>
        <v>4.8240439032755944</v>
      </c>
      <c r="O59" s="18"/>
      <c r="P59" s="6">
        <v>3549</v>
      </c>
      <c r="Q59" s="7">
        <f t="shared" si="1"/>
        <v>88689510</v>
      </c>
      <c r="R59" s="7">
        <f t="shared" si="2"/>
        <v>18601829.999999993</v>
      </c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35">
      <c r="A60" s="4" t="s">
        <v>75</v>
      </c>
      <c r="B60" s="19" t="s">
        <v>19</v>
      </c>
      <c r="C60" s="19" t="s">
        <v>20</v>
      </c>
      <c r="D60" s="19">
        <v>10</v>
      </c>
      <c r="E60" s="19">
        <v>10370</v>
      </c>
      <c r="F60" s="19">
        <v>44348</v>
      </c>
      <c r="G60" s="19">
        <v>0</v>
      </c>
      <c r="H60" s="19">
        <v>0</v>
      </c>
      <c r="I60" s="19">
        <v>33650</v>
      </c>
      <c r="J60" s="19">
        <v>0</v>
      </c>
      <c r="K60" s="19">
        <f t="shared" si="0"/>
        <v>21068</v>
      </c>
      <c r="L60" s="20">
        <v>21243.166666666697</v>
      </c>
      <c r="M60" s="19">
        <v>23</v>
      </c>
      <c r="N60" s="20">
        <f t="shared" si="8"/>
        <v>14.519846458642913</v>
      </c>
      <c r="O60" s="18"/>
      <c r="P60" s="6">
        <v>2129</v>
      </c>
      <c r="Q60" s="7">
        <f t="shared" si="1"/>
        <v>71640850</v>
      </c>
      <c r="R60" s="7">
        <f t="shared" si="2"/>
        <v>45226701.833333395</v>
      </c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35">
      <c r="A61" s="4" t="s">
        <v>76</v>
      </c>
      <c r="B61" s="19" t="s">
        <v>19</v>
      </c>
      <c r="C61" s="19" t="s">
        <v>20</v>
      </c>
      <c r="D61" s="19">
        <v>10</v>
      </c>
      <c r="E61" s="19">
        <v>3707</v>
      </c>
      <c r="F61" s="19">
        <v>9233</v>
      </c>
      <c r="G61" s="19">
        <v>0</v>
      </c>
      <c r="H61" s="19">
        <v>0</v>
      </c>
      <c r="I61" s="19">
        <v>9983</v>
      </c>
      <c r="J61" s="19">
        <v>0</v>
      </c>
      <c r="K61" s="19">
        <f t="shared" si="0"/>
        <v>2957</v>
      </c>
      <c r="L61" s="20">
        <v>6129.1666666666697</v>
      </c>
      <c r="M61" s="19">
        <v>23</v>
      </c>
      <c r="N61" s="20">
        <f t="shared" si="8"/>
        <v>14.121089184947753</v>
      </c>
      <c r="O61" s="18"/>
      <c r="P61" s="6">
        <v>2129</v>
      </c>
      <c r="Q61" s="7">
        <f t="shared" si="1"/>
        <v>21253807</v>
      </c>
      <c r="R61" s="7">
        <f t="shared" si="2"/>
        <v>13048995.83333334</v>
      </c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35">
      <c r="A62" s="4" t="s">
        <v>77</v>
      </c>
      <c r="B62" s="19" t="s">
        <v>19</v>
      </c>
      <c r="C62" s="19" t="s">
        <v>20</v>
      </c>
      <c r="D62" s="19">
        <v>10</v>
      </c>
      <c r="E62" s="19">
        <v>1469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f t="shared" si="0"/>
        <v>1469</v>
      </c>
      <c r="L62" s="20">
        <v>0</v>
      </c>
      <c r="M62" s="19">
        <v>23</v>
      </c>
      <c r="N62" s="20">
        <v>0</v>
      </c>
      <c r="O62" s="18"/>
      <c r="P62" s="6">
        <v>2131</v>
      </c>
      <c r="Q62" s="7">
        <f t="shared" si="1"/>
        <v>0</v>
      </c>
      <c r="R62" s="7">
        <f t="shared" si="2"/>
        <v>0</v>
      </c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35">
      <c r="A63" s="4" t="s">
        <v>78</v>
      </c>
      <c r="B63" s="19" t="s">
        <v>19</v>
      </c>
      <c r="C63" s="19" t="s">
        <v>20</v>
      </c>
      <c r="D63" s="19">
        <v>10</v>
      </c>
      <c r="E63" s="19">
        <v>6686</v>
      </c>
      <c r="F63" s="19">
        <v>0</v>
      </c>
      <c r="G63" s="19">
        <v>0</v>
      </c>
      <c r="H63" s="19">
        <v>0</v>
      </c>
      <c r="I63" s="19">
        <v>3575</v>
      </c>
      <c r="J63" s="19">
        <v>0</v>
      </c>
      <c r="K63" s="19">
        <f t="shared" si="0"/>
        <v>3111</v>
      </c>
      <c r="L63" s="20">
        <v>4877.6666666666697</v>
      </c>
      <c r="M63" s="19">
        <v>23</v>
      </c>
      <c r="N63" s="20">
        <f t="shared" ref="N63:N73" si="9">(L63/(I63+J63))*M63</f>
        <v>31.380792540792562</v>
      </c>
      <c r="O63" s="18"/>
      <c r="P63" s="6">
        <v>2131</v>
      </c>
      <c r="Q63" s="7">
        <f t="shared" si="1"/>
        <v>7618325</v>
      </c>
      <c r="R63" s="7">
        <f t="shared" si="2"/>
        <v>10394307.666666673</v>
      </c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35">
      <c r="A64" s="4" t="s">
        <v>79</v>
      </c>
      <c r="B64" s="19" t="s">
        <v>19</v>
      </c>
      <c r="C64" s="19" t="s">
        <v>20</v>
      </c>
      <c r="D64" s="19">
        <v>10</v>
      </c>
      <c r="E64" s="19">
        <v>27662</v>
      </c>
      <c r="F64" s="19">
        <v>11575</v>
      </c>
      <c r="G64" s="19">
        <v>0</v>
      </c>
      <c r="H64" s="19">
        <v>0</v>
      </c>
      <c r="I64" s="19">
        <v>26250</v>
      </c>
      <c r="J64" s="19">
        <v>0</v>
      </c>
      <c r="K64" s="19">
        <f t="shared" si="0"/>
        <v>12987</v>
      </c>
      <c r="L64" s="20">
        <v>27058.1538461538</v>
      </c>
      <c r="M64" s="19">
        <v>23</v>
      </c>
      <c r="N64" s="20">
        <f t="shared" si="9"/>
        <v>23.708096703296661</v>
      </c>
      <c r="O64" s="18"/>
      <c r="P64" s="6">
        <v>2245</v>
      </c>
      <c r="Q64" s="7">
        <f t="shared" si="1"/>
        <v>58931250</v>
      </c>
      <c r="R64" s="7">
        <f t="shared" si="2"/>
        <v>60745555.38461528</v>
      </c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35">
      <c r="A65" s="4" t="s">
        <v>80</v>
      </c>
      <c r="B65" s="19" t="s">
        <v>19</v>
      </c>
      <c r="C65" s="19" t="s">
        <v>20</v>
      </c>
      <c r="D65" s="19">
        <v>10</v>
      </c>
      <c r="E65" s="19">
        <v>9723</v>
      </c>
      <c r="F65" s="19">
        <v>14114</v>
      </c>
      <c r="G65" s="19">
        <v>0</v>
      </c>
      <c r="H65" s="19">
        <v>0</v>
      </c>
      <c r="I65" s="19">
        <v>22964</v>
      </c>
      <c r="J65" s="19">
        <v>0</v>
      </c>
      <c r="K65" s="19">
        <f t="shared" si="0"/>
        <v>873</v>
      </c>
      <c r="L65" s="20">
        <v>10650.5</v>
      </c>
      <c r="M65" s="19">
        <v>23</v>
      </c>
      <c r="N65" s="20">
        <f t="shared" si="9"/>
        <v>10.667196481449224</v>
      </c>
      <c r="O65" s="18"/>
      <c r="P65" s="6">
        <v>2121</v>
      </c>
      <c r="Q65" s="7">
        <f t="shared" si="1"/>
        <v>48706644</v>
      </c>
      <c r="R65" s="7">
        <f t="shared" si="2"/>
        <v>22589710.5</v>
      </c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35">
      <c r="A66" s="4" t="s">
        <v>195</v>
      </c>
      <c r="B66" s="19" t="s">
        <v>19</v>
      </c>
      <c r="C66" s="19" t="s">
        <v>20</v>
      </c>
      <c r="D66" s="19">
        <v>10</v>
      </c>
      <c r="E66" s="19">
        <v>0</v>
      </c>
      <c r="F66" s="19">
        <v>32315</v>
      </c>
      <c r="G66" s="19">
        <v>0</v>
      </c>
      <c r="H66" s="19">
        <v>0</v>
      </c>
      <c r="I66" s="19">
        <v>15490</v>
      </c>
      <c r="J66" s="19">
        <v>0</v>
      </c>
      <c r="K66" s="19">
        <f t="shared" si="0"/>
        <v>16825</v>
      </c>
      <c r="L66" s="20">
        <v>14735.833333333299</v>
      </c>
      <c r="M66" s="19">
        <v>23</v>
      </c>
      <c r="N66" s="20">
        <f t="shared" si="9"/>
        <v>21.880191521411614</v>
      </c>
      <c r="O66" s="18"/>
      <c r="P66" s="6">
        <v>2121</v>
      </c>
      <c r="Q66" s="7">
        <f t="shared" si="1"/>
        <v>32854290</v>
      </c>
      <c r="R66" s="7">
        <f t="shared" si="2"/>
        <v>31254702.499999929</v>
      </c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35">
      <c r="A67" s="4" t="s">
        <v>81</v>
      </c>
      <c r="B67" s="19" t="s">
        <v>19</v>
      </c>
      <c r="C67" s="19" t="s">
        <v>20</v>
      </c>
      <c r="D67" s="19">
        <v>10</v>
      </c>
      <c r="E67" s="19">
        <v>1200</v>
      </c>
      <c r="F67" s="19">
        <v>0</v>
      </c>
      <c r="G67" s="19">
        <v>0</v>
      </c>
      <c r="H67" s="19">
        <v>0</v>
      </c>
      <c r="I67" s="19">
        <v>1200</v>
      </c>
      <c r="J67" s="19">
        <v>0</v>
      </c>
      <c r="K67" s="19">
        <f t="shared" si="0"/>
        <v>0</v>
      </c>
      <c r="L67" s="20">
        <v>416.66666666666703</v>
      </c>
      <c r="M67" s="19">
        <v>23</v>
      </c>
      <c r="N67" s="20">
        <f t="shared" si="9"/>
        <v>7.9861111111111187</v>
      </c>
      <c r="O67" s="18"/>
      <c r="P67" s="6">
        <v>2131</v>
      </c>
      <c r="Q67" s="7">
        <f t="shared" si="1"/>
        <v>2557200</v>
      </c>
      <c r="R67" s="7">
        <f t="shared" si="2"/>
        <v>887916.66666666744</v>
      </c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35">
      <c r="A68" s="4" t="s">
        <v>196</v>
      </c>
      <c r="B68" s="19" t="s">
        <v>19</v>
      </c>
      <c r="C68" s="19" t="s">
        <v>20</v>
      </c>
      <c r="D68" s="19">
        <v>10</v>
      </c>
      <c r="E68" s="19">
        <v>0</v>
      </c>
      <c r="F68" s="19">
        <v>2100</v>
      </c>
      <c r="G68" s="19">
        <v>0</v>
      </c>
      <c r="H68" s="19">
        <v>0</v>
      </c>
      <c r="I68" s="19">
        <v>1050</v>
      </c>
      <c r="J68" s="19">
        <v>0</v>
      </c>
      <c r="K68" s="19">
        <f t="shared" si="0"/>
        <v>1050</v>
      </c>
      <c r="L68" s="20">
        <v>1050</v>
      </c>
      <c r="M68" s="19">
        <v>23</v>
      </c>
      <c r="N68" s="20">
        <f t="shared" si="9"/>
        <v>23</v>
      </c>
      <c r="O68" s="18"/>
      <c r="P68" s="6">
        <v>2121</v>
      </c>
      <c r="Q68" s="7">
        <f t="shared" si="1"/>
        <v>2227050</v>
      </c>
      <c r="R68" s="7">
        <f t="shared" si="2"/>
        <v>2227050</v>
      </c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35">
      <c r="A69" s="4" t="s">
        <v>82</v>
      </c>
      <c r="B69" s="19" t="s">
        <v>19</v>
      </c>
      <c r="C69" s="19" t="s">
        <v>20</v>
      </c>
      <c r="D69" s="19">
        <v>10</v>
      </c>
      <c r="E69" s="19">
        <v>1921</v>
      </c>
      <c r="F69" s="19">
        <v>1050</v>
      </c>
      <c r="G69" s="19">
        <v>0</v>
      </c>
      <c r="H69" s="19">
        <v>0</v>
      </c>
      <c r="I69" s="19">
        <v>0</v>
      </c>
      <c r="J69" s="19">
        <v>2441</v>
      </c>
      <c r="K69" s="19">
        <f t="shared" si="0"/>
        <v>530</v>
      </c>
      <c r="L69" s="20">
        <v>1628</v>
      </c>
      <c r="M69" s="19">
        <v>23</v>
      </c>
      <c r="N69" s="20">
        <f t="shared" si="9"/>
        <v>15.339614911921345</v>
      </c>
      <c r="O69" s="18"/>
      <c r="P69" s="6">
        <v>4592</v>
      </c>
      <c r="Q69" s="7">
        <f t="shared" si="1"/>
        <v>11209072</v>
      </c>
      <c r="R69" s="7">
        <f t="shared" si="2"/>
        <v>7475776</v>
      </c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35">
      <c r="A70" s="4" t="s">
        <v>83</v>
      </c>
      <c r="B70" s="19" t="s">
        <v>19</v>
      </c>
      <c r="C70" s="19" t="s">
        <v>20</v>
      </c>
      <c r="D70" s="19">
        <v>10</v>
      </c>
      <c r="E70" s="19">
        <v>9344</v>
      </c>
      <c r="F70" s="19">
        <v>3700</v>
      </c>
      <c r="G70" s="19">
        <v>0</v>
      </c>
      <c r="H70" s="19">
        <v>0</v>
      </c>
      <c r="I70" s="19">
        <v>0</v>
      </c>
      <c r="J70" s="19">
        <v>10600</v>
      </c>
      <c r="K70" s="19">
        <f t="shared" si="0"/>
        <v>2444</v>
      </c>
      <c r="L70" s="20">
        <v>4344</v>
      </c>
      <c r="M70" s="19">
        <v>23</v>
      </c>
      <c r="N70" s="20">
        <f t="shared" si="9"/>
        <v>9.4256603773584899</v>
      </c>
      <c r="O70" s="18"/>
      <c r="P70" s="6">
        <v>2297</v>
      </c>
      <c r="Q70" s="7">
        <f t="shared" si="1"/>
        <v>24348200</v>
      </c>
      <c r="R70" s="7">
        <f t="shared" si="2"/>
        <v>9978168</v>
      </c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35">
      <c r="A71" s="4" t="s">
        <v>84</v>
      </c>
      <c r="B71" s="19" t="s">
        <v>19</v>
      </c>
      <c r="C71" s="19" t="s">
        <v>20</v>
      </c>
      <c r="D71" s="19">
        <v>10</v>
      </c>
      <c r="E71" s="19">
        <v>1375</v>
      </c>
      <c r="F71" s="19">
        <v>0</v>
      </c>
      <c r="G71" s="19">
        <v>0</v>
      </c>
      <c r="H71" s="19">
        <v>0</v>
      </c>
      <c r="I71" s="19">
        <v>0</v>
      </c>
      <c r="J71" s="19">
        <v>525</v>
      </c>
      <c r="K71" s="19">
        <f t="shared" si="0"/>
        <v>850</v>
      </c>
      <c r="L71" s="20">
        <v>1083.3333333333301</v>
      </c>
      <c r="M71" s="19">
        <v>23</v>
      </c>
      <c r="N71" s="20">
        <f t="shared" si="9"/>
        <v>47.46031746031732</v>
      </c>
      <c r="O71" s="18"/>
      <c r="P71" s="6">
        <v>4592</v>
      </c>
      <c r="Q71" s="7">
        <f t="shared" si="1"/>
        <v>2410800</v>
      </c>
      <c r="R71" s="7">
        <f t="shared" si="2"/>
        <v>4974666.6666666521</v>
      </c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35">
      <c r="A72" s="4" t="s">
        <v>85</v>
      </c>
      <c r="B72" s="19" t="s">
        <v>22</v>
      </c>
      <c r="C72" s="19" t="s">
        <v>20</v>
      </c>
      <c r="D72" s="19">
        <v>10</v>
      </c>
      <c r="E72" s="19">
        <v>19290</v>
      </c>
      <c r="F72" s="19">
        <v>81475</v>
      </c>
      <c r="G72" s="19">
        <v>0</v>
      </c>
      <c r="H72" s="19">
        <v>0</v>
      </c>
      <c r="I72" s="19">
        <v>0</v>
      </c>
      <c r="J72" s="19">
        <v>97384</v>
      </c>
      <c r="K72" s="19">
        <f t="shared" si="0"/>
        <v>3381</v>
      </c>
      <c r="L72" s="20">
        <v>18712.8125</v>
      </c>
      <c r="M72" s="19">
        <v>23</v>
      </c>
      <c r="N72" s="20">
        <f t="shared" si="9"/>
        <v>4.4195626334921547</v>
      </c>
      <c r="O72" s="18"/>
      <c r="P72" s="6">
        <v>1419</v>
      </c>
      <c r="Q72" s="7">
        <f t="shared" si="1"/>
        <v>138187896</v>
      </c>
      <c r="R72" s="7">
        <f t="shared" si="2"/>
        <v>26553480.9375</v>
      </c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35">
      <c r="A73" s="4" t="s">
        <v>86</v>
      </c>
      <c r="B73" s="19" t="s">
        <v>19</v>
      </c>
      <c r="C73" s="19" t="s">
        <v>20</v>
      </c>
      <c r="D73" s="19">
        <v>10</v>
      </c>
      <c r="E73" s="19">
        <v>3192</v>
      </c>
      <c r="F73" s="19">
        <v>0</v>
      </c>
      <c r="G73" s="19">
        <v>0</v>
      </c>
      <c r="H73" s="19">
        <v>0</v>
      </c>
      <c r="I73" s="19">
        <v>0</v>
      </c>
      <c r="J73" s="19">
        <v>500</v>
      </c>
      <c r="K73" s="19">
        <f t="shared" si="0"/>
        <v>2692</v>
      </c>
      <c r="L73" s="20">
        <v>2892</v>
      </c>
      <c r="M73" s="19">
        <v>23</v>
      </c>
      <c r="N73" s="20">
        <f t="shared" si="9"/>
        <v>133.03199999999998</v>
      </c>
      <c r="O73" s="18"/>
      <c r="P73" s="6">
        <v>4592</v>
      </c>
      <c r="Q73" s="7">
        <f t="shared" si="1"/>
        <v>2296000</v>
      </c>
      <c r="R73" s="7">
        <f t="shared" si="2"/>
        <v>13280064</v>
      </c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35">
      <c r="A74" s="4" t="s">
        <v>190</v>
      </c>
      <c r="B74" s="19" t="s">
        <v>19</v>
      </c>
      <c r="C74" s="19" t="s">
        <v>20</v>
      </c>
      <c r="D74" s="19">
        <v>10</v>
      </c>
      <c r="E74" s="19">
        <v>3025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f t="shared" si="0"/>
        <v>3025</v>
      </c>
      <c r="L74" s="20">
        <v>0</v>
      </c>
      <c r="M74" s="19">
        <v>23</v>
      </c>
      <c r="N74" s="20">
        <v>0</v>
      </c>
      <c r="O74" s="18"/>
      <c r="P74" s="6">
        <v>2103</v>
      </c>
      <c r="Q74" s="7">
        <f t="shared" si="1"/>
        <v>0</v>
      </c>
      <c r="R74" s="7">
        <f t="shared" si="2"/>
        <v>0</v>
      </c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35">
      <c r="A75" s="4" t="s">
        <v>88</v>
      </c>
      <c r="B75" s="19" t="s">
        <v>19</v>
      </c>
      <c r="C75" s="19" t="s">
        <v>20</v>
      </c>
      <c r="D75" s="19">
        <v>10</v>
      </c>
      <c r="E75" s="19">
        <v>16575</v>
      </c>
      <c r="F75" s="19">
        <v>0</v>
      </c>
      <c r="G75" s="19">
        <v>0</v>
      </c>
      <c r="H75" s="19">
        <v>0</v>
      </c>
      <c r="I75" s="19">
        <v>0</v>
      </c>
      <c r="J75" s="19">
        <v>5075</v>
      </c>
      <c r="K75" s="19">
        <f t="shared" si="0"/>
        <v>11500</v>
      </c>
      <c r="L75" s="20">
        <v>12750</v>
      </c>
      <c r="M75" s="19">
        <v>23</v>
      </c>
      <c r="N75" s="20">
        <f t="shared" ref="N75:N80" si="10">(L75/(I75+J75))*M75</f>
        <v>57.783251231527089</v>
      </c>
      <c r="O75" s="18"/>
      <c r="P75" s="6">
        <v>2103</v>
      </c>
      <c r="Q75" s="7">
        <f t="shared" si="1"/>
        <v>10672725</v>
      </c>
      <c r="R75" s="7">
        <f t="shared" si="2"/>
        <v>26813250</v>
      </c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35">
      <c r="A76" s="4" t="s">
        <v>89</v>
      </c>
      <c r="B76" s="19" t="s">
        <v>19</v>
      </c>
      <c r="C76" s="19" t="s">
        <v>20</v>
      </c>
      <c r="D76" s="19">
        <v>10</v>
      </c>
      <c r="E76" s="19">
        <v>2064</v>
      </c>
      <c r="F76" s="19">
        <v>3030</v>
      </c>
      <c r="G76" s="19">
        <v>0</v>
      </c>
      <c r="H76" s="19">
        <v>0</v>
      </c>
      <c r="I76" s="19">
        <v>0</v>
      </c>
      <c r="J76" s="19">
        <v>2220</v>
      </c>
      <c r="K76" s="19">
        <f t="shared" si="0"/>
        <v>2874</v>
      </c>
      <c r="L76" s="20">
        <v>2356.5</v>
      </c>
      <c r="M76" s="19">
        <v>23</v>
      </c>
      <c r="N76" s="20">
        <f t="shared" si="10"/>
        <v>24.414189189189191</v>
      </c>
      <c r="O76" s="18"/>
      <c r="P76" s="6">
        <v>4592</v>
      </c>
      <c r="Q76" s="7">
        <f t="shared" si="1"/>
        <v>10194240</v>
      </c>
      <c r="R76" s="7">
        <f t="shared" si="2"/>
        <v>10821048</v>
      </c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35">
      <c r="A77" s="4" t="s">
        <v>90</v>
      </c>
      <c r="B77" s="19" t="s">
        <v>19</v>
      </c>
      <c r="C77" s="19" t="s">
        <v>20</v>
      </c>
      <c r="D77" s="19">
        <v>10</v>
      </c>
      <c r="E77" s="19">
        <v>3257</v>
      </c>
      <c r="F77" s="19">
        <v>0</v>
      </c>
      <c r="G77" s="19">
        <v>0</v>
      </c>
      <c r="H77" s="19">
        <v>0</v>
      </c>
      <c r="I77" s="19">
        <v>0</v>
      </c>
      <c r="J77" s="19">
        <v>1745</v>
      </c>
      <c r="K77" s="19">
        <f t="shared" si="0"/>
        <v>1512</v>
      </c>
      <c r="L77" s="20">
        <v>1712</v>
      </c>
      <c r="M77" s="19">
        <v>23</v>
      </c>
      <c r="N77" s="20">
        <f t="shared" si="10"/>
        <v>22.565042979942692</v>
      </c>
      <c r="O77" s="18"/>
      <c r="P77" s="6">
        <v>2297</v>
      </c>
      <c r="Q77" s="7">
        <f t="shared" si="1"/>
        <v>4008265</v>
      </c>
      <c r="R77" s="7">
        <f t="shared" si="2"/>
        <v>3932464</v>
      </c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35">
      <c r="A78" s="4" t="s">
        <v>91</v>
      </c>
      <c r="B78" s="19" t="s">
        <v>19</v>
      </c>
      <c r="C78" s="19" t="s">
        <v>20</v>
      </c>
      <c r="D78" s="19">
        <v>10</v>
      </c>
      <c r="E78" s="19">
        <v>950</v>
      </c>
      <c r="F78" s="19">
        <v>1042</v>
      </c>
      <c r="G78" s="19">
        <v>0</v>
      </c>
      <c r="H78" s="19">
        <v>0</v>
      </c>
      <c r="I78" s="19">
        <v>0</v>
      </c>
      <c r="J78" s="19">
        <v>275</v>
      </c>
      <c r="K78" s="19">
        <f t="shared" si="0"/>
        <v>1717</v>
      </c>
      <c r="L78" s="20">
        <v>1435.2</v>
      </c>
      <c r="M78" s="19">
        <v>23</v>
      </c>
      <c r="N78" s="20">
        <f t="shared" si="10"/>
        <v>120.0349090909091</v>
      </c>
      <c r="O78" s="18"/>
      <c r="P78" s="6">
        <v>2616</v>
      </c>
      <c r="Q78" s="7">
        <f t="shared" si="1"/>
        <v>719400</v>
      </c>
      <c r="R78" s="7">
        <f t="shared" si="2"/>
        <v>3754483.2</v>
      </c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35">
      <c r="A79" s="4" t="s">
        <v>92</v>
      </c>
      <c r="B79" s="19" t="s">
        <v>22</v>
      </c>
      <c r="C79" s="19" t="s">
        <v>20</v>
      </c>
      <c r="D79" s="19">
        <v>10</v>
      </c>
      <c r="E79" s="19">
        <v>27325</v>
      </c>
      <c r="F79" s="19">
        <v>26000</v>
      </c>
      <c r="G79" s="19">
        <v>0</v>
      </c>
      <c r="H79" s="19">
        <v>0</v>
      </c>
      <c r="I79" s="19">
        <v>0</v>
      </c>
      <c r="J79" s="19">
        <v>39500</v>
      </c>
      <c r="K79" s="19">
        <f t="shared" si="0"/>
        <v>13825</v>
      </c>
      <c r="L79" s="20">
        <v>22597.727272727301</v>
      </c>
      <c r="M79" s="19">
        <v>23</v>
      </c>
      <c r="N79" s="20">
        <f t="shared" si="10"/>
        <v>13.158170310701973</v>
      </c>
      <c r="O79" s="18"/>
      <c r="P79" s="6">
        <v>1419</v>
      </c>
      <c r="Q79" s="7">
        <f t="shared" si="1"/>
        <v>56050500</v>
      </c>
      <c r="R79" s="7">
        <f t="shared" si="2"/>
        <v>32066175.000000041</v>
      </c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35">
      <c r="A80" s="4" t="s">
        <v>93</v>
      </c>
      <c r="B80" s="19" t="s">
        <v>19</v>
      </c>
      <c r="C80" s="19" t="s">
        <v>20</v>
      </c>
      <c r="D80" s="19">
        <v>10</v>
      </c>
      <c r="E80" s="19">
        <v>1058</v>
      </c>
      <c r="F80" s="19">
        <v>0</v>
      </c>
      <c r="G80" s="19">
        <v>0</v>
      </c>
      <c r="H80" s="19">
        <v>0</v>
      </c>
      <c r="I80" s="19">
        <v>0</v>
      </c>
      <c r="J80" s="19">
        <v>435</v>
      </c>
      <c r="K80" s="19">
        <f t="shared" si="0"/>
        <v>623</v>
      </c>
      <c r="L80" s="20">
        <v>773</v>
      </c>
      <c r="M80" s="19">
        <v>23</v>
      </c>
      <c r="N80" s="20">
        <f t="shared" si="10"/>
        <v>40.871264367816096</v>
      </c>
      <c r="O80" s="18"/>
      <c r="P80" s="6">
        <v>2616</v>
      </c>
      <c r="Q80" s="7">
        <f t="shared" si="1"/>
        <v>1137960</v>
      </c>
      <c r="R80" s="7">
        <f t="shared" si="2"/>
        <v>2022168</v>
      </c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35">
      <c r="A81" s="4" t="s">
        <v>94</v>
      </c>
      <c r="B81" s="19" t="s">
        <v>19</v>
      </c>
      <c r="C81" s="19" t="s">
        <v>20</v>
      </c>
      <c r="D81" s="19">
        <v>10</v>
      </c>
      <c r="E81" s="19">
        <v>360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f t="shared" si="0"/>
        <v>360</v>
      </c>
      <c r="L81" s="20">
        <v>0</v>
      </c>
      <c r="M81" s="19">
        <v>23</v>
      </c>
      <c r="N81" s="20">
        <v>0</v>
      </c>
      <c r="O81" s="18"/>
      <c r="P81" s="6">
        <v>7550</v>
      </c>
      <c r="Q81" s="7">
        <f t="shared" si="1"/>
        <v>0</v>
      </c>
      <c r="R81" s="7">
        <f t="shared" si="2"/>
        <v>0</v>
      </c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35">
      <c r="A82" s="4" t="s">
        <v>95</v>
      </c>
      <c r="B82" s="19" t="s">
        <v>19</v>
      </c>
      <c r="C82" s="19" t="s">
        <v>20</v>
      </c>
      <c r="D82" s="19">
        <v>10</v>
      </c>
      <c r="E82" s="19">
        <v>5907</v>
      </c>
      <c r="F82" s="19">
        <v>38305</v>
      </c>
      <c r="G82" s="19">
        <v>0</v>
      </c>
      <c r="H82" s="19">
        <v>0</v>
      </c>
      <c r="I82" s="19">
        <v>32730</v>
      </c>
      <c r="J82" s="19">
        <v>0</v>
      </c>
      <c r="K82" s="19">
        <f t="shared" si="0"/>
        <v>11482</v>
      </c>
      <c r="L82" s="20">
        <v>12938.388888888901</v>
      </c>
      <c r="M82" s="19">
        <v>23</v>
      </c>
      <c r="N82" s="20">
        <f t="shared" ref="N82:N105" si="11">(L82/(I82+J82))*M82</f>
        <v>9.0920545201480216</v>
      </c>
      <c r="O82" s="18"/>
      <c r="P82" s="6">
        <v>7550</v>
      </c>
      <c r="Q82" s="7">
        <f t="shared" si="1"/>
        <v>247111500</v>
      </c>
      <c r="R82" s="7">
        <f t="shared" si="2"/>
        <v>97684836.111111209</v>
      </c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35">
      <c r="A83" s="4" t="s">
        <v>96</v>
      </c>
      <c r="B83" s="19" t="s">
        <v>19</v>
      </c>
      <c r="C83" s="19" t="s">
        <v>20</v>
      </c>
      <c r="D83" s="19">
        <v>10</v>
      </c>
      <c r="E83" s="19">
        <v>3864</v>
      </c>
      <c r="F83" s="19">
        <v>1050</v>
      </c>
      <c r="G83" s="19">
        <v>0</v>
      </c>
      <c r="H83" s="19">
        <v>0</v>
      </c>
      <c r="I83" s="19">
        <v>0</v>
      </c>
      <c r="J83" s="19">
        <v>2984</v>
      </c>
      <c r="K83" s="19">
        <f t="shared" si="0"/>
        <v>1930</v>
      </c>
      <c r="L83" s="20">
        <v>2991.2000000000003</v>
      </c>
      <c r="M83" s="19">
        <v>23</v>
      </c>
      <c r="N83" s="20">
        <f t="shared" si="11"/>
        <v>23.05549597855228</v>
      </c>
      <c r="O83" s="18"/>
      <c r="P83" s="6">
        <v>4592</v>
      </c>
      <c r="Q83" s="7">
        <f t="shared" si="1"/>
        <v>13702528</v>
      </c>
      <c r="R83" s="7">
        <f t="shared" si="2"/>
        <v>13735590.4</v>
      </c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35">
      <c r="A84" s="4" t="s">
        <v>97</v>
      </c>
      <c r="B84" s="19" t="s">
        <v>19</v>
      </c>
      <c r="C84" s="19" t="s">
        <v>20</v>
      </c>
      <c r="D84" s="19">
        <v>10</v>
      </c>
      <c r="E84" s="19">
        <v>4080</v>
      </c>
      <c r="F84" s="19">
        <v>5018</v>
      </c>
      <c r="G84" s="19">
        <v>0</v>
      </c>
      <c r="H84" s="19">
        <v>0</v>
      </c>
      <c r="I84" s="19">
        <v>0</v>
      </c>
      <c r="J84" s="19">
        <v>7096</v>
      </c>
      <c r="K84" s="19">
        <f t="shared" si="0"/>
        <v>2002</v>
      </c>
      <c r="L84" s="20">
        <v>3200.625</v>
      </c>
      <c r="M84" s="19">
        <v>23</v>
      </c>
      <c r="N84" s="20">
        <f t="shared" si="11"/>
        <v>10.374066375422773</v>
      </c>
      <c r="O84" s="18"/>
      <c r="P84" s="6">
        <v>2297</v>
      </c>
      <c r="Q84" s="7">
        <f t="shared" si="1"/>
        <v>16299512</v>
      </c>
      <c r="R84" s="7">
        <f t="shared" si="2"/>
        <v>7351835.625</v>
      </c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35">
      <c r="A85" s="4" t="s">
        <v>98</v>
      </c>
      <c r="B85" s="19" t="s">
        <v>19</v>
      </c>
      <c r="C85" s="19" t="s">
        <v>20</v>
      </c>
      <c r="D85" s="19">
        <v>10</v>
      </c>
      <c r="E85" s="19">
        <v>650</v>
      </c>
      <c r="F85" s="19">
        <v>0</v>
      </c>
      <c r="G85" s="19">
        <v>0</v>
      </c>
      <c r="H85" s="19">
        <v>0</v>
      </c>
      <c r="I85" s="19">
        <v>0</v>
      </c>
      <c r="J85" s="19">
        <v>225</v>
      </c>
      <c r="K85" s="19">
        <f t="shared" si="0"/>
        <v>425</v>
      </c>
      <c r="L85" s="20">
        <v>437.5</v>
      </c>
      <c r="M85" s="19">
        <v>23</v>
      </c>
      <c r="N85" s="20">
        <f t="shared" si="11"/>
        <v>44.722222222222221</v>
      </c>
      <c r="O85" s="18"/>
      <c r="P85" s="6">
        <v>2616</v>
      </c>
      <c r="Q85" s="7">
        <f t="shared" si="1"/>
        <v>588600</v>
      </c>
      <c r="R85" s="7">
        <f t="shared" si="2"/>
        <v>1144500</v>
      </c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35">
      <c r="A86" s="4" t="s">
        <v>99</v>
      </c>
      <c r="B86" s="19" t="s">
        <v>22</v>
      </c>
      <c r="C86" s="19" t="s">
        <v>20</v>
      </c>
      <c r="D86" s="19">
        <v>10</v>
      </c>
      <c r="E86" s="19">
        <v>15990</v>
      </c>
      <c r="F86" s="19">
        <v>36500</v>
      </c>
      <c r="G86" s="19">
        <v>0</v>
      </c>
      <c r="H86" s="19">
        <v>0</v>
      </c>
      <c r="I86" s="19">
        <v>0</v>
      </c>
      <c r="J86" s="19">
        <v>37500</v>
      </c>
      <c r="K86" s="19">
        <f t="shared" si="0"/>
        <v>14990</v>
      </c>
      <c r="L86" s="20">
        <v>10450.416666666701</v>
      </c>
      <c r="M86" s="19">
        <v>23</v>
      </c>
      <c r="N86" s="20">
        <f t="shared" si="11"/>
        <v>6.4095888888889103</v>
      </c>
      <c r="O86" s="18"/>
      <c r="P86" s="6">
        <v>1419</v>
      </c>
      <c r="Q86" s="7">
        <f t="shared" si="1"/>
        <v>53212500</v>
      </c>
      <c r="R86" s="7">
        <f t="shared" si="2"/>
        <v>14829141.250000048</v>
      </c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35">
      <c r="A87" s="4" t="s">
        <v>100</v>
      </c>
      <c r="B87" s="19" t="s">
        <v>19</v>
      </c>
      <c r="C87" s="19" t="s">
        <v>20</v>
      </c>
      <c r="D87" s="19">
        <v>10</v>
      </c>
      <c r="E87" s="19">
        <v>1461</v>
      </c>
      <c r="F87" s="19">
        <v>0</v>
      </c>
      <c r="G87" s="19">
        <v>0</v>
      </c>
      <c r="H87" s="19">
        <v>0</v>
      </c>
      <c r="I87" s="19">
        <v>0</v>
      </c>
      <c r="J87" s="19">
        <v>150</v>
      </c>
      <c r="K87" s="19">
        <f t="shared" si="0"/>
        <v>1311</v>
      </c>
      <c r="L87" s="20">
        <v>1311</v>
      </c>
      <c r="M87" s="19">
        <v>23</v>
      </c>
      <c r="N87" s="20">
        <f t="shared" si="11"/>
        <v>201.02</v>
      </c>
      <c r="O87" s="18"/>
      <c r="P87" s="6">
        <v>2616</v>
      </c>
      <c r="Q87" s="7">
        <f t="shared" si="1"/>
        <v>392400</v>
      </c>
      <c r="R87" s="7">
        <f t="shared" si="2"/>
        <v>3429576</v>
      </c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35">
      <c r="A88" s="4" t="s">
        <v>101</v>
      </c>
      <c r="B88" s="19" t="s">
        <v>19</v>
      </c>
      <c r="C88" s="19" t="s">
        <v>20</v>
      </c>
      <c r="D88" s="19">
        <v>10</v>
      </c>
      <c r="E88" s="19">
        <v>1585</v>
      </c>
      <c r="F88" s="19">
        <v>1050</v>
      </c>
      <c r="G88" s="19">
        <v>0</v>
      </c>
      <c r="H88" s="19">
        <v>0</v>
      </c>
      <c r="I88" s="19">
        <v>0</v>
      </c>
      <c r="J88" s="19">
        <v>1110</v>
      </c>
      <c r="K88" s="19">
        <f t="shared" si="0"/>
        <v>1525</v>
      </c>
      <c r="L88" s="20">
        <v>1421.6666666666702</v>
      </c>
      <c r="M88" s="19">
        <v>23</v>
      </c>
      <c r="N88" s="20">
        <f t="shared" si="11"/>
        <v>29.45795795795803</v>
      </c>
      <c r="O88" s="18"/>
      <c r="P88" s="6">
        <v>4592</v>
      </c>
      <c r="Q88" s="7">
        <f t="shared" si="1"/>
        <v>5097120</v>
      </c>
      <c r="R88" s="7">
        <f t="shared" si="2"/>
        <v>6528293.3333333498</v>
      </c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35">
      <c r="A89" s="4" t="s">
        <v>102</v>
      </c>
      <c r="B89" s="19" t="s">
        <v>19</v>
      </c>
      <c r="C89" s="19" t="s">
        <v>20</v>
      </c>
      <c r="D89" s="19">
        <v>10</v>
      </c>
      <c r="E89" s="19">
        <v>16540</v>
      </c>
      <c r="F89" s="19">
        <v>0</v>
      </c>
      <c r="G89" s="19">
        <v>0</v>
      </c>
      <c r="H89" s="19">
        <v>0</v>
      </c>
      <c r="I89" s="19">
        <v>0</v>
      </c>
      <c r="J89" s="19">
        <v>2125</v>
      </c>
      <c r="K89" s="19">
        <f t="shared" si="0"/>
        <v>14415</v>
      </c>
      <c r="L89" s="20">
        <v>14915</v>
      </c>
      <c r="M89" s="19">
        <v>23</v>
      </c>
      <c r="N89" s="20">
        <f t="shared" si="11"/>
        <v>161.43294117647059</v>
      </c>
      <c r="O89" s="18"/>
      <c r="P89" s="6">
        <v>2297</v>
      </c>
      <c r="Q89" s="7">
        <f t="shared" si="1"/>
        <v>4881125</v>
      </c>
      <c r="R89" s="7">
        <f t="shared" si="2"/>
        <v>34259755</v>
      </c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35">
      <c r="A90" s="4" t="s">
        <v>103</v>
      </c>
      <c r="B90" s="19" t="s">
        <v>19</v>
      </c>
      <c r="C90" s="19" t="s">
        <v>20</v>
      </c>
      <c r="D90" s="19">
        <v>10</v>
      </c>
      <c r="E90" s="19">
        <v>1800</v>
      </c>
      <c r="F90" s="19">
        <v>0</v>
      </c>
      <c r="G90" s="19">
        <v>0</v>
      </c>
      <c r="H90" s="19">
        <v>0</v>
      </c>
      <c r="I90" s="19">
        <v>0</v>
      </c>
      <c r="J90" s="19">
        <v>425</v>
      </c>
      <c r="K90" s="19">
        <f t="shared" si="0"/>
        <v>1375</v>
      </c>
      <c r="L90" s="20">
        <v>1487.5</v>
      </c>
      <c r="M90" s="19">
        <v>23</v>
      </c>
      <c r="N90" s="20">
        <f t="shared" si="11"/>
        <v>80.5</v>
      </c>
      <c r="O90" s="18"/>
      <c r="P90" s="6">
        <v>2616</v>
      </c>
      <c r="Q90" s="7">
        <f t="shared" si="1"/>
        <v>1111800</v>
      </c>
      <c r="R90" s="7">
        <f t="shared" si="2"/>
        <v>3891300</v>
      </c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35">
      <c r="A91" s="4" t="s">
        <v>104</v>
      </c>
      <c r="B91" s="19" t="s">
        <v>22</v>
      </c>
      <c r="C91" s="19" t="s">
        <v>20</v>
      </c>
      <c r="D91" s="19">
        <v>10</v>
      </c>
      <c r="E91" s="19">
        <v>6100</v>
      </c>
      <c r="F91" s="19">
        <v>43000</v>
      </c>
      <c r="G91" s="19">
        <v>0</v>
      </c>
      <c r="H91" s="19">
        <v>0</v>
      </c>
      <c r="I91" s="19">
        <v>0</v>
      </c>
      <c r="J91" s="19">
        <v>41650</v>
      </c>
      <c r="K91" s="19">
        <f t="shared" si="0"/>
        <v>7450</v>
      </c>
      <c r="L91" s="20">
        <v>14643.333333333299</v>
      </c>
      <c r="M91" s="19">
        <v>23</v>
      </c>
      <c r="N91" s="20">
        <f t="shared" si="11"/>
        <v>8.0863545418167089</v>
      </c>
      <c r="O91" s="18"/>
      <c r="P91" s="6">
        <v>1419</v>
      </c>
      <c r="Q91" s="7">
        <f t="shared" si="1"/>
        <v>59101350</v>
      </c>
      <c r="R91" s="7">
        <f t="shared" si="2"/>
        <v>20778889.999999952</v>
      </c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35">
      <c r="A92" s="4" t="s">
        <v>105</v>
      </c>
      <c r="B92" s="19" t="s">
        <v>19</v>
      </c>
      <c r="C92" s="19" t="s">
        <v>20</v>
      </c>
      <c r="D92" s="19">
        <v>10</v>
      </c>
      <c r="E92" s="19">
        <v>239</v>
      </c>
      <c r="F92" s="19">
        <v>1050</v>
      </c>
      <c r="G92" s="19">
        <v>0</v>
      </c>
      <c r="H92" s="19">
        <v>0</v>
      </c>
      <c r="I92" s="19">
        <v>0</v>
      </c>
      <c r="J92" s="19">
        <v>550</v>
      </c>
      <c r="K92" s="19">
        <f t="shared" si="0"/>
        <v>739</v>
      </c>
      <c r="L92" s="20">
        <v>764</v>
      </c>
      <c r="M92" s="19">
        <v>23</v>
      </c>
      <c r="N92" s="20">
        <f t="shared" si="11"/>
        <v>31.949090909090909</v>
      </c>
      <c r="O92" s="18"/>
      <c r="P92" s="6">
        <v>1419</v>
      </c>
      <c r="Q92" s="7">
        <f t="shared" si="1"/>
        <v>780450</v>
      </c>
      <c r="R92" s="7">
        <f t="shared" si="2"/>
        <v>1084116</v>
      </c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35">
      <c r="A93" s="4" t="s">
        <v>106</v>
      </c>
      <c r="B93" s="19" t="s">
        <v>19</v>
      </c>
      <c r="C93" s="19" t="s">
        <v>20</v>
      </c>
      <c r="D93" s="19">
        <v>10</v>
      </c>
      <c r="E93" s="19">
        <v>11676</v>
      </c>
      <c r="F93" s="19">
        <v>24747</v>
      </c>
      <c r="G93" s="19">
        <v>0</v>
      </c>
      <c r="H93" s="19">
        <v>0</v>
      </c>
      <c r="I93" s="19">
        <v>0</v>
      </c>
      <c r="J93" s="19">
        <v>22222</v>
      </c>
      <c r="K93" s="19">
        <f t="shared" si="0"/>
        <v>14201</v>
      </c>
      <c r="L93" s="20">
        <v>11803.75</v>
      </c>
      <c r="M93" s="19">
        <v>23</v>
      </c>
      <c r="N93" s="20">
        <f t="shared" si="11"/>
        <v>12.217003420034201</v>
      </c>
      <c r="O93" s="18"/>
      <c r="P93" s="6">
        <v>1968</v>
      </c>
      <c r="Q93" s="7">
        <f t="shared" si="1"/>
        <v>43732896</v>
      </c>
      <c r="R93" s="7">
        <f t="shared" si="2"/>
        <v>23229780</v>
      </c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35">
      <c r="A94" s="4" t="s">
        <v>109</v>
      </c>
      <c r="B94" s="19" t="s">
        <v>19</v>
      </c>
      <c r="C94" s="19" t="s">
        <v>20</v>
      </c>
      <c r="D94" s="19">
        <v>10</v>
      </c>
      <c r="E94" s="19">
        <v>12630</v>
      </c>
      <c r="F94" s="19">
        <v>7300</v>
      </c>
      <c r="G94" s="19">
        <v>0</v>
      </c>
      <c r="H94" s="19">
        <v>0</v>
      </c>
      <c r="I94" s="19">
        <v>7575</v>
      </c>
      <c r="J94" s="19">
        <v>0</v>
      </c>
      <c r="K94" s="19">
        <f t="shared" si="0"/>
        <v>12355</v>
      </c>
      <c r="L94" s="20">
        <v>9623.75</v>
      </c>
      <c r="M94" s="19">
        <v>23</v>
      </c>
      <c r="N94" s="20">
        <f t="shared" si="11"/>
        <v>29.220627062706274</v>
      </c>
      <c r="O94" s="18"/>
      <c r="P94" s="6">
        <v>1968</v>
      </c>
      <c r="Q94" s="7">
        <f t="shared" si="1"/>
        <v>14907600</v>
      </c>
      <c r="R94" s="7">
        <f t="shared" si="2"/>
        <v>18939540</v>
      </c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35">
      <c r="A95" s="4" t="s">
        <v>191</v>
      </c>
      <c r="B95" s="19" t="s">
        <v>19</v>
      </c>
      <c r="C95" s="19" t="s">
        <v>20</v>
      </c>
      <c r="D95" s="19">
        <v>10</v>
      </c>
      <c r="E95" s="19">
        <v>8172</v>
      </c>
      <c r="F95" s="19">
        <v>11730</v>
      </c>
      <c r="G95" s="19">
        <v>0</v>
      </c>
      <c r="H95" s="19">
        <v>0</v>
      </c>
      <c r="I95" s="19">
        <v>8662</v>
      </c>
      <c r="J95" s="19">
        <v>0</v>
      </c>
      <c r="K95" s="19">
        <f t="shared" si="0"/>
        <v>11240</v>
      </c>
      <c r="L95" s="20">
        <v>10830.75</v>
      </c>
      <c r="M95" s="19">
        <v>23</v>
      </c>
      <c r="N95" s="20">
        <f t="shared" si="11"/>
        <v>28.758629646732857</v>
      </c>
      <c r="O95" s="18"/>
      <c r="P95" s="6">
        <v>2157</v>
      </c>
      <c r="Q95" s="7">
        <f t="shared" si="1"/>
        <v>18683934</v>
      </c>
      <c r="R95" s="7">
        <f t="shared" si="2"/>
        <v>23361927.75</v>
      </c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35">
      <c r="A96" s="4" t="s">
        <v>111</v>
      </c>
      <c r="B96" s="19" t="s">
        <v>19</v>
      </c>
      <c r="C96" s="19" t="s">
        <v>20</v>
      </c>
      <c r="D96" s="19">
        <v>10</v>
      </c>
      <c r="E96" s="19">
        <v>2575</v>
      </c>
      <c r="F96" s="19">
        <v>7014</v>
      </c>
      <c r="G96" s="19">
        <v>0</v>
      </c>
      <c r="H96" s="19">
        <v>0</v>
      </c>
      <c r="I96" s="19">
        <v>0</v>
      </c>
      <c r="J96" s="19">
        <v>5325</v>
      </c>
      <c r="K96" s="19">
        <f t="shared" si="0"/>
        <v>4264</v>
      </c>
      <c r="L96" s="20">
        <v>2662.8</v>
      </c>
      <c r="M96" s="19">
        <v>23</v>
      </c>
      <c r="N96" s="20">
        <f t="shared" si="11"/>
        <v>11.501295774647888</v>
      </c>
      <c r="O96" s="18"/>
      <c r="P96" s="6">
        <v>2031</v>
      </c>
      <c r="Q96" s="7">
        <f t="shared" si="1"/>
        <v>10815075</v>
      </c>
      <c r="R96" s="7">
        <f t="shared" si="2"/>
        <v>5408146.8000000007</v>
      </c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35">
      <c r="A97" s="4" t="s">
        <v>112</v>
      </c>
      <c r="B97" s="19" t="s">
        <v>19</v>
      </c>
      <c r="C97" s="19" t="s">
        <v>20</v>
      </c>
      <c r="D97" s="19">
        <v>10</v>
      </c>
      <c r="E97" s="19">
        <v>6683</v>
      </c>
      <c r="F97" s="19">
        <v>10444</v>
      </c>
      <c r="G97" s="19">
        <v>0</v>
      </c>
      <c r="H97" s="19">
        <v>0</v>
      </c>
      <c r="I97" s="19">
        <v>0</v>
      </c>
      <c r="J97" s="19">
        <v>10137</v>
      </c>
      <c r="K97" s="19">
        <f t="shared" si="0"/>
        <v>6990</v>
      </c>
      <c r="L97" s="20">
        <v>6646</v>
      </c>
      <c r="M97" s="19">
        <v>23</v>
      </c>
      <c r="N97" s="20">
        <f t="shared" si="11"/>
        <v>15.079214757817894</v>
      </c>
      <c r="O97" s="18"/>
      <c r="P97" s="6">
        <v>2031</v>
      </c>
      <c r="Q97" s="7">
        <f t="shared" si="1"/>
        <v>20588247</v>
      </c>
      <c r="R97" s="7">
        <f t="shared" si="2"/>
        <v>13498026</v>
      </c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35">
      <c r="A98" s="4" t="s">
        <v>113</v>
      </c>
      <c r="B98" s="19" t="s">
        <v>19</v>
      </c>
      <c r="C98" s="19" t="s">
        <v>20</v>
      </c>
      <c r="D98" s="19">
        <v>10</v>
      </c>
      <c r="E98" s="19">
        <v>575</v>
      </c>
      <c r="F98" s="19">
        <v>1050</v>
      </c>
      <c r="G98" s="19">
        <v>0</v>
      </c>
      <c r="H98" s="19">
        <v>0</v>
      </c>
      <c r="I98" s="19">
        <v>0</v>
      </c>
      <c r="J98" s="19">
        <v>1050</v>
      </c>
      <c r="K98" s="19">
        <f t="shared" si="0"/>
        <v>575</v>
      </c>
      <c r="L98" s="20">
        <v>1100</v>
      </c>
      <c r="M98" s="19">
        <v>23</v>
      </c>
      <c r="N98" s="20">
        <f t="shared" si="11"/>
        <v>24.095238095238095</v>
      </c>
      <c r="O98" s="18"/>
      <c r="P98" s="6">
        <v>2642</v>
      </c>
      <c r="Q98" s="7">
        <f t="shared" si="1"/>
        <v>2774100</v>
      </c>
      <c r="R98" s="7">
        <f t="shared" si="2"/>
        <v>2906200</v>
      </c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35">
      <c r="A99" s="4" t="s">
        <v>114</v>
      </c>
      <c r="B99" s="19" t="s">
        <v>19</v>
      </c>
      <c r="C99" s="19" t="s">
        <v>20</v>
      </c>
      <c r="D99" s="19">
        <v>10</v>
      </c>
      <c r="E99" s="19">
        <v>600</v>
      </c>
      <c r="F99" s="19">
        <v>3525</v>
      </c>
      <c r="G99" s="19">
        <v>0</v>
      </c>
      <c r="H99" s="19">
        <v>0</v>
      </c>
      <c r="I99" s="19">
        <v>0</v>
      </c>
      <c r="J99" s="19">
        <v>1525</v>
      </c>
      <c r="K99" s="19">
        <f t="shared" si="0"/>
        <v>2600</v>
      </c>
      <c r="L99" s="20">
        <v>3108.3333333333298</v>
      </c>
      <c r="M99" s="19">
        <v>23</v>
      </c>
      <c r="N99" s="20">
        <f t="shared" si="11"/>
        <v>46.879781420764971</v>
      </c>
      <c r="O99" s="18"/>
      <c r="P99" s="6">
        <v>2642</v>
      </c>
      <c r="Q99" s="7">
        <f t="shared" si="1"/>
        <v>4029050</v>
      </c>
      <c r="R99" s="7">
        <f t="shared" si="2"/>
        <v>8212216.6666666577</v>
      </c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35">
      <c r="A100" s="4" t="s">
        <v>115</v>
      </c>
      <c r="B100" s="19" t="s">
        <v>19</v>
      </c>
      <c r="C100" s="19" t="s">
        <v>20</v>
      </c>
      <c r="D100" s="19">
        <v>10</v>
      </c>
      <c r="E100" s="19">
        <v>675</v>
      </c>
      <c r="F100" s="19">
        <v>0</v>
      </c>
      <c r="G100" s="19">
        <v>0</v>
      </c>
      <c r="H100" s="19">
        <v>0</v>
      </c>
      <c r="I100" s="19">
        <v>0</v>
      </c>
      <c r="J100" s="19">
        <v>50</v>
      </c>
      <c r="K100" s="19">
        <f t="shared" si="0"/>
        <v>625</v>
      </c>
      <c r="L100" s="20">
        <v>625</v>
      </c>
      <c r="M100" s="19">
        <v>23</v>
      </c>
      <c r="N100" s="20">
        <f t="shared" si="11"/>
        <v>287.5</v>
      </c>
      <c r="O100" s="18"/>
      <c r="P100" s="6">
        <v>2488</v>
      </c>
      <c r="Q100" s="7">
        <f t="shared" si="1"/>
        <v>124400</v>
      </c>
      <c r="R100" s="7">
        <f t="shared" si="2"/>
        <v>1555000</v>
      </c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35">
      <c r="A101" s="4" t="s">
        <v>116</v>
      </c>
      <c r="B101" s="19" t="s">
        <v>19</v>
      </c>
      <c r="C101" s="19" t="s">
        <v>20</v>
      </c>
      <c r="D101" s="19">
        <v>10</v>
      </c>
      <c r="E101" s="19">
        <v>0</v>
      </c>
      <c r="F101" s="19">
        <v>2050</v>
      </c>
      <c r="G101" s="19">
        <v>0</v>
      </c>
      <c r="H101" s="19">
        <v>0</v>
      </c>
      <c r="I101" s="19">
        <v>0</v>
      </c>
      <c r="J101" s="19">
        <v>2050</v>
      </c>
      <c r="K101" s="19">
        <f t="shared" si="0"/>
        <v>0</v>
      </c>
      <c r="L101" s="20">
        <v>350</v>
      </c>
      <c r="M101" s="19">
        <v>23</v>
      </c>
      <c r="N101" s="20">
        <f t="shared" si="11"/>
        <v>3.9268292682926833</v>
      </c>
      <c r="O101" s="18"/>
      <c r="P101" s="6">
        <v>2431</v>
      </c>
      <c r="Q101" s="7">
        <f t="shared" si="1"/>
        <v>4983550</v>
      </c>
      <c r="R101" s="7">
        <f t="shared" si="2"/>
        <v>850850</v>
      </c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35">
      <c r="A102" s="4" t="s">
        <v>117</v>
      </c>
      <c r="B102" s="19" t="s">
        <v>19</v>
      </c>
      <c r="C102" s="19" t="s">
        <v>20</v>
      </c>
      <c r="D102" s="19">
        <v>10</v>
      </c>
      <c r="E102" s="19">
        <v>1610</v>
      </c>
      <c r="F102" s="19">
        <v>9210</v>
      </c>
      <c r="G102" s="19">
        <v>0</v>
      </c>
      <c r="H102" s="19">
        <v>0</v>
      </c>
      <c r="I102" s="19">
        <v>0</v>
      </c>
      <c r="J102" s="19">
        <v>4640</v>
      </c>
      <c r="K102" s="19">
        <f t="shared" si="0"/>
        <v>6180</v>
      </c>
      <c r="L102" s="20">
        <v>3668.6666666666702</v>
      </c>
      <c r="M102" s="19">
        <v>23</v>
      </c>
      <c r="N102" s="20">
        <f t="shared" si="11"/>
        <v>18.185201149425303</v>
      </c>
      <c r="O102" s="18"/>
      <c r="P102" s="6">
        <v>4592</v>
      </c>
      <c r="Q102" s="7">
        <f t="shared" si="1"/>
        <v>21306880</v>
      </c>
      <c r="R102" s="7">
        <f t="shared" si="2"/>
        <v>16846517.333333351</v>
      </c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35">
      <c r="A103" s="4" t="s">
        <v>118</v>
      </c>
      <c r="B103" s="19" t="s">
        <v>19</v>
      </c>
      <c r="C103" s="19" t="s">
        <v>20</v>
      </c>
      <c r="D103" s="19">
        <v>10</v>
      </c>
      <c r="E103" s="19">
        <v>1650</v>
      </c>
      <c r="F103" s="19">
        <v>3000</v>
      </c>
      <c r="G103" s="19">
        <v>0</v>
      </c>
      <c r="H103" s="19">
        <v>0</v>
      </c>
      <c r="I103" s="19">
        <v>0</v>
      </c>
      <c r="J103" s="19">
        <v>1575</v>
      </c>
      <c r="K103" s="19">
        <f t="shared" si="0"/>
        <v>3075</v>
      </c>
      <c r="L103" s="20">
        <v>2125</v>
      </c>
      <c r="M103" s="19">
        <v>23</v>
      </c>
      <c r="N103" s="20">
        <f t="shared" si="11"/>
        <v>31.031746031746035</v>
      </c>
      <c r="O103" s="18"/>
      <c r="P103" s="6">
        <v>2297</v>
      </c>
      <c r="Q103" s="7">
        <f t="shared" si="1"/>
        <v>3617775</v>
      </c>
      <c r="R103" s="7">
        <f t="shared" si="2"/>
        <v>4881125</v>
      </c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35">
      <c r="A104" s="4" t="s">
        <v>119</v>
      </c>
      <c r="B104" s="19" t="s">
        <v>19</v>
      </c>
      <c r="C104" s="19" t="s">
        <v>20</v>
      </c>
      <c r="D104" s="19">
        <v>10</v>
      </c>
      <c r="E104" s="19">
        <v>1475</v>
      </c>
      <c r="F104" s="19">
        <v>0</v>
      </c>
      <c r="G104" s="19">
        <v>0</v>
      </c>
      <c r="H104" s="19">
        <v>0</v>
      </c>
      <c r="I104" s="19">
        <v>0</v>
      </c>
      <c r="J104" s="19">
        <v>375</v>
      </c>
      <c r="K104" s="19">
        <f t="shared" si="0"/>
        <v>1100</v>
      </c>
      <c r="L104" s="20">
        <v>1100</v>
      </c>
      <c r="M104" s="19">
        <v>23</v>
      </c>
      <c r="N104" s="20">
        <f t="shared" si="11"/>
        <v>67.466666666666669</v>
      </c>
      <c r="O104" s="18"/>
      <c r="P104" s="6">
        <v>2616</v>
      </c>
      <c r="Q104" s="7">
        <f t="shared" si="1"/>
        <v>981000</v>
      </c>
      <c r="R104" s="7">
        <f t="shared" si="2"/>
        <v>2877600</v>
      </c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35">
      <c r="A105" s="4" t="s">
        <v>120</v>
      </c>
      <c r="B105" s="19" t="s">
        <v>19</v>
      </c>
      <c r="C105" s="19" t="s">
        <v>20</v>
      </c>
      <c r="D105" s="19">
        <v>10</v>
      </c>
      <c r="E105" s="19">
        <v>7554</v>
      </c>
      <c r="F105" s="19">
        <v>11194</v>
      </c>
      <c r="G105" s="19">
        <v>0</v>
      </c>
      <c r="H105" s="19">
        <v>0</v>
      </c>
      <c r="I105" s="19">
        <v>0</v>
      </c>
      <c r="J105" s="19">
        <v>10489</v>
      </c>
      <c r="K105" s="19">
        <f t="shared" si="0"/>
        <v>8259</v>
      </c>
      <c r="L105" s="20">
        <v>7035</v>
      </c>
      <c r="M105" s="19">
        <v>23</v>
      </c>
      <c r="N105" s="20">
        <f t="shared" si="11"/>
        <v>15.426160739822672</v>
      </c>
      <c r="O105" s="18"/>
      <c r="P105" s="6">
        <v>1419</v>
      </c>
      <c r="Q105" s="7">
        <f t="shared" si="1"/>
        <v>14883891</v>
      </c>
      <c r="R105" s="7">
        <f t="shared" si="2"/>
        <v>9982665</v>
      </c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35">
      <c r="A106" s="4" t="s">
        <v>121</v>
      </c>
      <c r="B106" s="19" t="s">
        <v>19</v>
      </c>
      <c r="C106" s="19" t="s">
        <v>20</v>
      </c>
      <c r="D106" s="19">
        <v>10</v>
      </c>
      <c r="E106" s="19">
        <v>950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f t="shared" si="0"/>
        <v>950</v>
      </c>
      <c r="L106" s="20">
        <v>0</v>
      </c>
      <c r="M106" s="19">
        <v>23</v>
      </c>
      <c r="N106" s="20">
        <v>0</v>
      </c>
      <c r="O106" s="18"/>
      <c r="P106" s="6">
        <v>2616</v>
      </c>
      <c r="Q106" s="7">
        <f t="shared" si="1"/>
        <v>0</v>
      </c>
      <c r="R106" s="7">
        <f t="shared" si="2"/>
        <v>0</v>
      </c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35">
      <c r="A107" s="4" t="s">
        <v>122</v>
      </c>
      <c r="B107" s="19" t="s">
        <v>19</v>
      </c>
      <c r="C107" s="19" t="s">
        <v>20</v>
      </c>
      <c r="D107" s="19">
        <v>10</v>
      </c>
      <c r="E107" s="19">
        <v>5756</v>
      </c>
      <c r="F107" s="19">
        <v>5089</v>
      </c>
      <c r="G107" s="19">
        <v>0</v>
      </c>
      <c r="H107" s="19">
        <v>0</v>
      </c>
      <c r="I107" s="19">
        <v>5075</v>
      </c>
      <c r="J107" s="19">
        <v>0</v>
      </c>
      <c r="K107" s="19">
        <f t="shared" si="0"/>
        <v>5770</v>
      </c>
      <c r="L107" s="20">
        <v>5013</v>
      </c>
      <c r="M107" s="19">
        <v>23</v>
      </c>
      <c r="N107" s="20">
        <f t="shared" ref="N107:N110" si="12">(L107/(I107+J107))*M107</f>
        <v>22.719014778325125</v>
      </c>
      <c r="O107" s="18"/>
      <c r="P107" s="6">
        <v>2246</v>
      </c>
      <c r="Q107" s="7">
        <f t="shared" si="1"/>
        <v>11398450</v>
      </c>
      <c r="R107" s="7">
        <f t="shared" si="2"/>
        <v>11259198</v>
      </c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35">
      <c r="A108" s="4" t="s">
        <v>123</v>
      </c>
      <c r="B108" s="19" t="s">
        <v>19</v>
      </c>
      <c r="C108" s="19" t="s">
        <v>20</v>
      </c>
      <c r="D108" s="19">
        <v>10</v>
      </c>
      <c r="E108" s="19">
        <v>1566</v>
      </c>
      <c r="F108" s="19">
        <v>9930</v>
      </c>
      <c r="G108" s="19">
        <v>0</v>
      </c>
      <c r="H108" s="19">
        <v>0</v>
      </c>
      <c r="I108" s="19">
        <v>5805</v>
      </c>
      <c r="J108" s="19">
        <v>0</v>
      </c>
      <c r="K108" s="19">
        <f t="shared" si="0"/>
        <v>5691</v>
      </c>
      <c r="L108" s="20">
        <v>4022.25</v>
      </c>
      <c r="M108" s="19">
        <v>23</v>
      </c>
      <c r="N108" s="20">
        <f t="shared" si="12"/>
        <v>15.93656330749354</v>
      </c>
      <c r="O108" s="18"/>
      <c r="P108" s="6">
        <v>2355</v>
      </c>
      <c r="Q108" s="7">
        <f t="shared" si="1"/>
        <v>13670775</v>
      </c>
      <c r="R108" s="7">
        <f t="shared" si="2"/>
        <v>9472398.75</v>
      </c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35">
      <c r="A109" s="4" t="s">
        <v>124</v>
      </c>
      <c r="B109" s="19" t="s">
        <v>19</v>
      </c>
      <c r="C109" s="19" t="s">
        <v>20</v>
      </c>
      <c r="D109" s="19">
        <v>10</v>
      </c>
      <c r="E109" s="19">
        <v>3716</v>
      </c>
      <c r="F109" s="19">
        <v>8133</v>
      </c>
      <c r="G109" s="19">
        <v>0</v>
      </c>
      <c r="H109" s="19">
        <v>0</v>
      </c>
      <c r="I109" s="19">
        <v>0</v>
      </c>
      <c r="J109" s="19">
        <v>10574</v>
      </c>
      <c r="K109" s="19">
        <f t="shared" si="0"/>
        <v>1275</v>
      </c>
      <c r="L109" s="20">
        <v>4580.7777777777801</v>
      </c>
      <c r="M109" s="19">
        <v>23</v>
      </c>
      <c r="N109" s="20">
        <f t="shared" si="12"/>
        <v>9.9638631444003174</v>
      </c>
      <c r="O109" s="18"/>
      <c r="P109" s="6">
        <v>2031</v>
      </c>
      <c r="Q109" s="7">
        <f t="shared" si="1"/>
        <v>21475794</v>
      </c>
      <c r="R109" s="7">
        <f t="shared" si="2"/>
        <v>9303559.6666666716</v>
      </c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35">
      <c r="A110" s="4" t="s">
        <v>125</v>
      </c>
      <c r="B110" s="19" t="s">
        <v>19</v>
      </c>
      <c r="C110" s="19" t="s">
        <v>20</v>
      </c>
      <c r="D110" s="19">
        <v>10</v>
      </c>
      <c r="E110" s="19">
        <v>2300</v>
      </c>
      <c r="F110" s="19">
        <v>2000</v>
      </c>
      <c r="G110" s="19">
        <v>0</v>
      </c>
      <c r="H110" s="19">
        <v>0</v>
      </c>
      <c r="I110" s="19">
        <v>1975</v>
      </c>
      <c r="J110" s="19">
        <v>0</v>
      </c>
      <c r="K110" s="19">
        <f t="shared" si="0"/>
        <v>2325</v>
      </c>
      <c r="L110" s="20">
        <v>3312.5</v>
      </c>
      <c r="M110" s="19">
        <v>23</v>
      </c>
      <c r="N110" s="20">
        <f t="shared" si="12"/>
        <v>38.575949367088612</v>
      </c>
      <c r="O110" s="18"/>
      <c r="P110" s="6">
        <v>2108</v>
      </c>
      <c r="Q110" s="7">
        <f t="shared" si="1"/>
        <v>4163300</v>
      </c>
      <c r="R110" s="7">
        <f t="shared" si="2"/>
        <v>6982750</v>
      </c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35">
      <c r="A111" s="4" t="s">
        <v>126</v>
      </c>
      <c r="B111" s="19" t="s">
        <v>19</v>
      </c>
      <c r="C111" s="19" t="s">
        <v>20</v>
      </c>
      <c r="D111" s="19">
        <v>10</v>
      </c>
      <c r="E111" s="19">
        <v>1500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f t="shared" si="0"/>
        <v>1500</v>
      </c>
      <c r="L111" s="20">
        <v>0</v>
      </c>
      <c r="M111" s="19">
        <v>23</v>
      </c>
      <c r="N111" s="20">
        <v>0</v>
      </c>
      <c r="O111" s="18"/>
      <c r="P111" s="6">
        <v>2173</v>
      </c>
      <c r="Q111" s="7">
        <f t="shared" si="1"/>
        <v>0</v>
      </c>
      <c r="R111" s="7">
        <f t="shared" si="2"/>
        <v>0</v>
      </c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35">
      <c r="A112" s="4" t="s">
        <v>128</v>
      </c>
      <c r="B112" s="19" t="s">
        <v>19</v>
      </c>
      <c r="C112" s="19" t="s">
        <v>20</v>
      </c>
      <c r="D112" s="19">
        <v>10</v>
      </c>
      <c r="E112" s="19">
        <v>175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f t="shared" si="0"/>
        <v>175</v>
      </c>
      <c r="L112" s="20">
        <v>0</v>
      </c>
      <c r="M112" s="19">
        <v>23</v>
      </c>
      <c r="N112" s="20">
        <v>0</v>
      </c>
      <c r="O112" s="18"/>
      <c r="P112" s="6">
        <v>1993</v>
      </c>
      <c r="Q112" s="7">
        <f t="shared" si="1"/>
        <v>0</v>
      </c>
      <c r="R112" s="7">
        <f t="shared" si="2"/>
        <v>0</v>
      </c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35">
      <c r="A113" s="4" t="s">
        <v>129</v>
      </c>
      <c r="B113" s="19" t="s">
        <v>19</v>
      </c>
      <c r="C113" s="19" t="s">
        <v>20</v>
      </c>
      <c r="D113" s="19">
        <v>10</v>
      </c>
      <c r="E113" s="19">
        <v>60</v>
      </c>
      <c r="F113" s="19">
        <v>1045</v>
      </c>
      <c r="G113" s="19">
        <v>0</v>
      </c>
      <c r="H113" s="19">
        <v>0</v>
      </c>
      <c r="I113" s="19">
        <v>0</v>
      </c>
      <c r="J113" s="19">
        <v>600</v>
      </c>
      <c r="K113" s="19">
        <f t="shared" si="0"/>
        <v>505</v>
      </c>
      <c r="L113" s="20">
        <v>805</v>
      </c>
      <c r="M113" s="19">
        <v>23</v>
      </c>
      <c r="N113" s="20">
        <f t="shared" ref="N113:N114" si="13">(L113/(I113+J113))*M113</f>
        <v>30.858333333333331</v>
      </c>
      <c r="O113" s="18"/>
      <c r="P113" s="6">
        <v>2205</v>
      </c>
      <c r="Q113" s="7">
        <f t="shared" si="1"/>
        <v>1323000</v>
      </c>
      <c r="R113" s="7">
        <f t="shared" si="2"/>
        <v>1775025</v>
      </c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35">
      <c r="A114" s="4" t="s">
        <v>130</v>
      </c>
      <c r="B114" s="19" t="s">
        <v>19</v>
      </c>
      <c r="C114" s="19" t="s">
        <v>20</v>
      </c>
      <c r="D114" s="19">
        <v>10</v>
      </c>
      <c r="E114" s="19">
        <v>600</v>
      </c>
      <c r="F114" s="19">
        <v>2100</v>
      </c>
      <c r="G114" s="19">
        <v>0</v>
      </c>
      <c r="H114" s="19">
        <v>0</v>
      </c>
      <c r="I114" s="19">
        <v>1125</v>
      </c>
      <c r="J114" s="19">
        <v>0</v>
      </c>
      <c r="K114" s="19">
        <f t="shared" si="0"/>
        <v>1575</v>
      </c>
      <c r="L114" s="20">
        <v>2200</v>
      </c>
      <c r="M114" s="19">
        <v>23</v>
      </c>
      <c r="N114" s="20">
        <f t="shared" si="13"/>
        <v>44.977777777777774</v>
      </c>
      <c r="O114" s="18"/>
      <c r="P114" s="6">
        <v>2503</v>
      </c>
      <c r="Q114" s="7">
        <f t="shared" si="1"/>
        <v>2815875</v>
      </c>
      <c r="R114" s="7">
        <f t="shared" si="2"/>
        <v>5506600</v>
      </c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35">
      <c r="A115" s="4" t="s">
        <v>131</v>
      </c>
      <c r="B115" s="19" t="s">
        <v>19</v>
      </c>
      <c r="C115" s="19" t="s">
        <v>20</v>
      </c>
      <c r="D115" s="19">
        <v>10</v>
      </c>
      <c r="E115" s="19">
        <v>7150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f t="shared" si="0"/>
        <v>7150</v>
      </c>
      <c r="L115" s="20">
        <v>0</v>
      </c>
      <c r="M115" s="19">
        <v>23</v>
      </c>
      <c r="N115" s="20">
        <v>0</v>
      </c>
      <c r="O115" s="18"/>
      <c r="P115" s="6">
        <v>2355</v>
      </c>
      <c r="Q115" s="7">
        <f t="shared" si="1"/>
        <v>0</v>
      </c>
      <c r="R115" s="7">
        <f t="shared" si="2"/>
        <v>0</v>
      </c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35">
      <c r="A116" s="4" t="s">
        <v>132</v>
      </c>
      <c r="B116" s="19" t="s">
        <v>19</v>
      </c>
      <c r="C116" s="19" t="s">
        <v>20</v>
      </c>
      <c r="D116" s="19">
        <v>10</v>
      </c>
      <c r="E116" s="19">
        <v>715</v>
      </c>
      <c r="F116" s="19">
        <v>3055</v>
      </c>
      <c r="G116" s="19">
        <v>0</v>
      </c>
      <c r="H116" s="19">
        <v>0</v>
      </c>
      <c r="I116" s="19">
        <v>2725</v>
      </c>
      <c r="J116" s="19">
        <v>0</v>
      </c>
      <c r="K116" s="19">
        <f t="shared" si="0"/>
        <v>1045</v>
      </c>
      <c r="L116" s="20">
        <v>1890</v>
      </c>
      <c r="M116" s="19">
        <v>23</v>
      </c>
      <c r="N116" s="20">
        <f t="shared" ref="N116:N119" si="14">(L116/(I116+J116))*M116</f>
        <v>15.952293577981653</v>
      </c>
      <c r="O116" s="18"/>
      <c r="P116" s="6">
        <v>2216</v>
      </c>
      <c r="Q116" s="7">
        <f t="shared" si="1"/>
        <v>6038600</v>
      </c>
      <c r="R116" s="7">
        <f t="shared" si="2"/>
        <v>4188240</v>
      </c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35">
      <c r="A117" s="4" t="s">
        <v>133</v>
      </c>
      <c r="B117" s="19" t="s">
        <v>19</v>
      </c>
      <c r="C117" s="19" t="s">
        <v>20</v>
      </c>
      <c r="D117" s="19">
        <v>10</v>
      </c>
      <c r="E117" s="19">
        <v>1575</v>
      </c>
      <c r="F117" s="19">
        <v>1575</v>
      </c>
      <c r="G117" s="19">
        <v>0</v>
      </c>
      <c r="H117" s="19">
        <v>0</v>
      </c>
      <c r="I117" s="19">
        <v>400</v>
      </c>
      <c r="J117" s="19">
        <v>0</v>
      </c>
      <c r="K117" s="19">
        <f t="shared" si="0"/>
        <v>2750</v>
      </c>
      <c r="L117" s="20">
        <v>1741.25</v>
      </c>
      <c r="M117" s="19">
        <v>23</v>
      </c>
      <c r="N117" s="20">
        <f t="shared" si="14"/>
        <v>100.121875</v>
      </c>
      <c r="O117" s="18"/>
      <c r="P117" s="6">
        <v>1968</v>
      </c>
      <c r="Q117" s="7">
        <f t="shared" si="1"/>
        <v>787200</v>
      </c>
      <c r="R117" s="7">
        <f t="shared" si="2"/>
        <v>3426780</v>
      </c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35">
      <c r="A118" s="4" t="s">
        <v>192</v>
      </c>
      <c r="B118" s="19" t="s">
        <v>19</v>
      </c>
      <c r="C118" s="19" t="s">
        <v>20</v>
      </c>
      <c r="D118" s="19">
        <v>10</v>
      </c>
      <c r="E118" s="19">
        <v>700</v>
      </c>
      <c r="F118" s="19">
        <v>2850</v>
      </c>
      <c r="G118" s="19">
        <v>0</v>
      </c>
      <c r="H118" s="19">
        <v>0</v>
      </c>
      <c r="I118" s="19">
        <v>0</v>
      </c>
      <c r="J118" s="19">
        <v>2300</v>
      </c>
      <c r="K118" s="19">
        <f t="shared" si="0"/>
        <v>1250</v>
      </c>
      <c r="L118" s="20">
        <v>416.66666666666703</v>
      </c>
      <c r="M118" s="19">
        <v>23</v>
      </c>
      <c r="N118" s="20">
        <f t="shared" si="14"/>
        <v>4.1666666666666705</v>
      </c>
      <c r="O118" s="18"/>
      <c r="P118" s="6">
        <v>2297</v>
      </c>
      <c r="Q118" s="7">
        <f t="shared" si="1"/>
        <v>5283100</v>
      </c>
      <c r="R118" s="7">
        <f t="shared" si="2"/>
        <v>957083.33333333419</v>
      </c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35">
      <c r="A119" s="4" t="s">
        <v>193</v>
      </c>
      <c r="B119" s="19" t="s">
        <v>19</v>
      </c>
      <c r="C119" s="19" t="s">
        <v>20</v>
      </c>
      <c r="D119" s="19">
        <v>10</v>
      </c>
      <c r="E119" s="19">
        <v>1800</v>
      </c>
      <c r="F119" s="19">
        <v>3000</v>
      </c>
      <c r="G119" s="19">
        <v>0</v>
      </c>
      <c r="H119" s="19">
        <v>0</v>
      </c>
      <c r="I119" s="19">
        <v>0</v>
      </c>
      <c r="J119" s="19">
        <v>3300</v>
      </c>
      <c r="K119" s="19">
        <f t="shared" si="0"/>
        <v>1500</v>
      </c>
      <c r="L119" s="20">
        <v>750</v>
      </c>
      <c r="M119" s="19">
        <v>23</v>
      </c>
      <c r="N119" s="20">
        <f t="shared" si="14"/>
        <v>5.2272727272727275</v>
      </c>
      <c r="O119" s="18"/>
      <c r="P119" s="6">
        <v>2616</v>
      </c>
      <c r="Q119" s="7">
        <f t="shared" si="1"/>
        <v>8632800</v>
      </c>
      <c r="R119" s="7">
        <f t="shared" si="2"/>
        <v>1962000</v>
      </c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35">
      <c r="A120" s="4" t="s">
        <v>137</v>
      </c>
      <c r="B120" s="19" t="s">
        <v>19</v>
      </c>
      <c r="C120" s="19" t="s">
        <v>20</v>
      </c>
      <c r="D120" s="19">
        <v>10</v>
      </c>
      <c r="E120" s="19">
        <v>4171</v>
      </c>
      <c r="F120" s="19">
        <v>525</v>
      </c>
      <c r="G120" s="19">
        <v>0</v>
      </c>
      <c r="H120" s="19">
        <v>0</v>
      </c>
      <c r="I120" s="19">
        <v>0</v>
      </c>
      <c r="J120" s="19">
        <v>0</v>
      </c>
      <c r="K120" s="19">
        <f t="shared" si="0"/>
        <v>4696</v>
      </c>
      <c r="L120" s="20">
        <v>4696</v>
      </c>
      <c r="M120" s="19">
        <v>23</v>
      </c>
      <c r="N120" s="20">
        <v>0</v>
      </c>
      <c r="O120" s="18"/>
      <c r="P120" s="6">
        <v>2355</v>
      </c>
      <c r="Q120" s="7">
        <f t="shared" si="1"/>
        <v>0</v>
      </c>
      <c r="R120" s="7">
        <f t="shared" si="2"/>
        <v>11059080</v>
      </c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35">
      <c r="A121" s="4" t="s">
        <v>138</v>
      </c>
      <c r="B121" s="19" t="s">
        <v>19</v>
      </c>
      <c r="C121" s="19" t="s">
        <v>20</v>
      </c>
      <c r="D121" s="19">
        <v>10</v>
      </c>
      <c r="E121" s="19">
        <v>900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f t="shared" si="0"/>
        <v>900</v>
      </c>
      <c r="L121" s="20">
        <v>0</v>
      </c>
      <c r="M121" s="19">
        <v>23</v>
      </c>
      <c r="N121" s="20">
        <v>0</v>
      </c>
      <c r="O121" s="18"/>
      <c r="P121" s="6">
        <v>2372</v>
      </c>
      <c r="Q121" s="7">
        <f t="shared" si="1"/>
        <v>0</v>
      </c>
      <c r="R121" s="7">
        <f t="shared" si="2"/>
        <v>0</v>
      </c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35">
      <c r="A122" s="4" t="s">
        <v>139</v>
      </c>
      <c r="B122" s="19" t="s">
        <v>19</v>
      </c>
      <c r="C122" s="19" t="s">
        <v>20</v>
      </c>
      <c r="D122" s="19">
        <v>10</v>
      </c>
      <c r="E122" s="19">
        <v>1000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f t="shared" si="0"/>
        <v>1000</v>
      </c>
      <c r="L122" s="20">
        <v>0</v>
      </c>
      <c r="M122" s="19">
        <v>23</v>
      </c>
      <c r="N122" s="20">
        <v>0</v>
      </c>
      <c r="O122" s="18"/>
      <c r="P122" s="6">
        <v>3482</v>
      </c>
      <c r="Q122" s="7">
        <f t="shared" si="1"/>
        <v>0</v>
      </c>
      <c r="R122" s="7">
        <f t="shared" si="2"/>
        <v>0</v>
      </c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35">
      <c r="A123" s="4" t="s">
        <v>140</v>
      </c>
      <c r="B123" s="19" t="s">
        <v>19</v>
      </c>
      <c r="C123" s="19" t="s">
        <v>20</v>
      </c>
      <c r="D123" s="19">
        <v>10</v>
      </c>
      <c r="E123" s="19">
        <v>1750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f t="shared" si="0"/>
        <v>1750</v>
      </c>
      <c r="L123" s="20">
        <v>0</v>
      </c>
      <c r="M123" s="19">
        <v>23</v>
      </c>
      <c r="N123" s="20">
        <v>0</v>
      </c>
      <c r="O123" s="18"/>
      <c r="P123" s="6">
        <v>2555</v>
      </c>
      <c r="Q123" s="7">
        <f t="shared" si="1"/>
        <v>0</v>
      </c>
      <c r="R123" s="7">
        <f t="shared" si="2"/>
        <v>0</v>
      </c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35">
      <c r="A124" s="4" t="s">
        <v>141</v>
      </c>
      <c r="B124" s="19" t="s">
        <v>19</v>
      </c>
      <c r="C124" s="19" t="s">
        <v>20</v>
      </c>
      <c r="D124" s="19">
        <v>10</v>
      </c>
      <c r="E124" s="19">
        <v>1825</v>
      </c>
      <c r="F124" s="19">
        <v>0</v>
      </c>
      <c r="G124" s="19">
        <v>0</v>
      </c>
      <c r="H124" s="19">
        <v>0</v>
      </c>
      <c r="I124" s="19">
        <v>200</v>
      </c>
      <c r="J124" s="19">
        <v>0</v>
      </c>
      <c r="K124" s="19">
        <f t="shared" si="0"/>
        <v>1625</v>
      </c>
      <c r="L124" s="20">
        <v>1700</v>
      </c>
      <c r="M124" s="19">
        <v>23</v>
      </c>
      <c r="N124" s="20">
        <f>(L124/(I124+J124))*M124</f>
        <v>195.5</v>
      </c>
      <c r="O124" s="18"/>
      <c r="P124" s="6">
        <v>3665</v>
      </c>
      <c r="Q124" s="7">
        <f t="shared" si="1"/>
        <v>733000</v>
      </c>
      <c r="R124" s="7">
        <f t="shared" si="2"/>
        <v>6230500</v>
      </c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35">
      <c r="A125" s="4" t="s">
        <v>142</v>
      </c>
      <c r="B125" s="19" t="s">
        <v>19</v>
      </c>
      <c r="C125" s="19" t="s">
        <v>20</v>
      </c>
      <c r="D125" s="19">
        <v>10</v>
      </c>
      <c r="E125" s="19">
        <v>1075</v>
      </c>
      <c r="F125" s="19">
        <v>1575</v>
      </c>
      <c r="G125" s="19">
        <v>0</v>
      </c>
      <c r="H125" s="19">
        <v>0</v>
      </c>
      <c r="I125" s="19">
        <v>0</v>
      </c>
      <c r="J125" s="19">
        <v>0</v>
      </c>
      <c r="K125" s="19">
        <f t="shared" si="0"/>
        <v>2650</v>
      </c>
      <c r="L125" s="20">
        <v>2650</v>
      </c>
      <c r="M125" s="19">
        <v>23</v>
      </c>
      <c r="N125" s="20">
        <v>0</v>
      </c>
      <c r="O125" s="18"/>
      <c r="P125" s="6">
        <v>1904</v>
      </c>
      <c r="Q125" s="7">
        <f t="shared" si="1"/>
        <v>0</v>
      </c>
      <c r="R125" s="7">
        <f t="shared" si="2"/>
        <v>5045600</v>
      </c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35">
      <c r="A126" s="4" t="s">
        <v>143</v>
      </c>
      <c r="B126" s="19" t="s">
        <v>19</v>
      </c>
      <c r="C126" s="19" t="s">
        <v>20</v>
      </c>
      <c r="D126" s="19">
        <v>10</v>
      </c>
      <c r="E126" s="19">
        <v>4900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f t="shared" si="0"/>
        <v>4900</v>
      </c>
      <c r="L126" s="20">
        <v>0</v>
      </c>
      <c r="M126" s="19">
        <v>23</v>
      </c>
      <c r="N126" s="20">
        <v>0</v>
      </c>
      <c r="O126" s="18"/>
      <c r="P126" s="6">
        <v>994</v>
      </c>
      <c r="Q126" s="7">
        <f t="shared" si="1"/>
        <v>0</v>
      </c>
      <c r="R126" s="7">
        <f t="shared" si="2"/>
        <v>0</v>
      </c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35">
      <c r="A127" s="4" t="s">
        <v>144</v>
      </c>
      <c r="B127" s="19" t="s">
        <v>19</v>
      </c>
      <c r="C127" s="19" t="s">
        <v>20</v>
      </c>
      <c r="D127" s="19">
        <v>10</v>
      </c>
      <c r="E127" s="19">
        <v>2925</v>
      </c>
      <c r="F127" s="19">
        <v>2450</v>
      </c>
      <c r="G127" s="19">
        <v>0</v>
      </c>
      <c r="H127" s="19">
        <v>0</v>
      </c>
      <c r="I127" s="19">
        <v>0</v>
      </c>
      <c r="J127" s="19">
        <v>2500</v>
      </c>
      <c r="K127" s="19">
        <f t="shared" si="0"/>
        <v>2875</v>
      </c>
      <c r="L127" s="20">
        <v>1741.6666666666702</v>
      </c>
      <c r="M127" s="19">
        <v>23</v>
      </c>
      <c r="N127" s="20">
        <f t="shared" ref="N127:N131" si="15">(L127/(I127+J127))*M127</f>
        <v>16.023333333333365</v>
      </c>
      <c r="O127" s="18"/>
      <c r="P127" s="6">
        <v>994</v>
      </c>
      <c r="Q127" s="7">
        <f t="shared" si="1"/>
        <v>2485000</v>
      </c>
      <c r="R127" s="7">
        <f t="shared" si="2"/>
        <v>1731216.6666666702</v>
      </c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35">
      <c r="A128" s="4" t="s">
        <v>145</v>
      </c>
      <c r="B128" s="19" t="s">
        <v>19</v>
      </c>
      <c r="C128" s="19" t="s">
        <v>20</v>
      </c>
      <c r="D128" s="19">
        <v>10</v>
      </c>
      <c r="E128" s="19">
        <v>500</v>
      </c>
      <c r="F128" s="19">
        <v>1020</v>
      </c>
      <c r="G128" s="19">
        <v>0</v>
      </c>
      <c r="H128" s="19">
        <v>0</v>
      </c>
      <c r="I128" s="19">
        <v>0</v>
      </c>
      <c r="J128" s="19">
        <v>225</v>
      </c>
      <c r="K128" s="19">
        <f t="shared" si="0"/>
        <v>1295</v>
      </c>
      <c r="L128" s="20">
        <v>1407.5</v>
      </c>
      <c r="M128" s="19">
        <v>23</v>
      </c>
      <c r="N128" s="20">
        <f t="shared" si="15"/>
        <v>143.87777777777777</v>
      </c>
      <c r="O128" s="18"/>
      <c r="P128" s="6">
        <v>3489</v>
      </c>
      <c r="Q128" s="7">
        <f t="shared" si="1"/>
        <v>785025</v>
      </c>
      <c r="R128" s="7">
        <f t="shared" si="2"/>
        <v>4910767.5</v>
      </c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35">
      <c r="A129" s="4" t="s">
        <v>175</v>
      </c>
      <c r="B129" s="19" t="s">
        <v>19</v>
      </c>
      <c r="C129" s="19" t="s">
        <v>20</v>
      </c>
      <c r="D129" s="19">
        <v>10</v>
      </c>
      <c r="E129" s="19">
        <v>375</v>
      </c>
      <c r="F129" s="19">
        <v>1050</v>
      </c>
      <c r="G129" s="19">
        <v>0</v>
      </c>
      <c r="H129" s="19">
        <v>0</v>
      </c>
      <c r="I129" s="19">
        <v>250</v>
      </c>
      <c r="J129" s="19">
        <v>0</v>
      </c>
      <c r="K129" s="19">
        <f t="shared" si="0"/>
        <v>1175</v>
      </c>
      <c r="L129" s="20">
        <v>1287.5</v>
      </c>
      <c r="M129" s="19">
        <v>23</v>
      </c>
      <c r="N129" s="20">
        <f t="shared" si="15"/>
        <v>118.45</v>
      </c>
      <c r="O129" s="18"/>
      <c r="P129" s="6">
        <v>3162</v>
      </c>
      <c r="Q129" s="7">
        <f t="shared" si="1"/>
        <v>790500</v>
      </c>
      <c r="R129" s="7">
        <f t="shared" si="2"/>
        <v>4071075</v>
      </c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35">
      <c r="A130" s="4" t="s">
        <v>176</v>
      </c>
      <c r="B130" s="19" t="s">
        <v>19</v>
      </c>
      <c r="C130" s="19" t="s">
        <v>20</v>
      </c>
      <c r="D130" s="19">
        <v>10</v>
      </c>
      <c r="E130" s="19">
        <v>933</v>
      </c>
      <c r="F130" s="19">
        <v>5000</v>
      </c>
      <c r="G130" s="19">
        <v>0</v>
      </c>
      <c r="H130" s="19">
        <v>0</v>
      </c>
      <c r="I130" s="19">
        <v>4533</v>
      </c>
      <c r="J130" s="19">
        <v>0</v>
      </c>
      <c r="K130" s="19">
        <f t="shared" si="0"/>
        <v>1400</v>
      </c>
      <c r="L130" s="20">
        <v>1900.6666666666702</v>
      </c>
      <c r="M130" s="19">
        <v>23</v>
      </c>
      <c r="N130" s="20">
        <f t="shared" si="15"/>
        <v>9.6437973380395796</v>
      </c>
      <c r="O130" s="18"/>
      <c r="P130" s="6">
        <v>3567</v>
      </c>
      <c r="Q130" s="7">
        <f t="shared" si="1"/>
        <v>16169211</v>
      </c>
      <c r="R130" s="7">
        <f t="shared" si="2"/>
        <v>6779678.0000000121</v>
      </c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35">
      <c r="A131" s="4" t="s">
        <v>177</v>
      </c>
      <c r="B131" s="19" t="s">
        <v>19</v>
      </c>
      <c r="C131" s="19" t="s">
        <v>20</v>
      </c>
      <c r="D131" s="19">
        <v>10</v>
      </c>
      <c r="E131" s="19">
        <v>725</v>
      </c>
      <c r="F131" s="19">
        <v>0</v>
      </c>
      <c r="G131" s="19">
        <v>0</v>
      </c>
      <c r="H131" s="19">
        <v>0</v>
      </c>
      <c r="I131" s="19">
        <v>75</v>
      </c>
      <c r="J131" s="19">
        <v>0</v>
      </c>
      <c r="K131" s="19">
        <f t="shared" si="0"/>
        <v>650</v>
      </c>
      <c r="L131" s="20">
        <v>650</v>
      </c>
      <c r="M131" s="19">
        <v>23</v>
      </c>
      <c r="N131" s="20">
        <f t="shared" si="15"/>
        <v>199.33333333333331</v>
      </c>
      <c r="O131" s="18"/>
      <c r="P131" s="6">
        <v>3850</v>
      </c>
      <c r="Q131" s="7">
        <f t="shared" si="1"/>
        <v>288750</v>
      </c>
      <c r="R131" s="7">
        <f t="shared" si="2"/>
        <v>2502500</v>
      </c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35">
      <c r="A132" s="4" t="s">
        <v>178</v>
      </c>
      <c r="B132" s="19" t="s">
        <v>19</v>
      </c>
      <c r="C132" s="19" t="s">
        <v>20</v>
      </c>
      <c r="D132" s="19">
        <v>10</v>
      </c>
      <c r="E132" s="19">
        <v>1500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f t="shared" si="0"/>
        <v>1500</v>
      </c>
      <c r="L132" s="20">
        <v>0</v>
      </c>
      <c r="M132" s="19">
        <v>23</v>
      </c>
      <c r="N132" s="20">
        <v>0</v>
      </c>
      <c r="O132" s="18"/>
      <c r="P132" s="6">
        <v>1402</v>
      </c>
      <c r="Q132" s="7">
        <f t="shared" si="1"/>
        <v>0</v>
      </c>
      <c r="R132" s="7">
        <f t="shared" si="2"/>
        <v>0</v>
      </c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35">
      <c r="A133" s="4" t="s">
        <v>147</v>
      </c>
      <c r="B133" s="19" t="s">
        <v>19</v>
      </c>
      <c r="C133" s="19" t="s">
        <v>20</v>
      </c>
      <c r="D133" s="19">
        <v>10</v>
      </c>
      <c r="E133" s="19">
        <v>893</v>
      </c>
      <c r="F133" s="19">
        <v>11458</v>
      </c>
      <c r="G133" s="19">
        <v>0</v>
      </c>
      <c r="H133" s="19">
        <v>0</v>
      </c>
      <c r="I133" s="19">
        <v>3651</v>
      </c>
      <c r="J133" s="19">
        <v>6000</v>
      </c>
      <c r="K133" s="19">
        <f t="shared" si="0"/>
        <v>2700</v>
      </c>
      <c r="L133" s="20">
        <v>1587.1428571428601</v>
      </c>
      <c r="M133" s="19">
        <v>23</v>
      </c>
      <c r="N133" s="20">
        <f t="shared" ref="N133:N162" si="16">(L133/(I133+J133))*M133</f>
        <v>3.7824355729236125</v>
      </c>
      <c r="O133" s="18"/>
      <c r="P133" s="6">
        <v>6112</v>
      </c>
      <c r="Q133" s="7">
        <f t="shared" si="1"/>
        <v>58986912</v>
      </c>
      <c r="R133" s="7">
        <f t="shared" si="2"/>
        <v>9700617.1428571604</v>
      </c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35">
      <c r="A134" s="4" t="s">
        <v>148</v>
      </c>
      <c r="B134" s="19" t="s">
        <v>19</v>
      </c>
      <c r="C134" s="19" t="s">
        <v>20</v>
      </c>
      <c r="D134" s="19">
        <v>10</v>
      </c>
      <c r="E134" s="19">
        <v>1772</v>
      </c>
      <c r="F134" s="19">
        <v>1000</v>
      </c>
      <c r="G134" s="19">
        <v>0</v>
      </c>
      <c r="H134" s="19">
        <v>0</v>
      </c>
      <c r="I134" s="19">
        <v>0</v>
      </c>
      <c r="J134" s="19">
        <v>225</v>
      </c>
      <c r="K134" s="19">
        <f t="shared" si="0"/>
        <v>2547</v>
      </c>
      <c r="L134" s="20">
        <v>1922</v>
      </c>
      <c r="M134" s="19">
        <v>23</v>
      </c>
      <c r="N134" s="20">
        <f t="shared" si="16"/>
        <v>196.4711111111111</v>
      </c>
      <c r="O134" s="18"/>
      <c r="P134" s="6">
        <v>2392</v>
      </c>
      <c r="Q134" s="7">
        <f t="shared" si="1"/>
        <v>538200</v>
      </c>
      <c r="R134" s="7">
        <f t="shared" si="2"/>
        <v>4597424</v>
      </c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35">
      <c r="A135" s="4" t="s">
        <v>149</v>
      </c>
      <c r="B135" s="19" t="s">
        <v>19</v>
      </c>
      <c r="C135" s="19" t="s">
        <v>20</v>
      </c>
      <c r="D135" s="19">
        <v>10</v>
      </c>
      <c r="E135" s="19">
        <v>24</v>
      </c>
      <c r="F135" s="19">
        <v>2545</v>
      </c>
      <c r="G135" s="19">
        <v>0</v>
      </c>
      <c r="H135" s="19">
        <v>0</v>
      </c>
      <c r="I135" s="19">
        <v>2545</v>
      </c>
      <c r="J135" s="19">
        <v>0</v>
      </c>
      <c r="K135" s="19">
        <f t="shared" si="0"/>
        <v>24</v>
      </c>
      <c r="L135" s="20">
        <v>532.33333333333303</v>
      </c>
      <c r="M135" s="19">
        <v>23</v>
      </c>
      <c r="N135" s="20">
        <f t="shared" si="16"/>
        <v>4.8108709888670562</v>
      </c>
      <c r="O135" s="18"/>
      <c r="P135" s="6">
        <v>2651</v>
      </c>
      <c r="Q135" s="7">
        <f t="shared" si="1"/>
        <v>6746795</v>
      </c>
      <c r="R135" s="7">
        <f t="shared" si="2"/>
        <v>1411215.6666666658</v>
      </c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35">
      <c r="A136" s="4" t="s">
        <v>150</v>
      </c>
      <c r="B136" s="19" t="s">
        <v>19</v>
      </c>
      <c r="C136" s="19" t="s">
        <v>20</v>
      </c>
      <c r="D136" s="19">
        <v>10</v>
      </c>
      <c r="E136" s="19">
        <v>1491</v>
      </c>
      <c r="F136" s="19">
        <v>0</v>
      </c>
      <c r="G136" s="19">
        <v>0</v>
      </c>
      <c r="H136" s="19">
        <v>0</v>
      </c>
      <c r="I136" s="19">
        <v>1040</v>
      </c>
      <c r="J136" s="19">
        <v>0</v>
      </c>
      <c r="K136" s="19">
        <f t="shared" si="0"/>
        <v>451</v>
      </c>
      <c r="L136" s="20">
        <v>901</v>
      </c>
      <c r="M136" s="19">
        <v>23</v>
      </c>
      <c r="N136" s="20">
        <f t="shared" si="16"/>
        <v>19.925961538461539</v>
      </c>
      <c r="O136" s="18"/>
      <c r="P136" s="6">
        <v>4343</v>
      </c>
      <c r="Q136" s="7">
        <f t="shared" si="1"/>
        <v>4516720</v>
      </c>
      <c r="R136" s="7">
        <f t="shared" si="2"/>
        <v>3913043</v>
      </c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35">
      <c r="A137" s="4" t="s">
        <v>151</v>
      </c>
      <c r="B137" s="19" t="s">
        <v>19</v>
      </c>
      <c r="C137" s="19" t="s">
        <v>20</v>
      </c>
      <c r="D137" s="19">
        <v>10</v>
      </c>
      <c r="E137" s="19">
        <v>971</v>
      </c>
      <c r="F137" s="19">
        <v>525</v>
      </c>
      <c r="G137" s="19">
        <v>0</v>
      </c>
      <c r="H137" s="19">
        <v>0</v>
      </c>
      <c r="I137" s="19">
        <v>400</v>
      </c>
      <c r="J137" s="19">
        <v>0</v>
      </c>
      <c r="K137" s="19">
        <f t="shared" si="0"/>
        <v>1096</v>
      </c>
      <c r="L137" s="20">
        <v>1054.3333333333301</v>
      </c>
      <c r="M137" s="19">
        <v>23</v>
      </c>
      <c r="N137" s="20">
        <f t="shared" si="16"/>
        <v>60.624166666666483</v>
      </c>
      <c r="O137" s="18"/>
      <c r="P137" s="6">
        <v>2970</v>
      </c>
      <c r="Q137" s="7">
        <f t="shared" si="1"/>
        <v>1188000</v>
      </c>
      <c r="R137" s="7">
        <f t="shared" si="2"/>
        <v>3131369.9999999902</v>
      </c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35">
      <c r="A138" s="4" t="s">
        <v>152</v>
      </c>
      <c r="B138" s="19" t="s">
        <v>19</v>
      </c>
      <c r="C138" s="19" t="s">
        <v>20</v>
      </c>
      <c r="D138" s="19">
        <v>10</v>
      </c>
      <c r="E138" s="19">
        <v>1067</v>
      </c>
      <c r="F138" s="19">
        <v>0</v>
      </c>
      <c r="G138" s="19">
        <v>0</v>
      </c>
      <c r="H138" s="19">
        <v>0</v>
      </c>
      <c r="I138" s="19">
        <v>1067</v>
      </c>
      <c r="J138" s="19">
        <v>0</v>
      </c>
      <c r="K138" s="19">
        <f t="shared" si="0"/>
        <v>0</v>
      </c>
      <c r="L138" s="20">
        <v>362.75</v>
      </c>
      <c r="M138" s="19">
        <v>23</v>
      </c>
      <c r="N138" s="20">
        <f t="shared" si="16"/>
        <v>7.8193533270852855</v>
      </c>
      <c r="O138" s="18"/>
      <c r="P138" s="6">
        <v>2970</v>
      </c>
      <c r="Q138" s="7">
        <f t="shared" si="1"/>
        <v>3168990</v>
      </c>
      <c r="R138" s="7">
        <f t="shared" si="2"/>
        <v>1077367.5</v>
      </c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35">
      <c r="A139" s="4" t="s">
        <v>197</v>
      </c>
      <c r="B139" s="19" t="s">
        <v>19</v>
      </c>
      <c r="C139" s="19" t="s">
        <v>20</v>
      </c>
      <c r="D139" s="19">
        <v>10</v>
      </c>
      <c r="E139" s="19">
        <v>0</v>
      </c>
      <c r="F139" s="19">
        <v>2521</v>
      </c>
      <c r="G139" s="19">
        <v>0</v>
      </c>
      <c r="H139" s="19">
        <v>0</v>
      </c>
      <c r="I139" s="19">
        <v>325</v>
      </c>
      <c r="J139" s="19">
        <v>0</v>
      </c>
      <c r="K139" s="19">
        <f t="shared" si="0"/>
        <v>2196</v>
      </c>
      <c r="L139" s="20">
        <v>1593.5</v>
      </c>
      <c r="M139" s="19">
        <v>23</v>
      </c>
      <c r="N139" s="20">
        <f t="shared" si="16"/>
        <v>112.77076923076923</v>
      </c>
      <c r="O139" s="18"/>
      <c r="P139" s="6">
        <v>2970</v>
      </c>
      <c r="Q139" s="7">
        <f t="shared" si="1"/>
        <v>965250</v>
      </c>
      <c r="R139" s="7">
        <f t="shared" si="2"/>
        <v>4732695</v>
      </c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35">
      <c r="A140" s="4" t="s">
        <v>153</v>
      </c>
      <c r="B140" s="19" t="s">
        <v>19</v>
      </c>
      <c r="C140" s="19" t="s">
        <v>20</v>
      </c>
      <c r="D140" s="19">
        <v>10</v>
      </c>
      <c r="E140" s="19">
        <v>1030</v>
      </c>
      <c r="F140" s="19">
        <v>0</v>
      </c>
      <c r="G140" s="19">
        <v>0</v>
      </c>
      <c r="H140" s="19">
        <v>0</v>
      </c>
      <c r="I140" s="19">
        <v>50</v>
      </c>
      <c r="J140" s="19">
        <v>0</v>
      </c>
      <c r="K140" s="19">
        <f t="shared" si="0"/>
        <v>980</v>
      </c>
      <c r="L140" s="20">
        <v>980</v>
      </c>
      <c r="M140" s="19">
        <v>23</v>
      </c>
      <c r="N140" s="20">
        <f t="shared" si="16"/>
        <v>450.8</v>
      </c>
      <c r="O140" s="18"/>
      <c r="P140" s="6">
        <v>2607</v>
      </c>
      <c r="Q140" s="7">
        <f t="shared" si="1"/>
        <v>130350</v>
      </c>
      <c r="R140" s="7">
        <f t="shared" si="2"/>
        <v>2554860</v>
      </c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35">
      <c r="A141" s="4" t="s">
        <v>154</v>
      </c>
      <c r="B141" s="19" t="s">
        <v>19</v>
      </c>
      <c r="C141" s="19" t="s">
        <v>20</v>
      </c>
      <c r="D141" s="19">
        <v>10</v>
      </c>
      <c r="E141" s="19">
        <v>800</v>
      </c>
      <c r="F141" s="19">
        <v>1000</v>
      </c>
      <c r="G141" s="19">
        <v>0</v>
      </c>
      <c r="H141" s="19">
        <v>0</v>
      </c>
      <c r="I141" s="19">
        <v>1225</v>
      </c>
      <c r="J141" s="19">
        <v>0</v>
      </c>
      <c r="K141" s="19">
        <f t="shared" si="0"/>
        <v>575</v>
      </c>
      <c r="L141" s="20">
        <v>612.5</v>
      </c>
      <c r="M141" s="19">
        <v>23</v>
      </c>
      <c r="N141" s="20">
        <f t="shared" si="16"/>
        <v>11.5</v>
      </c>
      <c r="O141" s="18"/>
      <c r="P141" s="6">
        <v>1928</v>
      </c>
      <c r="Q141" s="7">
        <f t="shared" si="1"/>
        <v>2361800</v>
      </c>
      <c r="R141" s="7">
        <f t="shared" si="2"/>
        <v>1180900</v>
      </c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35">
      <c r="A142" s="4" t="s">
        <v>155</v>
      </c>
      <c r="B142" s="19" t="s">
        <v>19</v>
      </c>
      <c r="C142" s="19" t="s">
        <v>20</v>
      </c>
      <c r="D142" s="19">
        <v>10</v>
      </c>
      <c r="E142" s="19">
        <v>3625</v>
      </c>
      <c r="F142" s="19">
        <v>19800</v>
      </c>
      <c r="G142" s="19">
        <v>0</v>
      </c>
      <c r="H142" s="19">
        <v>0</v>
      </c>
      <c r="I142" s="19">
        <v>0</v>
      </c>
      <c r="J142" s="19">
        <v>70</v>
      </c>
      <c r="K142" s="19">
        <f t="shared" si="0"/>
        <v>23355</v>
      </c>
      <c r="L142" s="20">
        <v>17676</v>
      </c>
      <c r="M142" s="19">
        <v>23</v>
      </c>
      <c r="N142" s="20">
        <f t="shared" si="16"/>
        <v>5807.8285714285712</v>
      </c>
      <c r="O142" s="18"/>
      <c r="P142" s="6">
        <v>2129</v>
      </c>
      <c r="Q142" s="7">
        <f t="shared" si="1"/>
        <v>149030</v>
      </c>
      <c r="R142" s="7">
        <f t="shared" si="2"/>
        <v>37632204</v>
      </c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35">
      <c r="A143" s="4" t="s">
        <v>156</v>
      </c>
      <c r="B143" s="19" t="s">
        <v>19</v>
      </c>
      <c r="C143" s="19" t="s">
        <v>20</v>
      </c>
      <c r="D143" s="19">
        <v>10</v>
      </c>
      <c r="E143" s="19">
        <v>40332</v>
      </c>
      <c r="F143" s="19">
        <v>0</v>
      </c>
      <c r="G143" s="19">
        <v>0</v>
      </c>
      <c r="H143" s="19">
        <v>0</v>
      </c>
      <c r="I143" s="19">
        <v>9875</v>
      </c>
      <c r="J143" s="19">
        <v>0</v>
      </c>
      <c r="K143" s="19">
        <f t="shared" si="0"/>
        <v>30457</v>
      </c>
      <c r="L143" s="20">
        <v>34057</v>
      </c>
      <c r="M143" s="19">
        <v>23</v>
      </c>
      <c r="N143" s="20">
        <f t="shared" si="16"/>
        <v>79.322632911392404</v>
      </c>
      <c r="O143" s="18"/>
      <c r="P143" s="6">
        <v>2177</v>
      </c>
      <c r="Q143" s="7">
        <f t="shared" si="1"/>
        <v>21497875</v>
      </c>
      <c r="R143" s="7">
        <f t="shared" si="2"/>
        <v>74142089</v>
      </c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35">
      <c r="A144" s="4" t="s">
        <v>157</v>
      </c>
      <c r="B144" s="19" t="s">
        <v>19</v>
      </c>
      <c r="C144" s="19" t="s">
        <v>20</v>
      </c>
      <c r="D144" s="19">
        <v>10</v>
      </c>
      <c r="E144" s="19">
        <v>25</v>
      </c>
      <c r="F144" s="19">
        <v>30015</v>
      </c>
      <c r="G144" s="19">
        <v>0</v>
      </c>
      <c r="H144" s="19">
        <v>0</v>
      </c>
      <c r="I144" s="19">
        <v>18405</v>
      </c>
      <c r="J144" s="19">
        <v>10</v>
      </c>
      <c r="K144" s="19">
        <f t="shared" si="0"/>
        <v>11625</v>
      </c>
      <c r="L144" s="20">
        <v>2760.9090909090901</v>
      </c>
      <c r="M144" s="19">
        <v>23</v>
      </c>
      <c r="N144" s="20">
        <f t="shared" si="16"/>
        <v>3.4483252289388582</v>
      </c>
      <c r="O144" s="18"/>
      <c r="P144" s="6">
        <v>2177</v>
      </c>
      <c r="Q144" s="7">
        <f t="shared" si="1"/>
        <v>40089455</v>
      </c>
      <c r="R144" s="7">
        <f t="shared" si="2"/>
        <v>6010499.090909089</v>
      </c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35">
      <c r="A145" s="4" t="s">
        <v>158</v>
      </c>
      <c r="B145" s="19" t="s">
        <v>19</v>
      </c>
      <c r="C145" s="19" t="s">
        <v>20</v>
      </c>
      <c r="D145" s="19">
        <v>10</v>
      </c>
      <c r="E145" s="19">
        <v>5595</v>
      </c>
      <c r="F145" s="19">
        <v>9095</v>
      </c>
      <c r="G145" s="19">
        <v>0</v>
      </c>
      <c r="H145" s="19">
        <v>0</v>
      </c>
      <c r="I145" s="19">
        <v>8175</v>
      </c>
      <c r="J145" s="19">
        <v>0</v>
      </c>
      <c r="K145" s="19">
        <f t="shared" si="0"/>
        <v>6515</v>
      </c>
      <c r="L145" s="20">
        <v>9993.125</v>
      </c>
      <c r="M145" s="19">
        <v>23</v>
      </c>
      <c r="N145" s="20">
        <f t="shared" si="16"/>
        <v>28.115214067278288</v>
      </c>
      <c r="O145" s="18"/>
      <c r="P145" s="6">
        <v>2177</v>
      </c>
      <c r="Q145" s="7">
        <f t="shared" si="1"/>
        <v>17796975</v>
      </c>
      <c r="R145" s="7">
        <f t="shared" si="2"/>
        <v>21755033.125</v>
      </c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35">
      <c r="A146" s="4" t="s">
        <v>159</v>
      </c>
      <c r="B146" s="19" t="s">
        <v>19</v>
      </c>
      <c r="C146" s="19" t="s">
        <v>20</v>
      </c>
      <c r="D146" s="19">
        <v>10</v>
      </c>
      <c r="E146" s="19">
        <v>2121</v>
      </c>
      <c r="F146" s="19">
        <v>7150</v>
      </c>
      <c r="G146" s="19">
        <v>0</v>
      </c>
      <c r="H146" s="19">
        <v>0</v>
      </c>
      <c r="I146" s="19">
        <v>0</v>
      </c>
      <c r="J146" s="19">
        <v>1515</v>
      </c>
      <c r="K146" s="19">
        <f t="shared" si="0"/>
        <v>7756</v>
      </c>
      <c r="L146" s="20">
        <v>8266</v>
      </c>
      <c r="M146" s="19">
        <v>23</v>
      </c>
      <c r="N146" s="20">
        <f t="shared" si="16"/>
        <v>125.49042904290428</v>
      </c>
      <c r="O146" s="18"/>
      <c r="P146" s="6">
        <v>1948</v>
      </c>
      <c r="Q146" s="7">
        <f t="shared" si="1"/>
        <v>2951220</v>
      </c>
      <c r="R146" s="7">
        <f t="shared" si="2"/>
        <v>16102168</v>
      </c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35">
      <c r="A147" s="4" t="s">
        <v>160</v>
      </c>
      <c r="B147" s="19" t="s">
        <v>19</v>
      </c>
      <c r="C147" s="19" t="s">
        <v>20</v>
      </c>
      <c r="D147" s="19">
        <v>10</v>
      </c>
      <c r="E147" s="19">
        <v>3000</v>
      </c>
      <c r="F147" s="19">
        <v>2013</v>
      </c>
      <c r="G147" s="19">
        <v>0</v>
      </c>
      <c r="H147" s="19">
        <v>0</v>
      </c>
      <c r="I147" s="19">
        <v>0</v>
      </c>
      <c r="J147" s="19">
        <v>3000</v>
      </c>
      <c r="K147" s="19">
        <f t="shared" si="0"/>
        <v>2013</v>
      </c>
      <c r="L147" s="20">
        <v>1171</v>
      </c>
      <c r="M147" s="19">
        <v>23</v>
      </c>
      <c r="N147" s="20">
        <f t="shared" si="16"/>
        <v>8.977666666666666</v>
      </c>
      <c r="O147" s="18"/>
      <c r="P147" s="6">
        <v>1989</v>
      </c>
      <c r="Q147" s="7">
        <f t="shared" si="1"/>
        <v>5967000</v>
      </c>
      <c r="R147" s="7">
        <f t="shared" si="2"/>
        <v>2329119</v>
      </c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35">
      <c r="A148" s="4" t="s">
        <v>161</v>
      </c>
      <c r="B148" s="19" t="s">
        <v>19</v>
      </c>
      <c r="C148" s="19" t="s">
        <v>20</v>
      </c>
      <c r="D148" s="19">
        <v>10</v>
      </c>
      <c r="E148" s="19">
        <v>13925</v>
      </c>
      <c r="F148" s="19">
        <v>15000</v>
      </c>
      <c r="G148" s="19">
        <v>0</v>
      </c>
      <c r="H148" s="19">
        <v>0</v>
      </c>
      <c r="I148" s="19">
        <v>3000</v>
      </c>
      <c r="J148" s="19">
        <v>2000</v>
      </c>
      <c r="K148" s="19">
        <f t="shared" si="0"/>
        <v>23925</v>
      </c>
      <c r="L148" s="20">
        <v>21325</v>
      </c>
      <c r="M148" s="19">
        <v>23</v>
      </c>
      <c r="N148" s="20">
        <f t="shared" si="16"/>
        <v>98.094999999999999</v>
      </c>
      <c r="O148" s="18"/>
      <c r="P148" s="6">
        <v>2181</v>
      </c>
      <c r="Q148" s="7">
        <f t="shared" si="1"/>
        <v>10905000</v>
      </c>
      <c r="R148" s="7">
        <f t="shared" si="2"/>
        <v>46509825</v>
      </c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35">
      <c r="A149" s="4" t="s">
        <v>179</v>
      </c>
      <c r="B149" s="19" t="s">
        <v>19</v>
      </c>
      <c r="C149" s="19" t="s">
        <v>20</v>
      </c>
      <c r="D149" s="19">
        <v>10</v>
      </c>
      <c r="E149" s="19">
        <v>8750</v>
      </c>
      <c r="F149" s="19">
        <v>18850</v>
      </c>
      <c r="G149" s="19">
        <v>0</v>
      </c>
      <c r="H149" s="19">
        <v>0</v>
      </c>
      <c r="I149" s="19">
        <v>15250</v>
      </c>
      <c r="J149" s="19">
        <v>3250</v>
      </c>
      <c r="K149" s="19">
        <f t="shared" si="0"/>
        <v>9100</v>
      </c>
      <c r="L149" s="20">
        <v>11062.5</v>
      </c>
      <c r="M149" s="19">
        <v>23</v>
      </c>
      <c r="N149" s="20">
        <f t="shared" si="16"/>
        <v>13.753378378378379</v>
      </c>
      <c r="O149" s="18"/>
      <c r="P149" s="6">
        <v>2181</v>
      </c>
      <c r="Q149" s="7">
        <f t="shared" si="1"/>
        <v>40348500</v>
      </c>
      <c r="R149" s="7">
        <f t="shared" si="2"/>
        <v>24127312.5</v>
      </c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35">
      <c r="A150" s="4" t="s">
        <v>180</v>
      </c>
      <c r="B150" s="19" t="s">
        <v>19</v>
      </c>
      <c r="C150" s="19" t="s">
        <v>20</v>
      </c>
      <c r="D150" s="19">
        <v>10</v>
      </c>
      <c r="E150" s="19">
        <v>11425</v>
      </c>
      <c r="F150" s="19">
        <v>14450</v>
      </c>
      <c r="G150" s="19">
        <v>0</v>
      </c>
      <c r="H150" s="19">
        <v>0</v>
      </c>
      <c r="I150" s="19">
        <v>15000</v>
      </c>
      <c r="J150" s="19">
        <v>2425</v>
      </c>
      <c r="K150" s="19">
        <f t="shared" si="0"/>
        <v>8450</v>
      </c>
      <c r="L150" s="20">
        <v>8696.875</v>
      </c>
      <c r="M150" s="19">
        <v>23</v>
      </c>
      <c r="N150" s="20">
        <f t="shared" si="16"/>
        <v>11.479375896700143</v>
      </c>
      <c r="O150" s="18"/>
      <c r="P150" s="6">
        <v>2181</v>
      </c>
      <c r="Q150" s="7">
        <f t="shared" si="1"/>
        <v>38003925</v>
      </c>
      <c r="R150" s="7">
        <f t="shared" si="2"/>
        <v>18967884.375</v>
      </c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35">
      <c r="A151" s="4" t="s">
        <v>181</v>
      </c>
      <c r="B151" s="19" t="s">
        <v>22</v>
      </c>
      <c r="C151" s="19" t="s">
        <v>20</v>
      </c>
      <c r="D151" s="19">
        <v>10</v>
      </c>
      <c r="E151" s="19">
        <v>19075</v>
      </c>
      <c r="F151" s="19">
        <v>136750</v>
      </c>
      <c r="G151" s="19">
        <v>0</v>
      </c>
      <c r="H151" s="19">
        <v>0</v>
      </c>
      <c r="I151" s="19">
        <v>0</v>
      </c>
      <c r="J151" s="19">
        <v>121525</v>
      </c>
      <c r="K151" s="19">
        <f t="shared" si="0"/>
        <v>34300</v>
      </c>
      <c r="L151" s="20">
        <v>16527.941176470598</v>
      </c>
      <c r="M151" s="19">
        <v>23</v>
      </c>
      <c r="N151" s="20">
        <f t="shared" si="16"/>
        <v>3.1281024238537238</v>
      </c>
      <c r="O151" s="18"/>
      <c r="P151" s="6">
        <v>2208</v>
      </c>
      <c r="Q151" s="7">
        <f t="shared" si="1"/>
        <v>268327200</v>
      </c>
      <c r="R151" s="7">
        <f t="shared" si="2"/>
        <v>36493694.117647082</v>
      </c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35">
      <c r="A152" s="4" t="s">
        <v>182</v>
      </c>
      <c r="B152" s="19" t="s">
        <v>22</v>
      </c>
      <c r="C152" s="19" t="s">
        <v>20</v>
      </c>
      <c r="D152" s="19">
        <v>10</v>
      </c>
      <c r="E152" s="19">
        <v>4875</v>
      </c>
      <c r="F152" s="19">
        <v>52512</v>
      </c>
      <c r="G152" s="19">
        <v>0</v>
      </c>
      <c r="H152" s="19">
        <v>0</v>
      </c>
      <c r="I152" s="19">
        <v>0</v>
      </c>
      <c r="J152" s="19">
        <v>39586</v>
      </c>
      <c r="K152" s="19">
        <f t="shared" si="0"/>
        <v>17801</v>
      </c>
      <c r="L152" s="20">
        <v>13732.285714285701</v>
      </c>
      <c r="M152" s="19">
        <v>23</v>
      </c>
      <c r="N152" s="20">
        <f t="shared" si="16"/>
        <v>7.9786432432822485</v>
      </c>
      <c r="O152" s="18"/>
      <c r="P152" s="6">
        <v>2245</v>
      </c>
      <c r="Q152" s="7">
        <f t="shared" si="1"/>
        <v>88870570</v>
      </c>
      <c r="R152" s="7">
        <f t="shared" si="2"/>
        <v>30828981.428571399</v>
      </c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35">
      <c r="A153" s="4" t="s">
        <v>164</v>
      </c>
      <c r="B153" s="19" t="s">
        <v>19</v>
      </c>
      <c r="C153" s="19" t="s">
        <v>20</v>
      </c>
      <c r="D153" s="19">
        <v>10</v>
      </c>
      <c r="E153" s="19">
        <v>21393</v>
      </c>
      <c r="F153" s="19">
        <v>68725</v>
      </c>
      <c r="G153" s="19">
        <v>0</v>
      </c>
      <c r="H153" s="19">
        <v>0</v>
      </c>
      <c r="I153" s="19">
        <v>33300</v>
      </c>
      <c r="J153" s="19">
        <v>9500</v>
      </c>
      <c r="K153" s="19">
        <f t="shared" si="0"/>
        <v>47318</v>
      </c>
      <c r="L153" s="20">
        <v>44869.470588235301</v>
      </c>
      <c r="M153" s="19">
        <v>23</v>
      </c>
      <c r="N153" s="20">
        <f t="shared" si="16"/>
        <v>24.112098680593736</v>
      </c>
      <c r="O153" s="18"/>
      <c r="P153" s="6">
        <v>2355</v>
      </c>
      <c r="Q153" s="7">
        <f t="shared" si="1"/>
        <v>100794000</v>
      </c>
      <c r="R153" s="7">
        <f t="shared" si="2"/>
        <v>105667603.23529413</v>
      </c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35">
      <c r="A154" s="4" t="s">
        <v>183</v>
      </c>
      <c r="B154" s="19" t="s">
        <v>19</v>
      </c>
      <c r="C154" s="19" t="s">
        <v>20</v>
      </c>
      <c r="D154" s="19">
        <v>10</v>
      </c>
      <c r="E154" s="19">
        <v>4624</v>
      </c>
      <c r="F154" s="19">
        <v>5036</v>
      </c>
      <c r="G154" s="19">
        <v>0</v>
      </c>
      <c r="H154" s="19">
        <v>0</v>
      </c>
      <c r="I154" s="19">
        <v>0</v>
      </c>
      <c r="J154" s="19">
        <v>8051</v>
      </c>
      <c r="K154" s="19">
        <f t="shared" si="0"/>
        <v>1609</v>
      </c>
      <c r="L154" s="20">
        <v>2366.5</v>
      </c>
      <c r="M154" s="19">
        <v>23</v>
      </c>
      <c r="N154" s="20">
        <f t="shared" si="16"/>
        <v>6.7605887467395354</v>
      </c>
      <c r="O154" s="18"/>
      <c r="P154" s="6">
        <v>2021</v>
      </c>
      <c r="Q154" s="7">
        <f t="shared" si="1"/>
        <v>16271071</v>
      </c>
      <c r="R154" s="7">
        <f t="shared" si="2"/>
        <v>4782696.5</v>
      </c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35">
      <c r="A155" s="4" t="s">
        <v>184</v>
      </c>
      <c r="B155" s="19" t="s">
        <v>19</v>
      </c>
      <c r="C155" s="19" t="s">
        <v>20</v>
      </c>
      <c r="D155" s="19">
        <v>10</v>
      </c>
      <c r="E155" s="19">
        <v>3538</v>
      </c>
      <c r="F155" s="19">
        <v>7975</v>
      </c>
      <c r="G155" s="19">
        <v>0</v>
      </c>
      <c r="H155" s="19">
        <v>0</v>
      </c>
      <c r="I155" s="19">
        <v>0</v>
      </c>
      <c r="J155" s="19">
        <v>4255</v>
      </c>
      <c r="K155" s="19">
        <f t="shared" si="0"/>
        <v>7258</v>
      </c>
      <c r="L155" s="20">
        <v>4915</v>
      </c>
      <c r="M155" s="19">
        <v>23</v>
      </c>
      <c r="N155" s="20">
        <f t="shared" si="16"/>
        <v>26.567567567567565</v>
      </c>
      <c r="O155" s="18"/>
      <c r="P155" s="6">
        <v>2021</v>
      </c>
      <c r="Q155" s="7">
        <f t="shared" si="1"/>
        <v>8599355</v>
      </c>
      <c r="R155" s="7">
        <f t="shared" si="2"/>
        <v>9933215</v>
      </c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35">
      <c r="A156" s="4" t="s">
        <v>185</v>
      </c>
      <c r="B156" s="19" t="s">
        <v>19</v>
      </c>
      <c r="C156" s="19" t="s">
        <v>20</v>
      </c>
      <c r="D156" s="19">
        <v>10</v>
      </c>
      <c r="E156" s="19">
        <v>945</v>
      </c>
      <c r="F156" s="19">
        <v>12225</v>
      </c>
      <c r="G156" s="19">
        <v>0</v>
      </c>
      <c r="H156" s="19">
        <v>0</v>
      </c>
      <c r="I156" s="19">
        <v>0</v>
      </c>
      <c r="J156" s="19">
        <v>8411</v>
      </c>
      <c r="K156" s="19">
        <f t="shared" si="0"/>
        <v>4759</v>
      </c>
      <c r="L156" s="20">
        <v>5246.8</v>
      </c>
      <c r="M156" s="19">
        <v>23</v>
      </c>
      <c r="N156" s="20">
        <f t="shared" si="16"/>
        <v>14.347449768160741</v>
      </c>
      <c r="O156" s="18"/>
      <c r="P156" s="6">
        <v>2021</v>
      </c>
      <c r="Q156" s="7">
        <f t="shared" si="1"/>
        <v>16998631</v>
      </c>
      <c r="R156" s="7">
        <f t="shared" si="2"/>
        <v>10603782.800000001</v>
      </c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35">
      <c r="A157" s="4" t="s">
        <v>186</v>
      </c>
      <c r="B157" s="19" t="s">
        <v>19</v>
      </c>
      <c r="C157" s="19" t="s">
        <v>20</v>
      </c>
      <c r="D157" s="19">
        <v>10</v>
      </c>
      <c r="E157" s="19">
        <v>0</v>
      </c>
      <c r="F157" s="19">
        <v>17000</v>
      </c>
      <c r="G157" s="19">
        <v>0</v>
      </c>
      <c r="H157" s="19">
        <v>0</v>
      </c>
      <c r="I157" s="19">
        <v>13000</v>
      </c>
      <c r="J157" s="19">
        <v>0</v>
      </c>
      <c r="K157" s="19">
        <f t="shared" si="0"/>
        <v>4000</v>
      </c>
      <c r="L157" s="20">
        <v>6444.4444444444407</v>
      </c>
      <c r="M157" s="19">
        <v>23</v>
      </c>
      <c r="N157" s="20">
        <f t="shared" si="16"/>
        <v>11.401709401709395</v>
      </c>
      <c r="O157" s="18"/>
      <c r="P157" s="6">
        <v>2846</v>
      </c>
      <c r="Q157" s="7">
        <f t="shared" si="1"/>
        <v>36998000</v>
      </c>
      <c r="R157" s="7">
        <f t="shared" si="2"/>
        <v>18340888.888888877</v>
      </c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35">
      <c r="A158" s="4" t="s">
        <v>187</v>
      </c>
      <c r="B158" s="19" t="s">
        <v>19</v>
      </c>
      <c r="C158" s="19" t="s">
        <v>20</v>
      </c>
      <c r="D158" s="19">
        <v>10</v>
      </c>
      <c r="E158" s="19">
        <v>5936</v>
      </c>
      <c r="F158" s="19">
        <v>10755</v>
      </c>
      <c r="G158" s="19">
        <v>0</v>
      </c>
      <c r="H158" s="19">
        <v>0</v>
      </c>
      <c r="I158" s="19">
        <v>15316</v>
      </c>
      <c r="J158" s="19">
        <v>0</v>
      </c>
      <c r="K158" s="19">
        <f t="shared" si="0"/>
        <v>1375</v>
      </c>
      <c r="L158" s="20">
        <v>3496</v>
      </c>
      <c r="M158" s="19">
        <v>23</v>
      </c>
      <c r="N158" s="20">
        <f t="shared" si="16"/>
        <v>5.2499347088012538</v>
      </c>
      <c r="O158" s="18"/>
      <c r="P158" s="6">
        <v>7550</v>
      </c>
      <c r="Q158" s="7">
        <f t="shared" si="1"/>
        <v>115635800</v>
      </c>
      <c r="R158" s="7">
        <f t="shared" si="2"/>
        <v>26394800</v>
      </c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35">
      <c r="A159" s="4" t="s">
        <v>188</v>
      </c>
      <c r="B159" s="19" t="s">
        <v>19</v>
      </c>
      <c r="C159" s="19" t="s">
        <v>20</v>
      </c>
      <c r="D159" s="19">
        <v>10</v>
      </c>
      <c r="E159" s="19">
        <v>1400</v>
      </c>
      <c r="F159" s="19">
        <v>2000</v>
      </c>
      <c r="G159" s="19">
        <v>0</v>
      </c>
      <c r="H159" s="19">
        <v>0</v>
      </c>
      <c r="I159" s="19">
        <v>1200</v>
      </c>
      <c r="J159" s="19">
        <v>0</v>
      </c>
      <c r="K159" s="19">
        <f t="shared" si="0"/>
        <v>2200</v>
      </c>
      <c r="L159" s="20">
        <v>1200</v>
      </c>
      <c r="M159" s="19">
        <v>23</v>
      </c>
      <c r="N159" s="20">
        <f t="shared" si="16"/>
        <v>23</v>
      </c>
      <c r="O159" s="18"/>
      <c r="P159" s="6">
        <v>2658</v>
      </c>
      <c r="Q159" s="7">
        <f t="shared" si="1"/>
        <v>3189600</v>
      </c>
      <c r="R159" s="7">
        <f t="shared" si="2"/>
        <v>3189600</v>
      </c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35">
      <c r="A160" s="4" t="s">
        <v>194</v>
      </c>
      <c r="B160" s="19" t="s">
        <v>19</v>
      </c>
      <c r="C160" s="19" t="s">
        <v>20</v>
      </c>
      <c r="D160" s="19">
        <v>10</v>
      </c>
      <c r="E160" s="19">
        <v>21850</v>
      </c>
      <c r="F160" s="19">
        <v>1000</v>
      </c>
      <c r="G160" s="19">
        <v>0</v>
      </c>
      <c r="H160" s="19">
        <v>0</v>
      </c>
      <c r="I160" s="19">
        <v>0</v>
      </c>
      <c r="J160" s="19">
        <v>15000</v>
      </c>
      <c r="K160" s="19">
        <f t="shared" si="0"/>
        <v>7850</v>
      </c>
      <c r="L160" s="20">
        <v>14575</v>
      </c>
      <c r="M160" s="19">
        <v>23</v>
      </c>
      <c r="N160" s="20">
        <f t="shared" si="16"/>
        <v>22.348333333333333</v>
      </c>
      <c r="O160" s="18"/>
      <c r="P160" s="6">
        <v>2103</v>
      </c>
      <c r="Q160" s="7">
        <f t="shared" si="1"/>
        <v>31545000</v>
      </c>
      <c r="R160" s="7">
        <f t="shared" si="2"/>
        <v>30651225</v>
      </c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35">
      <c r="A161" s="4" t="s">
        <v>198</v>
      </c>
      <c r="B161" s="19" t="s">
        <v>19</v>
      </c>
      <c r="C161" s="19" t="s">
        <v>20</v>
      </c>
      <c r="D161" s="19">
        <v>10</v>
      </c>
      <c r="E161" s="19">
        <v>27475</v>
      </c>
      <c r="F161" s="19">
        <v>0</v>
      </c>
      <c r="G161" s="19">
        <v>0</v>
      </c>
      <c r="H161" s="19">
        <v>0</v>
      </c>
      <c r="I161" s="19">
        <v>12000</v>
      </c>
      <c r="J161" s="19">
        <v>0</v>
      </c>
      <c r="K161" s="19">
        <f t="shared" si="0"/>
        <v>15475</v>
      </c>
      <c r="L161" s="20">
        <v>21475</v>
      </c>
      <c r="M161" s="19">
        <v>23</v>
      </c>
      <c r="N161" s="20">
        <f t="shared" si="16"/>
        <v>41.160416666666663</v>
      </c>
      <c r="O161" s="18"/>
      <c r="P161" s="6">
        <v>2846</v>
      </c>
      <c r="Q161" s="7">
        <f t="shared" si="1"/>
        <v>34152000</v>
      </c>
      <c r="R161" s="7">
        <f t="shared" si="2"/>
        <v>61117850</v>
      </c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35">
      <c r="A162" s="8" t="s">
        <v>165</v>
      </c>
      <c r="B162" s="8"/>
      <c r="C162" s="8"/>
      <c r="D162" s="8"/>
      <c r="E162" s="9">
        <f t="shared" ref="E162:L162" si="17">SUM(E2:E161)</f>
        <v>1172136</v>
      </c>
      <c r="F162" s="9">
        <f t="shared" si="17"/>
        <v>3802367</v>
      </c>
      <c r="G162" s="9">
        <f t="shared" si="17"/>
        <v>0</v>
      </c>
      <c r="H162" s="9">
        <f t="shared" si="17"/>
        <v>0</v>
      </c>
      <c r="I162" s="9">
        <f t="shared" si="17"/>
        <v>2209028</v>
      </c>
      <c r="J162" s="9">
        <f t="shared" si="17"/>
        <v>1422255</v>
      </c>
      <c r="K162" s="9">
        <f t="shared" si="17"/>
        <v>1343220</v>
      </c>
      <c r="L162" s="9">
        <f t="shared" si="17"/>
        <v>1396181.4520379903</v>
      </c>
      <c r="M162" s="9">
        <v>23</v>
      </c>
      <c r="N162" s="9">
        <f t="shared" si="16"/>
        <v>8.8432031865524614</v>
      </c>
      <c r="O162" s="18"/>
      <c r="P162" s="19"/>
      <c r="Q162" s="21">
        <f t="shared" ref="Q162:R162" si="18">SUM(Q2:Q161)</f>
        <v>8013939155</v>
      </c>
      <c r="R162" s="21">
        <f t="shared" si="18"/>
        <v>3270915023.6935358</v>
      </c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3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9"/>
      <c r="Q163" s="19"/>
      <c r="R163" s="19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35">
      <c r="A164" s="18"/>
      <c r="B164" s="18"/>
      <c r="C164" s="18"/>
      <c r="D164" s="18"/>
      <c r="E164" s="18"/>
      <c r="F164" s="18"/>
      <c r="G164" s="18"/>
      <c r="H164" s="18"/>
      <c r="I164" s="22">
        <f>I162+J162</f>
        <v>3631283</v>
      </c>
      <c r="J164" s="18"/>
      <c r="K164" s="18"/>
      <c r="L164" s="18"/>
      <c r="M164" s="18"/>
      <c r="N164" s="18"/>
      <c r="O164" s="18"/>
      <c r="P164" s="12" t="s">
        <v>166</v>
      </c>
      <c r="Q164" s="23">
        <v>5.1999999999999998E-3</v>
      </c>
      <c r="R164" s="19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3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2" t="s">
        <v>167</v>
      </c>
      <c r="Q165" s="24">
        <f>(R162*Q164)/Q162</f>
        <v>2.1223967133060153E-3</v>
      </c>
      <c r="R165" s="19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3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2" t="s">
        <v>168</v>
      </c>
      <c r="Q166" s="24">
        <v>1.5100000000000001E-3</v>
      </c>
      <c r="R166" s="19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3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2" t="s">
        <v>169</v>
      </c>
      <c r="Q167" s="25">
        <f>(R162/Q162)*M159</f>
        <v>9.3875239242381454</v>
      </c>
      <c r="R167" s="19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3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/>
      <c r="Q168" s="19"/>
      <c r="R168" s="19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3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9"/>
      <c r="Q169" s="19"/>
      <c r="R169" s="19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3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9"/>
      <c r="Q170" s="19"/>
      <c r="R170" s="19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3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9"/>
      <c r="Q171" s="19"/>
      <c r="R171" s="19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3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9"/>
      <c r="Q172" s="19"/>
      <c r="R172" s="19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3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9"/>
      <c r="Q173" s="19"/>
      <c r="R173" s="19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3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9"/>
      <c r="Q174" s="19"/>
      <c r="R174" s="19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3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9"/>
      <c r="Q175" s="19"/>
      <c r="R175" s="19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3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/>
      <c r="Q176" s="19"/>
      <c r="R176" s="19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3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9"/>
      <c r="Q177" s="19"/>
      <c r="R177" s="19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3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9"/>
      <c r="Q178" s="19"/>
      <c r="R178" s="19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3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9"/>
      <c r="Q179" s="19"/>
      <c r="R179" s="19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3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9"/>
      <c r="Q180" s="19"/>
      <c r="R180" s="19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3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9"/>
      <c r="Q181" s="19"/>
      <c r="R181" s="19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3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9"/>
      <c r="Q182" s="19"/>
      <c r="R182" s="19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3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9"/>
      <c r="Q183" s="19"/>
      <c r="R183" s="19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3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9"/>
      <c r="Q184" s="19"/>
      <c r="R184" s="19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3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9"/>
      <c r="Q185" s="19"/>
      <c r="R185" s="19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3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9"/>
      <c r="Q186" s="19"/>
      <c r="R186" s="19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3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9"/>
      <c r="Q187" s="19"/>
      <c r="R187" s="19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3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9"/>
      <c r="Q188" s="19"/>
      <c r="R188" s="19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3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9"/>
      <c r="Q189" s="19"/>
      <c r="R189" s="19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3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9"/>
      <c r="Q190" s="19"/>
      <c r="R190" s="19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3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9"/>
      <c r="Q191" s="19"/>
      <c r="R191" s="19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3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9"/>
      <c r="Q192" s="19"/>
      <c r="R192" s="19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3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9"/>
      <c r="Q193" s="19"/>
      <c r="R193" s="19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3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9"/>
      <c r="Q194" s="19"/>
      <c r="R194" s="19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3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9"/>
      <c r="Q195" s="19"/>
      <c r="R195" s="19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3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9"/>
      <c r="Q196" s="19"/>
      <c r="R196" s="19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3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9"/>
      <c r="Q197" s="19"/>
      <c r="R197" s="19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3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9"/>
      <c r="Q198" s="19"/>
      <c r="R198" s="19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3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9"/>
      <c r="Q199" s="19"/>
      <c r="R199" s="19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3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9"/>
      <c r="Q200" s="19"/>
      <c r="R200" s="19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3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9"/>
      <c r="Q201" s="19"/>
      <c r="R201" s="19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3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9"/>
      <c r="Q202" s="19"/>
      <c r="R202" s="19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3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9"/>
      <c r="Q203" s="19"/>
      <c r="R203" s="19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3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9"/>
      <c r="Q204" s="19"/>
      <c r="R204" s="19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3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9"/>
      <c r="Q205" s="19"/>
      <c r="R205" s="19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3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9"/>
      <c r="Q206" s="19"/>
      <c r="R206" s="19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3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9"/>
      <c r="Q207" s="19"/>
      <c r="R207" s="19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3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9"/>
      <c r="Q208" s="19"/>
      <c r="R208" s="19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3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9"/>
      <c r="Q209" s="19"/>
      <c r="R209" s="19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3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9"/>
      <c r="Q210" s="19"/>
      <c r="R210" s="19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3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9"/>
      <c r="Q211" s="19"/>
      <c r="R211" s="19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3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9"/>
      <c r="Q212" s="19"/>
      <c r="R212" s="19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3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9"/>
      <c r="Q213" s="19"/>
      <c r="R213" s="19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3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9"/>
      <c r="Q214" s="19"/>
      <c r="R214" s="19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 x14ac:dyDescent="0.3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9"/>
      <c r="Q215" s="19"/>
      <c r="R215" s="19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 x14ac:dyDescent="0.3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9"/>
      <c r="Q216" s="19"/>
      <c r="R216" s="19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 x14ac:dyDescent="0.3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9"/>
      <c r="Q217" s="19"/>
      <c r="R217" s="19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 x14ac:dyDescent="0.3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9"/>
      <c r="Q218" s="19"/>
      <c r="R218" s="19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 x14ac:dyDescent="0.3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9"/>
      <c r="Q219" s="19"/>
      <c r="R219" s="19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 x14ac:dyDescent="0.3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9"/>
      <c r="Q220" s="19"/>
      <c r="R220" s="19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 x14ac:dyDescent="0.3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9"/>
      <c r="Q221" s="19"/>
      <c r="R221" s="19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3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9"/>
      <c r="Q222" s="19"/>
      <c r="R222" s="19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3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9"/>
      <c r="Q223" s="19"/>
      <c r="R223" s="19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3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9"/>
      <c r="Q224" s="19"/>
      <c r="R224" s="19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3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9"/>
      <c r="Q225" s="19"/>
      <c r="R225" s="19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3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9"/>
      <c r="Q226" s="19"/>
      <c r="R226" s="19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3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9"/>
      <c r="Q227" s="19"/>
      <c r="R227" s="19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3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9"/>
      <c r="Q228" s="19"/>
      <c r="R228" s="19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3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9"/>
      <c r="Q229" s="19"/>
      <c r="R229" s="19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3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9"/>
      <c r="Q230" s="19"/>
      <c r="R230" s="19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3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9"/>
      <c r="Q231" s="19"/>
      <c r="R231" s="19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3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9"/>
      <c r="Q232" s="19"/>
      <c r="R232" s="19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3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9"/>
      <c r="Q233" s="19"/>
      <c r="R233" s="19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3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9"/>
      <c r="Q234" s="19"/>
      <c r="R234" s="19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9"/>
      <c r="Q235" s="19"/>
      <c r="R235" s="19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3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9"/>
      <c r="Q236" s="19"/>
      <c r="R236" s="19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3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9"/>
      <c r="Q237" s="19"/>
      <c r="R237" s="19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3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9"/>
      <c r="Q238" s="19"/>
      <c r="R238" s="19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3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9"/>
      <c r="Q239" s="19"/>
      <c r="R239" s="19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3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9"/>
      <c r="Q240" s="19"/>
      <c r="R240" s="19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3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9"/>
      <c r="Q241" s="19"/>
      <c r="R241" s="19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3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9"/>
      <c r="Q242" s="19"/>
      <c r="R242" s="19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3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9"/>
      <c r="Q243" s="19"/>
      <c r="R243" s="19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3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9"/>
      <c r="Q244" s="19"/>
      <c r="R244" s="19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3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9"/>
      <c r="Q245" s="19"/>
      <c r="R245" s="19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3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9"/>
      <c r="Q246" s="19"/>
      <c r="R246" s="19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3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9"/>
      <c r="Q247" s="19"/>
      <c r="R247" s="19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3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9"/>
      <c r="Q248" s="19"/>
      <c r="R248" s="19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3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9"/>
      <c r="Q249" s="19"/>
      <c r="R249" s="19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3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9"/>
      <c r="Q250" s="19"/>
      <c r="R250" s="19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3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9"/>
      <c r="Q251" s="19"/>
      <c r="R251" s="19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3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9"/>
      <c r="Q252" s="19"/>
      <c r="R252" s="19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3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9"/>
      <c r="Q253" s="19"/>
      <c r="R253" s="19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3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9"/>
      <c r="Q254" s="19"/>
      <c r="R254" s="19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3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9"/>
      <c r="Q255" s="19"/>
      <c r="R255" s="19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3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9"/>
      <c r="Q256" s="19"/>
      <c r="R256" s="19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3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9"/>
      <c r="Q257" s="19"/>
      <c r="R257" s="19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3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9"/>
      <c r="Q258" s="19"/>
      <c r="R258" s="19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3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9"/>
      <c r="Q259" s="19"/>
      <c r="R259" s="19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3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9"/>
      <c r="Q260" s="19"/>
      <c r="R260" s="19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3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9"/>
      <c r="Q261" s="19"/>
      <c r="R261" s="19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3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9"/>
      <c r="Q262" s="19"/>
      <c r="R262" s="19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3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9"/>
      <c r="Q263" s="19"/>
      <c r="R263" s="19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3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9"/>
      <c r="Q264" s="19"/>
      <c r="R264" s="19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3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9"/>
      <c r="Q265" s="19"/>
      <c r="R265" s="19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3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9"/>
      <c r="Q266" s="19"/>
      <c r="R266" s="19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3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9"/>
      <c r="Q267" s="19"/>
      <c r="R267" s="19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3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9"/>
      <c r="Q268" s="19"/>
      <c r="R268" s="19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3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9"/>
      <c r="Q269" s="19"/>
      <c r="R269" s="19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3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9"/>
      <c r="Q270" s="19"/>
      <c r="R270" s="19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3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9"/>
      <c r="Q271" s="19"/>
      <c r="R271" s="19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3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9"/>
      <c r="Q272" s="19"/>
      <c r="R272" s="19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3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9"/>
      <c r="Q273" s="19"/>
      <c r="R273" s="19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3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9"/>
      <c r="Q274" s="19"/>
      <c r="R274" s="19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3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9"/>
      <c r="Q275" s="19"/>
      <c r="R275" s="19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3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9"/>
      <c r="Q276" s="19"/>
      <c r="R276" s="19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3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9"/>
      <c r="Q277" s="19"/>
      <c r="R277" s="19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3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9"/>
      <c r="Q278" s="19"/>
      <c r="R278" s="19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3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9"/>
      <c r="Q279" s="19"/>
      <c r="R279" s="19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3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9"/>
      <c r="Q280" s="19"/>
      <c r="R280" s="19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3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9"/>
      <c r="Q281" s="19"/>
      <c r="R281" s="19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3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9"/>
      <c r="Q282" s="19"/>
      <c r="R282" s="19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3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9"/>
      <c r="Q283" s="19"/>
      <c r="R283" s="19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3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9"/>
      <c r="Q284" s="19"/>
      <c r="R284" s="19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3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9"/>
      <c r="Q285" s="19"/>
      <c r="R285" s="19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3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9"/>
      <c r="Q286" s="19"/>
      <c r="R286" s="19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3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9"/>
      <c r="Q287" s="19"/>
      <c r="R287" s="19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3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9"/>
      <c r="Q288" s="19"/>
      <c r="R288" s="19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3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9"/>
      <c r="Q289" s="19"/>
      <c r="R289" s="19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3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9"/>
      <c r="Q290" s="19"/>
      <c r="R290" s="19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3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9"/>
      <c r="Q291" s="19"/>
      <c r="R291" s="19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3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9"/>
      <c r="Q292" s="19"/>
      <c r="R292" s="19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3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9"/>
      <c r="Q293" s="19"/>
      <c r="R293" s="19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3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9"/>
      <c r="Q294" s="19"/>
      <c r="R294" s="19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3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9"/>
      <c r="Q295" s="19"/>
      <c r="R295" s="19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3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9"/>
      <c r="Q296" s="19"/>
      <c r="R296" s="19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3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9"/>
      <c r="Q297" s="19"/>
      <c r="R297" s="19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3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9"/>
      <c r="Q298" s="19"/>
      <c r="R298" s="19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3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9"/>
      <c r="Q299" s="19"/>
      <c r="R299" s="19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3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9"/>
      <c r="Q300" s="19"/>
      <c r="R300" s="19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3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9"/>
      <c r="Q301" s="19"/>
      <c r="R301" s="19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3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9"/>
      <c r="Q302" s="19"/>
      <c r="R302" s="19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3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9"/>
      <c r="Q303" s="19"/>
      <c r="R303" s="19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3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9"/>
      <c r="Q304" s="19"/>
      <c r="R304" s="19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3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9"/>
      <c r="Q305" s="19"/>
      <c r="R305" s="19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3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9"/>
      <c r="Q306" s="19"/>
      <c r="R306" s="19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3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9"/>
      <c r="Q307" s="19"/>
      <c r="R307" s="19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3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9"/>
      <c r="Q308" s="19"/>
      <c r="R308" s="19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3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9"/>
      <c r="Q309" s="19"/>
      <c r="R309" s="19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3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9"/>
      <c r="Q310" s="19"/>
      <c r="R310" s="19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3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9"/>
      <c r="Q311" s="19"/>
      <c r="R311" s="19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3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9"/>
      <c r="Q312" s="19"/>
      <c r="R312" s="19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3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9"/>
      <c r="Q313" s="19"/>
      <c r="R313" s="19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3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9"/>
      <c r="Q314" s="19"/>
      <c r="R314" s="19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3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9"/>
      <c r="Q315" s="19"/>
      <c r="R315" s="19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3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9"/>
      <c r="Q316" s="19"/>
      <c r="R316" s="19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3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9"/>
      <c r="Q317" s="19"/>
      <c r="R317" s="19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3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9"/>
      <c r="Q318" s="19"/>
      <c r="R318" s="19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3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9"/>
      <c r="Q319" s="19"/>
      <c r="R319" s="19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3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9"/>
      <c r="Q320" s="19"/>
      <c r="R320" s="19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3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9"/>
      <c r="Q321" s="19"/>
      <c r="R321" s="19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3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9"/>
      <c r="Q322" s="19"/>
      <c r="R322" s="19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3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9"/>
      <c r="Q323" s="19"/>
      <c r="R323" s="19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3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9"/>
      <c r="Q324" s="19"/>
      <c r="R324" s="19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3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9"/>
      <c r="Q325" s="19"/>
      <c r="R325" s="19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3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9"/>
      <c r="Q326" s="19"/>
      <c r="R326" s="19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3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9"/>
      <c r="Q327" s="19"/>
      <c r="R327" s="19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9"/>
      <c r="Q328" s="19"/>
      <c r="R328" s="19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3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9"/>
      <c r="R329" s="19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3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9"/>
      <c r="Q330" s="19"/>
      <c r="R330" s="19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3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9"/>
      <c r="Q331" s="19"/>
      <c r="R331" s="19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3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9"/>
      <c r="Q332" s="19"/>
      <c r="R332" s="19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3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9"/>
      <c r="Q333" s="19"/>
      <c r="R333" s="19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3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9"/>
      <c r="Q334" s="19"/>
      <c r="R334" s="19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9"/>
      <c r="Q335" s="19"/>
      <c r="R335" s="19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3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9"/>
      <c r="Q336" s="19"/>
      <c r="R336" s="19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3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9"/>
      <c r="Q337" s="19"/>
      <c r="R337" s="19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3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9"/>
      <c r="Q338" s="19"/>
      <c r="R338" s="19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3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9"/>
      <c r="Q339" s="19"/>
      <c r="R339" s="19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3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9"/>
      <c r="Q340" s="19"/>
      <c r="R340" s="19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3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9"/>
      <c r="Q341" s="19"/>
      <c r="R341" s="19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3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9"/>
      <c r="Q342" s="19"/>
      <c r="R342" s="19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3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9"/>
      <c r="Q343" s="19"/>
      <c r="R343" s="19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3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9"/>
      <c r="Q344" s="19"/>
      <c r="R344" s="19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3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9"/>
      <c r="Q345" s="19"/>
      <c r="R345" s="19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3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9"/>
      <c r="Q346" s="19"/>
      <c r="R346" s="19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3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9"/>
      <c r="Q347" s="19"/>
      <c r="R347" s="19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3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9"/>
      <c r="Q348" s="19"/>
      <c r="R348" s="19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3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9"/>
      <c r="Q349" s="19"/>
      <c r="R349" s="19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3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9"/>
      <c r="Q350" s="19"/>
      <c r="R350" s="19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3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9"/>
      <c r="Q351" s="19"/>
      <c r="R351" s="19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3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9"/>
      <c r="Q352" s="19"/>
      <c r="R352" s="19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3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9"/>
      <c r="Q353" s="19"/>
      <c r="R353" s="19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3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9"/>
      <c r="Q354" s="19"/>
      <c r="R354" s="19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3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9"/>
      <c r="Q355" s="19"/>
      <c r="R355" s="19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3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9"/>
      <c r="Q356" s="19"/>
      <c r="R356" s="19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3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9"/>
      <c r="Q357" s="19"/>
      <c r="R357" s="19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3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9"/>
      <c r="Q358" s="19"/>
      <c r="R358" s="19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3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9"/>
      <c r="Q359" s="19"/>
      <c r="R359" s="19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3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9"/>
      <c r="Q360" s="19"/>
      <c r="R360" s="19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3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9"/>
      <c r="Q361" s="19"/>
      <c r="R361" s="19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3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9"/>
      <c r="Q362" s="19"/>
      <c r="R362" s="19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3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9"/>
      <c r="Q363" s="19"/>
      <c r="R363" s="19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3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9"/>
      <c r="Q364" s="19"/>
      <c r="R364" s="19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3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9"/>
      <c r="Q365" s="19"/>
      <c r="R365" s="19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3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9"/>
      <c r="Q366" s="19"/>
      <c r="R366" s="19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3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9"/>
      <c r="Q367" s="19"/>
      <c r="R367" s="19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3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9"/>
      <c r="Q368" s="19"/>
      <c r="R368" s="19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3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9"/>
      <c r="Q369" s="19"/>
      <c r="R369" s="19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3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9"/>
      <c r="Q370" s="19"/>
      <c r="R370" s="19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3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9"/>
      <c r="Q371" s="19"/>
      <c r="R371" s="19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3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9"/>
      <c r="Q372" s="19"/>
      <c r="R372" s="19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3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9"/>
      <c r="Q373" s="19"/>
      <c r="R373" s="19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3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9"/>
      <c r="Q374" s="19"/>
      <c r="R374" s="19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3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9"/>
      <c r="Q375" s="19"/>
      <c r="R375" s="19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3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9"/>
      <c r="Q376" s="19"/>
      <c r="R376" s="19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3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9"/>
      <c r="Q377" s="19"/>
      <c r="R377" s="19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3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9"/>
      <c r="Q378" s="19"/>
      <c r="R378" s="19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3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9"/>
      <c r="Q379" s="19"/>
      <c r="R379" s="19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3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9"/>
      <c r="Q380" s="19"/>
      <c r="R380" s="19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3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9"/>
      <c r="Q381" s="19"/>
      <c r="R381" s="19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3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9"/>
      <c r="Q382" s="19"/>
      <c r="R382" s="19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3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9"/>
      <c r="Q383" s="19"/>
      <c r="R383" s="19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3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9"/>
      <c r="Q384" s="19"/>
      <c r="R384" s="19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3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9"/>
      <c r="Q385" s="19"/>
      <c r="R385" s="19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3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9"/>
      <c r="Q386" s="19"/>
      <c r="R386" s="19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3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9"/>
      <c r="Q387" s="19"/>
      <c r="R387" s="19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3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9"/>
      <c r="Q388" s="19"/>
      <c r="R388" s="19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3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9"/>
      <c r="Q389" s="19"/>
      <c r="R389" s="19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3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9"/>
      <c r="Q390" s="19"/>
      <c r="R390" s="19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3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9"/>
      <c r="Q391" s="19"/>
      <c r="R391" s="19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3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9"/>
      <c r="Q392" s="19"/>
      <c r="R392" s="19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3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9"/>
      <c r="Q393" s="19"/>
      <c r="R393" s="19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3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9"/>
      <c r="Q394" s="19"/>
      <c r="R394" s="19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3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9"/>
      <c r="Q395" s="19"/>
      <c r="R395" s="19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3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9"/>
      <c r="Q396" s="19"/>
      <c r="R396" s="19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3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9"/>
      <c r="Q397" s="19"/>
      <c r="R397" s="19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3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9"/>
      <c r="Q398" s="19"/>
      <c r="R398" s="19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3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9"/>
      <c r="Q399" s="19"/>
      <c r="R399" s="19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3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9"/>
      <c r="Q400" s="19"/>
      <c r="R400" s="19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3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9"/>
      <c r="Q401" s="19"/>
      <c r="R401" s="19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3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9"/>
      <c r="Q402" s="19"/>
      <c r="R402" s="19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3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9"/>
      <c r="Q403" s="19"/>
      <c r="R403" s="19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3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9"/>
      <c r="Q404" s="19"/>
      <c r="R404" s="19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3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9"/>
      <c r="Q405" s="19"/>
      <c r="R405" s="19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3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9"/>
      <c r="Q406" s="19"/>
      <c r="R406" s="19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3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9"/>
      <c r="Q407" s="19"/>
      <c r="R407" s="19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3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9"/>
      <c r="Q408" s="19"/>
      <c r="R408" s="19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3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9"/>
      <c r="Q409" s="19"/>
      <c r="R409" s="19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3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9"/>
      <c r="Q410" s="19"/>
      <c r="R410" s="19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3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9"/>
      <c r="Q411" s="19"/>
      <c r="R411" s="19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3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9"/>
      <c r="Q412" s="19"/>
      <c r="R412" s="19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3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9"/>
      <c r="Q413" s="19"/>
      <c r="R413" s="19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3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9"/>
      <c r="Q414" s="19"/>
      <c r="R414" s="19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3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9"/>
      <c r="Q415" s="19"/>
      <c r="R415" s="19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3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9"/>
      <c r="Q416" s="19"/>
      <c r="R416" s="19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3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9"/>
      <c r="Q417" s="19"/>
      <c r="R417" s="19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3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9"/>
      <c r="Q418" s="19"/>
      <c r="R418" s="19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3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9"/>
      <c r="Q419" s="19"/>
      <c r="R419" s="19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3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9"/>
      <c r="Q420" s="19"/>
      <c r="R420" s="19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3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9"/>
      <c r="Q421" s="19"/>
      <c r="R421" s="19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3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9"/>
      <c r="Q422" s="19"/>
      <c r="R422" s="19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3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9"/>
      <c r="Q423" s="19"/>
      <c r="R423" s="19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3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9"/>
      <c r="Q424" s="19"/>
      <c r="R424" s="19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3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9"/>
      <c r="Q425" s="19"/>
      <c r="R425" s="19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3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9"/>
      <c r="Q426" s="19"/>
      <c r="R426" s="19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3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9"/>
      <c r="Q427" s="19"/>
      <c r="R427" s="19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3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9"/>
      <c r="Q428" s="19"/>
      <c r="R428" s="19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3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9"/>
      <c r="Q429" s="19"/>
      <c r="R429" s="19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3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9"/>
      <c r="Q430" s="19"/>
      <c r="R430" s="19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3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9"/>
      <c r="Q431" s="19"/>
      <c r="R431" s="19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3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9"/>
      <c r="Q432" s="19"/>
      <c r="R432" s="19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3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9"/>
      <c r="Q433" s="19"/>
      <c r="R433" s="19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3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9"/>
      <c r="Q434" s="19"/>
      <c r="R434" s="19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9"/>
      <c r="Q435" s="19"/>
      <c r="R435" s="19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3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9"/>
      <c r="Q436" s="19"/>
      <c r="R436" s="19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3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9"/>
      <c r="Q437" s="19"/>
      <c r="R437" s="19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3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9"/>
      <c r="Q438" s="19"/>
      <c r="R438" s="19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3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9"/>
      <c r="Q439" s="19"/>
      <c r="R439" s="19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3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9"/>
      <c r="Q440" s="19"/>
      <c r="R440" s="19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3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9"/>
      <c r="Q441" s="19"/>
      <c r="R441" s="19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3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9"/>
      <c r="Q442" s="19"/>
      <c r="R442" s="19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3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9"/>
      <c r="Q443" s="19"/>
      <c r="R443" s="19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3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9"/>
      <c r="Q444" s="19"/>
      <c r="R444" s="19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3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9"/>
      <c r="Q445" s="19"/>
      <c r="R445" s="19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3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9"/>
      <c r="Q446" s="19"/>
      <c r="R446" s="19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3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9"/>
      <c r="Q447" s="19"/>
      <c r="R447" s="19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3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9"/>
      <c r="Q448" s="19"/>
      <c r="R448" s="19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3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9"/>
      <c r="Q449" s="19"/>
      <c r="R449" s="19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3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9"/>
      <c r="Q450" s="19"/>
      <c r="R450" s="19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3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9"/>
      <c r="Q451" s="19"/>
      <c r="R451" s="19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3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9"/>
      <c r="Q452" s="19"/>
      <c r="R452" s="19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3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9"/>
      <c r="Q453" s="19"/>
      <c r="R453" s="19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3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9"/>
      <c r="Q454" s="19"/>
      <c r="R454" s="19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3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9"/>
      <c r="Q455" s="19"/>
      <c r="R455" s="19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3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9"/>
      <c r="Q456" s="19"/>
      <c r="R456" s="19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3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9"/>
      <c r="Q457" s="19"/>
      <c r="R457" s="19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3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9"/>
      <c r="Q458" s="19"/>
      <c r="R458" s="19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3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9"/>
      <c r="Q459" s="19"/>
      <c r="R459" s="19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3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9"/>
      <c r="Q460" s="19"/>
      <c r="R460" s="19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3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9"/>
      <c r="Q461" s="19"/>
      <c r="R461" s="19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3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9"/>
      <c r="Q462" s="19"/>
      <c r="R462" s="19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3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9"/>
      <c r="Q463" s="19"/>
      <c r="R463" s="19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3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9"/>
      <c r="Q464" s="19"/>
      <c r="R464" s="19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3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9"/>
      <c r="Q465" s="19"/>
      <c r="R465" s="19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3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9"/>
      <c r="Q466" s="19"/>
      <c r="R466" s="19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3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9"/>
      <c r="Q467" s="19"/>
      <c r="R467" s="19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3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9"/>
      <c r="Q468" s="19"/>
      <c r="R468" s="19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3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9"/>
      <c r="Q469" s="19"/>
      <c r="R469" s="19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3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9"/>
      <c r="Q470" s="19"/>
      <c r="R470" s="19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3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9"/>
      <c r="Q471" s="19"/>
      <c r="R471" s="19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3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9"/>
      <c r="Q472" s="19"/>
      <c r="R472" s="19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3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9"/>
      <c r="Q473" s="19"/>
      <c r="R473" s="19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3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9"/>
      <c r="Q474" s="19"/>
      <c r="R474" s="19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3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9"/>
      <c r="Q475" s="19"/>
      <c r="R475" s="19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3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9"/>
      <c r="Q476" s="19"/>
      <c r="R476" s="19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3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9"/>
      <c r="Q477" s="19"/>
      <c r="R477" s="19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3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9"/>
      <c r="Q478" s="19"/>
      <c r="R478" s="19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3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9"/>
      <c r="Q479" s="19"/>
      <c r="R479" s="19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3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9"/>
      <c r="Q480" s="19"/>
      <c r="R480" s="19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3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9"/>
      <c r="Q481" s="19"/>
      <c r="R481" s="19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3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9"/>
      <c r="Q482" s="19"/>
      <c r="R482" s="19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3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9"/>
      <c r="Q483" s="19"/>
      <c r="R483" s="19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3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9"/>
      <c r="Q484" s="19"/>
      <c r="R484" s="19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3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9"/>
      <c r="Q485" s="19"/>
      <c r="R485" s="19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3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9"/>
      <c r="Q486" s="19"/>
      <c r="R486" s="19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3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9"/>
      <c r="Q487" s="19"/>
      <c r="R487" s="19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3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9"/>
      <c r="Q488" s="19"/>
      <c r="R488" s="19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3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9"/>
      <c r="Q489" s="19"/>
      <c r="R489" s="19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3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9"/>
      <c r="Q490" s="19"/>
      <c r="R490" s="19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3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9"/>
      <c r="Q491" s="19"/>
      <c r="R491" s="19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3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9"/>
      <c r="Q492" s="19"/>
      <c r="R492" s="19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3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9"/>
      <c r="Q493" s="19"/>
      <c r="R493" s="19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3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9"/>
      <c r="Q494" s="19"/>
      <c r="R494" s="19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3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9"/>
      <c r="Q495" s="19"/>
      <c r="R495" s="19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3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9"/>
      <c r="Q496" s="19"/>
      <c r="R496" s="19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3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9"/>
      <c r="Q497" s="19"/>
      <c r="R497" s="19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3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9"/>
      <c r="Q498" s="19"/>
      <c r="R498" s="19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3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9"/>
      <c r="Q499" s="19"/>
      <c r="R499" s="19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3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9"/>
      <c r="Q500" s="19"/>
      <c r="R500" s="19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3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9"/>
      <c r="Q501" s="19"/>
      <c r="R501" s="19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3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9"/>
      <c r="Q502" s="19"/>
      <c r="R502" s="19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3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9"/>
      <c r="Q503" s="19"/>
      <c r="R503" s="19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3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9"/>
      <c r="Q504" s="19"/>
      <c r="R504" s="19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3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9"/>
      <c r="Q505" s="19"/>
      <c r="R505" s="19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3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9"/>
      <c r="Q506" s="19"/>
      <c r="R506" s="19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3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9"/>
      <c r="Q507" s="19"/>
      <c r="R507" s="19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3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9"/>
      <c r="Q508" s="19"/>
      <c r="R508" s="19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3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9"/>
      <c r="Q509" s="19"/>
      <c r="R509" s="19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3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9"/>
      <c r="Q510" s="19"/>
      <c r="R510" s="19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3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9"/>
      <c r="Q511" s="19"/>
      <c r="R511" s="19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3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9"/>
      <c r="Q512" s="19"/>
      <c r="R512" s="19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3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9"/>
      <c r="Q513" s="19"/>
      <c r="R513" s="19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3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9"/>
      <c r="Q514" s="19"/>
      <c r="R514" s="19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3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9"/>
      <c r="Q515" s="19"/>
      <c r="R515" s="19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3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9"/>
      <c r="Q516" s="19"/>
      <c r="R516" s="19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3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9"/>
      <c r="Q517" s="19"/>
      <c r="R517" s="19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3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9"/>
      <c r="Q518" s="19"/>
      <c r="R518" s="19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3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9"/>
      <c r="Q519" s="19"/>
      <c r="R519" s="19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3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9"/>
      <c r="Q520" s="19"/>
      <c r="R520" s="19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3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9"/>
      <c r="Q521" s="19"/>
      <c r="R521" s="19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3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9"/>
      <c r="Q522" s="19"/>
      <c r="R522" s="19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3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9"/>
      <c r="Q523" s="19"/>
      <c r="R523" s="19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3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9"/>
      <c r="Q524" s="19"/>
      <c r="R524" s="19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3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9"/>
      <c r="Q525" s="19"/>
      <c r="R525" s="19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3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9"/>
      <c r="Q526" s="19"/>
      <c r="R526" s="19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3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9"/>
      <c r="Q527" s="19"/>
      <c r="R527" s="19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3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9"/>
      <c r="Q528" s="19"/>
      <c r="R528" s="19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3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9"/>
      <c r="Q529" s="19"/>
      <c r="R529" s="19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3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9"/>
      <c r="Q530" s="19"/>
      <c r="R530" s="19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3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9"/>
      <c r="Q531" s="19"/>
      <c r="R531" s="19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3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9"/>
      <c r="Q532" s="19"/>
      <c r="R532" s="19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3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9"/>
      <c r="Q533" s="19"/>
      <c r="R533" s="19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3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9"/>
      <c r="Q534" s="19"/>
      <c r="R534" s="19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9"/>
      <c r="Q535" s="19"/>
      <c r="R535" s="19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3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9"/>
      <c r="Q536" s="19"/>
      <c r="R536" s="19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3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9"/>
      <c r="Q537" s="19"/>
      <c r="R537" s="19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3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9"/>
      <c r="Q538" s="19"/>
      <c r="R538" s="19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3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9"/>
      <c r="Q539" s="19"/>
      <c r="R539" s="19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3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9"/>
      <c r="Q540" s="19"/>
      <c r="R540" s="19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3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9"/>
      <c r="Q541" s="19"/>
      <c r="R541" s="19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3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9"/>
      <c r="Q542" s="19"/>
      <c r="R542" s="19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3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9"/>
      <c r="Q543" s="19"/>
      <c r="R543" s="19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3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9"/>
      <c r="Q544" s="19"/>
      <c r="R544" s="19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3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9"/>
      <c r="Q545" s="19"/>
      <c r="R545" s="19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3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9"/>
      <c r="Q546" s="19"/>
      <c r="R546" s="19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3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9"/>
      <c r="Q547" s="19"/>
      <c r="R547" s="19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3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9"/>
      <c r="Q548" s="19"/>
      <c r="R548" s="19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3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9"/>
      <c r="Q549" s="19"/>
      <c r="R549" s="19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3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9"/>
      <c r="Q550" s="19"/>
      <c r="R550" s="19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3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9"/>
      <c r="Q551" s="19"/>
      <c r="R551" s="19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3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9"/>
      <c r="Q552" s="19"/>
      <c r="R552" s="19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3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9"/>
      <c r="Q553" s="19"/>
      <c r="R553" s="19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3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9"/>
      <c r="Q554" s="19"/>
      <c r="R554" s="19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3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9"/>
      <c r="Q555" s="19"/>
      <c r="R555" s="19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3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9"/>
      <c r="Q556" s="19"/>
      <c r="R556" s="19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3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9"/>
      <c r="Q557" s="19"/>
      <c r="R557" s="19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3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9"/>
      <c r="Q558" s="19"/>
      <c r="R558" s="19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3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9"/>
      <c r="Q559" s="19"/>
      <c r="R559" s="19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3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9"/>
      <c r="Q560" s="19"/>
      <c r="R560" s="19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3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9"/>
      <c r="Q561" s="19"/>
      <c r="R561" s="19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3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9"/>
      <c r="Q562" s="19"/>
      <c r="R562" s="19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3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9"/>
      <c r="Q563" s="19"/>
      <c r="R563" s="19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3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9"/>
      <c r="Q564" s="19"/>
      <c r="R564" s="19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3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9"/>
      <c r="Q565" s="19"/>
      <c r="R565" s="19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3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9"/>
      <c r="Q566" s="19"/>
      <c r="R566" s="19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3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9"/>
      <c r="Q567" s="19"/>
      <c r="R567" s="19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3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9"/>
      <c r="Q568" s="19"/>
      <c r="R568" s="19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3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9"/>
      <c r="Q569" s="19"/>
      <c r="R569" s="19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3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9"/>
      <c r="Q570" s="19"/>
      <c r="R570" s="19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3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9"/>
      <c r="Q571" s="19"/>
      <c r="R571" s="19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3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9"/>
      <c r="Q572" s="19"/>
      <c r="R572" s="19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3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9"/>
      <c r="Q573" s="19"/>
      <c r="R573" s="19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3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9"/>
      <c r="Q574" s="19"/>
      <c r="R574" s="19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3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9"/>
      <c r="Q575" s="19"/>
      <c r="R575" s="19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3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9"/>
      <c r="Q576" s="19"/>
      <c r="R576" s="19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3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9"/>
      <c r="Q577" s="19"/>
      <c r="R577" s="19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3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9"/>
      <c r="Q578" s="19"/>
      <c r="R578" s="19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3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9"/>
      <c r="Q579" s="19"/>
      <c r="R579" s="19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3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9"/>
      <c r="Q580" s="19"/>
      <c r="R580" s="19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3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9"/>
      <c r="Q581" s="19"/>
      <c r="R581" s="19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3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9"/>
      <c r="Q582" s="19"/>
      <c r="R582" s="19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3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9"/>
      <c r="Q583" s="19"/>
      <c r="R583" s="19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3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9"/>
      <c r="Q584" s="19"/>
      <c r="R584" s="19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3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9"/>
      <c r="Q585" s="19"/>
      <c r="R585" s="19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3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9"/>
      <c r="Q586" s="19"/>
      <c r="R586" s="19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3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9"/>
      <c r="Q587" s="19"/>
      <c r="R587" s="19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3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9"/>
      <c r="Q588" s="19"/>
      <c r="R588" s="19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3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9"/>
      <c r="Q589" s="19"/>
      <c r="R589" s="19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3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9"/>
      <c r="Q590" s="19"/>
      <c r="R590" s="19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3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9"/>
      <c r="Q591" s="19"/>
      <c r="R591" s="19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3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9"/>
      <c r="Q592" s="19"/>
      <c r="R592" s="19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3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9"/>
      <c r="Q593" s="19"/>
      <c r="R593" s="19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3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9"/>
      <c r="Q594" s="19"/>
      <c r="R594" s="19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3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9"/>
      <c r="Q595" s="19"/>
      <c r="R595" s="19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3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9"/>
      <c r="Q596" s="19"/>
      <c r="R596" s="19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3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9"/>
      <c r="Q597" s="19"/>
      <c r="R597" s="19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3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9"/>
      <c r="Q598" s="19"/>
      <c r="R598" s="19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3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9"/>
      <c r="Q599" s="19"/>
      <c r="R599" s="19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3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9"/>
      <c r="Q600" s="19"/>
      <c r="R600" s="19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3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9"/>
      <c r="Q601" s="19"/>
      <c r="R601" s="19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3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9"/>
      <c r="Q602" s="19"/>
      <c r="R602" s="19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3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9"/>
      <c r="Q603" s="19"/>
      <c r="R603" s="19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3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9"/>
      <c r="Q604" s="19"/>
      <c r="R604" s="19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3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9"/>
      <c r="Q605" s="19"/>
      <c r="R605" s="19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3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9"/>
      <c r="Q606" s="19"/>
      <c r="R606" s="19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3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9"/>
      <c r="Q607" s="19"/>
      <c r="R607" s="19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3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9"/>
      <c r="Q608" s="19"/>
      <c r="R608" s="19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3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9"/>
      <c r="Q609" s="19"/>
      <c r="R609" s="19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3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9"/>
      <c r="Q610" s="19"/>
      <c r="R610" s="19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3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9"/>
      <c r="Q611" s="19"/>
      <c r="R611" s="19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3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9"/>
      <c r="Q612" s="19"/>
      <c r="R612" s="19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3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9"/>
      <c r="Q613" s="19"/>
      <c r="R613" s="19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3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9"/>
      <c r="Q614" s="19"/>
      <c r="R614" s="19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3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9"/>
      <c r="Q615" s="19"/>
      <c r="R615" s="19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3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9"/>
      <c r="Q616" s="19"/>
      <c r="R616" s="19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3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9"/>
      <c r="Q617" s="19"/>
      <c r="R617" s="19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3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9"/>
      <c r="Q618" s="19"/>
      <c r="R618" s="19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3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9"/>
      <c r="Q619" s="19"/>
      <c r="R619" s="19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3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9"/>
      <c r="Q620" s="19"/>
      <c r="R620" s="19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3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9"/>
      <c r="Q621" s="19"/>
      <c r="R621" s="19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3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9"/>
      <c r="Q622" s="19"/>
      <c r="R622" s="19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3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9"/>
      <c r="Q623" s="19"/>
      <c r="R623" s="19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3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9"/>
      <c r="Q624" s="19"/>
      <c r="R624" s="19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3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9"/>
      <c r="Q625" s="19"/>
      <c r="R625" s="19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3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9"/>
      <c r="Q626" s="19"/>
      <c r="R626" s="19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3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9"/>
      <c r="Q627" s="19"/>
      <c r="R627" s="19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3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9"/>
      <c r="Q628" s="19"/>
      <c r="R628" s="19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3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9"/>
      <c r="Q629" s="19"/>
      <c r="R629" s="19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3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9"/>
      <c r="Q630" s="19"/>
      <c r="R630" s="19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3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9"/>
      <c r="Q631" s="19"/>
      <c r="R631" s="19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3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9"/>
      <c r="Q632" s="19"/>
      <c r="R632" s="19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3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9"/>
      <c r="Q633" s="19"/>
      <c r="R633" s="19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3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9"/>
      <c r="Q634" s="19"/>
      <c r="R634" s="19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9"/>
      <c r="Q635" s="19"/>
      <c r="R635" s="19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3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9"/>
      <c r="Q636" s="19"/>
      <c r="R636" s="19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3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9"/>
      <c r="Q637" s="19"/>
      <c r="R637" s="19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3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9"/>
      <c r="Q638" s="19"/>
      <c r="R638" s="19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3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9"/>
      <c r="Q639" s="19"/>
      <c r="R639" s="19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3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9"/>
      <c r="Q640" s="19"/>
      <c r="R640" s="19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3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9"/>
      <c r="Q641" s="19"/>
      <c r="R641" s="19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3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9"/>
      <c r="Q642" s="19"/>
      <c r="R642" s="19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3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9"/>
      <c r="Q643" s="19"/>
      <c r="R643" s="19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3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9"/>
      <c r="Q644" s="19"/>
      <c r="R644" s="19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3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9"/>
      <c r="Q645" s="19"/>
      <c r="R645" s="19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3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9"/>
      <c r="Q646" s="19"/>
      <c r="R646" s="19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3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9"/>
      <c r="Q647" s="19"/>
      <c r="R647" s="19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3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9"/>
      <c r="Q648" s="19"/>
      <c r="R648" s="19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3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9"/>
      <c r="Q649" s="19"/>
      <c r="R649" s="19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3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9"/>
      <c r="Q650" s="19"/>
      <c r="R650" s="19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3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9"/>
      <c r="Q651" s="19"/>
      <c r="R651" s="19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3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9"/>
      <c r="Q652" s="19"/>
      <c r="R652" s="19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3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9"/>
      <c r="Q653" s="19"/>
      <c r="R653" s="19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3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9"/>
      <c r="Q654" s="19"/>
      <c r="R654" s="19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3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9"/>
      <c r="Q655" s="19"/>
      <c r="R655" s="19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3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9"/>
      <c r="Q656" s="19"/>
      <c r="R656" s="19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3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9"/>
      <c r="Q657" s="19"/>
      <c r="R657" s="19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3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9"/>
      <c r="Q658" s="19"/>
      <c r="R658" s="19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3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9"/>
      <c r="Q659" s="19"/>
      <c r="R659" s="19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3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9"/>
      <c r="Q660" s="19"/>
      <c r="R660" s="19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3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9"/>
      <c r="Q661" s="19"/>
      <c r="R661" s="19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3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9"/>
      <c r="Q662" s="19"/>
      <c r="R662" s="19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3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9"/>
      <c r="Q663" s="19"/>
      <c r="R663" s="19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3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9"/>
      <c r="Q664" s="19"/>
      <c r="R664" s="19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3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9"/>
      <c r="Q665" s="19"/>
      <c r="R665" s="19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3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9"/>
      <c r="Q666" s="19"/>
      <c r="R666" s="19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3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9"/>
      <c r="Q667" s="19"/>
      <c r="R667" s="19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3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9"/>
      <c r="Q668" s="19"/>
      <c r="R668" s="19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3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9"/>
      <c r="Q669" s="19"/>
      <c r="R669" s="19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3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9"/>
      <c r="Q670" s="19"/>
      <c r="R670" s="19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3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9"/>
      <c r="Q671" s="19"/>
      <c r="R671" s="19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3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9"/>
      <c r="Q672" s="19"/>
      <c r="R672" s="19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3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9"/>
      <c r="Q673" s="19"/>
      <c r="R673" s="19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3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9"/>
      <c r="Q674" s="19"/>
      <c r="R674" s="19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3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9"/>
      <c r="Q675" s="19"/>
      <c r="R675" s="19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3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9"/>
      <c r="Q676" s="19"/>
      <c r="R676" s="19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3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9"/>
      <c r="Q677" s="19"/>
      <c r="R677" s="19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3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9"/>
      <c r="Q678" s="19"/>
      <c r="R678" s="19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3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9"/>
      <c r="Q679" s="19"/>
      <c r="R679" s="19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3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9"/>
      <c r="Q680" s="19"/>
      <c r="R680" s="19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3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9"/>
      <c r="Q681" s="19"/>
      <c r="R681" s="19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3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9"/>
      <c r="Q682" s="19"/>
      <c r="R682" s="19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3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9"/>
      <c r="Q683" s="19"/>
      <c r="R683" s="19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3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9"/>
      <c r="Q684" s="19"/>
      <c r="R684" s="19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3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9"/>
      <c r="Q685" s="19"/>
      <c r="R685" s="19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3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9"/>
      <c r="Q686" s="19"/>
      <c r="R686" s="19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3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9"/>
      <c r="Q687" s="19"/>
      <c r="R687" s="19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3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9"/>
      <c r="Q688" s="19"/>
      <c r="R688" s="19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3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9"/>
      <c r="Q689" s="19"/>
      <c r="R689" s="19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3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9"/>
      <c r="Q690" s="19"/>
      <c r="R690" s="19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3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9"/>
      <c r="Q691" s="19"/>
      <c r="R691" s="19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3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9"/>
      <c r="Q692" s="19"/>
      <c r="R692" s="19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3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9"/>
      <c r="Q693" s="19"/>
      <c r="R693" s="19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3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9"/>
      <c r="Q694" s="19"/>
      <c r="R694" s="19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3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9"/>
      <c r="Q695" s="19"/>
      <c r="R695" s="19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3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9"/>
      <c r="Q696" s="19"/>
      <c r="R696" s="19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3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9"/>
      <c r="Q697" s="19"/>
      <c r="R697" s="19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3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9"/>
      <c r="Q698" s="19"/>
      <c r="R698" s="19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3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9"/>
      <c r="Q699" s="19"/>
      <c r="R699" s="19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3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9"/>
      <c r="Q700" s="19"/>
      <c r="R700" s="19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3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9"/>
      <c r="Q701" s="19"/>
      <c r="R701" s="19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3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9"/>
      <c r="Q702" s="19"/>
      <c r="R702" s="19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3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9"/>
      <c r="Q703" s="19"/>
      <c r="R703" s="19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3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9"/>
      <c r="Q704" s="19"/>
      <c r="R704" s="19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3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9"/>
      <c r="Q705" s="19"/>
      <c r="R705" s="19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3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9"/>
      <c r="Q706" s="19"/>
      <c r="R706" s="19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3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9"/>
      <c r="Q707" s="19"/>
      <c r="R707" s="19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3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9"/>
      <c r="Q708" s="19"/>
      <c r="R708" s="19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3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9"/>
      <c r="Q709" s="19"/>
      <c r="R709" s="19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3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9"/>
      <c r="Q710" s="19"/>
      <c r="R710" s="19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3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9"/>
      <c r="Q711" s="19"/>
      <c r="R711" s="19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3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9"/>
      <c r="Q712" s="19"/>
      <c r="R712" s="19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3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9"/>
      <c r="Q713" s="19"/>
      <c r="R713" s="19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3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9"/>
      <c r="Q714" s="19"/>
      <c r="R714" s="19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3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9"/>
      <c r="Q715" s="19"/>
      <c r="R715" s="19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3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9"/>
      <c r="Q716" s="19"/>
      <c r="R716" s="19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3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9"/>
      <c r="Q717" s="19"/>
      <c r="R717" s="19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3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9"/>
      <c r="Q718" s="19"/>
      <c r="R718" s="19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3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9"/>
      <c r="Q719" s="19"/>
      <c r="R719" s="19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3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9"/>
      <c r="Q720" s="19"/>
      <c r="R720" s="19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3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9"/>
      <c r="Q721" s="19"/>
      <c r="R721" s="19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3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9"/>
      <c r="Q722" s="19"/>
      <c r="R722" s="19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3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9"/>
      <c r="Q723" s="19"/>
      <c r="R723" s="19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3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9"/>
      <c r="Q724" s="19"/>
      <c r="R724" s="19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3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9"/>
      <c r="Q725" s="19"/>
      <c r="R725" s="19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3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9"/>
      <c r="Q726" s="19"/>
      <c r="R726" s="19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3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9"/>
      <c r="Q727" s="19"/>
      <c r="R727" s="19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3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9"/>
      <c r="Q728" s="19"/>
      <c r="R728" s="19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3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9"/>
      <c r="Q729" s="19"/>
      <c r="R729" s="19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3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9"/>
      <c r="Q730" s="19"/>
      <c r="R730" s="19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3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9"/>
      <c r="Q731" s="19"/>
      <c r="R731" s="19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3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9"/>
      <c r="Q732" s="19"/>
      <c r="R732" s="19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3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9"/>
      <c r="Q733" s="19"/>
      <c r="R733" s="19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3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9"/>
      <c r="Q734" s="19"/>
      <c r="R734" s="19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9"/>
      <c r="Q735" s="19"/>
      <c r="R735" s="19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3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9"/>
      <c r="Q736" s="19"/>
      <c r="R736" s="19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3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9"/>
      <c r="Q737" s="19"/>
      <c r="R737" s="19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3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9"/>
      <c r="Q738" s="19"/>
      <c r="R738" s="19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3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9"/>
      <c r="Q739" s="19"/>
      <c r="R739" s="19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3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9"/>
      <c r="Q740" s="19"/>
      <c r="R740" s="19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3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9"/>
      <c r="Q741" s="19"/>
      <c r="R741" s="19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3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9"/>
      <c r="Q742" s="19"/>
      <c r="R742" s="19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3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9"/>
      <c r="Q743" s="19"/>
      <c r="R743" s="19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3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9"/>
      <c r="Q744" s="19"/>
      <c r="R744" s="19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3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9"/>
      <c r="Q745" s="19"/>
      <c r="R745" s="19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3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9"/>
      <c r="Q746" s="19"/>
      <c r="R746" s="19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3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9"/>
      <c r="Q747" s="19"/>
      <c r="R747" s="19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3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9"/>
      <c r="Q748" s="19"/>
      <c r="R748" s="19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3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9"/>
      <c r="Q749" s="19"/>
      <c r="R749" s="19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3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9"/>
      <c r="Q750" s="19"/>
      <c r="R750" s="19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3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9"/>
      <c r="Q751" s="19"/>
      <c r="R751" s="19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3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9"/>
      <c r="Q752" s="19"/>
      <c r="R752" s="19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3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9"/>
      <c r="Q753" s="19"/>
      <c r="R753" s="19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3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9"/>
      <c r="Q754" s="19"/>
      <c r="R754" s="19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3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9"/>
      <c r="Q755" s="19"/>
      <c r="R755" s="19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3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9"/>
      <c r="Q756" s="19"/>
      <c r="R756" s="19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3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9"/>
      <c r="Q757" s="19"/>
      <c r="R757" s="19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3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9"/>
      <c r="Q758" s="19"/>
      <c r="R758" s="19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3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9"/>
      <c r="Q759" s="19"/>
      <c r="R759" s="19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3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9"/>
      <c r="Q760" s="19"/>
      <c r="R760" s="19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3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9"/>
      <c r="Q761" s="19"/>
      <c r="R761" s="19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3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9"/>
      <c r="Q762" s="19"/>
      <c r="R762" s="19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3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9"/>
      <c r="Q763" s="19"/>
      <c r="R763" s="19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3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9"/>
      <c r="Q764" s="19"/>
      <c r="R764" s="19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3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9"/>
      <c r="Q765" s="19"/>
      <c r="R765" s="19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3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9"/>
      <c r="Q766" s="19"/>
      <c r="R766" s="19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3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9"/>
      <c r="Q767" s="19"/>
      <c r="R767" s="19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3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9"/>
      <c r="Q768" s="19"/>
      <c r="R768" s="19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3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9"/>
      <c r="Q769" s="19"/>
      <c r="R769" s="19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3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9"/>
      <c r="Q770" s="19"/>
      <c r="R770" s="19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3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9"/>
      <c r="Q771" s="19"/>
      <c r="R771" s="19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3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9"/>
      <c r="Q772" s="19"/>
      <c r="R772" s="19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3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9"/>
      <c r="Q773" s="19"/>
      <c r="R773" s="19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3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9"/>
      <c r="Q774" s="19"/>
      <c r="R774" s="19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3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9"/>
      <c r="Q775" s="19"/>
      <c r="R775" s="19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3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9"/>
      <c r="Q776" s="19"/>
      <c r="R776" s="19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3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9"/>
      <c r="Q777" s="19"/>
      <c r="R777" s="19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3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9"/>
      <c r="Q778" s="19"/>
      <c r="R778" s="19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3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9"/>
      <c r="Q779" s="19"/>
      <c r="R779" s="19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3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9"/>
      <c r="Q780" s="19"/>
      <c r="R780" s="19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3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9"/>
      <c r="Q781" s="19"/>
      <c r="R781" s="19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3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9"/>
      <c r="Q782" s="19"/>
      <c r="R782" s="19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3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9"/>
      <c r="Q783" s="19"/>
      <c r="R783" s="19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3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9"/>
      <c r="Q784" s="19"/>
      <c r="R784" s="19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3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9"/>
      <c r="Q785" s="19"/>
      <c r="R785" s="19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3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9"/>
      <c r="Q786" s="19"/>
      <c r="R786" s="19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3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9"/>
      <c r="Q787" s="19"/>
      <c r="R787" s="19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3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9"/>
      <c r="Q788" s="19"/>
      <c r="R788" s="19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3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9"/>
      <c r="Q789" s="19"/>
      <c r="R789" s="19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3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9"/>
      <c r="Q790" s="19"/>
      <c r="R790" s="19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3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9"/>
      <c r="Q791" s="19"/>
      <c r="R791" s="19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3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9"/>
      <c r="Q792" s="19"/>
      <c r="R792" s="19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3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9"/>
      <c r="Q793" s="19"/>
      <c r="R793" s="19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3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9"/>
      <c r="Q794" s="19"/>
      <c r="R794" s="19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3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9"/>
      <c r="Q795" s="19"/>
      <c r="R795" s="19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3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9"/>
      <c r="Q796" s="19"/>
      <c r="R796" s="19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3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9"/>
      <c r="Q797" s="19"/>
      <c r="R797" s="19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3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9"/>
      <c r="Q798" s="19"/>
      <c r="R798" s="19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3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9"/>
      <c r="Q799" s="19"/>
      <c r="R799" s="19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3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9"/>
      <c r="Q800" s="19"/>
      <c r="R800" s="19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3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9"/>
      <c r="Q801" s="19"/>
      <c r="R801" s="19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3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9"/>
      <c r="Q802" s="19"/>
      <c r="R802" s="19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3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9"/>
      <c r="Q803" s="19"/>
      <c r="R803" s="19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3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9"/>
      <c r="Q804" s="19"/>
      <c r="R804" s="19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3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9"/>
      <c r="Q805" s="19"/>
      <c r="R805" s="19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3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9"/>
      <c r="Q806" s="19"/>
      <c r="R806" s="19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3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9"/>
      <c r="Q807" s="19"/>
      <c r="R807" s="19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3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9"/>
      <c r="Q808" s="19"/>
      <c r="R808" s="19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3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9"/>
      <c r="Q809" s="19"/>
      <c r="R809" s="19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3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9"/>
      <c r="Q810" s="19"/>
      <c r="R810" s="19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3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9"/>
      <c r="Q811" s="19"/>
      <c r="R811" s="19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3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9"/>
      <c r="Q812" s="19"/>
      <c r="R812" s="19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3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9"/>
      <c r="Q813" s="19"/>
      <c r="R813" s="19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3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9"/>
      <c r="Q814" s="19"/>
      <c r="R814" s="19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3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9"/>
      <c r="Q815" s="19"/>
      <c r="R815" s="19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3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9"/>
      <c r="Q816" s="19"/>
      <c r="R816" s="19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3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9"/>
      <c r="Q817" s="19"/>
      <c r="R817" s="19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3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9"/>
      <c r="Q818" s="19"/>
      <c r="R818" s="19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3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9"/>
      <c r="Q819" s="19"/>
      <c r="R819" s="19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3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9"/>
      <c r="Q820" s="19"/>
      <c r="R820" s="19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3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9"/>
      <c r="Q821" s="19"/>
      <c r="R821" s="19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3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9"/>
      <c r="Q822" s="19"/>
      <c r="R822" s="19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3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9"/>
      <c r="Q823" s="19"/>
      <c r="R823" s="19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3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9"/>
      <c r="Q824" s="19"/>
      <c r="R824" s="19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3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9"/>
      <c r="Q825" s="19"/>
      <c r="R825" s="19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3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9"/>
      <c r="Q826" s="19"/>
      <c r="R826" s="19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3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9"/>
      <c r="Q827" s="19"/>
      <c r="R827" s="19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3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9"/>
      <c r="Q828" s="19"/>
      <c r="R828" s="19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3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9"/>
      <c r="Q829" s="19"/>
      <c r="R829" s="19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3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9"/>
      <c r="Q830" s="19"/>
      <c r="R830" s="19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3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9"/>
      <c r="Q831" s="19"/>
      <c r="R831" s="19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3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9"/>
      <c r="Q832" s="19"/>
      <c r="R832" s="19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3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9"/>
      <c r="Q833" s="19"/>
      <c r="R833" s="19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3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9"/>
      <c r="Q834" s="19"/>
      <c r="R834" s="19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9"/>
      <c r="Q835" s="19"/>
      <c r="R835" s="19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3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9"/>
      <c r="Q836" s="19"/>
      <c r="R836" s="19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3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9"/>
      <c r="Q837" s="19"/>
      <c r="R837" s="19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3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9"/>
      <c r="Q838" s="19"/>
      <c r="R838" s="19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3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9"/>
      <c r="Q839" s="19"/>
      <c r="R839" s="19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3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9"/>
      <c r="Q840" s="19"/>
      <c r="R840" s="19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3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9"/>
      <c r="Q841" s="19"/>
      <c r="R841" s="19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3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9"/>
      <c r="Q842" s="19"/>
      <c r="R842" s="19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3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9"/>
      <c r="Q843" s="19"/>
      <c r="R843" s="19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3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9"/>
      <c r="Q844" s="19"/>
      <c r="R844" s="19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3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9"/>
      <c r="Q845" s="19"/>
      <c r="R845" s="19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3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9"/>
      <c r="Q846" s="19"/>
      <c r="R846" s="19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3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9"/>
      <c r="Q847" s="19"/>
      <c r="R847" s="19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3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9"/>
      <c r="Q848" s="19"/>
      <c r="R848" s="19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3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9"/>
      <c r="Q849" s="19"/>
      <c r="R849" s="19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3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9"/>
      <c r="Q850" s="19"/>
      <c r="R850" s="19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3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9"/>
      <c r="Q851" s="19"/>
      <c r="R851" s="19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3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9"/>
      <c r="Q852" s="19"/>
      <c r="R852" s="19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3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9"/>
      <c r="Q853" s="19"/>
      <c r="R853" s="19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3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9"/>
      <c r="Q854" s="19"/>
      <c r="R854" s="19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3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9"/>
      <c r="Q855" s="19"/>
      <c r="R855" s="19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3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9"/>
      <c r="Q856" s="19"/>
      <c r="R856" s="19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3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9"/>
      <c r="Q857" s="19"/>
      <c r="R857" s="19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3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9"/>
      <c r="Q858" s="19"/>
      <c r="R858" s="19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3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9"/>
      <c r="Q859" s="19"/>
      <c r="R859" s="19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3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9"/>
      <c r="Q860" s="19"/>
      <c r="R860" s="19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3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9"/>
      <c r="Q861" s="19"/>
      <c r="R861" s="19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3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9"/>
      <c r="Q862" s="19"/>
      <c r="R862" s="19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3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9"/>
      <c r="Q863" s="19"/>
      <c r="R863" s="19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3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9"/>
      <c r="Q864" s="19"/>
      <c r="R864" s="19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3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9"/>
      <c r="Q865" s="19"/>
      <c r="R865" s="19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3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9"/>
      <c r="Q866" s="19"/>
      <c r="R866" s="19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3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9"/>
      <c r="Q867" s="19"/>
      <c r="R867" s="19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3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9"/>
      <c r="Q868" s="19"/>
      <c r="R868" s="19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3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9"/>
      <c r="Q869" s="19"/>
      <c r="R869" s="19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3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9"/>
      <c r="Q870" s="19"/>
      <c r="R870" s="19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3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9"/>
      <c r="Q871" s="19"/>
      <c r="R871" s="19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3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9"/>
      <c r="Q872" s="19"/>
      <c r="R872" s="19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3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9"/>
      <c r="Q873" s="19"/>
      <c r="R873" s="19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3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9"/>
      <c r="Q874" s="19"/>
      <c r="R874" s="19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3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9"/>
      <c r="Q875" s="19"/>
      <c r="R875" s="19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3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9"/>
      <c r="Q876" s="19"/>
      <c r="R876" s="19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3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9"/>
      <c r="Q877" s="19"/>
      <c r="R877" s="19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3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9"/>
      <c r="Q878" s="19"/>
      <c r="R878" s="19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3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9"/>
      <c r="Q879" s="19"/>
      <c r="R879" s="19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3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9"/>
      <c r="Q880" s="19"/>
      <c r="R880" s="19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3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9"/>
      <c r="Q881" s="19"/>
      <c r="R881" s="19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3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9"/>
      <c r="Q882" s="19"/>
      <c r="R882" s="19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3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9"/>
      <c r="Q883" s="19"/>
      <c r="R883" s="19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3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9"/>
      <c r="Q884" s="19"/>
      <c r="R884" s="19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3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9"/>
      <c r="Q885" s="19"/>
      <c r="R885" s="19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3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9"/>
      <c r="Q886" s="19"/>
      <c r="R886" s="19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3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9"/>
      <c r="Q887" s="19"/>
      <c r="R887" s="19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3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9"/>
      <c r="Q888" s="19"/>
      <c r="R888" s="19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3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9"/>
      <c r="Q889" s="19"/>
      <c r="R889" s="19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3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9"/>
      <c r="Q890" s="19"/>
      <c r="R890" s="19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3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9"/>
      <c r="Q891" s="19"/>
      <c r="R891" s="19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3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9"/>
      <c r="Q892" s="19"/>
      <c r="R892" s="19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3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9"/>
      <c r="Q893" s="19"/>
      <c r="R893" s="19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3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9"/>
      <c r="Q894" s="19"/>
      <c r="R894" s="19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3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9"/>
      <c r="Q895" s="19"/>
      <c r="R895" s="19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3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9"/>
      <c r="Q896" s="19"/>
      <c r="R896" s="19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3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9"/>
      <c r="Q897" s="19"/>
      <c r="R897" s="19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3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9"/>
      <c r="Q898" s="19"/>
      <c r="R898" s="19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3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9"/>
      <c r="Q899" s="19"/>
      <c r="R899" s="19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3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9"/>
      <c r="Q900" s="19"/>
      <c r="R900" s="19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3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9"/>
      <c r="Q901" s="19"/>
      <c r="R901" s="19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3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9"/>
      <c r="Q902" s="19"/>
      <c r="R902" s="19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3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9"/>
      <c r="Q903" s="19"/>
      <c r="R903" s="19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3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9"/>
      <c r="Q904" s="19"/>
      <c r="R904" s="19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3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9"/>
      <c r="Q905" s="19"/>
      <c r="R905" s="19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3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9"/>
      <c r="Q906" s="19"/>
      <c r="R906" s="19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3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9"/>
      <c r="Q907" s="19"/>
      <c r="R907" s="19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3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9"/>
      <c r="Q908" s="19"/>
      <c r="R908" s="19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3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9"/>
      <c r="Q909" s="19"/>
      <c r="R909" s="19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3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9"/>
      <c r="Q910" s="19"/>
      <c r="R910" s="19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3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9"/>
      <c r="Q911" s="19"/>
      <c r="R911" s="19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3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9"/>
      <c r="Q912" s="19"/>
      <c r="R912" s="19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3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9"/>
      <c r="Q913" s="19"/>
      <c r="R913" s="19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3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9"/>
      <c r="Q914" s="19"/>
      <c r="R914" s="19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3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9"/>
      <c r="Q915" s="19"/>
      <c r="R915" s="19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3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9"/>
      <c r="Q916" s="19"/>
      <c r="R916" s="19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3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9"/>
      <c r="Q917" s="19"/>
      <c r="R917" s="19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3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9"/>
      <c r="Q918" s="19"/>
      <c r="R918" s="19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3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9"/>
      <c r="Q919" s="19"/>
      <c r="R919" s="19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3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9"/>
      <c r="Q920" s="19"/>
      <c r="R920" s="19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3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9"/>
      <c r="Q921" s="19"/>
      <c r="R921" s="19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3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9"/>
      <c r="Q922" s="19"/>
      <c r="R922" s="19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3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9"/>
      <c r="Q923" s="19"/>
      <c r="R923" s="19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3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9"/>
      <c r="Q924" s="19"/>
      <c r="R924" s="19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3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9"/>
      <c r="Q925" s="19"/>
      <c r="R925" s="19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3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9"/>
      <c r="Q926" s="19"/>
      <c r="R926" s="19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3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9"/>
      <c r="Q927" s="19"/>
      <c r="R927" s="19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3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9"/>
      <c r="Q928" s="19"/>
      <c r="R928" s="19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3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9"/>
      <c r="Q929" s="19"/>
      <c r="R929" s="19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3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9"/>
      <c r="Q930" s="19"/>
      <c r="R930" s="19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3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9"/>
      <c r="Q931" s="19"/>
      <c r="R931" s="19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3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9"/>
      <c r="Q932" s="19"/>
      <c r="R932" s="19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3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9"/>
      <c r="Q933" s="19"/>
      <c r="R933" s="19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3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9"/>
      <c r="Q934" s="19"/>
      <c r="R934" s="19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9"/>
      <c r="Q935" s="19"/>
      <c r="R935" s="19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3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9"/>
      <c r="Q936" s="19"/>
      <c r="R936" s="19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3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9"/>
      <c r="Q937" s="19"/>
      <c r="R937" s="19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3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9"/>
      <c r="Q938" s="19"/>
      <c r="R938" s="19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3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9"/>
      <c r="Q939" s="19"/>
      <c r="R939" s="19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3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9"/>
      <c r="Q940" s="19"/>
      <c r="R940" s="19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3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9"/>
      <c r="Q941" s="19"/>
      <c r="R941" s="19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3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9"/>
      <c r="Q942" s="19"/>
      <c r="R942" s="19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3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9"/>
      <c r="Q943" s="19"/>
      <c r="R943" s="19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3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9"/>
      <c r="Q944" s="19"/>
      <c r="R944" s="19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3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9"/>
      <c r="Q945" s="19"/>
      <c r="R945" s="19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3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9"/>
      <c r="Q946" s="19"/>
      <c r="R946" s="19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3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9"/>
      <c r="Q947" s="19"/>
      <c r="R947" s="19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3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9"/>
      <c r="Q948" s="19"/>
      <c r="R948" s="19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3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9"/>
      <c r="Q949" s="19"/>
      <c r="R949" s="19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3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9"/>
      <c r="Q950" s="19"/>
      <c r="R950" s="19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3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9"/>
      <c r="Q951" s="19"/>
      <c r="R951" s="19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3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9"/>
      <c r="Q952" s="19"/>
      <c r="R952" s="19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3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9"/>
      <c r="Q953" s="19"/>
      <c r="R953" s="19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3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9"/>
      <c r="Q954" s="19"/>
      <c r="R954" s="19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3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9"/>
      <c r="Q955" s="19"/>
      <c r="R955" s="19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3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9"/>
      <c r="Q956" s="19"/>
      <c r="R956" s="19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3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9"/>
      <c r="Q957" s="19"/>
      <c r="R957" s="19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3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9"/>
      <c r="Q958" s="19"/>
      <c r="R958" s="19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3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9"/>
      <c r="Q959" s="19"/>
      <c r="R959" s="19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3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9"/>
      <c r="Q960" s="19"/>
      <c r="R960" s="19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3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9"/>
      <c r="Q961" s="19"/>
      <c r="R961" s="19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3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9"/>
      <c r="Q962" s="19"/>
      <c r="R962" s="19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3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9"/>
      <c r="Q963" s="19"/>
      <c r="R963" s="19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3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9"/>
      <c r="Q964" s="19"/>
      <c r="R964" s="19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3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9"/>
      <c r="Q965" s="19"/>
      <c r="R965" s="19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3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9"/>
      <c r="Q966" s="19"/>
      <c r="R966" s="19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3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9"/>
      <c r="Q967" s="19"/>
      <c r="R967" s="19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3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9"/>
      <c r="Q968" s="19"/>
      <c r="R968" s="19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3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9"/>
      <c r="Q969" s="19"/>
      <c r="R969" s="19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3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9"/>
      <c r="Q970" s="19"/>
      <c r="R970" s="19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3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9"/>
      <c r="Q971" s="19"/>
      <c r="R971" s="19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3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9"/>
      <c r="Q972" s="19"/>
      <c r="R972" s="19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3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9"/>
      <c r="Q973" s="19"/>
      <c r="R973" s="19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3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9"/>
      <c r="Q974" s="19"/>
      <c r="R974" s="19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3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9"/>
      <c r="Q975" s="19"/>
      <c r="R975" s="19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3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9"/>
      <c r="Q976" s="19"/>
      <c r="R976" s="19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3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9"/>
      <c r="Q977" s="19"/>
      <c r="R977" s="19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3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9"/>
      <c r="Q978" s="19"/>
      <c r="R978" s="19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3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9"/>
      <c r="Q979" s="19"/>
      <c r="R979" s="19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3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9"/>
      <c r="Q980" s="19"/>
      <c r="R980" s="19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3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9"/>
      <c r="Q981" s="19"/>
      <c r="R981" s="19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3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9"/>
      <c r="Q982" s="19"/>
      <c r="R982" s="19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3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9"/>
      <c r="Q983" s="19"/>
      <c r="R983" s="19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3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9"/>
      <c r="Q984" s="19"/>
      <c r="R984" s="19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3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9"/>
      <c r="Q985" s="19"/>
      <c r="R985" s="19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3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9"/>
      <c r="Q986" s="19"/>
      <c r="R986" s="19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3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9"/>
      <c r="Q987" s="19"/>
      <c r="R987" s="19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3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9"/>
      <c r="Q988" s="19"/>
      <c r="R988" s="19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3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9"/>
      <c r="Q989" s="19"/>
      <c r="R989" s="19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3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9"/>
      <c r="Q990" s="19"/>
      <c r="R990" s="19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3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9"/>
      <c r="Q991" s="19"/>
      <c r="R991" s="19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3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9"/>
      <c r="Q992" s="19"/>
      <c r="R992" s="19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3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9"/>
      <c r="Q993" s="19"/>
      <c r="R993" s="19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3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9"/>
      <c r="Q994" s="19"/>
      <c r="R994" s="19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3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9"/>
      <c r="Q995" s="19"/>
      <c r="R995" s="19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3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9"/>
      <c r="Q996" s="19"/>
      <c r="R996" s="19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3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9"/>
      <c r="Q997" s="19"/>
      <c r="R997" s="19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3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9"/>
      <c r="Q998" s="19"/>
      <c r="R998" s="19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3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9"/>
      <c r="Q999" s="19"/>
      <c r="R999" s="19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3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9"/>
      <c r="Q1000" s="19"/>
      <c r="R1000" s="19"/>
      <c r="S1000" s="18"/>
      <c r="T1000" s="18"/>
      <c r="U1000" s="18"/>
      <c r="V1000" s="18"/>
      <c r="W1000" s="18"/>
      <c r="X1000" s="18"/>
      <c r="Y1000" s="18"/>
      <c r="Z1000" s="18"/>
    </row>
  </sheetData>
  <autoFilter ref="A1:R167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.26953125" customWidth="1"/>
    <col min="2" max="2" width="13.54296875" customWidth="1"/>
    <col min="3" max="3" width="8.7265625" customWidth="1"/>
    <col min="4" max="4" width="11.54296875" customWidth="1"/>
    <col min="5" max="5" width="11" customWidth="1"/>
    <col min="6" max="6" width="14.7265625" customWidth="1"/>
    <col min="7" max="7" width="13.453125" customWidth="1"/>
    <col min="8" max="8" width="12.453125" customWidth="1"/>
    <col min="9" max="9" width="12.08984375" customWidth="1"/>
    <col min="10" max="10" width="15.7265625" customWidth="1"/>
    <col min="11" max="11" width="11.7265625" customWidth="1"/>
    <col min="12" max="12" width="14.08984375" customWidth="1"/>
    <col min="13" max="13" width="11.7265625" customWidth="1"/>
    <col min="14" max="15" width="8.7265625" customWidth="1"/>
    <col min="16" max="18" width="19.08984375" customWidth="1"/>
    <col min="19" max="27" width="8.7265625" customWidth="1"/>
  </cols>
  <sheetData>
    <row r="1" spans="1:2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8"/>
      <c r="P1" s="3" t="s">
        <v>15</v>
      </c>
      <c r="Q1" s="1" t="s">
        <v>16</v>
      </c>
      <c r="R1" s="1" t="s">
        <v>17</v>
      </c>
      <c r="S1" s="18"/>
      <c r="T1" s="18"/>
      <c r="U1" s="18"/>
      <c r="V1" s="18"/>
      <c r="W1" s="18"/>
      <c r="X1" s="18"/>
      <c r="Y1" s="18"/>
      <c r="Z1" s="18"/>
      <c r="AA1" s="18"/>
    </row>
    <row r="2" spans="1:27" ht="14.5" x14ac:dyDescent="0.35">
      <c r="A2" s="4" t="s">
        <v>18</v>
      </c>
      <c r="B2" s="19" t="s">
        <v>19</v>
      </c>
      <c r="C2" s="19" t="s">
        <v>20</v>
      </c>
      <c r="D2" s="19">
        <v>10</v>
      </c>
      <c r="E2" s="19">
        <v>2410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f t="shared" ref="K2:K160" si="0">(E2+F2+G2)-(I2+J2)</f>
        <v>2410</v>
      </c>
      <c r="L2" s="19">
        <v>0</v>
      </c>
      <c r="M2" s="19">
        <v>24</v>
      </c>
      <c r="N2" s="20">
        <v>0</v>
      </c>
      <c r="O2" s="18"/>
      <c r="P2" s="6">
        <v>2129</v>
      </c>
      <c r="Q2" s="7">
        <f t="shared" ref="Q2:Q160" si="1">P2*(I2+J2)</f>
        <v>0</v>
      </c>
      <c r="R2" s="7">
        <f t="shared" ref="R2:R160" si="2">P2*L2</f>
        <v>0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 ht="14.5" x14ac:dyDescent="0.35">
      <c r="A3" s="4" t="s">
        <v>21</v>
      </c>
      <c r="B3" s="19" t="s">
        <v>22</v>
      </c>
      <c r="C3" s="19" t="s">
        <v>20</v>
      </c>
      <c r="D3" s="19">
        <v>10</v>
      </c>
      <c r="E3" s="19">
        <v>46556</v>
      </c>
      <c r="F3" s="19">
        <v>886050</v>
      </c>
      <c r="G3" s="19">
        <v>0</v>
      </c>
      <c r="H3" s="19">
        <v>0</v>
      </c>
      <c r="I3" s="19">
        <v>910450</v>
      </c>
      <c r="J3" s="19">
        <v>50</v>
      </c>
      <c r="K3" s="19">
        <f t="shared" si="0"/>
        <v>22106</v>
      </c>
      <c r="L3" s="19">
        <v>40814.333333333299</v>
      </c>
      <c r="M3" s="19">
        <v>24</v>
      </c>
      <c r="N3" s="20">
        <f t="shared" ref="N3:N12" si="3">(L3/(I3+J3))*M3</f>
        <v>1.0758308621636454</v>
      </c>
      <c r="O3" s="18"/>
      <c r="P3" s="6">
        <v>2129</v>
      </c>
      <c r="Q3" s="7">
        <f t="shared" si="1"/>
        <v>1938454500</v>
      </c>
      <c r="R3" s="7">
        <f t="shared" si="2"/>
        <v>86893715.666666597</v>
      </c>
      <c r="S3" s="18"/>
      <c r="T3" s="18"/>
      <c r="U3" s="18"/>
      <c r="V3" s="18"/>
      <c r="W3" s="18"/>
      <c r="X3" s="18"/>
      <c r="Y3" s="18"/>
      <c r="Z3" s="18"/>
      <c r="AA3" s="18"/>
    </row>
    <row r="4" spans="1:27" ht="14.5" x14ac:dyDescent="0.35">
      <c r="A4" s="4" t="s">
        <v>23</v>
      </c>
      <c r="B4" s="19" t="s">
        <v>19</v>
      </c>
      <c r="C4" s="19" t="s">
        <v>20</v>
      </c>
      <c r="D4" s="19">
        <v>10</v>
      </c>
      <c r="E4" s="19">
        <v>655</v>
      </c>
      <c r="F4" s="19">
        <v>29443</v>
      </c>
      <c r="G4" s="19">
        <v>0</v>
      </c>
      <c r="H4" s="19">
        <v>0</v>
      </c>
      <c r="I4" s="19">
        <v>22822</v>
      </c>
      <c r="J4" s="19">
        <v>0</v>
      </c>
      <c r="K4" s="19">
        <f t="shared" si="0"/>
        <v>7276</v>
      </c>
      <c r="L4" s="19">
        <v>12245.0666666667</v>
      </c>
      <c r="M4" s="19">
        <v>24</v>
      </c>
      <c r="N4" s="20">
        <f t="shared" si="3"/>
        <v>12.877118569801103</v>
      </c>
      <c r="O4" s="18"/>
      <c r="P4" s="6">
        <v>2129</v>
      </c>
      <c r="Q4" s="7">
        <f t="shared" si="1"/>
        <v>48588038</v>
      </c>
      <c r="R4" s="7">
        <f t="shared" si="2"/>
        <v>26069746.933333404</v>
      </c>
      <c r="S4" s="18"/>
      <c r="T4" s="18"/>
      <c r="U4" s="18"/>
      <c r="V4" s="18"/>
      <c r="W4" s="18"/>
      <c r="X4" s="18"/>
      <c r="Y4" s="18"/>
      <c r="Z4" s="18"/>
      <c r="AA4" s="18"/>
    </row>
    <row r="5" spans="1:27" ht="14.5" x14ac:dyDescent="0.35">
      <c r="A5" s="4" t="s">
        <v>24</v>
      </c>
      <c r="B5" s="19" t="s">
        <v>19</v>
      </c>
      <c r="C5" s="19" t="s">
        <v>20</v>
      </c>
      <c r="D5" s="19">
        <v>10</v>
      </c>
      <c r="E5" s="19">
        <v>895</v>
      </c>
      <c r="F5" s="19">
        <v>1050</v>
      </c>
      <c r="G5" s="19">
        <v>0</v>
      </c>
      <c r="H5" s="19">
        <v>0</v>
      </c>
      <c r="I5" s="19">
        <v>625</v>
      </c>
      <c r="J5" s="19">
        <v>0</v>
      </c>
      <c r="K5" s="19">
        <f t="shared" si="0"/>
        <v>1320</v>
      </c>
      <c r="L5" s="19">
        <v>1616.42857142857</v>
      </c>
      <c r="M5" s="19">
        <v>24</v>
      </c>
      <c r="N5" s="20">
        <f t="shared" si="3"/>
        <v>62.070857142857093</v>
      </c>
      <c r="O5" s="18"/>
      <c r="P5" s="6">
        <v>2131</v>
      </c>
      <c r="Q5" s="7">
        <f t="shared" si="1"/>
        <v>1331875</v>
      </c>
      <c r="R5" s="7">
        <f t="shared" si="2"/>
        <v>3444609.2857142827</v>
      </c>
      <c r="S5" s="18"/>
      <c r="T5" s="18"/>
      <c r="U5" s="18"/>
      <c r="V5" s="18"/>
      <c r="W5" s="18"/>
      <c r="X5" s="18"/>
      <c r="Y5" s="18"/>
      <c r="Z5" s="18"/>
      <c r="AA5" s="18"/>
    </row>
    <row r="6" spans="1:27" ht="14.5" x14ac:dyDescent="0.35">
      <c r="A6" s="4" t="s">
        <v>25</v>
      </c>
      <c r="B6" s="19" t="s">
        <v>19</v>
      </c>
      <c r="C6" s="19" t="s">
        <v>20</v>
      </c>
      <c r="D6" s="19">
        <v>10</v>
      </c>
      <c r="E6" s="19">
        <v>11075</v>
      </c>
      <c r="F6" s="19">
        <v>12143</v>
      </c>
      <c r="G6" s="19">
        <v>0</v>
      </c>
      <c r="H6" s="19">
        <v>0</v>
      </c>
      <c r="I6" s="19">
        <v>8900</v>
      </c>
      <c r="J6" s="19">
        <v>0</v>
      </c>
      <c r="K6" s="19">
        <f t="shared" si="0"/>
        <v>14318</v>
      </c>
      <c r="L6" s="19">
        <v>15641.9</v>
      </c>
      <c r="M6" s="19">
        <v>24</v>
      </c>
      <c r="N6" s="20">
        <f t="shared" si="3"/>
        <v>42.180404494382024</v>
      </c>
      <c r="O6" s="18"/>
      <c r="P6" s="6">
        <v>2131</v>
      </c>
      <c r="Q6" s="7">
        <f t="shared" si="1"/>
        <v>18965900</v>
      </c>
      <c r="R6" s="7">
        <f t="shared" si="2"/>
        <v>33332888.899999999</v>
      </c>
      <c r="S6" s="18"/>
      <c r="T6" s="18"/>
      <c r="U6" s="18"/>
      <c r="V6" s="18"/>
      <c r="W6" s="18"/>
      <c r="X6" s="18"/>
      <c r="Y6" s="18"/>
      <c r="Z6" s="18"/>
      <c r="AA6" s="18"/>
    </row>
    <row r="7" spans="1:27" ht="14.5" x14ac:dyDescent="0.35">
      <c r="A7" s="4" t="s">
        <v>26</v>
      </c>
      <c r="B7" s="19" t="s">
        <v>22</v>
      </c>
      <c r="C7" s="19" t="s">
        <v>20</v>
      </c>
      <c r="D7" s="19">
        <v>10</v>
      </c>
      <c r="E7" s="19">
        <v>66540</v>
      </c>
      <c r="F7" s="19">
        <v>459623</v>
      </c>
      <c r="G7" s="19">
        <v>0</v>
      </c>
      <c r="H7" s="19">
        <v>0</v>
      </c>
      <c r="I7" s="19">
        <v>489525</v>
      </c>
      <c r="J7" s="19">
        <v>6020</v>
      </c>
      <c r="K7" s="19">
        <f t="shared" si="0"/>
        <v>30618</v>
      </c>
      <c r="L7" s="19">
        <v>53971.692307692305</v>
      </c>
      <c r="M7" s="19">
        <v>24</v>
      </c>
      <c r="N7" s="20">
        <f t="shared" si="3"/>
        <v>2.6139313591795199</v>
      </c>
      <c r="O7" s="18"/>
      <c r="P7" s="6">
        <v>1910</v>
      </c>
      <c r="Q7" s="7">
        <f t="shared" si="1"/>
        <v>946490950</v>
      </c>
      <c r="R7" s="7">
        <f t="shared" si="2"/>
        <v>103085932.3076923</v>
      </c>
      <c r="S7" s="18"/>
      <c r="T7" s="18"/>
      <c r="U7" s="18"/>
      <c r="V7" s="18"/>
      <c r="W7" s="18"/>
      <c r="X7" s="18"/>
      <c r="Y7" s="18"/>
      <c r="Z7" s="18"/>
      <c r="AA7" s="18"/>
    </row>
    <row r="8" spans="1:27" ht="14.5" x14ac:dyDescent="0.35">
      <c r="A8" s="4" t="s">
        <v>170</v>
      </c>
      <c r="B8" s="19" t="s">
        <v>22</v>
      </c>
      <c r="C8" s="19" t="s">
        <v>20</v>
      </c>
      <c r="D8" s="19">
        <v>10</v>
      </c>
      <c r="E8" s="19">
        <v>38500</v>
      </c>
      <c r="F8" s="19">
        <v>102750</v>
      </c>
      <c r="G8" s="19">
        <v>0</v>
      </c>
      <c r="H8" s="19">
        <v>0</v>
      </c>
      <c r="I8" s="19">
        <v>115725</v>
      </c>
      <c r="J8" s="19">
        <v>0</v>
      </c>
      <c r="K8" s="19">
        <f t="shared" si="0"/>
        <v>25525</v>
      </c>
      <c r="L8" s="19">
        <v>22016.666666666697</v>
      </c>
      <c r="M8" s="19">
        <v>24</v>
      </c>
      <c r="N8" s="20">
        <f t="shared" si="3"/>
        <v>4.5659969755886864</v>
      </c>
      <c r="O8" s="18"/>
      <c r="P8" s="6">
        <v>1910</v>
      </c>
      <c r="Q8" s="7">
        <f t="shared" si="1"/>
        <v>221034750</v>
      </c>
      <c r="R8" s="7">
        <f t="shared" si="2"/>
        <v>42051833.333333388</v>
      </c>
      <c r="S8" s="18"/>
      <c r="T8" s="18"/>
      <c r="U8" s="18"/>
      <c r="V8" s="18"/>
      <c r="W8" s="18"/>
      <c r="X8" s="18"/>
      <c r="Y8" s="18"/>
      <c r="Z8" s="18"/>
      <c r="AA8" s="18"/>
    </row>
    <row r="9" spans="1:27" ht="14.5" x14ac:dyDescent="0.35">
      <c r="A9" s="4" t="s">
        <v>27</v>
      </c>
      <c r="B9" s="19" t="s">
        <v>22</v>
      </c>
      <c r="C9" s="19" t="s">
        <v>20</v>
      </c>
      <c r="D9" s="19">
        <v>10</v>
      </c>
      <c r="E9" s="19">
        <v>6240</v>
      </c>
      <c r="F9" s="19">
        <v>114025</v>
      </c>
      <c r="G9" s="19">
        <v>0</v>
      </c>
      <c r="H9" s="19">
        <v>0</v>
      </c>
      <c r="I9" s="19">
        <v>59675</v>
      </c>
      <c r="J9" s="19">
        <v>0</v>
      </c>
      <c r="K9" s="19">
        <f t="shared" si="0"/>
        <v>60590</v>
      </c>
      <c r="L9" s="19">
        <v>41316.190476190503</v>
      </c>
      <c r="M9" s="19">
        <v>24</v>
      </c>
      <c r="N9" s="20">
        <f t="shared" si="3"/>
        <v>16.616482135376152</v>
      </c>
      <c r="O9" s="18"/>
      <c r="P9" s="6">
        <v>2217</v>
      </c>
      <c r="Q9" s="7">
        <f t="shared" si="1"/>
        <v>132299475</v>
      </c>
      <c r="R9" s="7">
        <f t="shared" si="2"/>
        <v>91597994.285714343</v>
      </c>
      <c r="S9" s="18"/>
      <c r="T9" s="18"/>
      <c r="U9" s="18"/>
      <c r="V9" s="18"/>
      <c r="W9" s="18"/>
      <c r="X9" s="18"/>
      <c r="Y9" s="18"/>
      <c r="Z9" s="18"/>
      <c r="AA9" s="18"/>
    </row>
    <row r="10" spans="1:27" ht="14.5" x14ac:dyDescent="0.35">
      <c r="A10" s="4" t="s">
        <v>28</v>
      </c>
      <c r="B10" s="19" t="s">
        <v>19</v>
      </c>
      <c r="C10" s="19" t="s">
        <v>20</v>
      </c>
      <c r="D10" s="19">
        <v>10</v>
      </c>
      <c r="E10" s="19">
        <v>9538</v>
      </c>
      <c r="F10" s="19">
        <v>25066</v>
      </c>
      <c r="G10" s="19">
        <v>0</v>
      </c>
      <c r="H10" s="19">
        <v>0</v>
      </c>
      <c r="I10" s="19">
        <v>17526</v>
      </c>
      <c r="J10" s="19">
        <v>0</v>
      </c>
      <c r="K10" s="19">
        <f t="shared" si="0"/>
        <v>17078</v>
      </c>
      <c r="L10" s="19">
        <v>9646.6</v>
      </c>
      <c r="M10" s="19">
        <v>24</v>
      </c>
      <c r="N10" s="20">
        <f t="shared" si="3"/>
        <v>13.209996576514893</v>
      </c>
      <c r="O10" s="18"/>
      <c r="P10" s="6">
        <v>2131</v>
      </c>
      <c r="Q10" s="7">
        <f t="shared" si="1"/>
        <v>37347906</v>
      </c>
      <c r="R10" s="7">
        <f t="shared" si="2"/>
        <v>20556904.600000001</v>
      </c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4.5" x14ac:dyDescent="0.35">
      <c r="A11" s="4" t="s">
        <v>29</v>
      </c>
      <c r="B11" s="19" t="s">
        <v>19</v>
      </c>
      <c r="C11" s="19" t="s">
        <v>20</v>
      </c>
      <c r="D11" s="19">
        <v>10</v>
      </c>
      <c r="E11" s="19">
        <v>1800</v>
      </c>
      <c r="F11" s="19">
        <v>1031</v>
      </c>
      <c r="G11" s="19">
        <v>0</v>
      </c>
      <c r="H11" s="19">
        <v>0</v>
      </c>
      <c r="I11" s="19">
        <v>1325</v>
      </c>
      <c r="J11" s="19">
        <v>0</v>
      </c>
      <c r="K11" s="19">
        <f t="shared" si="0"/>
        <v>1506</v>
      </c>
      <c r="L11" s="19">
        <v>990.5</v>
      </c>
      <c r="M11" s="19">
        <v>24</v>
      </c>
      <c r="N11" s="20">
        <f t="shared" si="3"/>
        <v>17.9411320754717</v>
      </c>
      <c r="P11" s="6">
        <v>2131</v>
      </c>
      <c r="Q11" s="7">
        <f t="shared" si="1"/>
        <v>2823575</v>
      </c>
      <c r="R11" s="7">
        <f t="shared" si="2"/>
        <v>2110755.5</v>
      </c>
    </row>
    <row r="12" spans="1:27" ht="14.5" x14ac:dyDescent="0.35">
      <c r="A12" s="4" t="s">
        <v>30</v>
      </c>
      <c r="B12" s="19" t="s">
        <v>22</v>
      </c>
      <c r="C12" s="19" t="s">
        <v>20</v>
      </c>
      <c r="D12" s="19">
        <v>10</v>
      </c>
      <c r="E12" s="19">
        <v>44710</v>
      </c>
      <c r="F12" s="19">
        <v>498350</v>
      </c>
      <c r="G12" s="19">
        <v>0</v>
      </c>
      <c r="H12" s="19">
        <v>0</v>
      </c>
      <c r="I12" s="19">
        <v>516605</v>
      </c>
      <c r="J12" s="19">
        <v>0</v>
      </c>
      <c r="K12" s="19">
        <f t="shared" si="0"/>
        <v>26455</v>
      </c>
      <c r="L12" s="19">
        <v>35050</v>
      </c>
      <c r="M12" s="19">
        <v>24</v>
      </c>
      <c r="N12" s="20">
        <f t="shared" si="3"/>
        <v>1.6283233805325152</v>
      </c>
      <c r="P12" s="6">
        <v>1691</v>
      </c>
      <c r="Q12" s="7">
        <f t="shared" si="1"/>
        <v>873579055</v>
      </c>
      <c r="R12" s="7">
        <f t="shared" si="2"/>
        <v>59269550</v>
      </c>
    </row>
    <row r="13" spans="1:27" ht="14.5" x14ac:dyDescent="0.35">
      <c r="A13" s="4" t="s">
        <v>31</v>
      </c>
      <c r="B13" s="19" t="s">
        <v>19</v>
      </c>
      <c r="C13" s="19" t="s">
        <v>20</v>
      </c>
      <c r="D13" s="19">
        <v>10</v>
      </c>
      <c r="E13" s="19">
        <v>3780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f t="shared" si="0"/>
        <v>3780</v>
      </c>
      <c r="L13" s="19">
        <v>0</v>
      </c>
      <c r="M13" s="19">
        <v>24</v>
      </c>
      <c r="N13" s="20">
        <v>0</v>
      </c>
      <c r="P13" s="6">
        <v>1694</v>
      </c>
      <c r="Q13" s="7">
        <f t="shared" si="1"/>
        <v>0</v>
      </c>
      <c r="R13" s="7">
        <f t="shared" si="2"/>
        <v>0</v>
      </c>
    </row>
    <row r="14" spans="1:27" ht="14.5" x14ac:dyDescent="0.35">
      <c r="A14" s="4" t="s">
        <v>33</v>
      </c>
      <c r="B14" s="19" t="s">
        <v>22</v>
      </c>
      <c r="C14" s="19" t="s">
        <v>20</v>
      </c>
      <c r="D14" s="19">
        <v>10</v>
      </c>
      <c r="E14" s="19">
        <v>3272</v>
      </c>
      <c r="F14" s="19">
        <v>73300</v>
      </c>
      <c r="G14" s="19">
        <v>0</v>
      </c>
      <c r="H14" s="19">
        <v>0</v>
      </c>
      <c r="I14" s="19">
        <v>65450</v>
      </c>
      <c r="J14" s="19">
        <v>0</v>
      </c>
      <c r="K14" s="19">
        <f t="shared" si="0"/>
        <v>11122</v>
      </c>
      <c r="L14" s="19">
        <v>6802.9523809523798</v>
      </c>
      <c r="M14" s="19">
        <v>24</v>
      </c>
      <c r="N14" s="20">
        <f t="shared" ref="N14:N22" si="4">(L14/(I14+J14))*M14</f>
        <v>2.4945891083706204</v>
      </c>
      <c r="P14" s="6">
        <v>1890</v>
      </c>
      <c r="Q14" s="7">
        <f t="shared" si="1"/>
        <v>123700500</v>
      </c>
      <c r="R14" s="7">
        <f t="shared" si="2"/>
        <v>12857579.999999998</v>
      </c>
    </row>
    <row r="15" spans="1:27" ht="14.5" x14ac:dyDescent="0.35">
      <c r="A15" s="4" t="s">
        <v>34</v>
      </c>
      <c r="B15" s="19" t="s">
        <v>22</v>
      </c>
      <c r="C15" s="19" t="s">
        <v>20</v>
      </c>
      <c r="D15" s="19">
        <v>10</v>
      </c>
      <c r="E15" s="19">
        <v>55055</v>
      </c>
      <c r="F15" s="19">
        <v>371775</v>
      </c>
      <c r="G15" s="19">
        <v>0</v>
      </c>
      <c r="H15" s="19">
        <v>0</v>
      </c>
      <c r="I15" s="19">
        <v>410245</v>
      </c>
      <c r="J15" s="19">
        <v>274</v>
      </c>
      <c r="K15" s="19">
        <f t="shared" si="0"/>
        <v>16311</v>
      </c>
      <c r="L15" s="19">
        <v>35918.4230769231</v>
      </c>
      <c r="M15" s="19">
        <v>24</v>
      </c>
      <c r="N15" s="20">
        <f t="shared" si="4"/>
        <v>2.0998836931936267</v>
      </c>
      <c r="P15" s="6">
        <v>2216</v>
      </c>
      <c r="Q15" s="7">
        <f t="shared" si="1"/>
        <v>909710104</v>
      </c>
      <c r="R15" s="7">
        <f t="shared" si="2"/>
        <v>79595225.538461596</v>
      </c>
    </row>
    <row r="16" spans="1:27" ht="14.5" x14ac:dyDescent="0.35">
      <c r="A16" s="4" t="s">
        <v>35</v>
      </c>
      <c r="B16" s="19" t="s">
        <v>19</v>
      </c>
      <c r="C16" s="19" t="s">
        <v>20</v>
      </c>
      <c r="D16" s="19">
        <v>10</v>
      </c>
      <c r="E16" s="19">
        <v>68905</v>
      </c>
      <c r="F16" s="19">
        <v>268875</v>
      </c>
      <c r="G16" s="19">
        <v>0</v>
      </c>
      <c r="H16" s="19">
        <v>0</v>
      </c>
      <c r="I16" s="19">
        <v>0</v>
      </c>
      <c r="J16" s="19">
        <v>282875</v>
      </c>
      <c r="K16" s="19">
        <f t="shared" si="0"/>
        <v>54905</v>
      </c>
      <c r="L16" s="19">
        <v>66171.666666666701</v>
      </c>
      <c r="M16" s="19">
        <v>24</v>
      </c>
      <c r="N16" s="20">
        <f t="shared" si="4"/>
        <v>5.6142112240388897</v>
      </c>
      <c r="P16" s="6">
        <v>2846</v>
      </c>
      <c r="Q16" s="7">
        <f t="shared" si="1"/>
        <v>805062250</v>
      </c>
      <c r="R16" s="7">
        <f t="shared" si="2"/>
        <v>188324563.33333343</v>
      </c>
    </row>
    <row r="17" spans="1:18" ht="14.5" x14ac:dyDescent="0.35">
      <c r="A17" s="4" t="s">
        <v>36</v>
      </c>
      <c r="B17" s="19" t="s">
        <v>22</v>
      </c>
      <c r="C17" s="19" t="s">
        <v>20</v>
      </c>
      <c r="D17" s="19">
        <v>10</v>
      </c>
      <c r="E17" s="19">
        <v>16548</v>
      </c>
      <c r="F17" s="19">
        <v>242500</v>
      </c>
      <c r="G17" s="19">
        <v>0</v>
      </c>
      <c r="H17" s="19">
        <v>0</v>
      </c>
      <c r="I17" s="19">
        <v>246250</v>
      </c>
      <c r="J17" s="19">
        <v>0</v>
      </c>
      <c r="K17" s="19">
        <f t="shared" si="0"/>
        <v>12798</v>
      </c>
      <c r="L17" s="19">
        <v>10538.384615384601</v>
      </c>
      <c r="M17" s="19">
        <v>24</v>
      </c>
      <c r="N17" s="20">
        <f t="shared" si="4"/>
        <v>1.0270912924638798</v>
      </c>
      <c r="P17" s="6">
        <v>2129</v>
      </c>
      <c r="Q17" s="7">
        <f t="shared" si="1"/>
        <v>524266250</v>
      </c>
      <c r="R17" s="7">
        <f t="shared" si="2"/>
        <v>22436220.846153814</v>
      </c>
    </row>
    <row r="18" spans="1:18" ht="14.5" x14ac:dyDescent="0.35">
      <c r="A18" s="4" t="s">
        <v>37</v>
      </c>
      <c r="B18" s="19" t="s">
        <v>19</v>
      </c>
      <c r="C18" s="19" t="s">
        <v>20</v>
      </c>
      <c r="D18" s="19">
        <v>10</v>
      </c>
      <c r="E18" s="19">
        <v>3025</v>
      </c>
      <c r="F18" s="19">
        <v>3020</v>
      </c>
      <c r="G18" s="19">
        <v>0</v>
      </c>
      <c r="H18" s="19">
        <v>0</v>
      </c>
      <c r="I18" s="19">
        <v>3020</v>
      </c>
      <c r="J18" s="19">
        <v>0</v>
      </c>
      <c r="K18" s="19">
        <f t="shared" si="0"/>
        <v>3025</v>
      </c>
      <c r="L18" s="19">
        <v>4511.6666666666697</v>
      </c>
      <c r="M18" s="19">
        <v>24</v>
      </c>
      <c r="N18" s="20">
        <f t="shared" si="4"/>
        <v>35.854304635761608</v>
      </c>
      <c r="P18" s="6">
        <v>2129</v>
      </c>
      <c r="Q18" s="7">
        <f t="shared" si="1"/>
        <v>6429580</v>
      </c>
      <c r="R18" s="7">
        <f t="shared" si="2"/>
        <v>9605338.3333333395</v>
      </c>
    </row>
    <row r="19" spans="1:18" ht="14.5" x14ac:dyDescent="0.35">
      <c r="A19" s="4" t="s">
        <v>38</v>
      </c>
      <c r="B19" s="19" t="s">
        <v>22</v>
      </c>
      <c r="C19" s="19" t="s">
        <v>20</v>
      </c>
      <c r="D19" s="19">
        <v>10</v>
      </c>
      <c r="E19" s="19">
        <v>21159</v>
      </c>
      <c r="F19" s="19">
        <v>212055</v>
      </c>
      <c r="G19" s="19">
        <v>0</v>
      </c>
      <c r="H19" s="19">
        <v>0</v>
      </c>
      <c r="I19" s="19">
        <v>0</v>
      </c>
      <c r="J19" s="19">
        <v>215640</v>
      </c>
      <c r="K19" s="19">
        <f t="shared" si="0"/>
        <v>17574</v>
      </c>
      <c r="L19" s="19">
        <v>29601.586206896602</v>
      </c>
      <c r="M19" s="19">
        <v>24</v>
      </c>
      <c r="N19" s="20">
        <f t="shared" si="4"/>
        <v>3.2945560608677358</v>
      </c>
      <c r="P19" s="6">
        <v>2263</v>
      </c>
      <c r="Q19" s="7">
        <f t="shared" si="1"/>
        <v>487993320</v>
      </c>
      <c r="R19" s="7">
        <f t="shared" si="2"/>
        <v>66988389.58620701</v>
      </c>
    </row>
    <row r="20" spans="1:18" ht="14.5" x14ac:dyDescent="0.35">
      <c r="A20" s="4" t="s">
        <v>39</v>
      </c>
      <c r="B20" s="19" t="s">
        <v>19</v>
      </c>
      <c r="C20" s="19" t="s">
        <v>20</v>
      </c>
      <c r="D20" s="19">
        <v>10</v>
      </c>
      <c r="E20" s="19">
        <v>10336</v>
      </c>
      <c r="F20" s="19">
        <v>77338</v>
      </c>
      <c r="G20" s="19">
        <v>0</v>
      </c>
      <c r="H20" s="19">
        <v>0</v>
      </c>
      <c r="I20" s="19">
        <v>0</v>
      </c>
      <c r="J20" s="19">
        <v>58900</v>
      </c>
      <c r="K20" s="19">
        <f t="shared" si="0"/>
        <v>28774</v>
      </c>
      <c r="L20" s="19">
        <v>15600.863636363601</v>
      </c>
      <c r="M20" s="19">
        <v>24</v>
      </c>
      <c r="N20" s="20">
        <f t="shared" si="4"/>
        <v>6.3568884087050339</v>
      </c>
      <c r="P20" s="6">
        <v>2263</v>
      </c>
      <c r="Q20" s="7">
        <f t="shared" si="1"/>
        <v>133290700</v>
      </c>
      <c r="R20" s="7">
        <f t="shared" si="2"/>
        <v>35304754.409090832</v>
      </c>
    </row>
    <row r="21" spans="1:18" ht="15.75" customHeight="1" x14ac:dyDescent="0.35">
      <c r="A21" s="4" t="s">
        <v>40</v>
      </c>
      <c r="B21" s="19" t="s">
        <v>19</v>
      </c>
      <c r="C21" s="19" t="s">
        <v>20</v>
      </c>
      <c r="D21" s="19">
        <v>10</v>
      </c>
      <c r="E21" s="19">
        <v>4300</v>
      </c>
      <c r="F21" s="19">
        <v>1000</v>
      </c>
      <c r="G21" s="19">
        <v>0</v>
      </c>
      <c r="H21" s="19">
        <v>0</v>
      </c>
      <c r="I21" s="19">
        <v>0</v>
      </c>
      <c r="J21" s="19">
        <v>2104</v>
      </c>
      <c r="K21" s="19">
        <f t="shared" si="0"/>
        <v>3196</v>
      </c>
      <c r="L21" s="19">
        <v>3478.4</v>
      </c>
      <c r="M21" s="19">
        <v>24</v>
      </c>
      <c r="N21" s="20">
        <f t="shared" si="4"/>
        <v>39.677566539923959</v>
      </c>
      <c r="P21" s="6">
        <v>2732</v>
      </c>
      <c r="Q21" s="7">
        <f t="shared" si="1"/>
        <v>5748128</v>
      </c>
      <c r="R21" s="7">
        <f t="shared" si="2"/>
        <v>9502988.8000000007</v>
      </c>
    </row>
    <row r="22" spans="1:18" ht="15.75" customHeight="1" x14ac:dyDescent="0.35">
      <c r="A22" s="4" t="s">
        <v>41</v>
      </c>
      <c r="B22" s="19" t="s">
        <v>19</v>
      </c>
      <c r="C22" s="19" t="s">
        <v>20</v>
      </c>
      <c r="D22" s="19">
        <v>10</v>
      </c>
      <c r="E22" s="19">
        <v>8509</v>
      </c>
      <c r="F22" s="19">
        <v>43721</v>
      </c>
      <c r="G22" s="19">
        <v>0</v>
      </c>
      <c r="H22" s="19">
        <v>0</v>
      </c>
      <c r="I22" s="19">
        <v>0</v>
      </c>
      <c r="J22" s="19">
        <v>27500</v>
      </c>
      <c r="K22" s="19">
        <f t="shared" si="0"/>
        <v>24730</v>
      </c>
      <c r="L22" s="19">
        <v>18362.666666666697</v>
      </c>
      <c r="M22" s="19">
        <v>24</v>
      </c>
      <c r="N22" s="20">
        <f t="shared" si="4"/>
        <v>16.025600000000026</v>
      </c>
      <c r="P22" s="6">
        <v>2962</v>
      </c>
      <c r="Q22" s="7">
        <f t="shared" si="1"/>
        <v>81455000</v>
      </c>
      <c r="R22" s="7">
        <f t="shared" si="2"/>
        <v>54390218.666666754</v>
      </c>
    </row>
    <row r="23" spans="1:18" ht="15.75" customHeight="1" x14ac:dyDescent="0.35">
      <c r="A23" s="4" t="s">
        <v>42</v>
      </c>
      <c r="B23" s="19" t="s">
        <v>19</v>
      </c>
      <c r="C23" s="19" t="s">
        <v>20</v>
      </c>
      <c r="D23" s="19">
        <v>10</v>
      </c>
      <c r="E23" s="19">
        <v>124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f t="shared" si="0"/>
        <v>124</v>
      </c>
      <c r="L23" s="19">
        <v>0</v>
      </c>
      <c r="M23" s="19">
        <v>24</v>
      </c>
      <c r="N23" s="20">
        <v>0</v>
      </c>
      <c r="P23" s="6">
        <v>2263</v>
      </c>
      <c r="Q23" s="7">
        <f t="shared" si="1"/>
        <v>0</v>
      </c>
      <c r="R23" s="7">
        <f t="shared" si="2"/>
        <v>0</v>
      </c>
    </row>
    <row r="24" spans="1:18" ht="15.75" customHeight="1" x14ac:dyDescent="0.35">
      <c r="A24" s="4" t="s">
        <v>43</v>
      </c>
      <c r="B24" s="19" t="s">
        <v>19</v>
      </c>
      <c r="C24" s="19" t="s">
        <v>20</v>
      </c>
      <c r="D24" s="19">
        <v>10</v>
      </c>
      <c r="E24" s="19">
        <v>770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f t="shared" si="0"/>
        <v>770</v>
      </c>
      <c r="L24" s="19">
        <v>0</v>
      </c>
      <c r="M24" s="19">
        <v>24</v>
      </c>
      <c r="N24" s="20">
        <v>0</v>
      </c>
      <c r="P24" s="6">
        <v>2263</v>
      </c>
      <c r="Q24" s="7">
        <f t="shared" si="1"/>
        <v>0</v>
      </c>
      <c r="R24" s="7">
        <f t="shared" si="2"/>
        <v>0</v>
      </c>
    </row>
    <row r="25" spans="1:18" ht="15.75" customHeight="1" x14ac:dyDescent="0.35">
      <c r="A25" s="4" t="s">
        <v>44</v>
      </c>
      <c r="B25" s="19" t="s">
        <v>19</v>
      </c>
      <c r="C25" s="19" t="s">
        <v>20</v>
      </c>
      <c r="D25" s="19">
        <v>10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f t="shared" si="0"/>
        <v>0</v>
      </c>
      <c r="L25" s="19">
        <v>0</v>
      </c>
      <c r="M25" s="19">
        <v>24</v>
      </c>
      <c r="N25" s="20">
        <v>0</v>
      </c>
      <c r="P25" s="6">
        <v>2268</v>
      </c>
      <c r="Q25" s="7">
        <f t="shared" si="1"/>
        <v>0</v>
      </c>
      <c r="R25" s="7">
        <f t="shared" si="2"/>
        <v>0</v>
      </c>
    </row>
    <row r="26" spans="1:18" ht="15.75" customHeight="1" x14ac:dyDescent="0.35">
      <c r="A26" s="4" t="s">
        <v>171</v>
      </c>
      <c r="B26" s="19" t="s">
        <v>22</v>
      </c>
      <c r="C26" s="19" t="s">
        <v>20</v>
      </c>
      <c r="D26" s="19">
        <v>10</v>
      </c>
      <c r="E26" s="19">
        <v>9005</v>
      </c>
      <c r="F26" s="19">
        <v>121250</v>
      </c>
      <c r="G26" s="19">
        <v>0</v>
      </c>
      <c r="H26" s="19">
        <v>0</v>
      </c>
      <c r="I26" s="19">
        <v>103750</v>
      </c>
      <c r="J26" s="19">
        <v>250</v>
      </c>
      <c r="K26" s="19">
        <f t="shared" si="0"/>
        <v>26255</v>
      </c>
      <c r="L26" s="19">
        <v>17792.5</v>
      </c>
      <c r="M26" s="19">
        <v>24</v>
      </c>
      <c r="N26" s="20">
        <f t="shared" ref="N26:N28" si="5">(L26/(I26+J26))*M26</f>
        <v>4.1059615384615391</v>
      </c>
      <c r="P26" s="6">
        <v>2268</v>
      </c>
      <c r="Q26" s="7">
        <f t="shared" si="1"/>
        <v>235872000</v>
      </c>
      <c r="R26" s="7">
        <f t="shared" si="2"/>
        <v>40353390</v>
      </c>
    </row>
    <row r="27" spans="1:18" ht="15.75" customHeight="1" x14ac:dyDescent="0.35">
      <c r="A27" s="4" t="s">
        <v>45</v>
      </c>
      <c r="B27" s="19" t="s">
        <v>19</v>
      </c>
      <c r="C27" s="19" t="s">
        <v>20</v>
      </c>
      <c r="D27" s="19">
        <v>10</v>
      </c>
      <c r="E27" s="19">
        <v>1042</v>
      </c>
      <c r="F27" s="19">
        <v>23323</v>
      </c>
      <c r="G27" s="19">
        <v>0</v>
      </c>
      <c r="H27" s="19">
        <v>0</v>
      </c>
      <c r="I27" s="19">
        <v>19429</v>
      </c>
      <c r="J27" s="19">
        <v>0</v>
      </c>
      <c r="K27" s="19">
        <f t="shared" si="0"/>
        <v>4936</v>
      </c>
      <c r="L27" s="19">
        <v>7056.0909090909099</v>
      </c>
      <c r="M27" s="19">
        <v>24</v>
      </c>
      <c r="N27" s="20">
        <f t="shared" si="5"/>
        <v>8.7161553254507105</v>
      </c>
      <c r="P27" s="6">
        <v>1956</v>
      </c>
      <c r="Q27" s="7">
        <f t="shared" si="1"/>
        <v>38003124</v>
      </c>
      <c r="R27" s="7">
        <f t="shared" si="2"/>
        <v>13801713.81818182</v>
      </c>
    </row>
    <row r="28" spans="1:18" ht="15.75" customHeight="1" x14ac:dyDescent="0.35">
      <c r="A28" s="4" t="s">
        <v>46</v>
      </c>
      <c r="B28" s="19" t="s">
        <v>22</v>
      </c>
      <c r="C28" s="19" t="s">
        <v>20</v>
      </c>
      <c r="D28" s="19">
        <v>10</v>
      </c>
      <c r="E28" s="19">
        <v>16895</v>
      </c>
      <c r="F28" s="19">
        <v>327000</v>
      </c>
      <c r="G28" s="19">
        <v>0</v>
      </c>
      <c r="H28" s="19">
        <v>0</v>
      </c>
      <c r="I28" s="19">
        <v>0</v>
      </c>
      <c r="J28" s="19">
        <v>309010</v>
      </c>
      <c r="K28" s="19">
        <f t="shared" si="0"/>
        <v>34885</v>
      </c>
      <c r="L28" s="19">
        <v>28623.965517241399</v>
      </c>
      <c r="M28" s="19">
        <v>24</v>
      </c>
      <c r="N28" s="20">
        <f t="shared" si="5"/>
        <v>2.2231486761392625</v>
      </c>
      <c r="P28" s="6">
        <v>2031</v>
      </c>
      <c r="Q28" s="7">
        <f t="shared" si="1"/>
        <v>627599310</v>
      </c>
      <c r="R28" s="7">
        <f t="shared" si="2"/>
        <v>58135273.965517282</v>
      </c>
    </row>
    <row r="29" spans="1:18" ht="15.75" customHeight="1" x14ac:dyDescent="0.35">
      <c r="A29" s="4" t="s">
        <v>48</v>
      </c>
      <c r="B29" s="19" t="s">
        <v>19</v>
      </c>
      <c r="C29" s="19" t="s">
        <v>20</v>
      </c>
      <c r="D29" s="19">
        <v>10</v>
      </c>
      <c r="E29" s="19">
        <v>3033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f t="shared" si="0"/>
        <v>3033</v>
      </c>
      <c r="L29" s="19">
        <v>0</v>
      </c>
      <c r="M29" s="19">
        <v>24</v>
      </c>
      <c r="N29" s="20">
        <v>0</v>
      </c>
      <c r="P29" s="6">
        <v>2179</v>
      </c>
      <c r="Q29" s="7">
        <f t="shared" si="1"/>
        <v>0</v>
      </c>
      <c r="R29" s="7">
        <f t="shared" si="2"/>
        <v>0</v>
      </c>
    </row>
    <row r="30" spans="1:18" ht="15.75" customHeight="1" x14ac:dyDescent="0.35">
      <c r="A30" s="4" t="s">
        <v>49</v>
      </c>
      <c r="B30" s="19" t="s">
        <v>19</v>
      </c>
      <c r="C30" s="19" t="s">
        <v>20</v>
      </c>
      <c r="D30" s="19">
        <v>10</v>
      </c>
      <c r="E30" s="19">
        <v>1495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f t="shared" si="0"/>
        <v>1495</v>
      </c>
      <c r="L30" s="19">
        <v>0</v>
      </c>
      <c r="M30" s="19">
        <v>24</v>
      </c>
      <c r="N30" s="20">
        <v>0</v>
      </c>
      <c r="P30" s="6">
        <v>2179</v>
      </c>
      <c r="Q30" s="7">
        <f t="shared" si="1"/>
        <v>0</v>
      </c>
      <c r="R30" s="7">
        <f t="shared" si="2"/>
        <v>0</v>
      </c>
    </row>
    <row r="31" spans="1:18" ht="15.75" customHeight="1" x14ac:dyDescent="0.35">
      <c r="A31" s="4" t="s">
        <v>47</v>
      </c>
      <c r="B31" s="19" t="s">
        <v>19</v>
      </c>
      <c r="C31" s="19" t="s">
        <v>20</v>
      </c>
      <c r="D31" s="19">
        <v>10</v>
      </c>
      <c r="E31" s="19">
        <v>2340</v>
      </c>
      <c r="F31" s="19">
        <v>0</v>
      </c>
      <c r="G31" s="19">
        <v>0</v>
      </c>
      <c r="H31" s="19">
        <v>0</v>
      </c>
      <c r="I31" s="19">
        <v>100</v>
      </c>
      <c r="J31" s="19">
        <v>0</v>
      </c>
      <c r="K31" s="19">
        <f t="shared" si="0"/>
        <v>2240</v>
      </c>
      <c r="L31" s="19">
        <v>2277.5</v>
      </c>
      <c r="M31" s="19">
        <v>24</v>
      </c>
      <c r="N31" s="20">
        <f t="shared" ref="N31:N34" si="6">(L31/(I31+J31))*M31</f>
        <v>546.59999999999991</v>
      </c>
      <c r="P31" s="6">
        <v>2179</v>
      </c>
      <c r="Q31" s="7">
        <f t="shared" si="1"/>
        <v>217900</v>
      </c>
      <c r="R31" s="7">
        <f t="shared" si="2"/>
        <v>4962672.5</v>
      </c>
    </row>
    <row r="32" spans="1:18" ht="15.75" customHeight="1" x14ac:dyDescent="0.35">
      <c r="A32" s="4" t="s">
        <v>50</v>
      </c>
      <c r="B32" s="19" t="s">
        <v>22</v>
      </c>
      <c r="C32" s="19" t="s">
        <v>20</v>
      </c>
      <c r="D32" s="19">
        <v>10</v>
      </c>
      <c r="E32" s="19">
        <v>5883</v>
      </c>
      <c r="F32" s="19">
        <v>63750</v>
      </c>
      <c r="G32" s="19">
        <v>0</v>
      </c>
      <c r="H32" s="19">
        <v>0</v>
      </c>
      <c r="I32" s="19">
        <v>57500</v>
      </c>
      <c r="J32" s="19">
        <v>0</v>
      </c>
      <c r="K32" s="19">
        <f t="shared" si="0"/>
        <v>12133</v>
      </c>
      <c r="L32" s="19">
        <v>17914.25</v>
      </c>
      <c r="M32" s="19">
        <v>24</v>
      </c>
      <c r="N32" s="20">
        <f t="shared" si="6"/>
        <v>7.4772521739130431</v>
      </c>
      <c r="P32" s="6">
        <v>2179</v>
      </c>
      <c r="Q32" s="7">
        <f t="shared" si="1"/>
        <v>125292500</v>
      </c>
      <c r="R32" s="7">
        <f t="shared" si="2"/>
        <v>39035150.75</v>
      </c>
    </row>
    <row r="33" spans="1:18" ht="15.75" customHeight="1" x14ac:dyDescent="0.35">
      <c r="A33" s="4" t="s">
        <v>172</v>
      </c>
      <c r="B33" s="19" t="s">
        <v>19</v>
      </c>
      <c r="C33" s="19" t="s">
        <v>20</v>
      </c>
      <c r="D33" s="19">
        <v>10</v>
      </c>
      <c r="E33" s="19">
        <v>2875</v>
      </c>
      <c r="F33" s="19">
        <v>0</v>
      </c>
      <c r="G33" s="19">
        <v>0</v>
      </c>
      <c r="H33" s="19">
        <v>0</v>
      </c>
      <c r="I33" s="19">
        <v>700</v>
      </c>
      <c r="J33" s="19">
        <v>0</v>
      </c>
      <c r="K33" s="19">
        <f t="shared" si="0"/>
        <v>2175</v>
      </c>
      <c r="L33" s="19">
        <v>2493.75</v>
      </c>
      <c r="M33" s="19">
        <v>24</v>
      </c>
      <c r="N33" s="20">
        <f t="shared" si="6"/>
        <v>85.5</v>
      </c>
      <c r="P33" s="6">
        <v>3145</v>
      </c>
      <c r="Q33" s="7">
        <f t="shared" si="1"/>
        <v>2201500</v>
      </c>
      <c r="R33" s="7">
        <f t="shared" si="2"/>
        <v>7842843.75</v>
      </c>
    </row>
    <row r="34" spans="1:18" ht="15.75" customHeight="1" x14ac:dyDescent="0.35">
      <c r="A34" s="4" t="s">
        <v>51</v>
      </c>
      <c r="B34" s="19" t="s">
        <v>19</v>
      </c>
      <c r="C34" s="19" t="s">
        <v>20</v>
      </c>
      <c r="D34" s="19">
        <v>10</v>
      </c>
      <c r="E34" s="19">
        <v>5137</v>
      </c>
      <c r="F34" s="19">
        <v>31118</v>
      </c>
      <c r="G34" s="19">
        <v>0</v>
      </c>
      <c r="H34" s="19">
        <v>0</v>
      </c>
      <c r="I34" s="19">
        <v>17363</v>
      </c>
      <c r="J34" s="19">
        <v>0</v>
      </c>
      <c r="K34" s="19">
        <f t="shared" si="0"/>
        <v>18892</v>
      </c>
      <c r="L34" s="19">
        <v>8544.75</v>
      </c>
      <c r="M34" s="19">
        <v>24</v>
      </c>
      <c r="N34" s="20">
        <f t="shared" si="6"/>
        <v>11.810977365662616</v>
      </c>
      <c r="P34" s="6">
        <v>2179</v>
      </c>
      <c r="Q34" s="7">
        <f t="shared" si="1"/>
        <v>37833977</v>
      </c>
      <c r="R34" s="7">
        <f t="shared" si="2"/>
        <v>18619010.25</v>
      </c>
    </row>
    <row r="35" spans="1:18" ht="15.75" customHeight="1" x14ac:dyDescent="0.35">
      <c r="A35" s="4" t="s">
        <v>52</v>
      </c>
      <c r="B35" s="19" t="s">
        <v>19</v>
      </c>
      <c r="C35" s="19" t="s">
        <v>20</v>
      </c>
      <c r="D35" s="19">
        <v>10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f t="shared" si="0"/>
        <v>0</v>
      </c>
      <c r="L35" s="19">
        <v>0</v>
      </c>
      <c r="M35" s="19">
        <v>24</v>
      </c>
      <c r="N35" s="20">
        <v>0</v>
      </c>
      <c r="P35" s="6">
        <v>2268</v>
      </c>
      <c r="Q35" s="7">
        <f t="shared" si="1"/>
        <v>0</v>
      </c>
      <c r="R35" s="7">
        <f t="shared" si="2"/>
        <v>0</v>
      </c>
    </row>
    <row r="36" spans="1:18" ht="15.75" customHeight="1" x14ac:dyDescent="0.35">
      <c r="A36" s="4" t="s">
        <v>173</v>
      </c>
      <c r="B36" s="19" t="s">
        <v>19</v>
      </c>
      <c r="C36" s="19" t="s">
        <v>20</v>
      </c>
      <c r="D36" s="19">
        <v>10</v>
      </c>
      <c r="E36" s="19">
        <v>8750</v>
      </c>
      <c r="F36" s="19">
        <v>36250</v>
      </c>
      <c r="G36" s="19">
        <v>0</v>
      </c>
      <c r="H36" s="19">
        <v>0</v>
      </c>
      <c r="I36" s="19">
        <v>31150</v>
      </c>
      <c r="J36" s="19">
        <v>100</v>
      </c>
      <c r="K36" s="19">
        <f t="shared" si="0"/>
        <v>13750</v>
      </c>
      <c r="L36" s="19">
        <v>12027.272727272701</v>
      </c>
      <c r="M36" s="19">
        <v>24</v>
      </c>
      <c r="N36" s="20">
        <f t="shared" ref="N36:N37" si="7">(L36/(I36+J36))*M36</f>
        <v>9.2369454545454346</v>
      </c>
      <c r="P36" s="6">
        <v>2268</v>
      </c>
      <c r="Q36" s="7">
        <f t="shared" si="1"/>
        <v>70875000</v>
      </c>
      <c r="R36" s="7">
        <f t="shared" si="2"/>
        <v>27277854.545454483</v>
      </c>
    </row>
    <row r="37" spans="1:18" ht="15.75" customHeight="1" x14ac:dyDescent="0.35">
      <c r="A37" s="4" t="s">
        <v>53</v>
      </c>
      <c r="B37" s="19" t="s">
        <v>19</v>
      </c>
      <c r="C37" s="19" t="s">
        <v>20</v>
      </c>
      <c r="D37" s="19">
        <v>10</v>
      </c>
      <c r="E37" s="19">
        <v>1121</v>
      </c>
      <c r="F37" s="19">
        <v>0</v>
      </c>
      <c r="G37" s="19">
        <v>0</v>
      </c>
      <c r="H37" s="19">
        <v>0</v>
      </c>
      <c r="I37" s="19">
        <v>1050</v>
      </c>
      <c r="J37" s="19">
        <v>0</v>
      </c>
      <c r="K37" s="19">
        <f t="shared" si="0"/>
        <v>71</v>
      </c>
      <c r="L37" s="19">
        <v>71</v>
      </c>
      <c r="M37" s="19">
        <v>24</v>
      </c>
      <c r="N37" s="20">
        <f t="shared" si="7"/>
        <v>1.6228571428571428</v>
      </c>
      <c r="P37" s="6">
        <v>1956</v>
      </c>
      <c r="Q37" s="7">
        <f t="shared" si="1"/>
        <v>2053800</v>
      </c>
      <c r="R37" s="7">
        <f t="shared" si="2"/>
        <v>138876</v>
      </c>
    </row>
    <row r="38" spans="1:18" ht="15.75" customHeight="1" x14ac:dyDescent="0.35">
      <c r="A38" s="4" t="s">
        <v>54</v>
      </c>
      <c r="B38" s="19" t="s">
        <v>19</v>
      </c>
      <c r="C38" s="19" t="s">
        <v>20</v>
      </c>
      <c r="D38" s="19">
        <v>10</v>
      </c>
      <c r="E38" s="19">
        <v>85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f t="shared" si="0"/>
        <v>85</v>
      </c>
      <c r="L38" s="19">
        <v>0</v>
      </c>
      <c r="M38" s="19">
        <v>24</v>
      </c>
      <c r="N38" s="20">
        <v>0</v>
      </c>
      <c r="P38" s="6">
        <v>2218</v>
      </c>
      <c r="Q38" s="7">
        <f t="shared" si="1"/>
        <v>0</v>
      </c>
      <c r="R38" s="7">
        <f t="shared" si="2"/>
        <v>0</v>
      </c>
    </row>
    <row r="39" spans="1:18" ht="15.75" customHeight="1" x14ac:dyDescent="0.35">
      <c r="A39" s="4" t="s">
        <v>174</v>
      </c>
      <c r="B39" s="19" t="s">
        <v>19</v>
      </c>
      <c r="C39" s="19" t="s">
        <v>20</v>
      </c>
      <c r="D39" s="19">
        <v>10</v>
      </c>
      <c r="E39" s="19">
        <v>2900</v>
      </c>
      <c r="F39" s="19">
        <v>24500</v>
      </c>
      <c r="G39" s="19">
        <v>0</v>
      </c>
      <c r="H39" s="19">
        <v>0</v>
      </c>
      <c r="I39" s="19">
        <v>16875</v>
      </c>
      <c r="J39" s="19">
        <v>0</v>
      </c>
      <c r="K39" s="19">
        <f t="shared" si="0"/>
        <v>10525</v>
      </c>
      <c r="L39" s="19">
        <v>5505</v>
      </c>
      <c r="M39" s="19">
        <v>24</v>
      </c>
      <c r="N39" s="20">
        <f>(L39/(I39+J39))*M39</f>
        <v>7.8293333333333344</v>
      </c>
      <c r="P39" s="6">
        <v>2218</v>
      </c>
      <c r="Q39" s="7">
        <f t="shared" si="1"/>
        <v>37428750</v>
      </c>
      <c r="R39" s="7">
        <f t="shared" si="2"/>
        <v>12210090</v>
      </c>
    </row>
    <row r="40" spans="1:18" ht="15.75" customHeight="1" x14ac:dyDescent="0.35">
      <c r="A40" s="4" t="s">
        <v>55</v>
      </c>
      <c r="B40" s="19" t="s">
        <v>19</v>
      </c>
      <c r="C40" s="19" t="s">
        <v>20</v>
      </c>
      <c r="D40" s="19">
        <v>10</v>
      </c>
      <c r="E40" s="19">
        <v>88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f t="shared" si="0"/>
        <v>88</v>
      </c>
      <c r="L40" s="19">
        <v>0</v>
      </c>
      <c r="M40" s="19">
        <v>24</v>
      </c>
      <c r="N40" s="20">
        <v>0</v>
      </c>
      <c r="P40" s="6">
        <v>2218</v>
      </c>
      <c r="Q40" s="7">
        <f t="shared" si="1"/>
        <v>0</v>
      </c>
      <c r="R40" s="7">
        <f t="shared" si="2"/>
        <v>0</v>
      </c>
    </row>
    <row r="41" spans="1:18" ht="15.75" customHeight="1" x14ac:dyDescent="0.35">
      <c r="A41" s="4" t="s">
        <v>57</v>
      </c>
      <c r="B41" s="19" t="s">
        <v>22</v>
      </c>
      <c r="C41" s="19" t="s">
        <v>20</v>
      </c>
      <c r="D41" s="19">
        <v>10</v>
      </c>
      <c r="E41" s="19">
        <v>19942</v>
      </c>
      <c r="F41" s="19">
        <v>149600</v>
      </c>
      <c r="G41" s="19">
        <v>0</v>
      </c>
      <c r="H41" s="19">
        <v>0</v>
      </c>
      <c r="I41" s="19">
        <v>125400</v>
      </c>
      <c r="J41" s="19">
        <v>33290</v>
      </c>
      <c r="K41" s="19">
        <f t="shared" si="0"/>
        <v>10852</v>
      </c>
      <c r="L41" s="19">
        <v>15964.857142857099</v>
      </c>
      <c r="M41" s="19">
        <v>24</v>
      </c>
      <c r="N41" s="20">
        <f t="shared" ref="N41:N48" si="8">(L41/(I41+J41))*M41</f>
        <v>2.4144972678087488</v>
      </c>
      <c r="P41" s="6">
        <v>2245</v>
      </c>
      <c r="Q41" s="7">
        <f t="shared" si="1"/>
        <v>356259050</v>
      </c>
      <c r="R41" s="7">
        <f t="shared" si="2"/>
        <v>35841104.285714187</v>
      </c>
    </row>
    <row r="42" spans="1:18" ht="15.75" customHeight="1" x14ac:dyDescent="0.35">
      <c r="A42" s="4" t="s">
        <v>58</v>
      </c>
      <c r="B42" s="19" t="s">
        <v>22</v>
      </c>
      <c r="C42" s="19" t="s">
        <v>20</v>
      </c>
      <c r="D42" s="19">
        <v>10</v>
      </c>
      <c r="E42" s="19">
        <v>16400</v>
      </c>
      <c r="F42" s="19">
        <v>136575</v>
      </c>
      <c r="G42" s="19">
        <v>0</v>
      </c>
      <c r="H42" s="19">
        <v>0</v>
      </c>
      <c r="I42" s="19">
        <v>0</v>
      </c>
      <c r="J42" s="19">
        <v>141015</v>
      </c>
      <c r="K42" s="19">
        <f t="shared" si="0"/>
        <v>11960</v>
      </c>
      <c r="L42" s="19">
        <v>14058.148148148099</v>
      </c>
      <c r="M42" s="19">
        <v>24</v>
      </c>
      <c r="N42" s="20">
        <f t="shared" si="8"/>
        <v>2.3926217463075159</v>
      </c>
      <c r="P42" s="6">
        <v>1419</v>
      </c>
      <c r="Q42" s="7">
        <f t="shared" si="1"/>
        <v>200100285</v>
      </c>
      <c r="R42" s="7">
        <f t="shared" si="2"/>
        <v>19948512.222222153</v>
      </c>
    </row>
    <row r="43" spans="1:18" ht="15.75" customHeight="1" x14ac:dyDescent="0.35">
      <c r="A43" s="4" t="s">
        <v>59</v>
      </c>
      <c r="B43" s="19" t="s">
        <v>19</v>
      </c>
      <c r="C43" s="19" t="s">
        <v>20</v>
      </c>
      <c r="D43" s="19">
        <v>10</v>
      </c>
      <c r="E43" s="19">
        <v>1530</v>
      </c>
      <c r="F43" s="19">
        <v>2959</v>
      </c>
      <c r="G43" s="19">
        <v>0</v>
      </c>
      <c r="H43" s="19">
        <v>0</v>
      </c>
      <c r="I43" s="19">
        <v>0</v>
      </c>
      <c r="J43" s="19">
        <v>3494</v>
      </c>
      <c r="K43" s="19">
        <f t="shared" si="0"/>
        <v>995</v>
      </c>
      <c r="L43" s="19">
        <v>2047.25</v>
      </c>
      <c r="M43" s="19">
        <v>24</v>
      </c>
      <c r="N43" s="20">
        <f t="shared" si="8"/>
        <v>14.06239267315398</v>
      </c>
      <c r="P43" s="6">
        <v>2765</v>
      </c>
      <c r="Q43" s="7">
        <f t="shared" si="1"/>
        <v>9660910</v>
      </c>
      <c r="R43" s="7">
        <f t="shared" si="2"/>
        <v>5660646.25</v>
      </c>
    </row>
    <row r="44" spans="1:18" ht="15.75" customHeight="1" x14ac:dyDescent="0.35">
      <c r="A44" s="4" t="s">
        <v>60</v>
      </c>
      <c r="B44" s="19" t="s">
        <v>19</v>
      </c>
      <c r="C44" s="19" t="s">
        <v>20</v>
      </c>
      <c r="D44" s="19">
        <v>10</v>
      </c>
      <c r="E44" s="19">
        <v>28966</v>
      </c>
      <c r="F44" s="19">
        <v>10074</v>
      </c>
      <c r="G44" s="19">
        <v>0</v>
      </c>
      <c r="H44" s="19">
        <v>0</v>
      </c>
      <c r="I44" s="19">
        <v>0</v>
      </c>
      <c r="J44" s="19">
        <v>25630</v>
      </c>
      <c r="K44" s="19">
        <f t="shared" si="0"/>
        <v>13410</v>
      </c>
      <c r="L44" s="19">
        <v>18308</v>
      </c>
      <c r="M44" s="19">
        <v>24</v>
      </c>
      <c r="N44" s="20">
        <f t="shared" si="8"/>
        <v>17.143659773702694</v>
      </c>
      <c r="P44" s="6">
        <v>4592</v>
      </c>
      <c r="Q44" s="7">
        <f t="shared" si="1"/>
        <v>117692960</v>
      </c>
      <c r="R44" s="7">
        <f t="shared" si="2"/>
        <v>84070336</v>
      </c>
    </row>
    <row r="45" spans="1:18" ht="15.75" customHeight="1" x14ac:dyDescent="0.35">
      <c r="A45" s="4" t="s">
        <v>61</v>
      </c>
      <c r="B45" s="19" t="s">
        <v>19</v>
      </c>
      <c r="C45" s="19" t="s">
        <v>20</v>
      </c>
      <c r="D45" s="19">
        <v>10</v>
      </c>
      <c r="E45" s="19">
        <v>3750</v>
      </c>
      <c r="F45" s="19">
        <v>55540</v>
      </c>
      <c r="G45" s="19">
        <v>0</v>
      </c>
      <c r="H45" s="19">
        <v>0</v>
      </c>
      <c r="I45" s="19">
        <v>0</v>
      </c>
      <c r="J45" s="19">
        <v>48035</v>
      </c>
      <c r="K45" s="19">
        <f t="shared" si="0"/>
        <v>11255</v>
      </c>
      <c r="L45" s="19">
        <v>16418.3</v>
      </c>
      <c r="M45" s="19">
        <v>24</v>
      </c>
      <c r="N45" s="20">
        <f t="shared" si="8"/>
        <v>8.2031685229520139</v>
      </c>
      <c r="P45" s="6">
        <v>2297</v>
      </c>
      <c r="Q45" s="7">
        <f t="shared" si="1"/>
        <v>110336395</v>
      </c>
      <c r="R45" s="7">
        <f t="shared" si="2"/>
        <v>37712835.100000001</v>
      </c>
    </row>
    <row r="46" spans="1:18" ht="15.75" customHeight="1" x14ac:dyDescent="0.35">
      <c r="A46" s="4" t="s">
        <v>62</v>
      </c>
      <c r="B46" s="19" t="s">
        <v>19</v>
      </c>
      <c r="C46" s="19" t="s">
        <v>20</v>
      </c>
      <c r="D46" s="19">
        <v>10</v>
      </c>
      <c r="E46" s="19">
        <v>650</v>
      </c>
      <c r="F46" s="19">
        <v>3129</v>
      </c>
      <c r="G46" s="19">
        <v>0</v>
      </c>
      <c r="H46" s="19">
        <v>0</v>
      </c>
      <c r="I46" s="19">
        <v>0</v>
      </c>
      <c r="J46" s="19">
        <v>1225</v>
      </c>
      <c r="K46" s="19">
        <f t="shared" si="0"/>
        <v>2554</v>
      </c>
      <c r="L46" s="19">
        <v>1910.25</v>
      </c>
      <c r="M46" s="19">
        <v>24</v>
      </c>
      <c r="N46" s="20">
        <f t="shared" si="8"/>
        <v>37.42530612244898</v>
      </c>
      <c r="P46" s="6">
        <v>2616</v>
      </c>
      <c r="Q46" s="7">
        <f t="shared" si="1"/>
        <v>3204600</v>
      </c>
      <c r="R46" s="7">
        <f t="shared" si="2"/>
        <v>4997214</v>
      </c>
    </row>
    <row r="47" spans="1:18" ht="15.75" customHeight="1" x14ac:dyDescent="0.35">
      <c r="A47" s="4" t="s">
        <v>64</v>
      </c>
      <c r="B47" s="19" t="s">
        <v>19</v>
      </c>
      <c r="C47" s="19" t="s">
        <v>20</v>
      </c>
      <c r="D47" s="19">
        <v>10</v>
      </c>
      <c r="E47" s="19">
        <v>22814</v>
      </c>
      <c r="F47" s="19">
        <v>159825</v>
      </c>
      <c r="G47" s="19">
        <v>0</v>
      </c>
      <c r="H47" s="19">
        <v>0</v>
      </c>
      <c r="I47" s="19">
        <v>7500</v>
      </c>
      <c r="J47" s="19">
        <v>134625</v>
      </c>
      <c r="K47" s="19">
        <f t="shared" si="0"/>
        <v>40514</v>
      </c>
      <c r="L47" s="19">
        <v>22472.333333333303</v>
      </c>
      <c r="M47" s="19">
        <v>24</v>
      </c>
      <c r="N47" s="20">
        <f t="shared" si="8"/>
        <v>3.7948003518029854</v>
      </c>
      <c r="P47" s="6">
        <v>1968</v>
      </c>
      <c r="Q47" s="7">
        <f t="shared" si="1"/>
        <v>279702000</v>
      </c>
      <c r="R47" s="7">
        <f t="shared" si="2"/>
        <v>44225551.99999994</v>
      </c>
    </row>
    <row r="48" spans="1:18" ht="15.75" customHeight="1" x14ac:dyDescent="0.35">
      <c r="A48" s="4" t="s">
        <v>66</v>
      </c>
      <c r="B48" s="19" t="s">
        <v>19</v>
      </c>
      <c r="C48" s="19" t="s">
        <v>20</v>
      </c>
      <c r="D48" s="19">
        <v>10</v>
      </c>
      <c r="E48" s="19">
        <v>46140</v>
      </c>
      <c r="F48" s="19">
        <v>177500</v>
      </c>
      <c r="G48" s="19">
        <v>0</v>
      </c>
      <c r="H48" s="19">
        <v>0</v>
      </c>
      <c r="I48" s="19">
        <v>8750</v>
      </c>
      <c r="J48" s="19">
        <v>194072</v>
      </c>
      <c r="K48" s="19">
        <f t="shared" si="0"/>
        <v>20818</v>
      </c>
      <c r="L48" s="19">
        <v>35953.407407407401</v>
      </c>
      <c r="M48" s="19">
        <v>24</v>
      </c>
      <c r="N48" s="20">
        <f t="shared" si="8"/>
        <v>4.2543795928340007</v>
      </c>
      <c r="P48" s="6">
        <v>2503</v>
      </c>
      <c r="Q48" s="7">
        <f t="shared" si="1"/>
        <v>507663466</v>
      </c>
      <c r="R48" s="7">
        <f t="shared" si="2"/>
        <v>89991378.740740731</v>
      </c>
    </row>
    <row r="49" spans="1:18" ht="15.75" customHeight="1" x14ac:dyDescent="0.35">
      <c r="A49" s="4" t="s">
        <v>67</v>
      </c>
      <c r="B49" s="19" t="s">
        <v>19</v>
      </c>
      <c r="C49" s="19" t="s">
        <v>20</v>
      </c>
      <c r="D49" s="19">
        <v>10</v>
      </c>
      <c r="E49" s="19">
        <v>311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f t="shared" si="0"/>
        <v>311</v>
      </c>
      <c r="L49" s="19">
        <v>0</v>
      </c>
      <c r="M49" s="19">
        <v>24</v>
      </c>
      <c r="N49" s="20">
        <v>0</v>
      </c>
      <c r="P49" s="6">
        <v>2103</v>
      </c>
      <c r="Q49" s="7">
        <f t="shared" si="1"/>
        <v>0</v>
      </c>
      <c r="R49" s="7">
        <f t="shared" si="2"/>
        <v>0</v>
      </c>
    </row>
    <row r="50" spans="1:18" ht="15.75" customHeight="1" x14ac:dyDescent="0.35">
      <c r="A50" s="4" t="s">
        <v>68</v>
      </c>
      <c r="B50" s="19" t="s">
        <v>19</v>
      </c>
      <c r="C50" s="19" t="s">
        <v>20</v>
      </c>
      <c r="D50" s="19">
        <v>10</v>
      </c>
      <c r="E50" s="19">
        <v>12429</v>
      </c>
      <c r="F50" s="19">
        <v>24615</v>
      </c>
      <c r="G50" s="19">
        <v>0</v>
      </c>
      <c r="H50" s="19">
        <v>0</v>
      </c>
      <c r="I50" s="19">
        <v>0</v>
      </c>
      <c r="J50" s="19">
        <v>21420</v>
      </c>
      <c r="K50" s="19">
        <f t="shared" si="0"/>
        <v>15624</v>
      </c>
      <c r="L50" s="19">
        <v>7247.2142857142899</v>
      </c>
      <c r="M50" s="19">
        <v>24</v>
      </c>
      <c r="N50" s="20">
        <f t="shared" ref="N50:N63" si="9">(L50/(I50+J50))*M50</f>
        <v>8.1201280512204939</v>
      </c>
      <c r="P50" s="6">
        <v>2802</v>
      </c>
      <c r="Q50" s="7">
        <f t="shared" si="1"/>
        <v>60018840</v>
      </c>
      <c r="R50" s="7">
        <f t="shared" si="2"/>
        <v>20306694.42857144</v>
      </c>
    </row>
    <row r="51" spans="1:18" ht="15.75" customHeight="1" x14ac:dyDescent="0.35">
      <c r="A51" s="4" t="s">
        <v>194</v>
      </c>
      <c r="B51" s="19" t="s">
        <v>19</v>
      </c>
      <c r="C51" s="19" t="s">
        <v>20</v>
      </c>
      <c r="D51" s="19">
        <v>10</v>
      </c>
      <c r="E51" s="19">
        <v>7850</v>
      </c>
      <c r="F51" s="19">
        <v>5050</v>
      </c>
      <c r="G51" s="19">
        <v>0</v>
      </c>
      <c r="H51" s="19">
        <v>0</v>
      </c>
      <c r="I51" s="19">
        <v>0</v>
      </c>
      <c r="J51" s="19">
        <v>5375</v>
      </c>
      <c r="K51" s="19">
        <f t="shared" si="0"/>
        <v>7525</v>
      </c>
      <c r="L51" s="19">
        <v>8137.5</v>
      </c>
      <c r="M51" s="19">
        <v>24</v>
      </c>
      <c r="N51" s="20">
        <f t="shared" si="9"/>
        <v>36.334883720930236</v>
      </c>
      <c r="P51" s="6">
        <v>2103</v>
      </c>
      <c r="Q51" s="7">
        <f t="shared" si="1"/>
        <v>11303625</v>
      </c>
      <c r="R51" s="7">
        <f t="shared" si="2"/>
        <v>17113162.5</v>
      </c>
    </row>
    <row r="52" spans="1:18" ht="15.75" customHeight="1" x14ac:dyDescent="0.35">
      <c r="A52" s="4" t="s">
        <v>69</v>
      </c>
      <c r="B52" s="19" t="s">
        <v>19</v>
      </c>
      <c r="C52" s="19" t="s">
        <v>20</v>
      </c>
      <c r="D52" s="19">
        <v>10</v>
      </c>
      <c r="E52" s="19">
        <v>35000</v>
      </c>
      <c r="F52" s="19">
        <v>136250</v>
      </c>
      <c r="G52" s="19">
        <v>0</v>
      </c>
      <c r="H52" s="19">
        <v>0</v>
      </c>
      <c r="I52" s="19">
        <v>133750</v>
      </c>
      <c r="J52" s="19">
        <v>451</v>
      </c>
      <c r="K52" s="19">
        <f t="shared" si="0"/>
        <v>37049</v>
      </c>
      <c r="L52" s="19">
        <v>27574.8461538462</v>
      </c>
      <c r="M52" s="19">
        <v>24</v>
      </c>
      <c r="N52" s="20">
        <f t="shared" si="9"/>
        <v>4.9313813435988463</v>
      </c>
      <c r="P52" s="6">
        <v>2126</v>
      </c>
      <c r="Q52" s="7">
        <f t="shared" si="1"/>
        <v>285311326</v>
      </c>
      <c r="R52" s="7">
        <f t="shared" si="2"/>
        <v>58624122.923077017</v>
      </c>
    </row>
    <row r="53" spans="1:18" ht="15.75" customHeight="1" x14ac:dyDescent="0.35">
      <c r="A53" s="4" t="s">
        <v>70</v>
      </c>
      <c r="B53" s="19" t="s">
        <v>22</v>
      </c>
      <c r="C53" s="19" t="s">
        <v>20</v>
      </c>
      <c r="D53" s="19">
        <v>10</v>
      </c>
      <c r="E53" s="19">
        <v>31860</v>
      </c>
      <c r="F53" s="19">
        <v>124725</v>
      </c>
      <c r="G53" s="19">
        <v>0</v>
      </c>
      <c r="H53" s="19">
        <v>0</v>
      </c>
      <c r="I53" s="19">
        <v>94100</v>
      </c>
      <c r="J53" s="19">
        <v>43300</v>
      </c>
      <c r="K53" s="19">
        <f t="shared" si="0"/>
        <v>19185</v>
      </c>
      <c r="L53" s="19">
        <v>26806.428571428602</v>
      </c>
      <c r="M53" s="19">
        <v>24</v>
      </c>
      <c r="N53" s="20">
        <f t="shared" si="9"/>
        <v>4.6823456019962624</v>
      </c>
      <c r="P53" s="6">
        <v>2846</v>
      </c>
      <c r="Q53" s="7">
        <f t="shared" si="1"/>
        <v>391040400</v>
      </c>
      <c r="R53" s="7">
        <f t="shared" si="2"/>
        <v>76291095.714285806</v>
      </c>
    </row>
    <row r="54" spans="1:18" ht="15.75" customHeight="1" x14ac:dyDescent="0.35">
      <c r="A54" s="4" t="s">
        <v>189</v>
      </c>
      <c r="B54" s="19" t="s">
        <v>19</v>
      </c>
      <c r="C54" s="19" t="s">
        <v>20</v>
      </c>
      <c r="D54" s="19">
        <v>10</v>
      </c>
      <c r="E54" s="19">
        <v>18725</v>
      </c>
      <c r="F54" s="19">
        <v>1900</v>
      </c>
      <c r="G54" s="19">
        <v>0</v>
      </c>
      <c r="H54" s="19">
        <v>0</v>
      </c>
      <c r="I54" s="19">
        <v>18625</v>
      </c>
      <c r="J54" s="19">
        <v>100</v>
      </c>
      <c r="K54" s="19">
        <f t="shared" si="0"/>
        <v>1900</v>
      </c>
      <c r="L54" s="19">
        <v>7734.375</v>
      </c>
      <c r="M54" s="19">
        <v>24</v>
      </c>
      <c r="N54" s="20">
        <f t="shared" si="9"/>
        <v>9.9132176234979976</v>
      </c>
      <c r="P54" s="6">
        <v>2514</v>
      </c>
      <c r="Q54" s="7">
        <f t="shared" si="1"/>
        <v>47074650</v>
      </c>
      <c r="R54" s="7">
        <f t="shared" si="2"/>
        <v>19444218.75</v>
      </c>
    </row>
    <row r="55" spans="1:18" ht="15.75" customHeight="1" x14ac:dyDescent="0.35">
      <c r="A55" s="4" t="s">
        <v>72</v>
      </c>
      <c r="B55" s="19" t="s">
        <v>19</v>
      </c>
      <c r="C55" s="19" t="s">
        <v>20</v>
      </c>
      <c r="D55" s="19">
        <v>10</v>
      </c>
      <c r="E55" s="19">
        <v>10103</v>
      </c>
      <c r="F55" s="19">
        <v>15698</v>
      </c>
      <c r="G55" s="19">
        <v>0</v>
      </c>
      <c r="H55" s="19">
        <v>0</v>
      </c>
      <c r="I55" s="19">
        <v>25388</v>
      </c>
      <c r="J55" s="19">
        <v>0</v>
      </c>
      <c r="K55" s="19">
        <f t="shared" si="0"/>
        <v>413</v>
      </c>
      <c r="L55" s="19">
        <v>6996.125</v>
      </c>
      <c r="M55" s="19">
        <v>24</v>
      </c>
      <c r="N55" s="20">
        <f t="shared" si="9"/>
        <v>6.6136363636363633</v>
      </c>
      <c r="P55" s="6">
        <v>1956</v>
      </c>
      <c r="Q55" s="7">
        <f t="shared" si="1"/>
        <v>49658928</v>
      </c>
      <c r="R55" s="7">
        <f t="shared" si="2"/>
        <v>13684420.5</v>
      </c>
    </row>
    <row r="56" spans="1:18" ht="15.75" customHeight="1" x14ac:dyDescent="0.35">
      <c r="A56" s="4" t="s">
        <v>199</v>
      </c>
      <c r="B56" s="19" t="s">
        <v>19</v>
      </c>
      <c r="C56" s="19" t="s">
        <v>20</v>
      </c>
      <c r="D56" s="19">
        <v>10</v>
      </c>
      <c r="E56" s="19">
        <v>0</v>
      </c>
      <c r="F56" s="19">
        <v>34717</v>
      </c>
      <c r="G56" s="19">
        <v>0</v>
      </c>
      <c r="H56" s="19">
        <v>0</v>
      </c>
      <c r="I56" s="19">
        <v>22492</v>
      </c>
      <c r="J56" s="19">
        <v>0</v>
      </c>
      <c r="K56" s="19">
        <f t="shared" si="0"/>
        <v>12225</v>
      </c>
      <c r="L56" s="19">
        <v>14617.545454545501</v>
      </c>
      <c r="M56" s="19">
        <v>24</v>
      </c>
      <c r="N56" s="20">
        <f t="shared" si="9"/>
        <v>15.597594296153835</v>
      </c>
      <c r="P56" s="6">
        <v>2514</v>
      </c>
      <c r="Q56" s="7">
        <f t="shared" si="1"/>
        <v>56544888</v>
      </c>
      <c r="R56" s="7">
        <f t="shared" si="2"/>
        <v>36748509.272727393</v>
      </c>
    </row>
    <row r="57" spans="1:18" ht="15.75" customHeight="1" x14ac:dyDescent="0.35">
      <c r="A57" s="4" t="s">
        <v>73</v>
      </c>
      <c r="B57" s="19" t="s">
        <v>19</v>
      </c>
      <c r="C57" s="19" t="s">
        <v>20</v>
      </c>
      <c r="D57" s="19">
        <v>10</v>
      </c>
      <c r="E57" s="19">
        <v>16636</v>
      </c>
      <c r="F57" s="19">
        <v>41589</v>
      </c>
      <c r="G57" s="19">
        <v>0</v>
      </c>
      <c r="H57" s="19">
        <v>0</v>
      </c>
      <c r="I57" s="19">
        <v>0</v>
      </c>
      <c r="J57" s="19">
        <v>30907</v>
      </c>
      <c r="K57" s="19">
        <f t="shared" si="0"/>
        <v>27318</v>
      </c>
      <c r="L57" s="19">
        <v>29906</v>
      </c>
      <c r="M57" s="19">
        <v>24</v>
      </c>
      <c r="N57" s="20">
        <f t="shared" si="9"/>
        <v>23.222700359141943</v>
      </c>
      <c r="P57" s="6">
        <v>3391</v>
      </c>
      <c r="Q57" s="7">
        <f t="shared" si="1"/>
        <v>104805637</v>
      </c>
      <c r="R57" s="7">
        <f t="shared" si="2"/>
        <v>101411246</v>
      </c>
    </row>
    <row r="58" spans="1:18" ht="15.75" customHeight="1" x14ac:dyDescent="0.35">
      <c r="A58" s="4" t="s">
        <v>74</v>
      </c>
      <c r="B58" s="19" t="s">
        <v>19</v>
      </c>
      <c r="C58" s="19" t="s">
        <v>20</v>
      </c>
      <c r="D58" s="19">
        <v>10</v>
      </c>
      <c r="E58" s="19">
        <v>13675</v>
      </c>
      <c r="F58" s="19">
        <v>26783</v>
      </c>
      <c r="G58" s="19">
        <v>0</v>
      </c>
      <c r="H58" s="19">
        <v>0</v>
      </c>
      <c r="I58" s="19">
        <v>0</v>
      </c>
      <c r="J58" s="19">
        <v>13845</v>
      </c>
      <c r="K58" s="19">
        <f t="shared" si="0"/>
        <v>26613</v>
      </c>
      <c r="L58" s="19">
        <v>24697.0625</v>
      </c>
      <c r="M58" s="19">
        <v>24</v>
      </c>
      <c r="N58" s="20">
        <f t="shared" si="9"/>
        <v>42.811809317443121</v>
      </c>
      <c r="P58" s="6">
        <v>3549</v>
      </c>
      <c r="Q58" s="7">
        <f t="shared" si="1"/>
        <v>49135905</v>
      </c>
      <c r="R58" s="7">
        <f t="shared" si="2"/>
        <v>87649874.8125</v>
      </c>
    </row>
    <row r="59" spans="1:18" ht="15.75" customHeight="1" x14ac:dyDescent="0.35">
      <c r="A59" s="4" t="s">
        <v>75</v>
      </c>
      <c r="B59" s="19" t="s">
        <v>19</v>
      </c>
      <c r="C59" s="19" t="s">
        <v>20</v>
      </c>
      <c r="D59" s="19">
        <v>10</v>
      </c>
      <c r="E59" s="19">
        <v>21068</v>
      </c>
      <c r="F59" s="19">
        <v>70480</v>
      </c>
      <c r="G59" s="19">
        <v>0</v>
      </c>
      <c r="H59" s="19">
        <v>0</v>
      </c>
      <c r="I59" s="19">
        <v>40248</v>
      </c>
      <c r="J59" s="19">
        <v>0</v>
      </c>
      <c r="K59" s="19">
        <f t="shared" si="0"/>
        <v>51300</v>
      </c>
      <c r="L59" s="19">
        <v>30463.384615384603</v>
      </c>
      <c r="M59" s="19">
        <v>24</v>
      </c>
      <c r="N59" s="20">
        <f t="shared" si="9"/>
        <v>18.165405256639595</v>
      </c>
      <c r="P59" s="6">
        <v>2129</v>
      </c>
      <c r="Q59" s="7">
        <f t="shared" si="1"/>
        <v>85687992</v>
      </c>
      <c r="R59" s="7">
        <f t="shared" si="2"/>
        <v>64856545.846153818</v>
      </c>
    </row>
    <row r="60" spans="1:18" ht="15.75" customHeight="1" x14ac:dyDescent="0.35">
      <c r="A60" s="4" t="s">
        <v>76</v>
      </c>
      <c r="B60" s="19" t="s">
        <v>19</v>
      </c>
      <c r="C60" s="19" t="s">
        <v>20</v>
      </c>
      <c r="D60" s="19">
        <v>10</v>
      </c>
      <c r="E60" s="19">
        <v>2957</v>
      </c>
      <c r="F60" s="19">
        <v>28100</v>
      </c>
      <c r="G60" s="19">
        <v>0</v>
      </c>
      <c r="H60" s="19">
        <v>0</v>
      </c>
      <c r="I60" s="19">
        <v>17950</v>
      </c>
      <c r="J60" s="19">
        <v>0</v>
      </c>
      <c r="K60" s="19">
        <f t="shared" si="0"/>
        <v>13107</v>
      </c>
      <c r="L60" s="19">
        <v>6084.5</v>
      </c>
      <c r="M60" s="19">
        <v>24</v>
      </c>
      <c r="N60" s="20">
        <f t="shared" si="9"/>
        <v>8.1352646239554325</v>
      </c>
      <c r="P60" s="6">
        <v>2129</v>
      </c>
      <c r="Q60" s="7">
        <f t="shared" si="1"/>
        <v>38215550</v>
      </c>
      <c r="R60" s="7">
        <f t="shared" si="2"/>
        <v>12953900.5</v>
      </c>
    </row>
    <row r="61" spans="1:18" ht="15.75" customHeight="1" x14ac:dyDescent="0.35">
      <c r="A61" s="4" t="s">
        <v>77</v>
      </c>
      <c r="B61" s="19" t="s">
        <v>19</v>
      </c>
      <c r="C61" s="19" t="s">
        <v>20</v>
      </c>
      <c r="D61" s="19">
        <v>10</v>
      </c>
      <c r="E61" s="19">
        <v>1469</v>
      </c>
      <c r="F61" s="19">
        <v>0</v>
      </c>
      <c r="G61" s="19">
        <v>0</v>
      </c>
      <c r="H61" s="19">
        <v>0</v>
      </c>
      <c r="I61" s="19">
        <v>500</v>
      </c>
      <c r="J61" s="19">
        <v>0</v>
      </c>
      <c r="K61" s="19">
        <f t="shared" si="0"/>
        <v>969</v>
      </c>
      <c r="L61" s="19">
        <v>1069</v>
      </c>
      <c r="M61" s="19">
        <v>24</v>
      </c>
      <c r="N61" s="20">
        <f t="shared" si="9"/>
        <v>51.311999999999998</v>
      </c>
      <c r="P61" s="6">
        <v>2131</v>
      </c>
      <c r="Q61" s="7">
        <f t="shared" si="1"/>
        <v>1065500</v>
      </c>
      <c r="R61" s="7">
        <f t="shared" si="2"/>
        <v>2278039</v>
      </c>
    </row>
    <row r="62" spans="1:18" ht="15.75" customHeight="1" x14ac:dyDescent="0.35">
      <c r="A62" s="4" t="s">
        <v>78</v>
      </c>
      <c r="B62" s="19" t="s">
        <v>19</v>
      </c>
      <c r="C62" s="19" t="s">
        <v>20</v>
      </c>
      <c r="D62" s="19">
        <v>10</v>
      </c>
      <c r="E62" s="19">
        <v>3111</v>
      </c>
      <c r="F62" s="19">
        <v>5103</v>
      </c>
      <c r="G62" s="19">
        <v>0</v>
      </c>
      <c r="H62" s="19">
        <v>0</v>
      </c>
      <c r="I62" s="19">
        <v>5103</v>
      </c>
      <c r="J62" s="19">
        <v>0</v>
      </c>
      <c r="K62" s="19">
        <f t="shared" si="0"/>
        <v>3111</v>
      </c>
      <c r="L62" s="19">
        <v>5511.75</v>
      </c>
      <c r="M62" s="19">
        <v>24</v>
      </c>
      <c r="N62" s="20">
        <f t="shared" si="9"/>
        <v>25.922398589065256</v>
      </c>
      <c r="P62" s="6">
        <v>2131</v>
      </c>
      <c r="Q62" s="7">
        <f t="shared" si="1"/>
        <v>10874493</v>
      </c>
      <c r="R62" s="7">
        <f t="shared" si="2"/>
        <v>11745539.25</v>
      </c>
    </row>
    <row r="63" spans="1:18" ht="15.75" customHeight="1" x14ac:dyDescent="0.35">
      <c r="A63" s="4" t="s">
        <v>79</v>
      </c>
      <c r="B63" s="19" t="s">
        <v>19</v>
      </c>
      <c r="C63" s="19" t="s">
        <v>20</v>
      </c>
      <c r="D63" s="19">
        <v>10</v>
      </c>
      <c r="E63" s="19">
        <v>12987</v>
      </c>
      <c r="F63" s="19">
        <v>58981</v>
      </c>
      <c r="G63" s="19">
        <v>0</v>
      </c>
      <c r="H63" s="19">
        <v>0</v>
      </c>
      <c r="I63" s="19">
        <v>55136</v>
      </c>
      <c r="J63" s="19">
        <v>0</v>
      </c>
      <c r="K63" s="19">
        <f t="shared" si="0"/>
        <v>16832</v>
      </c>
      <c r="L63" s="19">
        <v>38789.473684210498</v>
      </c>
      <c r="M63" s="19">
        <v>24</v>
      </c>
      <c r="N63" s="20">
        <f t="shared" si="9"/>
        <v>16.884564865442758</v>
      </c>
      <c r="P63" s="6">
        <v>2245</v>
      </c>
      <c r="Q63" s="7">
        <f t="shared" si="1"/>
        <v>123780320</v>
      </c>
      <c r="R63" s="7">
        <f t="shared" si="2"/>
        <v>87082368.42105256</v>
      </c>
    </row>
    <row r="64" spans="1:18" ht="15.75" customHeight="1" x14ac:dyDescent="0.35">
      <c r="A64" s="4" t="s">
        <v>80</v>
      </c>
      <c r="B64" s="19" t="s">
        <v>19</v>
      </c>
      <c r="C64" s="19" t="s">
        <v>20</v>
      </c>
      <c r="D64" s="19">
        <v>10</v>
      </c>
      <c r="E64" s="19">
        <v>873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f t="shared" si="0"/>
        <v>873</v>
      </c>
      <c r="L64" s="19">
        <v>873</v>
      </c>
      <c r="M64" s="19">
        <v>24</v>
      </c>
      <c r="N64" s="20">
        <v>0</v>
      </c>
      <c r="P64" s="6">
        <v>2121</v>
      </c>
      <c r="Q64" s="7">
        <f t="shared" si="1"/>
        <v>0</v>
      </c>
      <c r="R64" s="7">
        <f t="shared" si="2"/>
        <v>1851633</v>
      </c>
    </row>
    <row r="65" spans="1:18" ht="15.75" customHeight="1" x14ac:dyDescent="0.35">
      <c r="A65" s="4" t="s">
        <v>195</v>
      </c>
      <c r="B65" s="19" t="s">
        <v>19</v>
      </c>
      <c r="C65" s="19" t="s">
        <v>20</v>
      </c>
      <c r="D65" s="19">
        <v>10</v>
      </c>
      <c r="E65" s="19">
        <v>16825</v>
      </c>
      <c r="F65" s="19">
        <v>38041</v>
      </c>
      <c r="G65" s="19">
        <v>0</v>
      </c>
      <c r="H65" s="19">
        <v>0</v>
      </c>
      <c r="I65" s="19">
        <v>37616</v>
      </c>
      <c r="J65" s="19">
        <v>0</v>
      </c>
      <c r="K65" s="19">
        <f t="shared" si="0"/>
        <v>17250</v>
      </c>
      <c r="L65" s="19">
        <v>31273.5</v>
      </c>
      <c r="M65" s="19">
        <v>24</v>
      </c>
      <c r="N65" s="20">
        <f t="shared" ref="N65:N78" si="10">(L65/(I65+J65))*M65</f>
        <v>19.953317737133133</v>
      </c>
      <c r="P65" s="6">
        <v>2121</v>
      </c>
      <c r="Q65" s="7">
        <f t="shared" si="1"/>
        <v>79783536</v>
      </c>
      <c r="R65" s="7">
        <f t="shared" si="2"/>
        <v>66331093.5</v>
      </c>
    </row>
    <row r="66" spans="1:18" ht="15.75" customHeight="1" x14ac:dyDescent="0.35">
      <c r="A66" s="4" t="s">
        <v>196</v>
      </c>
      <c r="B66" s="19" t="s">
        <v>19</v>
      </c>
      <c r="C66" s="19" t="s">
        <v>20</v>
      </c>
      <c r="D66" s="19">
        <v>10</v>
      </c>
      <c r="E66" s="19">
        <v>1050</v>
      </c>
      <c r="F66" s="19">
        <v>2100</v>
      </c>
      <c r="G66" s="19">
        <v>0</v>
      </c>
      <c r="H66" s="19">
        <v>0</v>
      </c>
      <c r="I66" s="19">
        <v>1050</v>
      </c>
      <c r="J66" s="19">
        <v>0</v>
      </c>
      <c r="K66" s="19">
        <f t="shared" si="0"/>
        <v>2100</v>
      </c>
      <c r="L66" s="19">
        <v>1050</v>
      </c>
      <c r="M66" s="19">
        <v>24</v>
      </c>
      <c r="N66" s="20">
        <f t="shared" si="10"/>
        <v>24</v>
      </c>
      <c r="P66" s="6">
        <v>2121</v>
      </c>
      <c r="Q66" s="7">
        <f t="shared" si="1"/>
        <v>2227050</v>
      </c>
      <c r="R66" s="7">
        <f t="shared" si="2"/>
        <v>2227050</v>
      </c>
    </row>
    <row r="67" spans="1:18" ht="15.75" customHeight="1" x14ac:dyDescent="0.35">
      <c r="A67" s="4" t="s">
        <v>82</v>
      </c>
      <c r="B67" s="19" t="s">
        <v>19</v>
      </c>
      <c r="C67" s="19" t="s">
        <v>20</v>
      </c>
      <c r="D67" s="19">
        <v>10</v>
      </c>
      <c r="E67" s="19">
        <v>530</v>
      </c>
      <c r="F67" s="19">
        <v>4700</v>
      </c>
      <c r="G67" s="19">
        <v>0</v>
      </c>
      <c r="H67" s="19">
        <v>0</v>
      </c>
      <c r="I67" s="19">
        <v>0</v>
      </c>
      <c r="J67" s="19">
        <v>2600</v>
      </c>
      <c r="K67" s="19">
        <f t="shared" si="0"/>
        <v>2630</v>
      </c>
      <c r="L67" s="19">
        <v>1380</v>
      </c>
      <c r="M67" s="19">
        <v>24</v>
      </c>
      <c r="N67" s="20">
        <f t="shared" si="10"/>
        <v>12.738461538461539</v>
      </c>
      <c r="P67" s="6">
        <v>4592</v>
      </c>
      <c r="Q67" s="7">
        <f t="shared" si="1"/>
        <v>11939200</v>
      </c>
      <c r="R67" s="7">
        <f t="shared" si="2"/>
        <v>6336960</v>
      </c>
    </row>
    <row r="68" spans="1:18" ht="15.75" customHeight="1" x14ac:dyDescent="0.35">
      <c r="A68" s="4" t="s">
        <v>83</v>
      </c>
      <c r="B68" s="19" t="s">
        <v>19</v>
      </c>
      <c r="C68" s="19" t="s">
        <v>20</v>
      </c>
      <c r="D68" s="19">
        <v>10</v>
      </c>
      <c r="E68" s="19">
        <v>2444</v>
      </c>
      <c r="F68" s="19">
        <v>19000</v>
      </c>
      <c r="G68" s="19">
        <v>0</v>
      </c>
      <c r="H68" s="19">
        <v>0</v>
      </c>
      <c r="I68" s="19">
        <v>0</v>
      </c>
      <c r="J68" s="19">
        <v>8625</v>
      </c>
      <c r="K68" s="19">
        <f t="shared" si="0"/>
        <v>12819</v>
      </c>
      <c r="L68" s="19">
        <v>10973.166666666701</v>
      </c>
      <c r="M68" s="19">
        <v>24</v>
      </c>
      <c r="N68" s="20">
        <f t="shared" si="10"/>
        <v>30.534028985507341</v>
      </c>
      <c r="P68" s="6">
        <v>2297</v>
      </c>
      <c r="Q68" s="7">
        <f t="shared" si="1"/>
        <v>19811625</v>
      </c>
      <c r="R68" s="7">
        <f t="shared" si="2"/>
        <v>25205363.83333341</v>
      </c>
    </row>
    <row r="69" spans="1:18" ht="15.75" customHeight="1" x14ac:dyDescent="0.35">
      <c r="A69" s="4" t="s">
        <v>84</v>
      </c>
      <c r="B69" s="19" t="s">
        <v>19</v>
      </c>
      <c r="C69" s="19" t="s">
        <v>20</v>
      </c>
      <c r="D69" s="19">
        <v>10</v>
      </c>
      <c r="E69" s="19">
        <v>850</v>
      </c>
      <c r="F69" s="19">
        <v>2400</v>
      </c>
      <c r="G69" s="19">
        <v>0</v>
      </c>
      <c r="H69" s="19">
        <v>0</v>
      </c>
      <c r="I69" s="19">
        <v>0</v>
      </c>
      <c r="J69" s="19">
        <v>656</v>
      </c>
      <c r="K69" s="19">
        <f t="shared" si="0"/>
        <v>2594</v>
      </c>
      <c r="L69" s="19">
        <v>1530.3333333333301</v>
      </c>
      <c r="M69" s="19">
        <v>24</v>
      </c>
      <c r="N69" s="20">
        <f t="shared" si="10"/>
        <v>55.987804878048657</v>
      </c>
      <c r="P69" s="6">
        <v>4592</v>
      </c>
      <c r="Q69" s="7">
        <f t="shared" si="1"/>
        <v>3012352</v>
      </c>
      <c r="R69" s="7">
        <f t="shared" si="2"/>
        <v>7027290.6666666521</v>
      </c>
    </row>
    <row r="70" spans="1:18" ht="15.75" customHeight="1" x14ac:dyDescent="0.35">
      <c r="A70" s="4" t="s">
        <v>85</v>
      </c>
      <c r="B70" s="19" t="s">
        <v>22</v>
      </c>
      <c r="C70" s="19" t="s">
        <v>20</v>
      </c>
      <c r="D70" s="19">
        <v>10</v>
      </c>
      <c r="E70" s="19">
        <v>3381</v>
      </c>
      <c r="F70" s="19">
        <v>138075</v>
      </c>
      <c r="G70" s="19">
        <v>0</v>
      </c>
      <c r="H70" s="19">
        <v>0</v>
      </c>
      <c r="I70" s="19">
        <v>0</v>
      </c>
      <c r="J70" s="19">
        <v>115615</v>
      </c>
      <c r="K70" s="19">
        <f t="shared" si="0"/>
        <v>25841</v>
      </c>
      <c r="L70" s="19">
        <v>19503.5</v>
      </c>
      <c r="M70" s="19">
        <v>24</v>
      </c>
      <c r="N70" s="20">
        <f t="shared" si="10"/>
        <v>4.0486442070665571</v>
      </c>
      <c r="P70" s="6">
        <v>1419</v>
      </c>
      <c r="Q70" s="7">
        <f t="shared" si="1"/>
        <v>164057685</v>
      </c>
      <c r="R70" s="7">
        <f t="shared" si="2"/>
        <v>27675466.5</v>
      </c>
    </row>
    <row r="71" spans="1:18" ht="15.75" customHeight="1" x14ac:dyDescent="0.35">
      <c r="A71" s="4" t="s">
        <v>86</v>
      </c>
      <c r="B71" s="19" t="s">
        <v>19</v>
      </c>
      <c r="C71" s="19" t="s">
        <v>20</v>
      </c>
      <c r="D71" s="19">
        <v>10</v>
      </c>
      <c r="E71" s="19">
        <v>2692</v>
      </c>
      <c r="F71" s="19">
        <v>0</v>
      </c>
      <c r="G71" s="19">
        <v>0</v>
      </c>
      <c r="H71" s="19">
        <v>0</v>
      </c>
      <c r="I71" s="19">
        <v>0</v>
      </c>
      <c r="J71" s="19">
        <v>750</v>
      </c>
      <c r="K71" s="19">
        <f t="shared" si="0"/>
        <v>1942</v>
      </c>
      <c r="L71" s="19">
        <v>1942</v>
      </c>
      <c r="M71" s="19">
        <v>24</v>
      </c>
      <c r="N71" s="20">
        <f t="shared" si="10"/>
        <v>62.143999999999998</v>
      </c>
      <c r="P71" s="6">
        <v>4592</v>
      </c>
      <c r="Q71" s="7">
        <f t="shared" si="1"/>
        <v>3444000</v>
      </c>
      <c r="R71" s="7">
        <f t="shared" si="2"/>
        <v>8917664</v>
      </c>
    </row>
    <row r="72" spans="1:18" ht="15.75" customHeight="1" x14ac:dyDescent="0.35">
      <c r="A72" s="4" t="s">
        <v>190</v>
      </c>
      <c r="B72" s="19" t="s">
        <v>19</v>
      </c>
      <c r="C72" s="19" t="s">
        <v>20</v>
      </c>
      <c r="D72" s="19">
        <v>10</v>
      </c>
      <c r="E72" s="19">
        <v>3025</v>
      </c>
      <c r="F72" s="19">
        <v>0</v>
      </c>
      <c r="G72" s="19">
        <v>0</v>
      </c>
      <c r="H72" s="19">
        <v>0</v>
      </c>
      <c r="I72" s="19">
        <v>0</v>
      </c>
      <c r="J72" s="19">
        <v>1825</v>
      </c>
      <c r="K72" s="19">
        <f t="shared" si="0"/>
        <v>1200</v>
      </c>
      <c r="L72" s="19">
        <v>1962.5</v>
      </c>
      <c r="M72" s="19">
        <v>24</v>
      </c>
      <c r="N72" s="20">
        <f t="shared" si="10"/>
        <v>25.808219178082194</v>
      </c>
      <c r="P72" s="6">
        <v>2103</v>
      </c>
      <c r="Q72" s="7">
        <f t="shared" si="1"/>
        <v>3837975</v>
      </c>
      <c r="R72" s="7">
        <f t="shared" si="2"/>
        <v>4127137.5</v>
      </c>
    </row>
    <row r="73" spans="1:18" ht="15.75" customHeight="1" x14ac:dyDescent="0.35">
      <c r="A73" s="4" t="s">
        <v>88</v>
      </c>
      <c r="B73" s="19" t="s">
        <v>19</v>
      </c>
      <c r="C73" s="19" t="s">
        <v>20</v>
      </c>
      <c r="D73" s="19">
        <v>10</v>
      </c>
      <c r="E73" s="19">
        <v>11500</v>
      </c>
      <c r="F73" s="19">
        <v>18820</v>
      </c>
      <c r="G73" s="19">
        <v>0</v>
      </c>
      <c r="H73" s="19">
        <v>0</v>
      </c>
      <c r="I73" s="19">
        <v>0</v>
      </c>
      <c r="J73" s="19">
        <v>13250</v>
      </c>
      <c r="K73" s="19">
        <f t="shared" si="0"/>
        <v>17070</v>
      </c>
      <c r="L73" s="19">
        <v>7927.2727272727298</v>
      </c>
      <c r="M73" s="19">
        <v>24</v>
      </c>
      <c r="N73" s="20">
        <f t="shared" si="10"/>
        <v>14.358833619210982</v>
      </c>
      <c r="P73" s="6">
        <v>2103</v>
      </c>
      <c r="Q73" s="7">
        <f t="shared" si="1"/>
        <v>27864750</v>
      </c>
      <c r="R73" s="7">
        <f t="shared" si="2"/>
        <v>16671054.545454551</v>
      </c>
    </row>
    <row r="74" spans="1:18" ht="15.75" customHeight="1" x14ac:dyDescent="0.35">
      <c r="A74" s="4" t="s">
        <v>89</v>
      </c>
      <c r="B74" s="19" t="s">
        <v>19</v>
      </c>
      <c r="C74" s="19" t="s">
        <v>20</v>
      </c>
      <c r="D74" s="19">
        <v>10</v>
      </c>
      <c r="E74" s="19">
        <v>2874</v>
      </c>
      <c r="F74" s="19">
        <v>2000</v>
      </c>
      <c r="G74" s="19">
        <v>0</v>
      </c>
      <c r="H74" s="19">
        <v>0</v>
      </c>
      <c r="I74" s="19">
        <v>0</v>
      </c>
      <c r="J74" s="19">
        <v>2600</v>
      </c>
      <c r="K74" s="19">
        <f t="shared" si="0"/>
        <v>2274</v>
      </c>
      <c r="L74" s="19">
        <v>2234</v>
      </c>
      <c r="M74" s="19">
        <v>24</v>
      </c>
      <c r="N74" s="20">
        <f t="shared" si="10"/>
        <v>20.621538461538464</v>
      </c>
      <c r="P74" s="6">
        <v>4592</v>
      </c>
      <c r="Q74" s="7">
        <f t="shared" si="1"/>
        <v>11939200</v>
      </c>
      <c r="R74" s="7">
        <f t="shared" si="2"/>
        <v>10258528</v>
      </c>
    </row>
    <row r="75" spans="1:18" ht="15.75" customHeight="1" x14ac:dyDescent="0.35">
      <c r="A75" s="4" t="s">
        <v>90</v>
      </c>
      <c r="B75" s="19" t="s">
        <v>19</v>
      </c>
      <c r="C75" s="19" t="s">
        <v>20</v>
      </c>
      <c r="D75" s="19">
        <v>10</v>
      </c>
      <c r="E75" s="19">
        <v>1512</v>
      </c>
      <c r="F75" s="19">
        <v>4045</v>
      </c>
      <c r="G75" s="19">
        <v>0</v>
      </c>
      <c r="H75" s="19">
        <v>0</v>
      </c>
      <c r="I75" s="19">
        <v>0</v>
      </c>
      <c r="J75" s="19">
        <v>2722</v>
      </c>
      <c r="K75" s="19">
        <f t="shared" si="0"/>
        <v>2835</v>
      </c>
      <c r="L75" s="19">
        <v>2275.4</v>
      </c>
      <c r="M75" s="19">
        <v>24</v>
      </c>
      <c r="N75" s="20">
        <f t="shared" si="10"/>
        <v>20.062307127112419</v>
      </c>
      <c r="P75" s="6">
        <v>2297</v>
      </c>
      <c r="Q75" s="7">
        <f t="shared" si="1"/>
        <v>6252434</v>
      </c>
      <c r="R75" s="7">
        <f t="shared" si="2"/>
        <v>5226593.8</v>
      </c>
    </row>
    <row r="76" spans="1:18" ht="15.75" customHeight="1" x14ac:dyDescent="0.35">
      <c r="A76" s="4" t="s">
        <v>91</v>
      </c>
      <c r="B76" s="19" t="s">
        <v>19</v>
      </c>
      <c r="C76" s="19" t="s">
        <v>20</v>
      </c>
      <c r="D76" s="19">
        <v>10</v>
      </c>
      <c r="E76" s="19">
        <v>1717</v>
      </c>
      <c r="F76" s="19">
        <v>1000</v>
      </c>
      <c r="G76" s="19">
        <v>0</v>
      </c>
      <c r="H76" s="19">
        <v>0</v>
      </c>
      <c r="I76" s="19">
        <v>0</v>
      </c>
      <c r="J76" s="19">
        <v>675</v>
      </c>
      <c r="K76" s="19">
        <f t="shared" si="0"/>
        <v>2042</v>
      </c>
      <c r="L76" s="19">
        <v>1592</v>
      </c>
      <c r="M76" s="19">
        <v>24</v>
      </c>
      <c r="N76" s="20">
        <f t="shared" si="10"/>
        <v>56.604444444444439</v>
      </c>
      <c r="P76" s="6">
        <v>2616</v>
      </c>
      <c r="Q76" s="7">
        <f t="shared" si="1"/>
        <v>1765800</v>
      </c>
      <c r="R76" s="7">
        <f t="shared" si="2"/>
        <v>4164672</v>
      </c>
    </row>
    <row r="77" spans="1:18" ht="15.75" customHeight="1" x14ac:dyDescent="0.35">
      <c r="A77" s="4" t="s">
        <v>92</v>
      </c>
      <c r="B77" s="19" t="s">
        <v>22</v>
      </c>
      <c r="C77" s="19" t="s">
        <v>20</v>
      </c>
      <c r="D77" s="19">
        <v>10</v>
      </c>
      <c r="E77" s="19">
        <v>13825</v>
      </c>
      <c r="F77" s="19">
        <v>98000</v>
      </c>
      <c r="G77" s="19">
        <v>0</v>
      </c>
      <c r="H77" s="19">
        <v>0</v>
      </c>
      <c r="I77" s="19">
        <v>0</v>
      </c>
      <c r="J77" s="19">
        <v>97267</v>
      </c>
      <c r="K77" s="19">
        <f t="shared" si="0"/>
        <v>14558</v>
      </c>
      <c r="L77" s="19">
        <v>11321.6111111111</v>
      </c>
      <c r="M77" s="19">
        <v>24</v>
      </c>
      <c r="N77" s="20">
        <f t="shared" si="10"/>
        <v>2.7935339495066818</v>
      </c>
      <c r="P77" s="6">
        <v>1419</v>
      </c>
      <c r="Q77" s="7">
        <f t="shared" si="1"/>
        <v>138021873</v>
      </c>
      <c r="R77" s="7">
        <f t="shared" si="2"/>
        <v>16065366.166666651</v>
      </c>
    </row>
    <row r="78" spans="1:18" ht="15.75" customHeight="1" x14ac:dyDescent="0.35">
      <c r="A78" s="4" t="s">
        <v>93</v>
      </c>
      <c r="B78" s="19" t="s">
        <v>19</v>
      </c>
      <c r="C78" s="19" t="s">
        <v>20</v>
      </c>
      <c r="D78" s="19">
        <v>10</v>
      </c>
      <c r="E78" s="19">
        <v>623</v>
      </c>
      <c r="F78" s="19">
        <v>1050</v>
      </c>
      <c r="G78" s="19">
        <v>0</v>
      </c>
      <c r="H78" s="19">
        <v>0</v>
      </c>
      <c r="I78" s="19">
        <v>0</v>
      </c>
      <c r="J78" s="19">
        <v>325</v>
      </c>
      <c r="K78" s="19">
        <f t="shared" si="0"/>
        <v>1348</v>
      </c>
      <c r="L78" s="19">
        <v>1481.3333333333301</v>
      </c>
      <c r="M78" s="19">
        <v>24</v>
      </c>
      <c r="N78" s="20">
        <f t="shared" si="10"/>
        <v>109.390769230769</v>
      </c>
      <c r="P78" s="6">
        <v>2616</v>
      </c>
      <c r="Q78" s="7">
        <f t="shared" si="1"/>
        <v>850200</v>
      </c>
      <c r="R78" s="7">
        <f t="shared" si="2"/>
        <v>3875167.9999999916</v>
      </c>
    </row>
    <row r="79" spans="1:18" ht="15.75" customHeight="1" x14ac:dyDescent="0.35">
      <c r="A79" s="4" t="s">
        <v>94</v>
      </c>
      <c r="B79" s="19" t="s">
        <v>19</v>
      </c>
      <c r="C79" s="19" t="s">
        <v>20</v>
      </c>
      <c r="D79" s="19">
        <v>10</v>
      </c>
      <c r="E79" s="19">
        <v>360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f t="shared" si="0"/>
        <v>360</v>
      </c>
      <c r="L79" s="19">
        <v>0</v>
      </c>
      <c r="M79" s="19">
        <v>24</v>
      </c>
      <c r="N79" s="20">
        <v>0</v>
      </c>
      <c r="P79" s="6">
        <v>7550</v>
      </c>
      <c r="Q79" s="7">
        <f t="shared" si="1"/>
        <v>0</v>
      </c>
      <c r="R79" s="7">
        <f t="shared" si="2"/>
        <v>0</v>
      </c>
    </row>
    <row r="80" spans="1:18" ht="15.75" customHeight="1" x14ac:dyDescent="0.35">
      <c r="A80" s="4" t="s">
        <v>95</v>
      </c>
      <c r="B80" s="19" t="s">
        <v>19</v>
      </c>
      <c r="C80" s="19" t="s">
        <v>20</v>
      </c>
      <c r="D80" s="19">
        <v>10</v>
      </c>
      <c r="E80" s="19">
        <v>11482</v>
      </c>
      <c r="F80" s="19">
        <v>35070</v>
      </c>
      <c r="G80" s="19">
        <v>0</v>
      </c>
      <c r="H80" s="19">
        <v>0</v>
      </c>
      <c r="I80" s="19">
        <v>35670</v>
      </c>
      <c r="J80" s="19">
        <v>0</v>
      </c>
      <c r="K80" s="19">
        <f t="shared" si="0"/>
        <v>10882</v>
      </c>
      <c r="L80" s="19">
        <v>15738.4285714286</v>
      </c>
      <c r="M80" s="19">
        <v>24</v>
      </c>
      <c r="N80" s="20">
        <f t="shared" ref="N80:N109" si="11">(L80/(I80+J80))*M80</f>
        <v>10.589354799951959</v>
      </c>
      <c r="P80" s="6">
        <v>7550</v>
      </c>
      <c r="Q80" s="7">
        <f t="shared" si="1"/>
        <v>269308500</v>
      </c>
      <c r="R80" s="7">
        <f t="shared" si="2"/>
        <v>118825135.71428593</v>
      </c>
    </row>
    <row r="81" spans="1:18" ht="15.75" customHeight="1" x14ac:dyDescent="0.35">
      <c r="A81" s="4" t="s">
        <v>96</v>
      </c>
      <c r="B81" s="19" t="s">
        <v>19</v>
      </c>
      <c r="C81" s="19" t="s">
        <v>20</v>
      </c>
      <c r="D81" s="19">
        <v>10</v>
      </c>
      <c r="E81" s="19">
        <v>1930</v>
      </c>
      <c r="F81" s="19">
        <v>3662</v>
      </c>
      <c r="G81" s="19">
        <v>0</v>
      </c>
      <c r="H81" s="19">
        <v>0</v>
      </c>
      <c r="I81" s="19">
        <v>0</v>
      </c>
      <c r="J81" s="19">
        <v>2180</v>
      </c>
      <c r="K81" s="19">
        <f t="shared" si="0"/>
        <v>3412</v>
      </c>
      <c r="L81" s="19">
        <v>2990.4</v>
      </c>
      <c r="M81" s="19">
        <v>24</v>
      </c>
      <c r="N81" s="20">
        <f t="shared" si="11"/>
        <v>32.921834862385325</v>
      </c>
      <c r="P81" s="6">
        <v>4592</v>
      </c>
      <c r="Q81" s="7">
        <f t="shared" si="1"/>
        <v>10010560</v>
      </c>
      <c r="R81" s="7">
        <f t="shared" si="2"/>
        <v>13731916.800000001</v>
      </c>
    </row>
    <row r="82" spans="1:18" ht="15.75" customHeight="1" x14ac:dyDescent="0.35">
      <c r="A82" s="4" t="s">
        <v>97</v>
      </c>
      <c r="B82" s="19" t="s">
        <v>19</v>
      </c>
      <c r="C82" s="19" t="s">
        <v>20</v>
      </c>
      <c r="D82" s="19">
        <v>10</v>
      </c>
      <c r="E82" s="19">
        <v>2002</v>
      </c>
      <c r="F82" s="19">
        <v>16182</v>
      </c>
      <c r="G82" s="19">
        <v>0</v>
      </c>
      <c r="H82" s="19">
        <v>0</v>
      </c>
      <c r="I82" s="19">
        <v>0</v>
      </c>
      <c r="J82" s="19">
        <v>11075</v>
      </c>
      <c r="K82" s="19">
        <f t="shared" si="0"/>
        <v>7109</v>
      </c>
      <c r="L82" s="19">
        <v>4824.6363636363603</v>
      </c>
      <c r="M82" s="19">
        <v>24</v>
      </c>
      <c r="N82" s="20">
        <f t="shared" si="11"/>
        <v>10.455193925713106</v>
      </c>
      <c r="P82" s="6">
        <v>2297</v>
      </c>
      <c r="Q82" s="7">
        <f t="shared" si="1"/>
        <v>25439275</v>
      </c>
      <c r="R82" s="7">
        <f t="shared" si="2"/>
        <v>11082189.727272719</v>
      </c>
    </row>
    <row r="83" spans="1:18" ht="15.75" customHeight="1" x14ac:dyDescent="0.35">
      <c r="A83" s="4" t="s">
        <v>98</v>
      </c>
      <c r="B83" s="19" t="s">
        <v>19</v>
      </c>
      <c r="C83" s="19" t="s">
        <v>20</v>
      </c>
      <c r="D83" s="19">
        <v>10</v>
      </c>
      <c r="E83" s="19">
        <v>425</v>
      </c>
      <c r="F83" s="19">
        <v>1000</v>
      </c>
      <c r="G83" s="19">
        <v>0</v>
      </c>
      <c r="H83" s="19">
        <v>0</v>
      </c>
      <c r="I83" s="19">
        <v>0</v>
      </c>
      <c r="J83" s="19">
        <v>825</v>
      </c>
      <c r="K83" s="19">
        <f t="shared" si="0"/>
        <v>600</v>
      </c>
      <c r="L83" s="19">
        <v>735</v>
      </c>
      <c r="M83" s="19">
        <v>24</v>
      </c>
      <c r="N83" s="20">
        <f t="shared" si="11"/>
        <v>21.381818181818183</v>
      </c>
      <c r="P83" s="6">
        <v>2616</v>
      </c>
      <c r="Q83" s="7">
        <f t="shared" si="1"/>
        <v>2158200</v>
      </c>
      <c r="R83" s="7">
        <f t="shared" si="2"/>
        <v>1922760</v>
      </c>
    </row>
    <row r="84" spans="1:18" ht="15.75" customHeight="1" x14ac:dyDescent="0.35">
      <c r="A84" s="4" t="s">
        <v>99</v>
      </c>
      <c r="B84" s="19" t="s">
        <v>22</v>
      </c>
      <c r="C84" s="19" t="s">
        <v>20</v>
      </c>
      <c r="D84" s="19">
        <v>10</v>
      </c>
      <c r="E84" s="19">
        <v>14990</v>
      </c>
      <c r="F84" s="19">
        <v>54500</v>
      </c>
      <c r="G84" s="19">
        <v>0</v>
      </c>
      <c r="H84" s="19">
        <v>0</v>
      </c>
      <c r="I84" s="19">
        <v>0</v>
      </c>
      <c r="J84" s="19">
        <v>54030</v>
      </c>
      <c r="K84" s="19">
        <f t="shared" si="0"/>
        <v>15460</v>
      </c>
      <c r="L84" s="19">
        <v>12139.347826087</v>
      </c>
      <c r="M84" s="19">
        <v>24</v>
      </c>
      <c r="N84" s="20">
        <f t="shared" si="11"/>
        <v>5.3922699949303716</v>
      </c>
      <c r="P84" s="6">
        <v>1419</v>
      </c>
      <c r="Q84" s="7">
        <f t="shared" si="1"/>
        <v>76668570</v>
      </c>
      <c r="R84" s="7">
        <f t="shared" si="2"/>
        <v>17225734.565217454</v>
      </c>
    </row>
    <row r="85" spans="1:18" ht="15.75" customHeight="1" x14ac:dyDescent="0.35">
      <c r="A85" s="4" t="s">
        <v>100</v>
      </c>
      <c r="B85" s="19" t="s">
        <v>19</v>
      </c>
      <c r="C85" s="19" t="s">
        <v>20</v>
      </c>
      <c r="D85" s="19">
        <v>10</v>
      </c>
      <c r="E85" s="19">
        <v>1311</v>
      </c>
      <c r="F85" s="19">
        <v>0</v>
      </c>
      <c r="G85" s="19">
        <v>0</v>
      </c>
      <c r="H85" s="19">
        <v>0</v>
      </c>
      <c r="I85" s="19">
        <v>0</v>
      </c>
      <c r="J85" s="19">
        <v>275</v>
      </c>
      <c r="K85" s="19">
        <f t="shared" si="0"/>
        <v>1036</v>
      </c>
      <c r="L85" s="19">
        <v>1073.5</v>
      </c>
      <c r="M85" s="19">
        <v>24</v>
      </c>
      <c r="N85" s="20">
        <f t="shared" si="11"/>
        <v>93.687272727272727</v>
      </c>
      <c r="P85" s="6">
        <v>2616</v>
      </c>
      <c r="Q85" s="7">
        <f t="shared" si="1"/>
        <v>719400</v>
      </c>
      <c r="R85" s="7">
        <f t="shared" si="2"/>
        <v>2808276</v>
      </c>
    </row>
    <row r="86" spans="1:18" ht="15.75" customHeight="1" x14ac:dyDescent="0.35">
      <c r="A86" s="4" t="s">
        <v>101</v>
      </c>
      <c r="B86" s="19" t="s">
        <v>19</v>
      </c>
      <c r="C86" s="19" t="s">
        <v>20</v>
      </c>
      <c r="D86" s="19">
        <v>10</v>
      </c>
      <c r="E86" s="19">
        <v>1525</v>
      </c>
      <c r="F86" s="19">
        <v>1008</v>
      </c>
      <c r="G86" s="19">
        <v>0</v>
      </c>
      <c r="H86" s="19">
        <v>0</v>
      </c>
      <c r="I86" s="19">
        <v>0</v>
      </c>
      <c r="J86" s="19">
        <v>1688</v>
      </c>
      <c r="K86" s="19">
        <f t="shared" si="0"/>
        <v>845</v>
      </c>
      <c r="L86" s="19">
        <v>1534.3333333333301</v>
      </c>
      <c r="M86" s="19">
        <v>24</v>
      </c>
      <c r="N86" s="20">
        <f t="shared" si="11"/>
        <v>21.815165876777204</v>
      </c>
      <c r="P86" s="6">
        <v>4592</v>
      </c>
      <c r="Q86" s="7">
        <f t="shared" si="1"/>
        <v>7751296</v>
      </c>
      <c r="R86" s="7">
        <f t="shared" si="2"/>
        <v>7045658.6666666521</v>
      </c>
    </row>
    <row r="87" spans="1:18" ht="15.75" customHeight="1" x14ac:dyDescent="0.35">
      <c r="A87" s="4" t="s">
        <v>102</v>
      </c>
      <c r="B87" s="19" t="s">
        <v>19</v>
      </c>
      <c r="C87" s="19" t="s">
        <v>20</v>
      </c>
      <c r="D87" s="19">
        <v>10</v>
      </c>
      <c r="E87" s="19">
        <v>14415</v>
      </c>
      <c r="F87" s="19">
        <v>0</v>
      </c>
      <c r="G87" s="19">
        <v>0</v>
      </c>
      <c r="H87" s="19">
        <v>0</v>
      </c>
      <c r="I87" s="19">
        <v>0</v>
      </c>
      <c r="J87" s="19">
        <v>3260</v>
      </c>
      <c r="K87" s="19">
        <f t="shared" si="0"/>
        <v>11155</v>
      </c>
      <c r="L87" s="19">
        <v>11788.333333333299</v>
      </c>
      <c r="M87" s="19">
        <v>24</v>
      </c>
      <c r="N87" s="20">
        <f t="shared" si="11"/>
        <v>86.785276073619386</v>
      </c>
      <c r="P87" s="6">
        <v>2297</v>
      </c>
      <c r="Q87" s="7">
        <f t="shared" si="1"/>
        <v>7488220</v>
      </c>
      <c r="R87" s="7">
        <f t="shared" si="2"/>
        <v>27077801.66666659</v>
      </c>
    </row>
    <row r="88" spans="1:18" ht="15.75" customHeight="1" x14ac:dyDescent="0.35">
      <c r="A88" s="4" t="s">
        <v>103</v>
      </c>
      <c r="B88" s="19" t="s">
        <v>19</v>
      </c>
      <c r="C88" s="19" t="s">
        <v>20</v>
      </c>
      <c r="D88" s="19">
        <v>10</v>
      </c>
      <c r="E88" s="19">
        <v>1375</v>
      </c>
      <c r="F88" s="19">
        <v>1050</v>
      </c>
      <c r="G88" s="19">
        <v>0</v>
      </c>
      <c r="H88" s="19">
        <v>0</v>
      </c>
      <c r="I88" s="19">
        <v>0</v>
      </c>
      <c r="J88" s="19">
        <v>500</v>
      </c>
      <c r="K88" s="19">
        <f t="shared" si="0"/>
        <v>1925</v>
      </c>
      <c r="L88" s="19">
        <v>1658.3333333333301</v>
      </c>
      <c r="M88" s="19">
        <v>24</v>
      </c>
      <c r="N88" s="20">
        <f t="shared" si="11"/>
        <v>79.599999999999852</v>
      </c>
      <c r="P88" s="6">
        <v>2616</v>
      </c>
      <c r="Q88" s="7">
        <f t="shared" si="1"/>
        <v>1308000</v>
      </c>
      <c r="R88" s="7">
        <f t="shared" si="2"/>
        <v>4338199.9999999916</v>
      </c>
    </row>
    <row r="89" spans="1:18" ht="15.75" customHeight="1" x14ac:dyDescent="0.35">
      <c r="A89" s="4" t="s">
        <v>104</v>
      </c>
      <c r="B89" s="19" t="s">
        <v>22</v>
      </c>
      <c r="C89" s="19" t="s">
        <v>20</v>
      </c>
      <c r="D89" s="19">
        <v>10</v>
      </c>
      <c r="E89" s="19">
        <v>7450</v>
      </c>
      <c r="F89" s="19">
        <v>90500</v>
      </c>
      <c r="G89" s="19">
        <v>0</v>
      </c>
      <c r="H89" s="19">
        <v>0</v>
      </c>
      <c r="I89" s="19">
        <v>0</v>
      </c>
      <c r="J89" s="19">
        <v>82005</v>
      </c>
      <c r="K89" s="19">
        <f t="shared" si="0"/>
        <v>15945</v>
      </c>
      <c r="L89" s="19">
        <v>12448.2692307692</v>
      </c>
      <c r="M89" s="19">
        <v>24</v>
      </c>
      <c r="N89" s="20">
        <f t="shared" si="11"/>
        <v>3.643173727680761</v>
      </c>
      <c r="P89" s="6">
        <v>1419</v>
      </c>
      <c r="Q89" s="7">
        <f t="shared" si="1"/>
        <v>116365095</v>
      </c>
      <c r="R89" s="7">
        <f t="shared" si="2"/>
        <v>17664094.038461495</v>
      </c>
    </row>
    <row r="90" spans="1:18" ht="15.75" customHeight="1" x14ac:dyDescent="0.35">
      <c r="A90" s="4" t="s">
        <v>105</v>
      </c>
      <c r="B90" s="19" t="s">
        <v>19</v>
      </c>
      <c r="C90" s="19" t="s">
        <v>20</v>
      </c>
      <c r="D90" s="19">
        <v>10</v>
      </c>
      <c r="E90" s="19">
        <v>739</v>
      </c>
      <c r="F90" s="19">
        <v>1050</v>
      </c>
      <c r="G90" s="19">
        <v>0</v>
      </c>
      <c r="H90" s="19">
        <v>0</v>
      </c>
      <c r="I90" s="19">
        <v>0</v>
      </c>
      <c r="J90" s="19">
        <v>600</v>
      </c>
      <c r="K90" s="19">
        <f t="shared" si="0"/>
        <v>1189</v>
      </c>
      <c r="L90" s="19">
        <v>664</v>
      </c>
      <c r="M90" s="19">
        <v>24</v>
      </c>
      <c r="N90" s="20">
        <f t="shared" si="11"/>
        <v>26.560000000000002</v>
      </c>
      <c r="P90" s="6">
        <v>1419</v>
      </c>
      <c r="Q90" s="7">
        <f t="shared" si="1"/>
        <v>851400</v>
      </c>
      <c r="R90" s="7">
        <f t="shared" si="2"/>
        <v>942216</v>
      </c>
    </row>
    <row r="91" spans="1:18" ht="15.75" customHeight="1" x14ac:dyDescent="0.35">
      <c r="A91" s="4" t="s">
        <v>106</v>
      </c>
      <c r="B91" s="19" t="s">
        <v>19</v>
      </c>
      <c r="C91" s="19" t="s">
        <v>20</v>
      </c>
      <c r="D91" s="19">
        <v>10</v>
      </c>
      <c r="E91" s="19">
        <v>14201</v>
      </c>
      <c r="F91" s="19">
        <v>42818</v>
      </c>
      <c r="G91" s="19">
        <v>0</v>
      </c>
      <c r="H91" s="19">
        <v>0</v>
      </c>
      <c r="I91" s="19">
        <v>6350</v>
      </c>
      <c r="J91" s="19">
        <v>39336</v>
      </c>
      <c r="K91" s="19">
        <f t="shared" si="0"/>
        <v>11333</v>
      </c>
      <c r="L91" s="19">
        <v>8154.7142857142899</v>
      </c>
      <c r="M91" s="19">
        <v>24</v>
      </c>
      <c r="N91" s="20">
        <f t="shared" si="11"/>
        <v>4.2838756480572373</v>
      </c>
      <c r="P91" s="6">
        <v>1968</v>
      </c>
      <c r="Q91" s="7">
        <f t="shared" si="1"/>
        <v>89910048</v>
      </c>
      <c r="R91" s="7">
        <f t="shared" si="2"/>
        <v>16048477.714285722</v>
      </c>
    </row>
    <row r="92" spans="1:18" ht="15.75" customHeight="1" x14ac:dyDescent="0.35">
      <c r="A92" s="4" t="s">
        <v>109</v>
      </c>
      <c r="B92" s="19" t="s">
        <v>19</v>
      </c>
      <c r="C92" s="19" t="s">
        <v>20</v>
      </c>
      <c r="D92" s="19">
        <v>10</v>
      </c>
      <c r="E92" s="19">
        <v>12355</v>
      </c>
      <c r="F92" s="19">
        <v>16785</v>
      </c>
      <c r="G92" s="19">
        <v>0</v>
      </c>
      <c r="H92" s="19">
        <v>0</v>
      </c>
      <c r="I92" s="19">
        <v>15535</v>
      </c>
      <c r="J92" s="19">
        <v>0</v>
      </c>
      <c r="K92" s="19">
        <f t="shared" si="0"/>
        <v>13605</v>
      </c>
      <c r="L92" s="19">
        <v>12723.6363636364</v>
      </c>
      <c r="M92" s="19">
        <v>24</v>
      </c>
      <c r="N92" s="20">
        <f t="shared" si="11"/>
        <v>19.65672820902952</v>
      </c>
      <c r="P92" s="6">
        <v>1968</v>
      </c>
      <c r="Q92" s="7">
        <f t="shared" si="1"/>
        <v>30572880</v>
      </c>
      <c r="R92" s="7">
        <f t="shared" si="2"/>
        <v>25040116.363636434</v>
      </c>
    </row>
    <row r="93" spans="1:18" ht="15.75" customHeight="1" x14ac:dyDescent="0.35">
      <c r="A93" s="4" t="s">
        <v>191</v>
      </c>
      <c r="B93" s="19" t="s">
        <v>19</v>
      </c>
      <c r="C93" s="19" t="s">
        <v>20</v>
      </c>
      <c r="D93" s="19">
        <v>10</v>
      </c>
      <c r="E93" s="19">
        <v>11240</v>
      </c>
      <c r="F93" s="19">
        <v>12732</v>
      </c>
      <c r="G93" s="19">
        <v>0</v>
      </c>
      <c r="H93" s="19">
        <v>0</v>
      </c>
      <c r="I93" s="19">
        <v>16644</v>
      </c>
      <c r="J93" s="19">
        <v>0</v>
      </c>
      <c r="K93" s="19">
        <f t="shared" si="0"/>
        <v>7328</v>
      </c>
      <c r="L93" s="19">
        <v>9210.6363636363603</v>
      </c>
      <c r="M93" s="19">
        <v>24</v>
      </c>
      <c r="N93" s="20">
        <f t="shared" si="11"/>
        <v>13.281379039129575</v>
      </c>
      <c r="P93" s="6">
        <v>2157</v>
      </c>
      <c r="Q93" s="7">
        <f t="shared" si="1"/>
        <v>35901108</v>
      </c>
      <c r="R93" s="7">
        <f t="shared" si="2"/>
        <v>19867342.636363629</v>
      </c>
    </row>
    <row r="94" spans="1:18" ht="15.75" customHeight="1" x14ac:dyDescent="0.35">
      <c r="A94" s="4" t="s">
        <v>111</v>
      </c>
      <c r="B94" s="19" t="s">
        <v>19</v>
      </c>
      <c r="C94" s="19" t="s">
        <v>20</v>
      </c>
      <c r="D94" s="19">
        <v>10</v>
      </c>
      <c r="E94" s="19">
        <v>4264</v>
      </c>
      <c r="F94" s="19">
        <v>14586</v>
      </c>
      <c r="G94" s="19">
        <v>0</v>
      </c>
      <c r="H94" s="19">
        <v>0</v>
      </c>
      <c r="I94" s="19">
        <v>0</v>
      </c>
      <c r="J94" s="19">
        <v>10910</v>
      </c>
      <c r="K94" s="19">
        <f t="shared" si="0"/>
        <v>7940</v>
      </c>
      <c r="L94" s="19">
        <v>3704.3</v>
      </c>
      <c r="M94" s="19">
        <v>24</v>
      </c>
      <c r="N94" s="20">
        <f t="shared" si="11"/>
        <v>8.1487809349220903</v>
      </c>
      <c r="P94" s="6">
        <v>2031</v>
      </c>
      <c r="Q94" s="7">
        <f t="shared" si="1"/>
        <v>22158210</v>
      </c>
      <c r="R94" s="7">
        <f t="shared" si="2"/>
        <v>7523433.3000000007</v>
      </c>
    </row>
    <row r="95" spans="1:18" ht="15.75" customHeight="1" x14ac:dyDescent="0.35">
      <c r="A95" s="4" t="s">
        <v>112</v>
      </c>
      <c r="B95" s="19" t="s">
        <v>19</v>
      </c>
      <c r="C95" s="19" t="s">
        <v>20</v>
      </c>
      <c r="D95" s="19">
        <v>10</v>
      </c>
      <c r="E95" s="19">
        <v>6990</v>
      </c>
      <c r="F95" s="19">
        <v>16350</v>
      </c>
      <c r="G95" s="19">
        <v>0</v>
      </c>
      <c r="H95" s="19">
        <v>0</v>
      </c>
      <c r="I95" s="19">
        <v>0</v>
      </c>
      <c r="J95" s="19">
        <v>9744</v>
      </c>
      <c r="K95" s="19">
        <f t="shared" si="0"/>
        <v>13596</v>
      </c>
      <c r="L95" s="19">
        <v>6981.7</v>
      </c>
      <c r="M95" s="19">
        <v>24</v>
      </c>
      <c r="N95" s="20">
        <f t="shared" si="11"/>
        <v>17.196305418719213</v>
      </c>
      <c r="P95" s="6">
        <v>2031</v>
      </c>
      <c r="Q95" s="7">
        <f t="shared" si="1"/>
        <v>19790064</v>
      </c>
      <c r="R95" s="7">
        <f t="shared" si="2"/>
        <v>14179832.699999999</v>
      </c>
    </row>
    <row r="96" spans="1:18" ht="15.75" customHeight="1" x14ac:dyDescent="0.35">
      <c r="A96" s="4" t="s">
        <v>113</v>
      </c>
      <c r="B96" s="19" t="s">
        <v>19</v>
      </c>
      <c r="C96" s="19" t="s">
        <v>20</v>
      </c>
      <c r="D96" s="19">
        <v>10</v>
      </c>
      <c r="E96" s="19">
        <v>575</v>
      </c>
      <c r="F96" s="19">
        <v>2075</v>
      </c>
      <c r="G96" s="19">
        <v>0</v>
      </c>
      <c r="H96" s="19">
        <v>0</v>
      </c>
      <c r="I96" s="19">
        <v>0</v>
      </c>
      <c r="J96" s="19">
        <v>1600</v>
      </c>
      <c r="K96" s="19">
        <f t="shared" si="0"/>
        <v>1050</v>
      </c>
      <c r="L96" s="19">
        <v>518.75</v>
      </c>
      <c r="M96" s="19">
        <v>24</v>
      </c>
      <c r="N96" s="20">
        <f t="shared" si="11"/>
        <v>7.78125</v>
      </c>
      <c r="P96" s="6">
        <v>2642</v>
      </c>
      <c r="Q96" s="7">
        <f t="shared" si="1"/>
        <v>4227200</v>
      </c>
      <c r="R96" s="7">
        <f t="shared" si="2"/>
        <v>1370537.5</v>
      </c>
    </row>
    <row r="97" spans="1:18" ht="15.75" customHeight="1" x14ac:dyDescent="0.35">
      <c r="A97" s="4" t="s">
        <v>114</v>
      </c>
      <c r="B97" s="19" t="s">
        <v>19</v>
      </c>
      <c r="C97" s="19" t="s">
        <v>20</v>
      </c>
      <c r="D97" s="19">
        <v>10</v>
      </c>
      <c r="E97" s="19">
        <v>2600</v>
      </c>
      <c r="F97" s="19">
        <v>1575</v>
      </c>
      <c r="G97" s="19">
        <v>0</v>
      </c>
      <c r="H97" s="19">
        <v>0</v>
      </c>
      <c r="I97" s="19">
        <v>0</v>
      </c>
      <c r="J97" s="19">
        <v>2925</v>
      </c>
      <c r="K97" s="19">
        <f t="shared" si="0"/>
        <v>1250</v>
      </c>
      <c r="L97" s="19">
        <v>2675</v>
      </c>
      <c r="M97" s="19">
        <v>24</v>
      </c>
      <c r="N97" s="20">
        <f t="shared" si="11"/>
        <v>21.948717948717949</v>
      </c>
      <c r="P97" s="6">
        <v>2642</v>
      </c>
      <c r="Q97" s="7">
        <f t="shared" si="1"/>
        <v>7727850</v>
      </c>
      <c r="R97" s="7">
        <f t="shared" si="2"/>
        <v>7067350</v>
      </c>
    </row>
    <row r="98" spans="1:18" ht="15.75" customHeight="1" x14ac:dyDescent="0.35">
      <c r="A98" s="4" t="s">
        <v>115</v>
      </c>
      <c r="B98" s="19" t="s">
        <v>19</v>
      </c>
      <c r="C98" s="19" t="s">
        <v>20</v>
      </c>
      <c r="D98" s="19">
        <v>10</v>
      </c>
      <c r="E98" s="19">
        <v>625</v>
      </c>
      <c r="F98" s="19">
        <v>0</v>
      </c>
      <c r="G98" s="19">
        <v>0</v>
      </c>
      <c r="H98" s="19">
        <v>0</v>
      </c>
      <c r="I98" s="19">
        <v>0</v>
      </c>
      <c r="J98" s="19">
        <v>175</v>
      </c>
      <c r="K98" s="19">
        <f t="shared" si="0"/>
        <v>450</v>
      </c>
      <c r="L98" s="19">
        <v>450</v>
      </c>
      <c r="M98" s="19">
        <v>24</v>
      </c>
      <c r="N98" s="20">
        <f t="shared" si="11"/>
        <v>61.714285714285722</v>
      </c>
      <c r="P98" s="6">
        <v>2488</v>
      </c>
      <c r="Q98" s="7">
        <f t="shared" si="1"/>
        <v>435400</v>
      </c>
      <c r="R98" s="7">
        <f t="shared" si="2"/>
        <v>1119600</v>
      </c>
    </row>
    <row r="99" spans="1:18" ht="15.75" customHeight="1" x14ac:dyDescent="0.35">
      <c r="A99" s="4" t="s">
        <v>116</v>
      </c>
      <c r="B99" s="19" t="s">
        <v>19</v>
      </c>
      <c r="C99" s="19" t="s">
        <v>20</v>
      </c>
      <c r="D99" s="19">
        <v>10</v>
      </c>
      <c r="E99" s="19">
        <v>0</v>
      </c>
      <c r="F99" s="19">
        <v>7050</v>
      </c>
      <c r="G99" s="19">
        <v>0</v>
      </c>
      <c r="H99" s="19">
        <v>0</v>
      </c>
      <c r="I99" s="19">
        <v>0</v>
      </c>
      <c r="J99" s="19">
        <v>2650</v>
      </c>
      <c r="K99" s="19">
        <f t="shared" si="0"/>
        <v>4400</v>
      </c>
      <c r="L99" s="19">
        <v>1796.42857142857</v>
      </c>
      <c r="M99" s="19">
        <v>24</v>
      </c>
      <c r="N99" s="20">
        <f t="shared" si="11"/>
        <v>16.269541778975729</v>
      </c>
      <c r="P99" s="6">
        <v>2431</v>
      </c>
      <c r="Q99" s="7">
        <f t="shared" si="1"/>
        <v>6442150</v>
      </c>
      <c r="R99" s="7">
        <f t="shared" si="2"/>
        <v>4367117.8571428536</v>
      </c>
    </row>
    <row r="100" spans="1:18" ht="15.75" customHeight="1" x14ac:dyDescent="0.35">
      <c r="A100" s="4" t="s">
        <v>117</v>
      </c>
      <c r="B100" s="19" t="s">
        <v>19</v>
      </c>
      <c r="C100" s="19" t="s">
        <v>20</v>
      </c>
      <c r="D100" s="19">
        <v>10</v>
      </c>
      <c r="E100" s="19">
        <v>6180</v>
      </c>
      <c r="F100" s="19">
        <v>1500</v>
      </c>
      <c r="G100" s="19">
        <v>0</v>
      </c>
      <c r="H100" s="19">
        <v>0</v>
      </c>
      <c r="I100" s="19">
        <v>0</v>
      </c>
      <c r="J100" s="19">
        <v>4370</v>
      </c>
      <c r="K100" s="19">
        <f t="shared" si="0"/>
        <v>3310</v>
      </c>
      <c r="L100" s="19">
        <v>4356.1666666666697</v>
      </c>
      <c r="M100" s="19">
        <v>24</v>
      </c>
      <c r="N100" s="20">
        <f t="shared" si="11"/>
        <v>23.92402745995425</v>
      </c>
      <c r="P100" s="6">
        <v>4592</v>
      </c>
      <c r="Q100" s="7">
        <f t="shared" si="1"/>
        <v>20067040</v>
      </c>
      <c r="R100" s="7">
        <f t="shared" si="2"/>
        <v>20003517.333333347</v>
      </c>
    </row>
    <row r="101" spans="1:18" ht="15.75" customHeight="1" x14ac:dyDescent="0.35">
      <c r="A101" s="4" t="s">
        <v>118</v>
      </c>
      <c r="B101" s="19" t="s">
        <v>19</v>
      </c>
      <c r="C101" s="19" t="s">
        <v>20</v>
      </c>
      <c r="D101" s="19">
        <v>10</v>
      </c>
      <c r="E101" s="19">
        <v>3075</v>
      </c>
      <c r="F101" s="19">
        <v>1000</v>
      </c>
      <c r="G101" s="19">
        <v>0</v>
      </c>
      <c r="H101" s="19">
        <v>0</v>
      </c>
      <c r="I101" s="19">
        <v>0</v>
      </c>
      <c r="J101" s="19">
        <v>1475</v>
      </c>
      <c r="K101" s="19">
        <f t="shared" si="0"/>
        <v>2600</v>
      </c>
      <c r="L101" s="19">
        <v>2525</v>
      </c>
      <c r="M101" s="19">
        <v>24</v>
      </c>
      <c r="N101" s="20">
        <f t="shared" si="11"/>
        <v>41.084745762711869</v>
      </c>
      <c r="P101" s="6">
        <v>2297</v>
      </c>
      <c r="Q101" s="7">
        <f t="shared" si="1"/>
        <v>3388075</v>
      </c>
      <c r="R101" s="7">
        <f t="shared" si="2"/>
        <v>5799925</v>
      </c>
    </row>
    <row r="102" spans="1:18" ht="15.75" customHeight="1" x14ac:dyDescent="0.35">
      <c r="A102" s="4" t="s">
        <v>119</v>
      </c>
      <c r="B102" s="19" t="s">
        <v>19</v>
      </c>
      <c r="C102" s="19" t="s">
        <v>20</v>
      </c>
      <c r="D102" s="19">
        <v>10</v>
      </c>
      <c r="E102" s="19">
        <v>1100</v>
      </c>
      <c r="F102" s="19">
        <v>1500</v>
      </c>
      <c r="G102" s="19">
        <v>0</v>
      </c>
      <c r="H102" s="19">
        <v>0</v>
      </c>
      <c r="I102" s="19">
        <v>0</v>
      </c>
      <c r="J102" s="19">
        <v>575</v>
      </c>
      <c r="K102" s="19">
        <f t="shared" si="0"/>
        <v>2025</v>
      </c>
      <c r="L102" s="19">
        <v>1275</v>
      </c>
      <c r="M102" s="19">
        <v>24</v>
      </c>
      <c r="N102" s="20">
        <f t="shared" si="11"/>
        <v>53.217391304347828</v>
      </c>
      <c r="P102" s="6">
        <v>2616</v>
      </c>
      <c r="Q102" s="7">
        <f t="shared" si="1"/>
        <v>1504200</v>
      </c>
      <c r="R102" s="7">
        <f t="shared" si="2"/>
        <v>3335400</v>
      </c>
    </row>
    <row r="103" spans="1:18" ht="15.75" customHeight="1" x14ac:dyDescent="0.35">
      <c r="A103" s="4" t="s">
        <v>120</v>
      </c>
      <c r="B103" s="19" t="s">
        <v>19</v>
      </c>
      <c r="C103" s="19" t="s">
        <v>20</v>
      </c>
      <c r="D103" s="19">
        <v>10</v>
      </c>
      <c r="E103" s="19">
        <v>8259</v>
      </c>
      <c r="F103" s="19">
        <v>10219</v>
      </c>
      <c r="G103" s="19">
        <v>0</v>
      </c>
      <c r="H103" s="19">
        <v>0</v>
      </c>
      <c r="I103" s="19">
        <v>0</v>
      </c>
      <c r="J103" s="19">
        <v>14249</v>
      </c>
      <c r="K103" s="19">
        <f t="shared" si="0"/>
        <v>4229</v>
      </c>
      <c r="L103" s="19">
        <v>7405.8571428571404</v>
      </c>
      <c r="M103" s="19">
        <v>24</v>
      </c>
      <c r="N103" s="20">
        <f t="shared" si="11"/>
        <v>12.473897917648351</v>
      </c>
      <c r="P103" s="6">
        <v>1419</v>
      </c>
      <c r="Q103" s="7">
        <f t="shared" si="1"/>
        <v>20219331</v>
      </c>
      <c r="R103" s="7">
        <f t="shared" si="2"/>
        <v>10508911.285714282</v>
      </c>
    </row>
    <row r="104" spans="1:18" ht="15.75" customHeight="1" x14ac:dyDescent="0.35">
      <c r="A104" s="4" t="s">
        <v>121</v>
      </c>
      <c r="B104" s="19" t="s">
        <v>19</v>
      </c>
      <c r="C104" s="19" t="s">
        <v>20</v>
      </c>
      <c r="D104" s="19">
        <v>10</v>
      </c>
      <c r="E104" s="19">
        <v>950</v>
      </c>
      <c r="F104" s="19">
        <v>1035</v>
      </c>
      <c r="G104" s="19">
        <v>0</v>
      </c>
      <c r="H104" s="19">
        <v>0</v>
      </c>
      <c r="I104" s="19">
        <v>0</v>
      </c>
      <c r="J104" s="19">
        <v>425</v>
      </c>
      <c r="K104" s="19">
        <f t="shared" si="0"/>
        <v>1560</v>
      </c>
      <c r="L104" s="19">
        <v>1578</v>
      </c>
      <c r="M104" s="19">
        <v>24</v>
      </c>
      <c r="N104" s="20">
        <f t="shared" si="11"/>
        <v>89.110588235294117</v>
      </c>
      <c r="P104" s="6">
        <v>2616</v>
      </c>
      <c r="Q104" s="7">
        <f t="shared" si="1"/>
        <v>1111800</v>
      </c>
      <c r="R104" s="7">
        <f t="shared" si="2"/>
        <v>4128048</v>
      </c>
    </row>
    <row r="105" spans="1:18" ht="15.75" customHeight="1" x14ac:dyDescent="0.35">
      <c r="A105" s="4" t="s">
        <v>122</v>
      </c>
      <c r="B105" s="19" t="s">
        <v>19</v>
      </c>
      <c r="C105" s="19" t="s">
        <v>20</v>
      </c>
      <c r="D105" s="19">
        <v>10</v>
      </c>
      <c r="E105" s="19">
        <v>5770</v>
      </c>
      <c r="F105" s="19">
        <v>9050</v>
      </c>
      <c r="G105" s="19">
        <v>0</v>
      </c>
      <c r="H105" s="19">
        <v>0</v>
      </c>
      <c r="I105" s="19">
        <v>7256</v>
      </c>
      <c r="J105" s="19">
        <v>0</v>
      </c>
      <c r="K105" s="19">
        <f t="shared" si="0"/>
        <v>7564</v>
      </c>
      <c r="L105" s="19">
        <v>10894.142857142899</v>
      </c>
      <c r="M105" s="19">
        <v>24</v>
      </c>
      <c r="N105" s="20">
        <f t="shared" si="11"/>
        <v>36.033548590329318</v>
      </c>
      <c r="P105" s="6">
        <v>2246</v>
      </c>
      <c r="Q105" s="7">
        <f t="shared" si="1"/>
        <v>16296976</v>
      </c>
      <c r="R105" s="7">
        <f t="shared" si="2"/>
        <v>24468244.857142951</v>
      </c>
    </row>
    <row r="106" spans="1:18" ht="15.75" customHeight="1" x14ac:dyDescent="0.35">
      <c r="A106" s="4" t="s">
        <v>123</v>
      </c>
      <c r="B106" s="19" t="s">
        <v>19</v>
      </c>
      <c r="C106" s="19" t="s">
        <v>20</v>
      </c>
      <c r="D106" s="19">
        <v>10</v>
      </c>
      <c r="E106" s="19">
        <v>5691</v>
      </c>
      <c r="F106" s="19">
        <v>7098</v>
      </c>
      <c r="G106" s="19">
        <v>0</v>
      </c>
      <c r="H106" s="19">
        <v>0</v>
      </c>
      <c r="I106" s="19">
        <v>7700</v>
      </c>
      <c r="J106" s="19">
        <v>0</v>
      </c>
      <c r="K106" s="19">
        <f t="shared" si="0"/>
        <v>5089</v>
      </c>
      <c r="L106" s="19">
        <v>6858.5</v>
      </c>
      <c r="M106" s="19">
        <v>24</v>
      </c>
      <c r="N106" s="20">
        <f t="shared" si="11"/>
        <v>21.377142857142857</v>
      </c>
      <c r="P106" s="6">
        <v>2355</v>
      </c>
      <c r="Q106" s="7">
        <f t="shared" si="1"/>
        <v>18133500</v>
      </c>
      <c r="R106" s="7">
        <f t="shared" si="2"/>
        <v>16151767.5</v>
      </c>
    </row>
    <row r="107" spans="1:18" ht="15.75" customHeight="1" x14ac:dyDescent="0.35">
      <c r="A107" s="4" t="s">
        <v>124</v>
      </c>
      <c r="B107" s="19" t="s">
        <v>19</v>
      </c>
      <c r="C107" s="19" t="s">
        <v>20</v>
      </c>
      <c r="D107" s="19">
        <v>10</v>
      </c>
      <c r="E107" s="19">
        <v>1275</v>
      </c>
      <c r="F107" s="19">
        <v>16448</v>
      </c>
      <c r="G107" s="19">
        <v>0</v>
      </c>
      <c r="H107" s="19">
        <v>0</v>
      </c>
      <c r="I107" s="19">
        <v>0</v>
      </c>
      <c r="J107" s="19">
        <v>6282</v>
      </c>
      <c r="K107" s="19">
        <f t="shared" si="0"/>
        <v>11441</v>
      </c>
      <c r="L107" s="19">
        <v>6194.375</v>
      </c>
      <c r="M107" s="19">
        <v>24</v>
      </c>
      <c r="N107" s="20">
        <f t="shared" si="11"/>
        <v>23.665234001910221</v>
      </c>
      <c r="P107" s="6">
        <v>2031</v>
      </c>
      <c r="Q107" s="7">
        <f t="shared" si="1"/>
        <v>12758742</v>
      </c>
      <c r="R107" s="7">
        <f t="shared" si="2"/>
        <v>12580775.625</v>
      </c>
    </row>
    <row r="108" spans="1:18" ht="15.75" customHeight="1" x14ac:dyDescent="0.35">
      <c r="A108" s="4" t="s">
        <v>125</v>
      </c>
      <c r="B108" s="19" t="s">
        <v>19</v>
      </c>
      <c r="C108" s="19" t="s">
        <v>20</v>
      </c>
      <c r="D108" s="19">
        <v>10</v>
      </c>
      <c r="E108" s="19">
        <v>2325</v>
      </c>
      <c r="F108" s="19">
        <v>5000</v>
      </c>
      <c r="G108" s="19">
        <v>0</v>
      </c>
      <c r="H108" s="19">
        <v>0</v>
      </c>
      <c r="I108" s="19">
        <v>5400</v>
      </c>
      <c r="J108" s="19">
        <v>0</v>
      </c>
      <c r="K108" s="19">
        <f t="shared" si="0"/>
        <v>1925</v>
      </c>
      <c r="L108" s="19">
        <v>3553.5714285714303</v>
      </c>
      <c r="M108" s="19">
        <v>24</v>
      </c>
      <c r="N108" s="20">
        <f t="shared" si="11"/>
        <v>15.793650793650801</v>
      </c>
      <c r="P108" s="6">
        <v>2108</v>
      </c>
      <c r="Q108" s="7">
        <f t="shared" si="1"/>
        <v>11383200</v>
      </c>
      <c r="R108" s="7">
        <f t="shared" si="2"/>
        <v>7490928.5714285746</v>
      </c>
    </row>
    <row r="109" spans="1:18" ht="15.75" customHeight="1" x14ac:dyDescent="0.35">
      <c r="A109" s="4" t="s">
        <v>126</v>
      </c>
      <c r="B109" s="19" t="s">
        <v>19</v>
      </c>
      <c r="C109" s="19" t="s">
        <v>20</v>
      </c>
      <c r="D109" s="19">
        <v>10</v>
      </c>
      <c r="E109" s="19">
        <v>1500</v>
      </c>
      <c r="F109" s="19">
        <v>2000</v>
      </c>
      <c r="G109" s="19">
        <v>0</v>
      </c>
      <c r="H109" s="19">
        <v>0</v>
      </c>
      <c r="I109" s="19">
        <v>2400</v>
      </c>
      <c r="J109" s="19">
        <v>0</v>
      </c>
      <c r="K109" s="19">
        <f t="shared" si="0"/>
        <v>1100</v>
      </c>
      <c r="L109" s="19">
        <v>1140</v>
      </c>
      <c r="M109" s="19">
        <v>24</v>
      </c>
      <c r="N109" s="20">
        <f t="shared" si="11"/>
        <v>11.399999999999999</v>
      </c>
      <c r="P109" s="6">
        <v>2173</v>
      </c>
      <c r="Q109" s="7">
        <f t="shared" si="1"/>
        <v>5215200</v>
      </c>
      <c r="R109" s="7">
        <f t="shared" si="2"/>
        <v>2477220</v>
      </c>
    </row>
    <row r="110" spans="1:18" ht="15.75" customHeight="1" x14ac:dyDescent="0.35">
      <c r="A110" s="4" t="s">
        <v>128</v>
      </c>
      <c r="B110" s="19" t="s">
        <v>19</v>
      </c>
      <c r="C110" s="19" t="s">
        <v>20</v>
      </c>
      <c r="D110" s="19">
        <v>10</v>
      </c>
      <c r="E110" s="19">
        <v>175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f t="shared" si="0"/>
        <v>175</v>
      </c>
      <c r="L110" s="19">
        <v>0</v>
      </c>
      <c r="M110" s="19">
        <v>24</v>
      </c>
      <c r="N110" s="20">
        <v>0</v>
      </c>
      <c r="P110" s="6">
        <v>1993</v>
      </c>
      <c r="Q110" s="7">
        <f t="shared" si="1"/>
        <v>0</v>
      </c>
      <c r="R110" s="7">
        <f t="shared" si="2"/>
        <v>0</v>
      </c>
    </row>
    <row r="111" spans="1:18" ht="15.75" customHeight="1" x14ac:dyDescent="0.35">
      <c r="A111" s="4" t="s">
        <v>129</v>
      </c>
      <c r="B111" s="19" t="s">
        <v>19</v>
      </c>
      <c r="C111" s="19" t="s">
        <v>20</v>
      </c>
      <c r="D111" s="19">
        <v>10</v>
      </c>
      <c r="E111" s="19">
        <v>505</v>
      </c>
      <c r="F111" s="19">
        <v>0</v>
      </c>
      <c r="G111" s="19">
        <v>0</v>
      </c>
      <c r="H111" s="19">
        <v>0</v>
      </c>
      <c r="I111" s="19">
        <v>0</v>
      </c>
      <c r="J111" s="19">
        <v>445</v>
      </c>
      <c r="K111" s="19">
        <f t="shared" si="0"/>
        <v>60</v>
      </c>
      <c r="L111" s="19">
        <v>60</v>
      </c>
      <c r="M111" s="19">
        <v>24</v>
      </c>
      <c r="N111" s="20">
        <f t="shared" ref="N111:N116" si="12">(L111/(I111+J111))*M111</f>
        <v>3.2359550561797752</v>
      </c>
      <c r="P111" s="6">
        <v>2205</v>
      </c>
      <c r="Q111" s="7">
        <f t="shared" si="1"/>
        <v>981225</v>
      </c>
      <c r="R111" s="7">
        <f t="shared" si="2"/>
        <v>132300</v>
      </c>
    </row>
    <row r="112" spans="1:18" ht="15.75" customHeight="1" x14ac:dyDescent="0.35">
      <c r="A112" s="4" t="s">
        <v>130</v>
      </c>
      <c r="B112" s="19" t="s">
        <v>19</v>
      </c>
      <c r="C112" s="19" t="s">
        <v>20</v>
      </c>
      <c r="D112" s="19">
        <v>10</v>
      </c>
      <c r="E112" s="19">
        <v>1575</v>
      </c>
      <c r="F112" s="19">
        <v>9813</v>
      </c>
      <c r="G112" s="19">
        <v>0</v>
      </c>
      <c r="H112" s="19">
        <v>0</v>
      </c>
      <c r="I112" s="19">
        <v>7813</v>
      </c>
      <c r="J112" s="19">
        <v>0</v>
      </c>
      <c r="K112" s="19">
        <f t="shared" si="0"/>
        <v>3575</v>
      </c>
      <c r="L112" s="19">
        <v>2160.5</v>
      </c>
      <c r="M112" s="19">
        <v>24</v>
      </c>
      <c r="N112" s="20">
        <f t="shared" si="12"/>
        <v>6.6366312555996423</v>
      </c>
      <c r="P112" s="6">
        <v>2503</v>
      </c>
      <c r="Q112" s="7">
        <f t="shared" si="1"/>
        <v>19555939</v>
      </c>
      <c r="R112" s="7">
        <f t="shared" si="2"/>
        <v>5407731.5</v>
      </c>
    </row>
    <row r="113" spans="1:18" ht="15.75" customHeight="1" x14ac:dyDescent="0.35">
      <c r="A113" s="4" t="s">
        <v>131</v>
      </c>
      <c r="B113" s="19" t="s">
        <v>19</v>
      </c>
      <c r="C113" s="19" t="s">
        <v>20</v>
      </c>
      <c r="D113" s="19">
        <v>10</v>
      </c>
      <c r="E113" s="19">
        <v>7150</v>
      </c>
      <c r="F113" s="19">
        <v>0</v>
      </c>
      <c r="G113" s="19">
        <v>0</v>
      </c>
      <c r="H113" s="19">
        <v>0</v>
      </c>
      <c r="I113" s="19">
        <v>4000</v>
      </c>
      <c r="J113" s="19">
        <v>0</v>
      </c>
      <c r="K113" s="19">
        <f t="shared" si="0"/>
        <v>3150</v>
      </c>
      <c r="L113" s="19">
        <v>3775</v>
      </c>
      <c r="M113" s="19">
        <v>24</v>
      </c>
      <c r="N113" s="20">
        <f t="shared" si="12"/>
        <v>22.65</v>
      </c>
      <c r="P113" s="6">
        <v>2355</v>
      </c>
      <c r="Q113" s="7">
        <f t="shared" si="1"/>
        <v>9420000</v>
      </c>
      <c r="R113" s="7">
        <f t="shared" si="2"/>
        <v>8890125</v>
      </c>
    </row>
    <row r="114" spans="1:18" ht="15.75" customHeight="1" x14ac:dyDescent="0.35">
      <c r="A114" s="4" t="s">
        <v>132</v>
      </c>
      <c r="B114" s="19" t="s">
        <v>19</v>
      </c>
      <c r="C114" s="19" t="s">
        <v>20</v>
      </c>
      <c r="D114" s="19">
        <v>10</v>
      </c>
      <c r="E114" s="19">
        <v>1045</v>
      </c>
      <c r="F114" s="19">
        <v>3110</v>
      </c>
      <c r="G114" s="19">
        <v>0</v>
      </c>
      <c r="H114" s="19">
        <v>0</v>
      </c>
      <c r="I114" s="19">
        <v>2101</v>
      </c>
      <c r="J114" s="19">
        <v>0</v>
      </c>
      <c r="K114" s="19">
        <f t="shared" si="0"/>
        <v>2054</v>
      </c>
      <c r="L114" s="19">
        <v>792.5</v>
      </c>
      <c r="M114" s="19">
        <v>24</v>
      </c>
      <c r="N114" s="20">
        <f t="shared" si="12"/>
        <v>9.0528319847691581</v>
      </c>
      <c r="P114" s="6">
        <v>2216</v>
      </c>
      <c r="Q114" s="7">
        <f t="shared" si="1"/>
        <v>4655816</v>
      </c>
      <c r="R114" s="7">
        <f t="shared" si="2"/>
        <v>1756180</v>
      </c>
    </row>
    <row r="115" spans="1:18" ht="15.75" customHeight="1" x14ac:dyDescent="0.35">
      <c r="A115" s="4" t="s">
        <v>133</v>
      </c>
      <c r="B115" s="19" t="s">
        <v>19</v>
      </c>
      <c r="C115" s="19" t="s">
        <v>20</v>
      </c>
      <c r="D115" s="19">
        <v>10</v>
      </c>
      <c r="E115" s="19">
        <v>2750</v>
      </c>
      <c r="F115" s="19">
        <v>2100</v>
      </c>
      <c r="G115" s="19">
        <v>0</v>
      </c>
      <c r="H115" s="19">
        <v>0</v>
      </c>
      <c r="I115" s="19">
        <v>1575</v>
      </c>
      <c r="J115" s="19">
        <v>0</v>
      </c>
      <c r="K115" s="19">
        <f t="shared" si="0"/>
        <v>3275</v>
      </c>
      <c r="L115" s="19">
        <v>4062.5</v>
      </c>
      <c r="M115" s="19">
        <v>24</v>
      </c>
      <c r="N115" s="20">
        <f t="shared" si="12"/>
        <v>61.904761904761912</v>
      </c>
      <c r="P115" s="6">
        <v>1968</v>
      </c>
      <c r="Q115" s="7">
        <f t="shared" si="1"/>
        <v>3099600</v>
      </c>
      <c r="R115" s="7">
        <f t="shared" si="2"/>
        <v>7995000</v>
      </c>
    </row>
    <row r="116" spans="1:18" ht="15.75" customHeight="1" x14ac:dyDescent="0.35">
      <c r="A116" s="4" t="s">
        <v>192</v>
      </c>
      <c r="B116" s="19" t="s">
        <v>19</v>
      </c>
      <c r="C116" s="19" t="s">
        <v>20</v>
      </c>
      <c r="D116" s="19">
        <v>10</v>
      </c>
      <c r="E116" s="19">
        <v>1250</v>
      </c>
      <c r="F116" s="19">
        <v>6000</v>
      </c>
      <c r="G116" s="19">
        <v>0</v>
      </c>
      <c r="H116" s="19">
        <v>0</v>
      </c>
      <c r="I116" s="19">
        <v>0</v>
      </c>
      <c r="J116" s="19">
        <v>1700</v>
      </c>
      <c r="K116" s="19">
        <f t="shared" si="0"/>
        <v>5550</v>
      </c>
      <c r="L116" s="19">
        <v>4166.6666666666697</v>
      </c>
      <c r="M116" s="19">
        <v>24</v>
      </c>
      <c r="N116" s="20">
        <f t="shared" si="12"/>
        <v>58.823529411764753</v>
      </c>
      <c r="P116" s="6">
        <v>2297</v>
      </c>
      <c r="Q116" s="7">
        <f t="shared" si="1"/>
        <v>3904900</v>
      </c>
      <c r="R116" s="7">
        <f t="shared" si="2"/>
        <v>9570833.3333333395</v>
      </c>
    </row>
    <row r="117" spans="1:18" ht="15.75" customHeight="1" x14ac:dyDescent="0.35">
      <c r="A117" s="4" t="s">
        <v>193</v>
      </c>
      <c r="B117" s="19" t="s">
        <v>19</v>
      </c>
      <c r="C117" s="19" t="s">
        <v>20</v>
      </c>
      <c r="D117" s="19">
        <v>10</v>
      </c>
      <c r="E117" s="19">
        <v>1500</v>
      </c>
      <c r="F117" s="19">
        <v>1000</v>
      </c>
      <c r="G117" s="19">
        <v>0</v>
      </c>
      <c r="H117" s="19">
        <v>0</v>
      </c>
      <c r="I117" s="19">
        <v>0</v>
      </c>
      <c r="J117" s="19">
        <v>0</v>
      </c>
      <c r="K117" s="19">
        <f t="shared" si="0"/>
        <v>2500</v>
      </c>
      <c r="L117" s="19">
        <v>2000</v>
      </c>
      <c r="M117" s="19">
        <v>24</v>
      </c>
      <c r="N117" s="20">
        <v>0</v>
      </c>
      <c r="P117" s="6">
        <v>2616</v>
      </c>
      <c r="Q117" s="7">
        <f t="shared" si="1"/>
        <v>0</v>
      </c>
      <c r="R117" s="7">
        <f t="shared" si="2"/>
        <v>5232000</v>
      </c>
    </row>
    <row r="118" spans="1:18" ht="15.75" customHeight="1" x14ac:dyDescent="0.35">
      <c r="A118" s="4" t="s">
        <v>137</v>
      </c>
      <c r="B118" s="19" t="s">
        <v>19</v>
      </c>
      <c r="C118" s="19" t="s">
        <v>20</v>
      </c>
      <c r="D118" s="19">
        <v>10</v>
      </c>
      <c r="E118" s="19">
        <v>4696</v>
      </c>
      <c r="F118" s="19">
        <v>0</v>
      </c>
      <c r="G118" s="19">
        <v>0</v>
      </c>
      <c r="H118" s="19">
        <v>0</v>
      </c>
      <c r="I118" s="19">
        <v>2367</v>
      </c>
      <c r="J118" s="19">
        <v>0</v>
      </c>
      <c r="K118" s="19">
        <f t="shared" si="0"/>
        <v>2329</v>
      </c>
      <c r="L118" s="19">
        <v>2729</v>
      </c>
      <c r="M118" s="19">
        <v>24</v>
      </c>
      <c r="N118" s="20">
        <f>(L118/(I118+J118))*M118</f>
        <v>27.670468948035492</v>
      </c>
      <c r="P118" s="6">
        <v>2355</v>
      </c>
      <c r="Q118" s="7">
        <f t="shared" si="1"/>
        <v>5574285</v>
      </c>
      <c r="R118" s="7">
        <f t="shared" si="2"/>
        <v>6426795</v>
      </c>
    </row>
    <row r="119" spans="1:18" ht="15.75" customHeight="1" x14ac:dyDescent="0.35">
      <c r="A119" s="4" t="s">
        <v>138</v>
      </c>
      <c r="B119" s="19" t="s">
        <v>19</v>
      </c>
      <c r="C119" s="19" t="s">
        <v>20</v>
      </c>
      <c r="D119" s="19">
        <v>10</v>
      </c>
      <c r="E119" s="19">
        <v>900</v>
      </c>
      <c r="F119" s="19">
        <v>1000</v>
      </c>
      <c r="G119" s="19">
        <v>0</v>
      </c>
      <c r="H119" s="19">
        <v>0</v>
      </c>
      <c r="I119" s="19">
        <v>0</v>
      </c>
      <c r="J119" s="19">
        <v>0</v>
      </c>
      <c r="K119" s="19">
        <f t="shared" si="0"/>
        <v>1900</v>
      </c>
      <c r="L119" s="19">
        <v>1900</v>
      </c>
      <c r="M119" s="19">
        <v>24</v>
      </c>
      <c r="N119" s="20">
        <v>0</v>
      </c>
      <c r="P119" s="6">
        <v>2372</v>
      </c>
      <c r="Q119" s="7">
        <f t="shared" si="1"/>
        <v>0</v>
      </c>
      <c r="R119" s="7">
        <f t="shared" si="2"/>
        <v>4506800</v>
      </c>
    </row>
    <row r="120" spans="1:18" ht="15.75" customHeight="1" x14ac:dyDescent="0.35">
      <c r="A120" s="4" t="s">
        <v>139</v>
      </c>
      <c r="B120" s="19" t="s">
        <v>19</v>
      </c>
      <c r="C120" s="19" t="s">
        <v>20</v>
      </c>
      <c r="D120" s="19">
        <v>10</v>
      </c>
      <c r="E120" s="19">
        <v>1000</v>
      </c>
      <c r="F120" s="19">
        <v>1000</v>
      </c>
      <c r="G120" s="19">
        <v>0</v>
      </c>
      <c r="H120" s="19">
        <v>0</v>
      </c>
      <c r="I120" s="19">
        <v>0</v>
      </c>
      <c r="J120" s="19">
        <v>0</v>
      </c>
      <c r="K120" s="19">
        <f t="shared" si="0"/>
        <v>2000</v>
      </c>
      <c r="L120" s="19">
        <v>2000</v>
      </c>
      <c r="M120" s="19">
        <v>24</v>
      </c>
      <c r="N120" s="20">
        <v>0</v>
      </c>
      <c r="P120" s="6">
        <v>3482</v>
      </c>
      <c r="Q120" s="7">
        <f t="shared" si="1"/>
        <v>0</v>
      </c>
      <c r="R120" s="7">
        <f t="shared" si="2"/>
        <v>6964000</v>
      </c>
    </row>
    <row r="121" spans="1:18" ht="15.75" customHeight="1" x14ac:dyDescent="0.35">
      <c r="A121" s="4" t="s">
        <v>140</v>
      </c>
      <c r="B121" s="19" t="s">
        <v>19</v>
      </c>
      <c r="C121" s="19" t="s">
        <v>20</v>
      </c>
      <c r="D121" s="19">
        <v>10</v>
      </c>
      <c r="E121" s="19">
        <v>1750</v>
      </c>
      <c r="F121" s="19">
        <v>1050</v>
      </c>
      <c r="G121" s="19">
        <v>0</v>
      </c>
      <c r="H121" s="19">
        <v>0</v>
      </c>
      <c r="I121" s="19">
        <v>0</v>
      </c>
      <c r="J121" s="19">
        <v>0</v>
      </c>
      <c r="K121" s="19">
        <f t="shared" si="0"/>
        <v>2800</v>
      </c>
      <c r="L121" s="19">
        <v>2800</v>
      </c>
      <c r="M121" s="19">
        <v>24</v>
      </c>
      <c r="N121" s="20">
        <v>0</v>
      </c>
      <c r="P121" s="6">
        <v>2555</v>
      </c>
      <c r="Q121" s="7">
        <f t="shared" si="1"/>
        <v>0</v>
      </c>
      <c r="R121" s="7">
        <f t="shared" si="2"/>
        <v>7154000</v>
      </c>
    </row>
    <row r="122" spans="1:18" ht="15.75" customHeight="1" x14ac:dyDescent="0.35">
      <c r="A122" s="4" t="s">
        <v>141</v>
      </c>
      <c r="B122" s="19" t="s">
        <v>19</v>
      </c>
      <c r="C122" s="19" t="s">
        <v>20</v>
      </c>
      <c r="D122" s="19">
        <v>10</v>
      </c>
      <c r="E122" s="19">
        <v>1625</v>
      </c>
      <c r="F122" s="19">
        <v>1014</v>
      </c>
      <c r="G122" s="19">
        <v>0</v>
      </c>
      <c r="H122" s="19">
        <v>0</v>
      </c>
      <c r="I122" s="19">
        <v>750</v>
      </c>
      <c r="J122" s="19">
        <v>0</v>
      </c>
      <c r="K122" s="19">
        <f t="shared" si="0"/>
        <v>1889</v>
      </c>
      <c r="L122" s="19">
        <v>1753.4</v>
      </c>
      <c r="M122" s="19">
        <v>24</v>
      </c>
      <c r="N122" s="20">
        <f t="shared" ref="N122:N129" si="13">(L122/(I122+J122))*M122</f>
        <v>56.108800000000002</v>
      </c>
      <c r="P122" s="6">
        <v>3665</v>
      </c>
      <c r="Q122" s="7">
        <f t="shared" si="1"/>
        <v>2748750</v>
      </c>
      <c r="R122" s="7">
        <f t="shared" si="2"/>
        <v>6426211</v>
      </c>
    </row>
    <row r="123" spans="1:18" ht="15.75" customHeight="1" x14ac:dyDescent="0.35">
      <c r="A123" s="4" t="s">
        <v>142</v>
      </c>
      <c r="B123" s="19" t="s">
        <v>19</v>
      </c>
      <c r="C123" s="19" t="s">
        <v>20</v>
      </c>
      <c r="D123" s="19">
        <v>10</v>
      </c>
      <c r="E123" s="19">
        <v>2650</v>
      </c>
      <c r="F123" s="19">
        <v>1522</v>
      </c>
      <c r="G123" s="19">
        <v>0</v>
      </c>
      <c r="H123" s="19">
        <v>0</v>
      </c>
      <c r="I123" s="19">
        <v>2650</v>
      </c>
      <c r="J123" s="19">
        <v>0</v>
      </c>
      <c r="K123" s="19">
        <f t="shared" si="0"/>
        <v>1522</v>
      </c>
      <c r="L123" s="19">
        <v>1440.6666666666702</v>
      </c>
      <c r="M123" s="19">
        <v>24</v>
      </c>
      <c r="N123" s="20">
        <f t="shared" si="13"/>
        <v>13.047547169811352</v>
      </c>
      <c r="P123" s="6">
        <v>1904</v>
      </c>
      <c r="Q123" s="7">
        <f t="shared" si="1"/>
        <v>5045600</v>
      </c>
      <c r="R123" s="7">
        <f t="shared" si="2"/>
        <v>2743029.33333334</v>
      </c>
    </row>
    <row r="124" spans="1:18" ht="15.75" customHeight="1" x14ac:dyDescent="0.35">
      <c r="A124" s="4" t="s">
        <v>143</v>
      </c>
      <c r="B124" s="19" t="s">
        <v>19</v>
      </c>
      <c r="C124" s="19" t="s">
        <v>20</v>
      </c>
      <c r="D124" s="19">
        <v>10</v>
      </c>
      <c r="E124" s="19">
        <v>4900</v>
      </c>
      <c r="F124" s="19">
        <v>0</v>
      </c>
      <c r="G124" s="19">
        <v>0</v>
      </c>
      <c r="H124" s="19">
        <v>0</v>
      </c>
      <c r="I124" s="19">
        <v>0</v>
      </c>
      <c r="J124" s="19">
        <v>1500</v>
      </c>
      <c r="K124" s="19">
        <f t="shared" si="0"/>
        <v>3400</v>
      </c>
      <c r="L124" s="19">
        <v>3400</v>
      </c>
      <c r="M124" s="19">
        <v>24</v>
      </c>
      <c r="N124" s="20">
        <f t="shared" si="13"/>
        <v>54.4</v>
      </c>
      <c r="P124" s="6">
        <v>994</v>
      </c>
      <c r="Q124" s="7">
        <f t="shared" si="1"/>
        <v>1491000</v>
      </c>
      <c r="R124" s="7">
        <f t="shared" si="2"/>
        <v>3379600</v>
      </c>
    </row>
    <row r="125" spans="1:18" ht="15.75" customHeight="1" x14ac:dyDescent="0.35">
      <c r="A125" s="4" t="s">
        <v>144</v>
      </c>
      <c r="B125" s="19" t="s">
        <v>19</v>
      </c>
      <c r="C125" s="19" t="s">
        <v>20</v>
      </c>
      <c r="D125" s="19">
        <v>10</v>
      </c>
      <c r="E125" s="19">
        <v>2875</v>
      </c>
      <c r="F125" s="19">
        <v>0</v>
      </c>
      <c r="G125" s="19">
        <v>0</v>
      </c>
      <c r="H125" s="19">
        <v>0</v>
      </c>
      <c r="I125" s="19">
        <v>0</v>
      </c>
      <c r="J125" s="19">
        <v>2450</v>
      </c>
      <c r="K125" s="19">
        <f t="shared" si="0"/>
        <v>425</v>
      </c>
      <c r="L125" s="19">
        <v>1400</v>
      </c>
      <c r="M125" s="19">
        <v>24</v>
      </c>
      <c r="N125" s="20">
        <f t="shared" si="13"/>
        <v>13.714285714285714</v>
      </c>
      <c r="P125" s="6">
        <v>994</v>
      </c>
      <c r="Q125" s="7">
        <f t="shared" si="1"/>
        <v>2435300</v>
      </c>
      <c r="R125" s="7">
        <f t="shared" si="2"/>
        <v>1391600</v>
      </c>
    </row>
    <row r="126" spans="1:18" ht="15.75" customHeight="1" x14ac:dyDescent="0.35">
      <c r="A126" s="4" t="s">
        <v>145</v>
      </c>
      <c r="B126" s="19" t="s">
        <v>19</v>
      </c>
      <c r="C126" s="19" t="s">
        <v>20</v>
      </c>
      <c r="D126" s="19">
        <v>10</v>
      </c>
      <c r="E126" s="19">
        <v>1295</v>
      </c>
      <c r="F126" s="19">
        <v>1050</v>
      </c>
      <c r="G126" s="19">
        <v>0</v>
      </c>
      <c r="H126" s="19">
        <v>0</v>
      </c>
      <c r="I126" s="19">
        <v>0</v>
      </c>
      <c r="J126" s="19">
        <v>400</v>
      </c>
      <c r="K126" s="19">
        <f t="shared" si="0"/>
        <v>1945</v>
      </c>
      <c r="L126" s="19">
        <v>2145</v>
      </c>
      <c r="M126" s="19">
        <v>24</v>
      </c>
      <c r="N126" s="20">
        <f t="shared" si="13"/>
        <v>128.69999999999999</v>
      </c>
      <c r="P126" s="6">
        <v>3489</v>
      </c>
      <c r="Q126" s="7">
        <f t="shared" si="1"/>
        <v>1395600</v>
      </c>
      <c r="R126" s="7">
        <f t="shared" si="2"/>
        <v>7483905</v>
      </c>
    </row>
    <row r="127" spans="1:18" ht="15.75" customHeight="1" x14ac:dyDescent="0.35">
      <c r="A127" s="4" t="s">
        <v>175</v>
      </c>
      <c r="B127" s="19" t="s">
        <v>19</v>
      </c>
      <c r="C127" s="19" t="s">
        <v>20</v>
      </c>
      <c r="D127" s="19">
        <v>10</v>
      </c>
      <c r="E127" s="19">
        <v>1175</v>
      </c>
      <c r="F127" s="19">
        <v>0</v>
      </c>
      <c r="G127" s="19">
        <v>0</v>
      </c>
      <c r="H127" s="19">
        <v>0</v>
      </c>
      <c r="I127" s="19">
        <v>325</v>
      </c>
      <c r="J127" s="19">
        <v>0</v>
      </c>
      <c r="K127" s="19">
        <f t="shared" si="0"/>
        <v>850</v>
      </c>
      <c r="L127" s="19">
        <v>968.75</v>
      </c>
      <c r="M127" s="19">
        <v>24</v>
      </c>
      <c r="N127" s="20">
        <f t="shared" si="13"/>
        <v>71.538461538461547</v>
      </c>
      <c r="P127" s="6">
        <v>3162</v>
      </c>
      <c r="Q127" s="7">
        <f t="shared" si="1"/>
        <v>1027650</v>
      </c>
      <c r="R127" s="7">
        <f t="shared" si="2"/>
        <v>3063187.5</v>
      </c>
    </row>
    <row r="128" spans="1:18" ht="15.75" customHeight="1" x14ac:dyDescent="0.35">
      <c r="A128" s="4" t="s">
        <v>176</v>
      </c>
      <c r="B128" s="19" t="s">
        <v>19</v>
      </c>
      <c r="C128" s="19" t="s">
        <v>20</v>
      </c>
      <c r="D128" s="19">
        <v>10</v>
      </c>
      <c r="E128" s="19">
        <v>1400</v>
      </c>
      <c r="F128" s="19">
        <v>4013</v>
      </c>
      <c r="G128" s="19">
        <v>0</v>
      </c>
      <c r="H128" s="19">
        <v>0</v>
      </c>
      <c r="I128" s="19">
        <v>3850</v>
      </c>
      <c r="J128" s="19">
        <v>0</v>
      </c>
      <c r="K128" s="19">
        <f t="shared" si="0"/>
        <v>1563</v>
      </c>
      <c r="L128" s="19">
        <v>1980.8888888888903</v>
      </c>
      <c r="M128" s="19">
        <v>24</v>
      </c>
      <c r="N128" s="20">
        <f t="shared" si="13"/>
        <v>12.348398268398277</v>
      </c>
      <c r="P128" s="6">
        <v>3567</v>
      </c>
      <c r="Q128" s="7">
        <f t="shared" si="1"/>
        <v>13732950</v>
      </c>
      <c r="R128" s="7">
        <f t="shared" si="2"/>
        <v>7065830.6666666716</v>
      </c>
    </row>
    <row r="129" spans="1:18" ht="15.75" customHeight="1" x14ac:dyDescent="0.35">
      <c r="A129" s="4" t="s">
        <v>177</v>
      </c>
      <c r="B129" s="19" t="s">
        <v>19</v>
      </c>
      <c r="C129" s="19" t="s">
        <v>20</v>
      </c>
      <c r="D129" s="19">
        <v>10</v>
      </c>
      <c r="E129" s="19">
        <v>650</v>
      </c>
      <c r="F129" s="19">
        <v>0</v>
      </c>
      <c r="G129" s="19">
        <v>0</v>
      </c>
      <c r="H129" s="19">
        <v>0</v>
      </c>
      <c r="I129" s="19">
        <v>175</v>
      </c>
      <c r="J129" s="19">
        <v>0</v>
      </c>
      <c r="K129" s="19">
        <f t="shared" si="0"/>
        <v>475</v>
      </c>
      <c r="L129" s="19">
        <v>512.5</v>
      </c>
      <c r="M129" s="19">
        <v>24</v>
      </c>
      <c r="N129" s="20">
        <f t="shared" si="13"/>
        <v>70.285714285714278</v>
      </c>
      <c r="P129" s="6">
        <v>3850</v>
      </c>
      <c r="Q129" s="7">
        <f t="shared" si="1"/>
        <v>673750</v>
      </c>
      <c r="R129" s="7">
        <f t="shared" si="2"/>
        <v>1973125</v>
      </c>
    </row>
    <row r="130" spans="1:18" ht="15.75" customHeight="1" x14ac:dyDescent="0.35">
      <c r="A130" s="4" t="s">
        <v>178</v>
      </c>
      <c r="B130" s="19" t="s">
        <v>19</v>
      </c>
      <c r="C130" s="19" t="s">
        <v>20</v>
      </c>
      <c r="D130" s="19">
        <v>10</v>
      </c>
      <c r="E130" s="19">
        <v>1500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f t="shared" si="0"/>
        <v>1500</v>
      </c>
      <c r="L130" s="19">
        <v>0</v>
      </c>
      <c r="M130" s="19">
        <v>24</v>
      </c>
      <c r="N130" s="20">
        <v>0</v>
      </c>
      <c r="P130" s="6">
        <v>1402</v>
      </c>
      <c r="Q130" s="7">
        <f t="shared" si="1"/>
        <v>0</v>
      </c>
      <c r="R130" s="7">
        <f t="shared" si="2"/>
        <v>0</v>
      </c>
    </row>
    <row r="131" spans="1:18" ht="15.75" customHeight="1" x14ac:dyDescent="0.35">
      <c r="A131" s="4" t="s">
        <v>147</v>
      </c>
      <c r="B131" s="19" t="s">
        <v>19</v>
      </c>
      <c r="C131" s="19" t="s">
        <v>20</v>
      </c>
      <c r="D131" s="19">
        <v>10</v>
      </c>
      <c r="E131" s="19">
        <v>2700</v>
      </c>
      <c r="F131" s="19">
        <v>14125</v>
      </c>
      <c r="G131" s="19">
        <v>0</v>
      </c>
      <c r="H131" s="19">
        <v>0</v>
      </c>
      <c r="I131" s="19">
        <v>4050</v>
      </c>
      <c r="J131" s="19">
        <v>5975</v>
      </c>
      <c r="K131" s="19">
        <f t="shared" si="0"/>
        <v>6800</v>
      </c>
      <c r="L131" s="19">
        <v>6247.0588235294108</v>
      </c>
      <c r="M131" s="19">
        <v>24</v>
      </c>
      <c r="N131" s="20">
        <f t="shared" ref="N131:N161" si="14">(L131/(I131+J131))*M131</f>
        <v>14.955552295731259</v>
      </c>
      <c r="P131" s="6">
        <v>6112</v>
      </c>
      <c r="Q131" s="7">
        <f t="shared" si="1"/>
        <v>61272800</v>
      </c>
      <c r="R131" s="7">
        <f t="shared" si="2"/>
        <v>38182023.529411756</v>
      </c>
    </row>
    <row r="132" spans="1:18" ht="15.75" customHeight="1" x14ac:dyDescent="0.35">
      <c r="A132" s="4" t="s">
        <v>148</v>
      </c>
      <c r="B132" s="19" t="s">
        <v>19</v>
      </c>
      <c r="C132" s="19" t="s">
        <v>20</v>
      </c>
      <c r="D132" s="19">
        <v>10</v>
      </c>
      <c r="E132" s="19">
        <v>2547</v>
      </c>
      <c r="F132" s="19">
        <v>0</v>
      </c>
      <c r="G132" s="19">
        <v>0</v>
      </c>
      <c r="H132" s="19">
        <v>0</v>
      </c>
      <c r="I132" s="19">
        <v>50</v>
      </c>
      <c r="J132" s="19">
        <v>525</v>
      </c>
      <c r="K132" s="19">
        <f t="shared" si="0"/>
        <v>1972</v>
      </c>
      <c r="L132" s="19">
        <v>2188.6666666666702</v>
      </c>
      <c r="M132" s="19">
        <v>24</v>
      </c>
      <c r="N132" s="20">
        <f t="shared" si="14"/>
        <v>91.353043478261014</v>
      </c>
      <c r="P132" s="6">
        <v>2392</v>
      </c>
      <c r="Q132" s="7">
        <f t="shared" si="1"/>
        <v>1375400</v>
      </c>
      <c r="R132" s="7">
        <f t="shared" si="2"/>
        <v>5235290.6666666754</v>
      </c>
    </row>
    <row r="133" spans="1:18" ht="15.75" customHeight="1" x14ac:dyDescent="0.35">
      <c r="A133" s="4" t="s">
        <v>149</v>
      </c>
      <c r="B133" s="19" t="s">
        <v>19</v>
      </c>
      <c r="C133" s="19" t="s">
        <v>20</v>
      </c>
      <c r="D133" s="19">
        <v>10</v>
      </c>
      <c r="E133" s="19">
        <v>24</v>
      </c>
      <c r="F133" s="19">
        <v>1525</v>
      </c>
      <c r="G133" s="19">
        <v>0</v>
      </c>
      <c r="H133" s="19">
        <v>0</v>
      </c>
      <c r="I133" s="19">
        <v>1525</v>
      </c>
      <c r="J133" s="19">
        <v>0</v>
      </c>
      <c r="K133" s="19">
        <f t="shared" si="0"/>
        <v>24</v>
      </c>
      <c r="L133" s="19">
        <v>540.66666666666708</v>
      </c>
      <c r="M133" s="19">
        <v>24</v>
      </c>
      <c r="N133" s="20">
        <f t="shared" si="14"/>
        <v>8.5088524590163992</v>
      </c>
      <c r="P133" s="6">
        <v>2651</v>
      </c>
      <c r="Q133" s="7">
        <f t="shared" si="1"/>
        <v>4042775</v>
      </c>
      <c r="R133" s="7">
        <f t="shared" si="2"/>
        <v>1433307.3333333344</v>
      </c>
    </row>
    <row r="134" spans="1:18" ht="15.75" customHeight="1" x14ac:dyDescent="0.35">
      <c r="A134" s="4" t="s">
        <v>150</v>
      </c>
      <c r="B134" s="19" t="s">
        <v>19</v>
      </c>
      <c r="C134" s="19" t="s">
        <v>20</v>
      </c>
      <c r="D134" s="19">
        <v>10</v>
      </c>
      <c r="E134" s="19">
        <v>451</v>
      </c>
      <c r="F134" s="19">
        <v>1520</v>
      </c>
      <c r="G134" s="19">
        <v>0</v>
      </c>
      <c r="H134" s="19">
        <v>0</v>
      </c>
      <c r="I134" s="19">
        <v>440</v>
      </c>
      <c r="J134" s="19">
        <v>0</v>
      </c>
      <c r="K134" s="19">
        <f t="shared" si="0"/>
        <v>1531</v>
      </c>
      <c r="L134" s="19">
        <v>807</v>
      </c>
      <c r="M134" s="19">
        <v>24</v>
      </c>
      <c r="N134" s="20">
        <f t="shared" si="14"/>
        <v>44.018181818181816</v>
      </c>
      <c r="P134" s="6">
        <v>4343</v>
      </c>
      <c r="Q134" s="7">
        <f t="shared" si="1"/>
        <v>1910920</v>
      </c>
      <c r="R134" s="7">
        <f t="shared" si="2"/>
        <v>3504801</v>
      </c>
    </row>
    <row r="135" spans="1:18" ht="15.75" customHeight="1" x14ac:dyDescent="0.35">
      <c r="A135" s="4" t="s">
        <v>151</v>
      </c>
      <c r="B135" s="19" t="s">
        <v>19</v>
      </c>
      <c r="C135" s="19" t="s">
        <v>20</v>
      </c>
      <c r="D135" s="19">
        <v>10</v>
      </c>
      <c r="E135" s="19">
        <v>1096</v>
      </c>
      <c r="F135" s="19">
        <v>1522</v>
      </c>
      <c r="G135" s="19">
        <v>0</v>
      </c>
      <c r="H135" s="19">
        <v>0</v>
      </c>
      <c r="I135" s="19">
        <v>800</v>
      </c>
      <c r="J135" s="19">
        <v>0</v>
      </c>
      <c r="K135" s="19">
        <f t="shared" si="0"/>
        <v>1818</v>
      </c>
      <c r="L135" s="19">
        <v>1340.4</v>
      </c>
      <c r="M135" s="19">
        <v>24</v>
      </c>
      <c r="N135" s="20">
        <f t="shared" si="14"/>
        <v>40.212000000000003</v>
      </c>
      <c r="P135" s="6">
        <v>2970</v>
      </c>
      <c r="Q135" s="7">
        <f t="shared" si="1"/>
        <v>2376000</v>
      </c>
      <c r="R135" s="7">
        <f t="shared" si="2"/>
        <v>3980988.0000000005</v>
      </c>
    </row>
    <row r="136" spans="1:18" ht="15.75" customHeight="1" x14ac:dyDescent="0.35">
      <c r="A136" s="4" t="s">
        <v>197</v>
      </c>
      <c r="B136" s="19" t="s">
        <v>19</v>
      </c>
      <c r="C136" s="19" t="s">
        <v>20</v>
      </c>
      <c r="D136" s="19">
        <v>10</v>
      </c>
      <c r="E136" s="19">
        <v>2196</v>
      </c>
      <c r="F136" s="19">
        <v>0</v>
      </c>
      <c r="G136" s="19">
        <v>0</v>
      </c>
      <c r="H136" s="19">
        <v>0</v>
      </c>
      <c r="I136" s="19">
        <v>915</v>
      </c>
      <c r="J136" s="19">
        <v>0</v>
      </c>
      <c r="K136" s="19">
        <f t="shared" si="0"/>
        <v>1281</v>
      </c>
      <c r="L136" s="19">
        <v>1569.3333333333301</v>
      </c>
      <c r="M136" s="19">
        <v>24</v>
      </c>
      <c r="N136" s="20">
        <f t="shared" si="14"/>
        <v>41.162841530054557</v>
      </c>
      <c r="P136" s="6">
        <v>2970</v>
      </c>
      <c r="Q136" s="7">
        <f t="shared" si="1"/>
        <v>2717550</v>
      </c>
      <c r="R136" s="7">
        <f t="shared" si="2"/>
        <v>4660919.9999999907</v>
      </c>
    </row>
    <row r="137" spans="1:18" ht="15.75" customHeight="1" x14ac:dyDescent="0.35">
      <c r="A137" s="4" t="s">
        <v>153</v>
      </c>
      <c r="B137" s="19" t="s">
        <v>19</v>
      </c>
      <c r="C137" s="19" t="s">
        <v>20</v>
      </c>
      <c r="D137" s="19">
        <v>10</v>
      </c>
      <c r="E137" s="19">
        <v>980</v>
      </c>
      <c r="F137" s="19">
        <v>0</v>
      </c>
      <c r="G137" s="19">
        <v>0</v>
      </c>
      <c r="H137" s="19">
        <v>0</v>
      </c>
      <c r="I137" s="19">
        <v>150</v>
      </c>
      <c r="J137" s="19">
        <v>0</v>
      </c>
      <c r="K137" s="19">
        <f t="shared" si="0"/>
        <v>830</v>
      </c>
      <c r="L137" s="19">
        <v>880</v>
      </c>
      <c r="M137" s="19">
        <v>24</v>
      </c>
      <c r="N137" s="20">
        <f t="shared" si="14"/>
        <v>140.79999999999998</v>
      </c>
      <c r="P137" s="6">
        <v>2607</v>
      </c>
      <c r="Q137" s="7">
        <f t="shared" si="1"/>
        <v>391050</v>
      </c>
      <c r="R137" s="7">
        <f t="shared" si="2"/>
        <v>2294160</v>
      </c>
    </row>
    <row r="138" spans="1:18" ht="15.75" customHeight="1" x14ac:dyDescent="0.35">
      <c r="A138" s="4" t="s">
        <v>154</v>
      </c>
      <c r="B138" s="19" t="s">
        <v>19</v>
      </c>
      <c r="C138" s="19" t="s">
        <v>20</v>
      </c>
      <c r="D138" s="19">
        <v>10</v>
      </c>
      <c r="E138" s="19">
        <v>575</v>
      </c>
      <c r="F138" s="19">
        <v>2500</v>
      </c>
      <c r="G138" s="19">
        <v>0</v>
      </c>
      <c r="H138" s="19">
        <v>0</v>
      </c>
      <c r="I138" s="19">
        <v>1597</v>
      </c>
      <c r="J138" s="19">
        <v>25</v>
      </c>
      <c r="K138" s="19">
        <f t="shared" si="0"/>
        <v>1453</v>
      </c>
      <c r="L138" s="19">
        <v>1752.1000000000001</v>
      </c>
      <c r="M138" s="19">
        <v>24</v>
      </c>
      <c r="N138" s="20">
        <f t="shared" si="14"/>
        <v>25.925030826140571</v>
      </c>
      <c r="P138" s="6">
        <v>1928</v>
      </c>
      <c r="Q138" s="7">
        <f t="shared" si="1"/>
        <v>3127216</v>
      </c>
      <c r="R138" s="7">
        <f t="shared" si="2"/>
        <v>3378048.8000000003</v>
      </c>
    </row>
    <row r="139" spans="1:18" ht="15.75" customHeight="1" x14ac:dyDescent="0.35">
      <c r="A139" s="4" t="s">
        <v>155</v>
      </c>
      <c r="B139" s="19" t="s">
        <v>19</v>
      </c>
      <c r="C139" s="19" t="s">
        <v>20</v>
      </c>
      <c r="D139" s="19">
        <v>10</v>
      </c>
      <c r="E139" s="19">
        <v>23355</v>
      </c>
      <c r="F139" s="19">
        <v>0</v>
      </c>
      <c r="G139" s="19">
        <v>0</v>
      </c>
      <c r="H139" s="19">
        <v>0</v>
      </c>
      <c r="I139" s="19">
        <v>0</v>
      </c>
      <c r="J139" s="19">
        <v>320</v>
      </c>
      <c r="K139" s="19">
        <f t="shared" si="0"/>
        <v>23035</v>
      </c>
      <c r="L139" s="19">
        <v>23162.5</v>
      </c>
      <c r="M139" s="19">
        <v>24</v>
      </c>
      <c r="N139" s="20">
        <f t="shared" si="14"/>
        <v>1737.1875</v>
      </c>
      <c r="P139" s="6">
        <v>2129</v>
      </c>
      <c r="Q139" s="7">
        <f t="shared" si="1"/>
        <v>681280</v>
      </c>
      <c r="R139" s="7">
        <f t="shared" si="2"/>
        <v>49312962.5</v>
      </c>
    </row>
    <row r="140" spans="1:18" ht="15.75" customHeight="1" x14ac:dyDescent="0.35">
      <c r="A140" s="4" t="s">
        <v>156</v>
      </c>
      <c r="B140" s="19" t="s">
        <v>19</v>
      </c>
      <c r="C140" s="19" t="s">
        <v>20</v>
      </c>
      <c r="D140" s="19">
        <v>10</v>
      </c>
      <c r="E140" s="19">
        <v>30457</v>
      </c>
      <c r="F140" s="19">
        <v>0</v>
      </c>
      <c r="G140" s="19">
        <v>0</v>
      </c>
      <c r="H140" s="19">
        <v>0</v>
      </c>
      <c r="I140" s="19">
        <v>3000</v>
      </c>
      <c r="J140" s="19">
        <v>0</v>
      </c>
      <c r="K140" s="19">
        <f t="shared" si="0"/>
        <v>27457</v>
      </c>
      <c r="L140" s="19">
        <v>28207</v>
      </c>
      <c r="M140" s="19">
        <v>24</v>
      </c>
      <c r="N140" s="20">
        <f t="shared" si="14"/>
        <v>225.65600000000001</v>
      </c>
      <c r="P140" s="6">
        <v>2177</v>
      </c>
      <c r="Q140" s="7">
        <f t="shared" si="1"/>
        <v>6531000</v>
      </c>
      <c r="R140" s="7">
        <f t="shared" si="2"/>
        <v>61406639</v>
      </c>
    </row>
    <row r="141" spans="1:18" ht="15.75" customHeight="1" x14ac:dyDescent="0.35">
      <c r="A141" s="4" t="s">
        <v>157</v>
      </c>
      <c r="B141" s="19" t="s">
        <v>19</v>
      </c>
      <c r="C141" s="19" t="s">
        <v>20</v>
      </c>
      <c r="D141" s="19">
        <v>10</v>
      </c>
      <c r="E141" s="19">
        <v>11625</v>
      </c>
      <c r="F141" s="19">
        <v>24620</v>
      </c>
      <c r="G141" s="19">
        <v>0</v>
      </c>
      <c r="H141" s="19">
        <v>0</v>
      </c>
      <c r="I141" s="19">
        <v>29015</v>
      </c>
      <c r="J141" s="19">
        <v>55</v>
      </c>
      <c r="K141" s="19">
        <f t="shared" si="0"/>
        <v>7175</v>
      </c>
      <c r="L141" s="19">
        <v>8209.5833333333303</v>
      </c>
      <c r="M141" s="19">
        <v>24</v>
      </c>
      <c r="N141" s="20">
        <f t="shared" si="14"/>
        <v>6.7777777777777759</v>
      </c>
      <c r="P141" s="6">
        <v>2177</v>
      </c>
      <c r="Q141" s="7">
        <f t="shared" si="1"/>
        <v>63285390</v>
      </c>
      <c r="R141" s="7">
        <f t="shared" si="2"/>
        <v>17872262.91666666</v>
      </c>
    </row>
    <row r="142" spans="1:18" ht="15.75" customHeight="1" x14ac:dyDescent="0.35">
      <c r="A142" s="4" t="s">
        <v>158</v>
      </c>
      <c r="B142" s="19" t="s">
        <v>19</v>
      </c>
      <c r="C142" s="19" t="s">
        <v>20</v>
      </c>
      <c r="D142" s="19">
        <v>10</v>
      </c>
      <c r="E142" s="19">
        <v>6515</v>
      </c>
      <c r="F142" s="19">
        <v>17328</v>
      </c>
      <c r="G142" s="19">
        <v>0</v>
      </c>
      <c r="H142" s="19">
        <v>0</v>
      </c>
      <c r="I142" s="19">
        <v>11015</v>
      </c>
      <c r="J142" s="19">
        <v>0</v>
      </c>
      <c r="K142" s="19">
        <f t="shared" si="0"/>
        <v>12828</v>
      </c>
      <c r="L142" s="19">
        <v>7277.6</v>
      </c>
      <c r="M142" s="19">
        <v>24</v>
      </c>
      <c r="N142" s="20">
        <f t="shared" si="14"/>
        <v>15.856777122106219</v>
      </c>
      <c r="P142" s="6">
        <v>2177</v>
      </c>
      <c r="Q142" s="7">
        <f t="shared" si="1"/>
        <v>23979655</v>
      </c>
      <c r="R142" s="7">
        <f t="shared" si="2"/>
        <v>15843335.200000001</v>
      </c>
    </row>
    <row r="143" spans="1:18" ht="15.75" customHeight="1" x14ac:dyDescent="0.35">
      <c r="A143" s="4" t="s">
        <v>159</v>
      </c>
      <c r="B143" s="19" t="s">
        <v>19</v>
      </c>
      <c r="C143" s="19" t="s">
        <v>20</v>
      </c>
      <c r="D143" s="19">
        <v>10</v>
      </c>
      <c r="E143" s="19">
        <v>7756</v>
      </c>
      <c r="F143" s="19">
        <v>15393</v>
      </c>
      <c r="G143" s="19">
        <v>0</v>
      </c>
      <c r="H143" s="19">
        <v>0</v>
      </c>
      <c r="I143" s="19">
        <v>0</v>
      </c>
      <c r="J143" s="19">
        <v>13188</v>
      </c>
      <c r="K143" s="19">
        <f t="shared" si="0"/>
        <v>9961</v>
      </c>
      <c r="L143" s="19">
        <v>8046.6153846153811</v>
      </c>
      <c r="M143" s="19">
        <v>24</v>
      </c>
      <c r="N143" s="20">
        <f t="shared" si="14"/>
        <v>14.64352208301252</v>
      </c>
      <c r="P143" s="6">
        <v>1948</v>
      </c>
      <c r="Q143" s="7">
        <f t="shared" si="1"/>
        <v>25690224</v>
      </c>
      <c r="R143" s="7">
        <f t="shared" si="2"/>
        <v>15674806.769230762</v>
      </c>
    </row>
    <row r="144" spans="1:18" ht="15.75" customHeight="1" x14ac:dyDescent="0.35">
      <c r="A144" s="4" t="s">
        <v>160</v>
      </c>
      <c r="B144" s="19" t="s">
        <v>19</v>
      </c>
      <c r="C144" s="19" t="s">
        <v>20</v>
      </c>
      <c r="D144" s="19">
        <v>10</v>
      </c>
      <c r="E144" s="19">
        <v>2013</v>
      </c>
      <c r="F144" s="19">
        <v>13622</v>
      </c>
      <c r="G144" s="19">
        <v>0</v>
      </c>
      <c r="H144" s="19">
        <v>0</v>
      </c>
      <c r="I144" s="19">
        <v>0</v>
      </c>
      <c r="J144" s="19">
        <v>9522</v>
      </c>
      <c r="K144" s="19">
        <f t="shared" si="0"/>
        <v>6113</v>
      </c>
      <c r="L144" s="19">
        <v>3476.2000000000003</v>
      </c>
      <c r="M144" s="19">
        <v>24</v>
      </c>
      <c r="N144" s="20">
        <f t="shared" si="14"/>
        <v>8.7616887208569629</v>
      </c>
      <c r="P144" s="6">
        <v>1989</v>
      </c>
      <c r="Q144" s="7">
        <f t="shared" si="1"/>
        <v>18939258</v>
      </c>
      <c r="R144" s="7">
        <f t="shared" si="2"/>
        <v>6914161.8000000007</v>
      </c>
    </row>
    <row r="145" spans="1:18" ht="15.75" customHeight="1" x14ac:dyDescent="0.35">
      <c r="A145" s="4" t="s">
        <v>161</v>
      </c>
      <c r="B145" s="19" t="s">
        <v>19</v>
      </c>
      <c r="C145" s="19" t="s">
        <v>20</v>
      </c>
      <c r="D145" s="19">
        <v>10</v>
      </c>
      <c r="E145" s="19">
        <v>23925</v>
      </c>
      <c r="F145" s="19">
        <v>0</v>
      </c>
      <c r="G145" s="19">
        <v>0</v>
      </c>
      <c r="H145" s="19">
        <v>0</v>
      </c>
      <c r="I145" s="19">
        <v>0</v>
      </c>
      <c r="J145" s="19">
        <v>6050</v>
      </c>
      <c r="K145" s="19">
        <f t="shared" si="0"/>
        <v>17875</v>
      </c>
      <c r="L145" s="19">
        <v>20162.5</v>
      </c>
      <c r="M145" s="19">
        <v>24</v>
      </c>
      <c r="N145" s="20">
        <f t="shared" si="14"/>
        <v>79.983471074380162</v>
      </c>
      <c r="P145" s="6">
        <v>2181</v>
      </c>
      <c r="Q145" s="7">
        <f t="shared" si="1"/>
        <v>13195050</v>
      </c>
      <c r="R145" s="7">
        <f t="shared" si="2"/>
        <v>43974412.5</v>
      </c>
    </row>
    <row r="146" spans="1:18" ht="15.75" customHeight="1" x14ac:dyDescent="0.35">
      <c r="A146" s="4" t="s">
        <v>179</v>
      </c>
      <c r="B146" s="19" t="s">
        <v>19</v>
      </c>
      <c r="C146" s="19" t="s">
        <v>20</v>
      </c>
      <c r="D146" s="19">
        <v>10</v>
      </c>
      <c r="E146" s="19">
        <v>9100</v>
      </c>
      <c r="F146" s="19">
        <v>30725</v>
      </c>
      <c r="G146" s="19">
        <v>0</v>
      </c>
      <c r="H146" s="19">
        <v>0</v>
      </c>
      <c r="I146" s="19">
        <v>25525</v>
      </c>
      <c r="J146" s="19">
        <v>1700</v>
      </c>
      <c r="K146" s="19">
        <f t="shared" si="0"/>
        <v>12600</v>
      </c>
      <c r="L146" s="19">
        <v>7483.9285714285697</v>
      </c>
      <c r="M146" s="19">
        <v>24</v>
      </c>
      <c r="N146" s="20">
        <f t="shared" si="14"/>
        <v>6.5974025974025965</v>
      </c>
      <c r="P146" s="6">
        <v>2181</v>
      </c>
      <c r="Q146" s="7">
        <f t="shared" si="1"/>
        <v>59377725</v>
      </c>
      <c r="R146" s="7">
        <f t="shared" si="2"/>
        <v>16322448.214285711</v>
      </c>
    </row>
    <row r="147" spans="1:18" ht="15.75" customHeight="1" x14ac:dyDescent="0.35">
      <c r="A147" s="4" t="s">
        <v>180</v>
      </c>
      <c r="B147" s="19" t="s">
        <v>19</v>
      </c>
      <c r="C147" s="19" t="s">
        <v>20</v>
      </c>
      <c r="D147" s="19">
        <v>10</v>
      </c>
      <c r="E147" s="19">
        <v>8450</v>
      </c>
      <c r="F147" s="19">
        <v>14550</v>
      </c>
      <c r="G147" s="19">
        <v>0</v>
      </c>
      <c r="H147" s="19">
        <v>0</v>
      </c>
      <c r="I147" s="19">
        <v>6500</v>
      </c>
      <c r="J147" s="19">
        <v>80</v>
      </c>
      <c r="K147" s="19">
        <f t="shared" si="0"/>
        <v>16420</v>
      </c>
      <c r="L147" s="19">
        <v>11301.4285714286</v>
      </c>
      <c r="M147" s="19">
        <v>24</v>
      </c>
      <c r="N147" s="20">
        <f t="shared" si="14"/>
        <v>41.221016066000971</v>
      </c>
      <c r="P147" s="6">
        <v>2181</v>
      </c>
      <c r="Q147" s="7">
        <f t="shared" si="1"/>
        <v>14350980</v>
      </c>
      <c r="R147" s="7">
        <f t="shared" si="2"/>
        <v>24648415.714285776</v>
      </c>
    </row>
    <row r="148" spans="1:18" ht="15.75" customHeight="1" x14ac:dyDescent="0.35">
      <c r="A148" s="4" t="s">
        <v>181</v>
      </c>
      <c r="B148" s="19" t="s">
        <v>22</v>
      </c>
      <c r="C148" s="19" t="s">
        <v>20</v>
      </c>
      <c r="D148" s="19">
        <v>10</v>
      </c>
      <c r="E148" s="19">
        <v>34300</v>
      </c>
      <c r="F148" s="19">
        <v>225450</v>
      </c>
      <c r="G148" s="19">
        <v>0</v>
      </c>
      <c r="H148" s="19">
        <v>0</v>
      </c>
      <c r="I148" s="19">
        <v>0</v>
      </c>
      <c r="J148" s="19">
        <v>238400</v>
      </c>
      <c r="K148" s="19">
        <f t="shared" si="0"/>
        <v>21350</v>
      </c>
      <c r="L148" s="19">
        <v>23606.034482758598</v>
      </c>
      <c r="M148" s="19">
        <v>24</v>
      </c>
      <c r="N148" s="20">
        <f t="shared" si="14"/>
        <v>2.3764464244387851</v>
      </c>
      <c r="P148" s="6">
        <v>2208</v>
      </c>
      <c r="Q148" s="7">
        <f t="shared" si="1"/>
        <v>526387200</v>
      </c>
      <c r="R148" s="7">
        <f t="shared" si="2"/>
        <v>52122124.137930982</v>
      </c>
    </row>
    <row r="149" spans="1:18" ht="15.75" customHeight="1" x14ac:dyDescent="0.35">
      <c r="A149" s="4" t="s">
        <v>182</v>
      </c>
      <c r="B149" s="19" t="s">
        <v>22</v>
      </c>
      <c r="C149" s="19" t="s">
        <v>20</v>
      </c>
      <c r="D149" s="19">
        <v>10</v>
      </c>
      <c r="E149" s="19">
        <v>17801</v>
      </c>
      <c r="F149" s="19">
        <v>24100</v>
      </c>
      <c r="G149" s="19">
        <v>0</v>
      </c>
      <c r="H149" s="19">
        <v>0</v>
      </c>
      <c r="I149" s="19">
        <v>0</v>
      </c>
      <c r="J149" s="19">
        <v>34325</v>
      </c>
      <c r="K149" s="19">
        <f t="shared" si="0"/>
        <v>7576</v>
      </c>
      <c r="L149" s="19">
        <v>10349.4375</v>
      </c>
      <c r="M149" s="19">
        <v>24</v>
      </c>
      <c r="N149" s="20">
        <f t="shared" si="14"/>
        <v>7.2363146394756015</v>
      </c>
      <c r="P149" s="6">
        <v>2245</v>
      </c>
      <c r="Q149" s="7">
        <f t="shared" si="1"/>
        <v>77059625</v>
      </c>
      <c r="R149" s="7">
        <f t="shared" si="2"/>
        <v>23234487.1875</v>
      </c>
    </row>
    <row r="150" spans="1:18" ht="15.75" customHeight="1" x14ac:dyDescent="0.35">
      <c r="A150" s="4" t="s">
        <v>164</v>
      </c>
      <c r="B150" s="19" t="s">
        <v>19</v>
      </c>
      <c r="C150" s="19" t="s">
        <v>20</v>
      </c>
      <c r="D150" s="19">
        <v>10</v>
      </c>
      <c r="E150" s="19">
        <v>47318</v>
      </c>
      <c r="F150" s="19">
        <v>64500</v>
      </c>
      <c r="G150" s="19">
        <v>0</v>
      </c>
      <c r="H150" s="19">
        <v>0</v>
      </c>
      <c r="I150" s="19">
        <v>41250</v>
      </c>
      <c r="J150" s="19">
        <v>30500</v>
      </c>
      <c r="K150" s="19">
        <f t="shared" si="0"/>
        <v>40068</v>
      </c>
      <c r="L150" s="19">
        <v>35128</v>
      </c>
      <c r="M150" s="19">
        <v>24</v>
      </c>
      <c r="N150" s="20">
        <f t="shared" si="14"/>
        <v>11.750132404181185</v>
      </c>
      <c r="P150" s="6">
        <v>2355</v>
      </c>
      <c r="Q150" s="7">
        <f t="shared" si="1"/>
        <v>168971250</v>
      </c>
      <c r="R150" s="7">
        <f t="shared" si="2"/>
        <v>82726440</v>
      </c>
    </row>
    <row r="151" spans="1:18" ht="15.75" customHeight="1" x14ac:dyDescent="0.35">
      <c r="A151" s="4" t="s">
        <v>183</v>
      </c>
      <c r="B151" s="19" t="s">
        <v>19</v>
      </c>
      <c r="C151" s="19" t="s">
        <v>20</v>
      </c>
      <c r="D151" s="19">
        <v>10</v>
      </c>
      <c r="E151" s="19">
        <v>1609</v>
      </c>
      <c r="F151" s="19">
        <v>16030</v>
      </c>
      <c r="G151" s="19">
        <v>0</v>
      </c>
      <c r="H151" s="19">
        <v>0</v>
      </c>
      <c r="I151" s="19">
        <v>0</v>
      </c>
      <c r="J151" s="19">
        <v>7707</v>
      </c>
      <c r="K151" s="19">
        <f t="shared" si="0"/>
        <v>9932</v>
      </c>
      <c r="L151" s="19">
        <v>6012.909090909091</v>
      </c>
      <c r="M151" s="19">
        <v>24</v>
      </c>
      <c r="N151" s="20">
        <f t="shared" si="14"/>
        <v>18.724512544676031</v>
      </c>
      <c r="P151" s="6">
        <v>2021</v>
      </c>
      <c r="Q151" s="7">
        <f t="shared" si="1"/>
        <v>15575847</v>
      </c>
      <c r="R151" s="7">
        <f t="shared" si="2"/>
        <v>12152089.272727273</v>
      </c>
    </row>
    <row r="152" spans="1:18" ht="15.75" customHeight="1" x14ac:dyDescent="0.35">
      <c r="A152" s="4" t="s">
        <v>184</v>
      </c>
      <c r="B152" s="19" t="s">
        <v>19</v>
      </c>
      <c r="C152" s="19" t="s">
        <v>20</v>
      </c>
      <c r="D152" s="19">
        <v>10</v>
      </c>
      <c r="E152" s="19">
        <v>7258</v>
      </c>
      <c r="F152" s="19">
        <v>9775</v>
      </c>
      <c r="G152" s="19">
        <v>0</v>
      </c>
      <c r="H152" s="19">
        <v>0</v>
      </c>
      <c r="I152" s="19">
        <v>0</v>
      </c>
      <c r="J152" s="19">
        <v>11090</v>
      </c>
      <c r="K152" s="19">
        <f t="shared" si="0"/>
        <v>5943</v>
      </c>
      <c r="L152" s="19">
        <v>6892.1666666666697</v>
      </c>
      <c r="M152" s="19">
        <v>24</v>
      </c>
      <c r="N152" s="20">
        <f t="shared" si="14"/>
        <v>14.915419296663668</v>
      </c>
      <c r="P152" s="6">
        <v>2021</v>
      </c>
      <c r="Q152" s="7">
        <f t="shared" si="1"/>
        <v>22412890</v>
      </c>
      <c r="R152" s="7">
        <f t="shared" si="2"/>
        <v>13929068.83333334</v>
      </c>
    </row>
    <row r="153" spans="1:18" ht="15.75" customHeight="1" x14ac:dyDescent="0.35">
      <c r="A153" s="4" t="s">
        <v>185</v>
      </c>
      <c r="B153" s="19" t="s">
        <v>19</v>
      </c>
      <c r="C153" s="19" t="s">
        <v>20</v>
      </c>
      <c r="D153" s="19">
        <v>10</v>
      </c>
      <c r="E153" s="19">
        <v>4759</v>
      </c>
      <c r="F153" s="19">
        <v>9950</v>
      </c>
      <c r="G153" s="19">
        <v>0</v>
      </c>
      <c r="H153" s="19">
        <v>0</v>
      </c>
      <c r="I153" s="19">
        <v>0</v>
      </c>
      <c r="J153" s="19">
        <v>7570</v>
      </c>
      <c r="K153" s="19">
        <f t="shared" si="0"/>
        <v>7139</v>
      </c>
      <c r="L153" s="19">
        <v>9951</v>
      </c>
      <c r="M153" s="19">
        <v>24</v>
      </c>
      <c r="N153" s="20">
        <f t="shared" si="14"/>
        <v>31.54874504623514</v>
      </c>
      <c r="P153" s="6">
        <v>2021</v>
      </c>
      <c r="Q153" s="7">
        <f t="shared" si="1"/>
        <v>15298970</v>
      </c>
      <c r="R153" s="7">
        <f t="shared" si="2"/>
        <v>20110971</v>
      </c>
    </row>
    <row r="154" spans="1:18" ht="15.75" customHeight="1" x14ac:dyDescent="0.35">
      <c r="A154" s="4" t="s">
        <v>186</v>
      </c>
      <c r="B154" s="19" t="s">
        <v>19</v>
      </c>
      <c r="C154" s="19" t="s">
        <v>20</v>
      </c>
      <c r="D154" s="19">
        <v>10</v>
      </c>
      <c r="E154" s="19">
        <v>4000</v>
      </c>
      <c r="F154" s="19">
        <v>17000</v>
      </c>
      <c r="G154" s="19">
        <v>0</v>
      </c>
      <c r="H154" s="19">
        <v>0</v>
      </c>
      <c r="I154" s="19">
        <v>17000</v>
      </c>
      <c r="J154" s="19">
        <v>0</v>
      </c>
      <c r="K154" s="19">
        <f t="shared" si="0"/>
        <v>4000</v>
      </c>
      <c r="L154" s="19">
        <v>3555.5555555555602</v>
      </c>
      <c r="M154" s="19">
        <v>24</v>
      </c>
      <c r="N154" s="20">
        <f t="shared" si="14"/>
        <v>5.0196078431372619</v>
      </c>
      <c r="P154" s="6">
        <v>2846</v>
      </c>
      <c r="Q154" s="7">
        <f t="shared" si="1"/>
        <v>48382000</v>
      </c>
      <c r="R154" s="7">
        <f t="shared" si="2"/>
        <v>10119111.111111125</v>
      </c>
    </row>
    <row r="155" spans="1:18" ht="15.75" customHeight="1" x14ac:dyDescent="0.35">
      <c r="A155" s="4" t="s">
        <v>187</v>
      </c>
      <c r="B155" s="19" t="s">
        <v>19</v>
      </c>
      <c r="C155" s="19" t="s">
        <v>20</v>
      </c>
      <c r="D155" s="19">
        <v>10</v>
      </c>
      <c r="E155" s="19">
        <v>1375</v>
      </c>
      <c r="F155" s="19">
        <v>12848</v>
      </c>
      <c r="G155" s="19">
        <v>0</v>
      </c>
      <c r="H155" s="19">
        <v>0</v>
      </c>
      <c r="I155" s="19">
        <v>14223</v>
      </c>
      <c r="J155" s="19">
        <v>0</v>
      </c>
      <c r="K155" s="19">
        <f t="shared" si="0"/>
        <v>0</v>
      </c>
      <c r="L155" s="19">
        <v>5307.3333333333303</v>
      </c>
      <c r="M155" s="19">
        <v>24</v>
      </c>
      <c r="N155" s="20">
        <f t="shared" si="14"/>
        <v>8.9556352386978801</v>
      </c>
      <c r="P155" s="6">
        <v>7550</v>
      </c>
      <c r="Q155" s="7">
        <f t="shared" si="1"/>
        <v>107383650</v>
      </c>
      <c r="R155" s="7">
        <f t="shared" si="2"/>
        <v>40070366.666666642</v>
      </c>
    </row>
    <row r="156" spans="1:18" ht="15.75" customHeight="1" x14ac:dyDescent="0.35">
      <c r="A156" s="4" t="s">
        <v>200</v>
      </c>
      <c r="B156" s="19" t="s">
        <v>19</v>
      </c>
      <c r="C156" s="19" t="s">
        <v>20</v>
      </c>
      <c r="D156" s="19">
        <v>10</v>
      </c>
      <c r="E156" s="19">
        <v>0</v>
      </c>
      <c r="F156" s="19">
        <v>11159</v>
      </c>
      <c r="G156" s="19">
        <v>0</v>
      </c>
      <c r="H156" s="19">
        <v>0</v>
      </c>
      <c r="I156" s="19">
        <v>5394</v>
      </c>
      <c r="J156" s="19">
        <v>0</v>
      </c>
      <c r="K156" s="19">
        <f t="shared" si="0"/>
        <v>5765</v>
      </c>
      <c r="L156" s="19">
        <v>4381.8</v>
      </c>
      <c r="M156" s="19">
        <v>24</v>
      </c>
      <c r="N156" s="20">
        <f t="shared" si="14"/>
        <v>19.496329254727474</v>
      </c>
      <c r="P156" s="6">
        <v>7550</v>
      </c>
      <c r="Q156" s="7">
        <f t="shared" si="1"/>
        <v>40724700</v>
      </c>
      <c r="R156" s="7">
        <f t="shared" si="2"/>
        <v>33082590</v>
      </c>
    </row>
    <row r="157" spans="1:18" ht="15.75" customHeight="1" x14ac:dyDescent="0.35">
      <c r="A157" s="4" t="s">
        <v>201</v>
      </c>
      <c r="B157" s="19" t="s">
        <v>19</v>
      </c>
      <c r="C157" s="19" t="s">
        <v>20</v>
      </c>
      <c r="D157" s="19">
        <v>10</v>
      </c>
      <c r="E157" s="19">
        <v>7191</v>
      </c>
      <c r="F157" s="19">
        <v>3570</v>
      </c>
      <c r="G157" s="19">
        <v>0</v>
      </c>
      <c r="H157" s="19">
        <v>0</v>
      </c>
      <c r="I157" s="19">
        <v>8361</v>
      </c>
      <c r="J157" s="19">
        <v>0</v>
      </c>
      <c r="K157" s="19">
        <f t="shared" si="0"/>
        <v>2400</v>
      </c>
      <c r="L157" s="19">
        <v>4686.5</v>
      </c>
      <c r="M157" s="19">
        <v>24</v>
      </c>
      <c r="N157" s="20">
        <f t="shared" si="14"/>
        <v>13.452457839971295</v>
      </c>
      <c r="P157" s="6">
        <v>7550</v>
      </c>
      <c r="Q157" s="7">
        <f t="shared" si="1"/>
        <v>63125550</v>
      </c>
      <c r="R157" s="7">
        <f t="shared" si="2"/>
        <v>35383075</v>
      </c>
    </row>
    <row r="158" spans="1:18" ht="15.75" customHeight="1" x14ac:dyDescent="0.35">
      <c r="A158" s="4" t="s">
        <v>188</v>
      </c>
      <c r="B158" s="19" t="s">
        <v>19</v>
      </c>
      <c r="C158" s="19" t="s">
        <v>20</v>
      </c>
      <c r="D158" s="19">
        <v>10</v>
      </c>
      <c r="E158" s="19">
        <v>2200</v>
      </c>
      <c r="F158" s="19">
        <v>0</v>
      </c>
      <c r="G158" s="19">
        <v>0</v>
      </c>
      <c r="H158" s="19">
        <v>0</v>
      </c>
      <c r="I158" s="19">
        <v>1000</v>
      </c>
      <c r="J158" s="19">
        <v>0</v>
      </c>
      <c r="K158" s="19">
        <f t="shared" si="0"/>
        <v>1200</v>
      </c>
      <c r="L158" s="19">
        <v>1200</v>
      </c>
      <c r="M158" s="19">
        <v>24</v>
      </c>
      <c r="N158" s="20">
        <f t="shared" si="14"/>
        <v>28.799999999999997</v>
      </c>
      <c r="P158" s="6">
        <v>2658</v>
      </c>
      <c r="Q158" s="7">
        <f t="shared" si="1"/>
        <v>2658000</v>
      </c>
      <c r="R158" s="7">
        <f t="shared" si="2"/>
        <v>3189600</v>
      </c>
    </row>
    <row r="159" spans="1:18" ht="15.75" customHeight="1" x14ac:dyDescent="0.35">
      <c r="A159" s="4" t="s">
        <v>198</v>
      </c>
      <c r="B159" s="19" t="s">
        <v>19</v>
      </c>
      <c r="C159" s="19" t="s">
        <v>20</v>
      </c>
      <c r="D159" s="19">
        <v>10</v>
      </c>
      <c r="E159" s="19">
        <v>15475</v>
      </c>
      <c r="F159" s="19">
        <v>21334</v>
      </c>
      <c r="G159" s="19">
        <v>0</v>
      </c>
      <c r="H159" s="19">
        <v>0</v>
      </c>
      <c r="I159" s="19">
        <v>19700</v>
      </c>
      <c r="J159" s="19">
        <v>0</v>
      </c>
      <c r="K159" s="19">
        <f t="shared" si="0"/>
        <v>17109</v>
      </c>
      <c r="L159" s="19">
        <v>7109.5</v>
      </c>
      <c r="M159" s="19">
        <v>24</v>
      </c>
      <c r="N159" s="20">
        <f t="shared" si="14"/>
        <v>8.6613197969543148</v>
      </c>
      <c r="P159" s="6">
        <v>2846</v>
      </c>
      <c r="Q159" s="7">
        <f t="shared" si="1"/>
        <v>56066200</v>
      </c>
      <c r="R159" s="7">
        <f t="shared" si="2"/>
        <v>20233637</v>
      </c>
    </row>
    <row r="160" spans="1:18" ht="15.75" customHeight="1" x14ac:dyDescent="0.35">
      <c r="A160" s="4" t="s">
        <v>202</v>
      </c>
      <c r="B160" s="19" t="s">
        <v>19</v>
      </c>
      <c r="C160" s="19" t="s">
        <v>20</v>
      </c>
      <c r="D160" s="19">
        <v>10</v>
      </c>
      <c r="E160" s="19">
        <v>3500</v>
      </c>
      <c r="F160" s="19">
        <v>0</v>
      </c>
      <c r="G160" s="19">
        <v>0</v>
      </c>
      <c r="H160" s="19">
        <v>0</v>
      </c>
      <c r="I160" s="19">
        <v>0</v>
      </c>
      <c r="J160" s="19">
        <v>2500</v>
      </c>
      <c r="K160" s="19">
        <f t="shared" si="0"/>
        <v>1000</v>
      </c>
      <c r="L160" s="19">
        <v>1000</v>
      </c>
      <c r="M160" s="19">
        <v>24</v>
      </c>
      <c r="N160" s="20">
        <f t="shared" si="14"/>
        <v>9.6000000000000014</v>
      </c>
      <c r="P160" s="6">
        <v>994</v>
      </c>
      <c r="Q160" s="7">
        <f t="shared" si="1"/>
        <v>2485000</v>
      </c>
      <c r="R160" s="7">
        <f t="shared" si="2"/>
        <v>994000</v>
      </c>
    </row>
    <row r="161" spans="1:18" ht="15.75" customHeight="1" x14ac:dyDescent="0.35">
      <c r="A161" s="8" t="s">
        <v>165</v>
      </c>
      <c r="B161" s="8"/>
      <c r="C161" s="8"/>
      <c r="D161" s="8"/>
      <c r="E161" s="9">
        <f t="shared" ref="E161:L161" si="15">SUM(E2:E160)</f>
        <v>1347341</v>
      </c>
      <c r="F161" s="9">
        <f t="shared" si="15"/>
        <v>6607391</v>
      </c>
      <c r="G161" s="9">
        <f t="shared" si="15"/>
        <v>0</v>
      </c>
      <c r="H161" s="9">
        <f t="shared" si="15"/>
        <v>0</v>
      </c>
      <c r="I161" s="9">
        <f t="shared" si="15"/>
        <v>4023739</v>
      </c>
      <c r="J161" s="9">
        <f t="shared" si="15"/>
        <v>2473598</v>
      </c>
      <c r="K161" s="9">
        <f t="shared" si="15"/>
        <v>1457395</v>
      </c>
      <c r="L161" s="9">
        <f t="shared" si="15"/>
        <v>1436159.9864347195</v>
      </c>
      <c r="M161" s="9">
        <v>24</v>
      </c>
      <c r="N161" s="9">
        <f t="shared" si="14"/>
        <v>5.3049179493742233</v>
      </c>
      <c r="P161" s="21"/>
      <c r="Q161" s="21">
        <f t="shared" ref="Q161:R161" si="16">SUM(Q2:Q160)</f>
        <v>14220724127</v>
      </c>
      <c r="R161" s="21">
        <f t="shared" si="16"/>
        <v>3494135770.8431239</v>
      </c>
    </row>
    <row r="162" spans="1:18" ht="15.75" customHeight="1" x14ac:dyDescent="0.35">
      <c r="A162" s="18"/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20"/>
      <c r="P162" s="19"/>
      <c r="Q162" s="19"/>
      <c r="R162" s="19"/>
    </row>
    <row r="163" spans="1:18" ht="15.75" customHeight="1" x14ac:dyDescent="0.35">
      <c r="A163" s="18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20"/>
      <c r="P163" s="12" t="s">
        <v>166</v>
      </c>
      <c r="Q163" s="23">
        <v>5.1999999999999998E-3</v>
      </c>
      <c r="R163" s="19"/>
    </row>
    <row r="164" spans="1:18" ht="15.75" customHeight="1" x14ac:dyDescent="0.35">
      <c r="A164" s="18"/>
      <c r="B164" s="18"/>
      <c r="C164" s="19"/>
      <c r="D164" s="19"/>
      <c r="E164" s="19"/>
      <c r="F164" s="19"/>
      <c r="G164" s="19"/>
      <c r="H164" s="19"/>
      <c r="I164" s="26">
        <f>I161+J161</f>
        <v>6497337</v>
      </c>
      <c r="J164" s="19"/>
      <c r="K164" s="19"/>
      <c r="L164" s="19"/>
      <c r="M164" s="19"/>
      <c r="N164" s="20"/>
      <c r="P164" s="12" t="s">
        <v>167</v>
      </c>
      <c r="Q164" s="24">
        <f>(R161*Q163)/Q161</f>
        <v>1.2776779751944515E-3</v>
      </c>
      <c r="R164" s="19"/>
    </row>
    <row r="165" spans="1:18" ht="15.75" customHeight="1" x14ac:dyDescent="0.35">
      <c r="A165" s="18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20"/>
      <c r="P165" s="12" t="s">
        <v>168</v>
      </c>
      <c r="Q165" s="24">
        <v>1.5100000000000001E-3</v>
      </c>
      <c r="R165" s="19"/>
    </row>
    <row r="166" spans="1:18" ht="15.75" customHeight="1" x14ac:dyDescent="0.35">
      <c r="A166" s="4"/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20"/>
      <c r="P166" s="16" t="s">
        <v>169</v>
      </c>
      <c r="Q166" s="25">
        <f>(R161/Q161)*M159</f>
        <v>5.8969752701282374</v>
      </c>
      <c r="R166" s="19"/>
    </row>
    <row r="167" spans="1:18" ht="15.75" customHeight="1" x14ac:dyDescent="0.35">
      <c r="A167" s="4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20"/>
      <c r="P167" s="19"/>
      <c r="Q167" s="19"/>
      <c r="R167" s="19"/>
    </row>
    <row r="168" spans="1:18" ht="15.75" customHeight="1" x14ac:dyDescent="0.35">
      <c r="A168" s="4"/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20"/>
      <c r="P168" s="19"/>
      <c r="Q168" s="19"/>
      <c r="R168" s="19"/>
    </row>
    <row r="169" spans="1:18" ht="15.75" customHeight="1" x14ac:dyDescent="0.35">
      <c r="A169" s="4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20"/>
      <c r="P169" s="19"/>
      <c r="Q169" s="19"/>
      <c r="R169" s="19"/>
    </row>
    <row r="170" spans="1:18" ht="15.75" customHeight="1" x14ac:dyDescent="0.35">
      <c r="A170" s="18"/>
      <c r="B170" s="18"/>
      <c r="P170" s="19"/>
      <c r="Q170" s="19"/>
      <c r="R170" s="19"/>
    </row>
    <row r="171" spans="1:18" ht="15.75" customHeight="1" x14ac:dyDescent="0.35">
      <c r="A171" s="18"/>
      <c r="B171" s="18"/>
      <c r="P171" s="19"/>
      <c r="Q171" s="19"/>
      <c r="R171" s="19"/>
    </row>
    <row r="172" spans="1:18" ht="15.75" customHeight="1" x14ac:dyDescent="0.35">
      <c r="A172" s="18"/>
      <c r="B172" s="18"/>
      <c r="P172" s="19"/>
      <c r="Q172" s="19"/>
      <c r="R172" s="19"/>
    </row>
    <row r="173" spans="1:18" ht="15.75" customHeight="1" x14ac:dyDescent="0.35">
      <c r="A173" s="18"/>
      <c r="B173" s="18"/>
      <c r="P173" s="19"/>
      <c r="Q173" s="19"/>
      <c r="R173" s="19"/>
    </row>
    <row r="174" spans="1:18" ht="15.75" customHeight="1" x14ac:dyDescent="0.35">
      <c r="A174" s="18"/>
      <c r="B174" s="18"/>
      <c r="P174" s="19"/>
      <c r="Q174" s="19"/>
      <c r="R174" s="19"/>
    </row>
    <row r="175" spans="1:18" ht="15.75" customHeight="1" x14ac:dyDescent="0.35">
      <c r="A175" s="18"/>
      <c r="B175" s="18"/>
      <c r="P175" s="19"/>
      <c r="Q175" s="19"/>
      <c r="R175" s="19"/>
    </row>
    <row r="176" spans="1:18" ht="15.75" customHeight="1" x14ac:dyDescent="0.35">
      <c r="A176" s="18"/>
      <c r="B176" s="18"/>
      <c r="P176" s="19"/>
      <c r="Q176" s="19"/>
      <c r="R176" s="19"/>
    </row>
    <row r="177" spans="1:18" ht="15.75" customHeight="1" x14ac:dyDescent="0.35">
      <c r="A177" s="18"/>
      <c r="B177" s="18"/>
      <c r="P177" s="19"/>
      <c r="Q177" s="19"/>
      <c r="R177" s="19"/>
    </row>
    <row r="178" spans="1:18" ht="15.75" customHeight="1" x14ac:dyDescent="0.35">
      <c r="A178" s="18"/>
      <c r="B178" s="18"/>
      <c r="P178" s="19"/>
      <c r="Q178" s="19"/>
      <c r="R178" s="19"/>
    </row>
    <row r="179" spans="1:18" ht="15.75" customHeight="1" x14ac:dyDescent="0.35">
      <c r="A179" s="18"/>
      <c r="B179" s="18"/>
      <c r="P179" s="19"/>
      <c r="Q179" s="19"/>
      <c r="R179" s="19"/>
    </row>
    <row r="180" spans="1:18" ht="15.75" customHeight="1" x14ac:dyDescent="0.35">
      <c r="A180" s="18"/>
      <c r="B180" s="18"/>
      <c r="P180" s="19"/>
      <c r="Q180" s="19"/>
      <c r="R180" s="19"/>
    </row>
    <row r="181" spans="1:18" ht="15.75" customHeight="1" x14ac:dyDescent="0.35">
      <c r="A181" s="18"/>
      <c r="B181" s="18"/>
      <c r="P181" s="19"/>
      <c r="Q181" s="19"/>
      <c r="R181" s="19"/>
    </row>
    <row r="182" spans="1:18" ht="15.75" customHeight="1" x14ac:dyDescent="0.35">
      <c r="A182" s="18"/>
      <c r="B182" s="18"/>
      <c r="P182" s="19"/>
      <c r="Q182" s="19"/>
      <c r="R182" s="19"/>
    </row>
    <row r="183" spans="1:18" ht="15.75" customHeight="1" x14ac:dyDescent="0.35">
      <c r="A183" s="18"/>
      <c r="B183" s="18"/>
      <c r="P183" s="19"/>
      <c r="Q183" s="19"/>
      <c r="R183" s="19"/>
    </row>
    <row r="184" spans="1:18" ht="15.75" customHeight="1" x14ac:dyDescent="0.35">
      <c r="A184" s="18"/>
      <c r="B184" s="18"/>
      <c r="P184" s="19"/>
      <c r="Q184" s="19"/>
      <c r="R184" s="19"/>
    </row>
    <row r="185" spans="1:18" ht="15.75" customHeight="1" x14ac:dyDescent="0.35">
      <c r="A185" s="18"/>
      <c r="B185" s="18"/>
      <c r="P185" s="19"/>
      <c r="Q185" s="19"/>
      <c r="R185" s="19"/>
    </row>
    <row r="186" spans="1:18" ht="15.75" customHeight="1" x14ac:dyDescent="0.35">
      <c r="A186" s="18"/>
      <c r="B186" s="18"/>
      <c r="P186" s="19"/>
      <c r="Q186" s="19"/>
      <c r="R186" s="19"/>
    </row>
    <row r="187" spans="1:18" ht="15.75" customHeight="1" x14ac:dyDescent="0.35">
      <c r="A187" s="18"/>
      <c r="B187" s="18"/>
      <c r="P187" s="19"/>
      <c r="Q187" s="19"/>
      <c r="R187" s="19"/>
    </row>
    <row r="188" spans="1:18" ht="15.75" customHeight="1" x14ac:dyDescent="0.35">
      <c r="A188" s="18"/>
      <c r="B188" s="18"/>
      <c r="P188" s="19"/>
      <c r="Q188" s="19"/>
      <c r="R188" s="19"/>
    </row>
    <row r="189" spans="1:18" ht="15.75" customHeight="1" x14ac:dyDescent="0.35">
      <c r="A189" s="18"/>
      <c r="B189" s="18"/>
      <c r="P189" s="19"/>
      <c r="Q189" s="19"/>
      <c r="R189" s="19"/>
    </row>
    <row r="190" spans="1:18" ht="15.75" customHeight="1" x14ac:dyDescent="0.35">
      <c r="A190" s="18"/>
      <c r="B190" s="18"/>
      <c r="P190" s="19"/>
      <c r="Q190" s="19"/>
      <c r="R190" s="19"/>
    </row>
    <row r="191" spans="1:18" ht="15.75" customHeight="1" x14ac:dyDescent="0.35">
      <c r="A191" s="18"/>
      <c r="B191" s="18"/>
      <c r="P191" s="19"/>
      <c r="Q191" s="19"/>
      <c r="R191" s="19"/>
    </row>
    <row r="192" spans="1:18" ht="15.75" customHeight="1" x14ac:dyDescent="0.35">
      <c r="A192" s="18"/>
      <c r="B192" s="18"/>
      <c r="P192" s="19"/>
      <c r="Q192" s="19"/>
      <c r="R192" s="19"/>
    </row>
    <row r="193" spans="1:18" ht="15.75" customHeight="1" x14ac:dyDescent="0.35">
      <c r="A193" s="18"/>
      <c r="B193" s="18"/>
      <c r="P193" s="19"/>
      <c r="Q193" s="19"/>
      <c r="R193" s="19"/>
    </row>
    <row r="194" spans="1:18" ht="15.75" customHeight="1" x14ac:dyDescent="0.35">
      <c r="A194" s="18"/>
      <c r="B194" s="18"/>
      <c r="P194" s="19"/>
      <c r="Q194" s="19"/>
      <c r="R194" s="19"/>
    </row>
    <row r="195" spans="1:18" ht="15.75" customHeight="1" x14ac:dyDescent="0.35">
      <c r="A195" s="18"/>
      <c r="B195" s="18"/>
      <c r="P195" s="19"/>
      <c r="Q195" s="19"/>
      <c r="R195" s="19"/>
    </row>
    <row r="196" spans="1:18" ht="15.75" customHeight="1" x14ac:dyDescent="0.35">
      <c r="A196" s="18"/>
      <c r="B196" s="18"/>
      <c r="P196" s="19"/>
      <c r="Q196" s="19"/>
      <c r="R196" s="19"/>
    </row>
    <row r="197" spans="1:18" ht="15.75" customHeight="1" x14ac:dyDescent="0.35">
      <c r="A197" s="18"/>
      <c r="B197" s="18"/>
      <c r="P197" s="19"/>
      <c r="Q197" s="19"/>
      <c r="R197" s="19"/>
    </row>
    <row r="198" spans="1:18" ht="15.75" customHeight="1" x14ac:dyDescent="0.35">
      <c r="A198" s="18"/>
      <c r="B198" s="18"/>
      <c r="P198" s="19"/>
      <c r="Q198" s="19"/>
      <c r="R198" s="19"/>
    </row>
    <row r="199" spans="1:18" ht="15.75" customHeight="1" x14ac:dyDescent="0.35">
      <c r="A199" s="18"/>
      <c r="B199" s="18"/>
      <c r="P199" s="19"/>
      <c r="Q199" s="19"/>
      <c r="R199" s="19"/>
    </row>
    <row r="200" spans="1:18" ht="15.75" customHeight="1" x14ac:dyDescent="0.35">
      <c r="A200" s="18"/>
      <c r="B200" s="18"/>
      <c r="P200" s="19"/>
      <c r="Q200" s="19"/>
      <c r="R200" s="19"/>
    </row>
    <row r="201" spans="1:18" ht="15.75" customHeight="1" x14ac:dyDescent="0.35">
      <c r="A201" s="18"/>
      <c r="B201" s="18"/>
      <c r="P201" s="19"/>
      <c r="Q201" s="19"/>
      <c r="R201" s="19"/>
    </row>
    <row r="202" spans="1:18" ht="15.75" customHeight="1" x14ac:dyDescent="0.35">
      <c r="A202" s="18"/>
      <c r="B202" s="18"/>
      <c r="P202" s="19"/>
      <c r="Q202" s="19"/>
      <c r="R202" s="19"/>
    </row>
    <row r="203" spans="1:18" ht="15.75" customHeight="1" x14ac:dyDescent="0.35">
      <c r="A203" s="18"/>
      <c r="B203" s="18"/>
      <c r="P203" s="19"/>
      <c r="Q203" s="19"/>
      <c r="R203" s="19"/>
    </row>
    <row r="204" spans="1:18" ht="15.75" customHeight="1" x14ac:dyDescent="0.35">
      <c r="A204" s="18"/>
      <c r="B204" s="18"/>
      <c r="P204" s="19"/>
      <c r="Q204" s="19"/>
      <c r="R204" s="19"/>
    </row>
    <row r="205" spans="1:18" ht="15.75" customHeight="1" x14ac:dyDescent="0.35">
      <c r="A205" s="18"/>
      <c r="B205" s="18"/>
      <c r="P205" s="19"/>
      <c r="Q205" s="19"/>
      <c r="R205" s="19"/>
    </row>
    <row r="206" spans="1:18" ht="15.75" customHeight="1" x14ac:dyDescent="0.35">
      <c r="A206" s="18"/>
      <c r="B206" s="18"/>
      <c r="P206" s="19"/>
      <c r="Q206" s="19"/>
      <c r="R206" s="19"/>
    </row>
    <row r="207" spans="1:18" ht="15.75" customHeight="1" x14ac:dyDescent="0.35">
      <c r="A207" s="18"/>
      <c r="B207" s="18"/>
      <c r="P207" s="19"/>
      <c r="Q207" s="19"/>
      <c r="R207" s="19"/>
    </row>
    <row r="208" spans="1:18" ht="15.75" customHeight="1" x14ac:dyDescent="0.35">
      <c r="A208" s="18"/>
      <c r="B208" s="18"/>
      <c r="P208" s="19"/>
      <c r="Q208" s="19"/>
      <c r="R208" s="19"/>
    </row>
    <row r="209" spans="1:18" ht="15.75" customHeight="1" x14ac:dyDescent="0.35">
      <c r="A209" s="18"/>
      <c r="B209" s="18"/>
      <c r="P209" s="19"/>
      <c r="Q209" s="19"/>
      <c r="R209" s="19"/>
    </row>
    <row r="210" spans="1:18" ht="15.75" customHeight="1" x14ac:dyDescent="0.35">
      <c r="A210" s="18"/>
      <c r="B210" s="18"/>
      <c r="P210" s="19"/>
      <c r="Q210" s="19"/>
      <c r="R210" s="19"/>
    </row>
    <row r="211" spans="1:18" ht="15.75" customHeight="1" x14ac:dyDescent="0.35">
      <c r="A211" s="18"/>
      <c r="B211" s="18"/>
      <c r="P211" s="19"/>
      <c r="Q211" s="19"/>
      <c r="R211" s="19"/>
    </row>
    <row r="212" spans="1:18" ht="15.75" customHeight="1" x14ac:dyDescent="0.35">
      <c r="A212" s="18"/>
      <c r="B212" s="18"/>
      <c r="P212" s="19"/>
      <c r="Q212" s="19"/>
      <c r="R212" s="19"/>
    </row>
    <row r="213" spans="1:18" ht="15.75" customHeight="1" x14ac:dyDescent="0.35">
      <c r="A213" s="18"/>
      <c r="B213" s="18"/>
      <c r="P213" s="19"/>
      <c r="Q213" s="19"/>
      <c r="R213" s="19"/>
    </row>
    <row r="214" spans="1:18" ht="15.75" customHeight="1" x14ac:dyDescent="0.35">
      <c r="A214" s="18"/>
      <c r="B214" s="18"/>
      <c r="P214" s="19"/>
      <c r="Q214" s="19"/>
      <c r="R214" s="19"/>
    </row>
    <row r="215" spans="1:18" ht="15.75" customHeight="1" x14ac:dyDescent="0.35">
      <c r="A215" s="18"/>
      <c r="B215" s="18"/>
      <c r="P215" s="19"/>
      <c r="Q215" s="19"/>
      <c r="R215" s="19"/>
    </row>
    <row r="216" spans="1:18" ht="15.75" customHeight="1" x14ac:dyDescent="0.35">
      <c r="A216" s="18"/>
      <c r="B216" s="18"/>
      <c r="P216" s="19"/>
      <c r="Q216" s="19"/>
      <c r="R216" s="19"/>
    </row>
    <row r="217" spans="1:18" ht="15.75" customHeight="1" x14ac:dyDescent="0.35">
      <c r="A217" s="18"/>
      <c r="B217" s="18"/>
      <c r="P217" s="19"/>
      <c r="Q217" s="19"/>
      <c r="R217" s="19"/>
    </row>
    <row r="218" spans="1:18" ht="15.75" customHeight="1" x14ac:dyDescent="0.35">
      <c r="A218" s="18"/>
      <c r="B218" s="18"/>
      <c r="P218" s="19"/>
      <c r="Q218" s="19"/>
      <c r="R218" s="19"/>
    </row>
    <row r="219" spans="1:18" ht="15.75" customHeight="1" x14ac:dyDescent="0.35">
      <c r="A219" s="18"/>
      <c r="B219" s="18"/>
      <c r="P219" s="19"/>
      <c r="Q219" s="19"/>
      <c r="R219" s="19"/>
    </row>
    <row r="220" spans="1:18" ht="15.75" customHeight="1" x14ac:dyDescent="0.35">
      <c r="A220" s="18"/>
      <c r="B220" s="18"/>
      <c r="P220" s="19"/>
      <c r="Q220" s="19"/>
      <c r="R220" s="19"/>
    </row>
    <row r="221" spans="1:18" ht="15.75" customHeight="1" x14ac:dyDescent="0.35">
      <c r="A221" s="18"/>
      <c r="B221" s="18"/>
      <c r="P221" s="19"/>
      <c r="Q221" s="19"/>
      <c r="R221" s="19"/>
    </row>
    <row r="222" spans="1:18" ht="15.75" customHeight="1" x14ac:dyDescent="0.35">
      <c r="A222" s="18"/>
      <c r="B222" s="18"/>
      <c r="P222" s="19"/>
      <c r="Q222" s="19"/>
      <c r="R222" s="19"/>
    </row>
    <row r="223" spans="1:18" ht="15.75" customHeight="1" x14ac:dyDescent="0.35">
      <c r="A223" s="18"/>
      <c r="B223" s="18"/>
      <c r="P223" s="19"/>
      <c r="Q223" s="19"/>
      <c r="R223" s="19"/>
    </row>
    <row r="224" spans="1:18" ht="15.75" customHeight="1" x14ac:dyDescent="0.35">
      <c r="A224" s="18"/>
      <c r="B224" s="18"/>
      <c r="P224" s="19"/>
      <c r="Q224" s="19"/>
      <c r="R224" s="19"/>
    </row>
    <row r="225" spans="1:18" ht="15.75" customHeight="1" x14ac:dyDescent="0.35">
      <c r="A225" s="18"/>
      <c r="B225" s="18"/>
      <c r="P225" s="19"/>
      <c r="Q225" s="19"/>
      <c r="R225" s="19"/>
    </row>
    <row r="226" spans="1:18" ht="15.75" customHeight="1" x14ac:dyDescent="0.35">
      <c r="A226" s="18"/>
      <c r="B226" s="18"/>
      <c r="P226" s="19"/>
      <c r="Q226" s="19"/>
      <c r="R226" s="19"/>
    </row>
    <row r="227" spans="1:18" ht="15.75" customHeight="1" x14ac:dyDescent="0.35">
      <c r="A227" s="18"/>
      <c r="B227" s="18"/>
      <c r="P227" s="19"/>
      <c r="Q227" s="19"/>
      <c r="R227" s="19"/>
    </row>
    <row r="228" spans="1:18" ht="15.75" customHeight="1" x14ac:dyDescent="0.35">
      <c r="A228" s="18"/>
      <c r="B228" s="18"/>
      <c r="P228" s="19"/>
      <c r="Q228" s="19"/>
      <c r="R228" s="19"/>
    </row>
    <row r="229" spans="1:18" ht="15.75" customHeight="1" x14ac:dyDescent="0.35">
      <c r="A229" s="18"/>
      <c r="B229" s="18"/>
      <c r="P229" s="19"/>
      <c r="Q229" s="19"/>
      <c r="R229" s="19"/>
    </row>
    <row r="230" spans="1:18" ht="15.75" customHeight="1" x14ac:dyDescent="0.35">
      <c r="A230" s="18"/>
      <c r="B230" s="18"/>
      <c r="P230" s="19"/>
      <c r="Q230" s="19"/>
      <c r="R230" s="19"/>
    </row>
    <row r="231" spans="1:18" ht="15.75" customHeight="1" x14ac:dyDescent="0.35">
      <c r="A231" s="18"/>
      <c r="B231" s="18"/>
      <c r="P231" s="19"/>
      <c r="Q231" s="19"/>
      <c r="R231" s="19"/>
    </row>
    <row r="232" spans="1:18" ht="15.75" customHeight="1" x14ac:dyDescent="0.35">
      <c r="A232" s="18"/>
      <c r="B232" s="18"/>
      <c r="P232" s="19"/>
      <c r="Q232" s="19"/>
      <c r="R232" s="19"/>
    </row>
    <row r="233" spans="1:18" ht="15.75" customHeight="1" x14ac:dyDescent="0.35">
      <c r="A233" s="18"/>
      <c r="B233" s="18"/>
      <c r="P233" s="19"/>
      <c r="Q233" s="19"/>
      <c r="R233" s="19"/>
    </row>
    <row r="234" spans="1:18" ht="15.75" customHeight="1" x14ac:dyDescent="0.35">
      <c r="A234" s="18"/>
      <c r="B234" s="18"/>
      <c r="P234" s="19"/>
      <c r="Q234" s="19"/>
      <c r="R234" s="19"/>
    </row>
    <row r="235" spans="1:18" ht="15.75" customHeight="1" x14ac:dyDescent="0.35">
      <c r="A235" s="18"/>
      <c r="B235" s="18"/>
      <c r="P235" s="19"/>
      <c r="Q235" s="19"/>
      <c r="R235" s="19"/>
    </row>
    <row r="236" spans="1:18" ht="15.75" customHeight="1" x14ac:dyDescent="0.35">
      <c r="A236" s="18"/>
      <c r="B236" s="18"/>
      <c r="P236" s="19"/>
      <c r="Q236" s="19"/>
      <c r="R236" s="19"/>
    </row>
    <row r="237" spans="1:18" ht="15.75" customHeight="1" x14ac:dyDescent="0.35">
      <c r="A237" s="18"/>
      <c r="B237" s="18"/>
      <c r="P237" s="19"/>
      <c r="Q237" s="19"/>
      <c r="R237" s="19"/>
    </row>
    <row r="238" spans="1:18" ht="15.75" customHeight="1" x14ac:dyDescent="0.35">
      <c r="A238" s="18"/>
      <c r="B238" s="18"/>
      <c r="P238" s="19"/>
      <c r="Q238" s="19"/>
      <c r="R238" s="19"/>
    </row>
    <row r="239" spans="1:18" ht="15.75" customHeight="1" x14ac:dyDescent="0.35">
      <c r="A239" s="18"/>
      <c r="B239" s="18"/>
      <c r="P239" s="19"/>
      <c r="Q239" s="19"/>
      <c r="R239" s="19"/>
    </row>
    <row r="240" spans="1:18" ht="15.75" customHeight="1" x14ac:dyDescent="0.35">
      <c r="A240" s="18"/>
      <c r="B240" s="18"/>
      <c r="P240" s="19"/>
      <c r="Q240" s="19"/>
      <c r="R240" s="19"/>
    </row>
    <row r="241" spans="1:18" ht="15.75" customHeight="1" x14ac:dyDescent="0.35">
      <c r="A241" s="18"/>
      <c r="B241" s="18"/>
      <c r="P241" s="19"/>
      <c r="Q241" s="19"/>
      <c r="R241" s="19"/>
    </row>
    <row r="242" spans="1:18" ht="15.75" customHeight="1" x14ac:dyDescent="0.35">
      <c r="A242" s="18"/>
      <c r="B242" s="18"/>
      <c r="P242" s="19"/>
      <c r="Q242" s="19"/>
      <c r="R242" s="19"/>
    </row>
    <row r="243" spans="1:18" ht="15.75" customHeight="1" x14ac:dyDescent="0.35">
      <c r="A243" s="18"/>
      <c r="B243" s="18"/>
      <c r="P243" s="19"/>
      <c r="Q243" s="19"/>
      <c r="R243" s="19"/>
    </row>
    <row r="244" spans="1:18" ht="15.75" customHeight="1" x14ac:dyDescent="0.35">
      <c r="A244" s="18"/>
      <c r="B244" s="18"/>
      <c r="P244" s="19"/>
      <c r="Q244" s="19"/>
      <c r="R244" s="19"/>
    </row>
    <row r="245" spans="1:18" ht="15.75" customHeight="1" x14ac:dyDescent="0.35">
      <c r="A245" s="18"/>
      <c r="B245" s="18"/>
      <c r="P245" s="19"/>
      <c r="Q245" s="19"/>
      <c r="R245" s="19"/>
    </row>
    <row r="246" spans="1:18" ht="15.75" customHeight="1" x14ac:dyDescent="0.35">
      <c r="A246" s="18"/>
      <c r="B246" s="18"/>
      <c r="P246" s="19"/>
      <c r="Q246" s="19"/>
      <c r="R246" s="19"/>
    </row>
    <row r="247" spans="1:18" ht="15.75" customHeight="1" x14ac:dyDescent="0.35">
      <c r="A247" s="18"/>
      <c r="B247" s="18"/>
      <c r="P247" s="19"/>
      <c r="Q247" s="19"/>
      <c r="R247" s="19"/>
    </row>
    <row r="248" spans="1:18" ht="15.75" customHeight="1" x14ac:dyDescent="0.35">
      <c r="A248" s="18"/>
      <c r="B248" s="18"/>
      <c r="P248" s="19"/>
      <c r="Q248" s="19"/>
      <c r="R248" s="19"/>
    </row>
    <row r="249" spans="1:18" ht="15.75" customHeight="1" x14ac:dyDescent="0.35">
      <c r="A249" s="18"/>
      <c r="B249" s="18"/>
      <c r="P249" s="19"/>
      <c r="Q249" s="19"/>
      <c r="R249" s="19"/>
    </row>
    <row r="250" spans="1:18" ht="15.75" customHeight="1" x14ac:dyDescent="0.35">
      <c r="A250" s="18"/>
      <c r="B250" s="18"/>
      <c r="P250" s="19"/>
      <c r="Q250" s="19"/>
      <c r="R250" s="19"/>
    </row>
    <row r="251" spans="1:18" ht="15.75" customHeight="1" x14ac:dyDescent="0.35">
      <c r="A251" s="18"/>
      <c r="B251" s="18"/>
      <c r="P251" s="19"/>
      <c r="Q251" s="19"/>
      <c r="R251" s="19"/>
    </row>
    <row r="252" spans="1:18" ht="15.75" customHeight="1" x14ac:dyDescent="0.35">
      <c r="A252" s="18"/>
      <c r="B252" s="18"/>
      <c r="P252" s="19"/>
      <c r="Q252" s="19"/>
      <c r="R252" s="19"/>
    </row>
    <row r="253" spans="1:18" ht="15.75" customHeight="1" x14ac:dyDescent="0.35">
      <c r="A253" s="18"/>
      <c r="B253" s="18"/>
      <c r="P253" s="19"/>
      <c r="Q253" s="19"/>
      <c r="R253" s="19"/>
    </row>
    <row r="254" spans="1:18" ht="15.75" customHeight="1" x14ac:dyDescent="0.35">
      <c r="A254" s="18"/>
      <c r="B254" s="18"/>
      <c r="P254" s="19"/>
      <c r="Q254" s="19"/>
      <c r="R254" s="19"/>
    </row>
    <row r="255" spans="1:18" ht="15.75" customHeight="1" x14ac:dyDescent="0.35">
      <c r="A255" s="18"/>
      <c r="B255" s="18"/>
      <c r="P255" s="19"/>
      <c r="Q255" s="19"/>
      <c r="R255" s="19"/>
    </row>
    <row r="256" spans="1:18" ht="15.75" customHeight="1" x14ac:dyDescent="0.35">
      <c r="A256" s="18"/>
      <c r="B256" s="18"/>
      <c r="P256" s="19"/>
      <c r="Q256" s="19"/>
      <c r="R256" s="19"/>
    </row>
    <row r="257" spans="1:18" ht="15.75" customHeight="1" x14ac:dyDescent="0.35">
      <c r="A257" s="18"/>
      <c r="B257" s="18"/>
      <c r="P257" s="19"/>
      <c r="Q257" s="19"/>
      <c r="R257" s="19"/>
    </row>
    <row r="258" spans="1:18" ht="15.75" customHeight="1" x14ac:dyDescent="0.35">
      <c r="A258" s="18"/>
      <c r="B258" s="18"/>
      <c r="P258" s="19"/>
      <c r="Q258" s="19"/>
      <c r="R258" s="19"/>
    </row>
    <row r="259" spans="1:18" ht="15.75" customHeight="1" x14ac:dyDescent="0.35">
      <c r="A259" s="18"/>
      <c r="B259" s="18"/>
      <c r="P259" s="19"/>
      <c r="Q259" s="19"/>
      <c r="R259" s="19"/>
    </row>
    <row r="260" spans="1:18" ht="15.75" customHeight="1" x14ac:dyDescent="0.35">
      <c r="A260" s="18"/>
      <c r="B260" s="18"/>
      <c r="P260" s="19"/>
      <c r="Q260" s="19"/>
      <c r="R260" s="19"/>
    </row>
    <row r="261" spans="1:18" ht="15.75" customHeight="1" x14ac:dyDescent="0.35">
      <c r="A261" s="18"/>
      <c r="B261" s="18"/>
      <c r="P261" s="19"/>
      <c r="Q261" s="19"/>
      <c r="R261" s="19"/>
    </row>
    <row r="262" spans="1:18" ht="15.75" customHeight="1" x14ac:dyDescent="0.35">
      <c r="A262" s="18"/>
      <c r="B262" s="18"/>
      <c r="P262" s="19"/>
      <c r="Q262" s="19"/>
      <c r="R262" s="19"/>
    </row>
    <row r="263" spans="1:18" ht="15.75" customHeight="1" x14ac:dyDescent="0.35">
      <c r="A263" s="18"/>
      <c r="B263" s="18"/>
      <c r="P263" s="19"/>
      <c r="Q263" s="19"/>
      <c r="R263" s="19"/>
    </row>
    <row r="264" spans="1:18" ht="15.75" customHeight="1" x14ac:dyDescent="0.35">
      <c r="A264" s="18"/>
      <c r="B264" s="18"/>
      <c r="P264" s="19"/>
      <c r="Q264" s="19"/>
      <c r="R264" s="19"/>
    </row>
    <row r="265" spans="1:18" ht="15.75" customHeight="1" x14ac:dyDescent="0.35">
      <c r="A265" s="18"/>
      <c r="B265" s="18"/>
      <c r="P265" s="19"/>
      <c r="Q265" s="19"/>
      <c r="R265" s="19"/>
    </row>
    <row r="266" spans="1:18" ht="15.75" customHeight="1" x14ac:dyDescent="0.35">
      <c r="A266" s="18"/>
      <c r="B266" s="18"/>
      <c r="P266" s="19"/>
      <c r="Q266" s="19"/>
      <c r="R266" s="19"/>
    </row>
    <row r="267" spans="1:18" ht="15.75" customHeight="1" x14ac:dyDescent="0.35">
      <c r="A267" s="18"/>
      <c r="B267" s="18"/>
      <c r="P267" s="19"/>
      <c r="Q267" s="19"/>
      <c r="R267" s="19"/>
    </row>
    <row r="268" spans="1:18" ht="15.75" customHeight="1" x14ac:dyDescent="0.35">
      <c r="A268" s="18"/>
      <c r="B268" s="18"/>
      <c r="P268" s="19"/>
      <c r="Q268" s="19"/>
      <c r="R268" s="19"/>
    </row>
    <row r="269" spans="1:18" ht="15.75" customHeight="1" x14ac:dyDescent="0.35">
      <c r="A269" s="18"/>
      <c r="B269" s="18"/>
      <c r="P269" s="19"/>
      <c r="Q269" s="19"/>
      <c r="R269" s="19"/>
    </row>
    <row r="270" spans="1:18" ht="15.75" customHeight="1" x14ac:dyDescent="0.35">
      <c r="A270" s="18"/>
      <c r="B270" s="18"/>
      <c r="P270" s="19"/>
      <c r="Q270" s="19"/>
      <c r="R270" s="19"/>
    </row>
    <row r="271" spans="1:18" ht="15.75" customHeight="1" x14ac:dyDescent="0.35">
      <c r="A271" s="18"/>
      <c r="B271" s="18"/>
      <c r="P271" s="19"/>
      <c r="Q271" s="19"/>
      <c r="R271" s="19"/>
    </row>
    <row r="272" spans="1:18" ht="15.75" customHeight="1" x14ac:dyDescent="0.35">
      <c r="A272" s="18"/>
      <c r="B272" s="18"/>
      <c r="P272" s="19"/>
      <c r="Q272" s="19"/>
      <c r="R272" s="19"/>
    </row>
    <row r="273" spans="1:18" ht="15.75" customHeight="1" x14ac:dyDescent="0.35">
      <c r="A273" s="18"/>
      <c r="B273" s="18"/>
      <c r="P273" s="19"/>
      <c r="Q273" s="19"/>
      <c r="R273" s="19"/>
    </row>
    <row r="274" spans="1:18" ht="15.75" customHeight="1" x14ac:dyDescent="0.35">
      <c r="A274" s="18"/>
      <c r="B274" s="18"/>
      <c r="P274" s="19"/>
      <c r="Q274" s="19"/>
      <c r="R274" s="19"/>
    </row>
    <row r="275" spans="1:18" ht="15.75" customHeight="1" x14ac:dyDescent="0.35">
      <c r="A275" s="18"/>
      <c r="B275" s="18"/>
      <c r="P275" s="19"/>
      <c r="Q275" s="19"/>
      <c r="R275" s="19"/>
    </row>
    <row r="276" spans="1:18" ht="15.75" customHeight="1" x14ac:dyDescent="0.35">
      <c r="A276" s="18"/>
      <c r="B276" s="18"/>
      <c r="P276" s="19"/>
      <c r="Q276" s="19"/>
      <c r="R276" s="19"/>
    </row>
    <row r="277" spans="1:18" ht="15.75" customHeight="1" x14ac:dyDescent="0.35">
      <c r="A277" s="18"/>
      <c r="B277" s="18"/>
      <c r="P277" s="19"/>
      <c r="Q277" s="19"/>
      <c r="R277" s="19"/>
    </row>
    <row r="278" spans="1:18" ht="15.75" customHeight="1" x14ac:dyDescent="0.35">
      <c r="A278" s="18"/>
      <c r="B278" s="18"/>
      <c r="P278" s="19"/>
      <c r="Q278" s="19"/>
      <c r="R278" s="19"/>
    </row>
    <row r="279" spans="1:18" ht="15.75" customHeight="1" x14ac:dyDescent="0.35">
      <c r="A279" s="18"/>
      <c r="B279" s="18"/>
      <c r="P279" s="19"/>
      <c r="Q279" s="19"/>
      <c r="R279" s="19"/>
    </row>
    <row r="280" spans="1:18" ht="15.75" customHeight="1" x14ac:dyDescent="0.35">
      <c r="A280" s="18"/>
      <c r="B280" s="18"/>
      <c r="P280" s="19"/>
      <c r="Q280" s="19"/>
      <c r="R280" s="19"/>
    </row>
    <row r="281" spans="1:18" ht="15.75" customHeight="1" x14ac:dyDescent="0.35">
      <c r="A281" s="18"/>
      <c r="B281" s="18"/>
      <c r="P281" s="19"/>
      <c r="Q281" s="19"/>
      <c r="R281" s="19"/>
    </row>
    <row r="282" spans="1:18" ht="15.75" customHeight="1" x14ac:dyDescent="0.35">
      <c r="A282" s="18"/>
      <c r="B282" s="18"/>
      <c r="P282" s="19"/>
      <c r="Q282" s="19"/>
      <c r="R282" s="19"/>
    </row>
    <row r="283" spans="1:18" ht="15.75" customHeight="1" x14ac:dyDescent="0.35">
      <c r="A283" s="18"/>
      <c r="B283" s="18"/>
      <c r="P283" s="19"/>
      <c r="Q283" s="19"/>
      <c r="R283" s="19"/>
    </row>
    <row r="284" spans="1:18" ht="15.75" customHeight="1" x14ac:dyDescent="0.35">
      <c r="A284" s="18"/>
      <c r="B284" s="18"/>
      <c r="P284" s="19"/>
      <c r="Q284" s="19"/>
      <c r="R284" s="19"/>
    </row>
    <row r="285" spans="1:18" ht="15.75" customHeight="1" x14ac:dyDescent="0.35">
      <c r="A285" s="18"/>
      <c r="B285" s="18"/>
      <c r="P285" s="19"/>
      <c r="Q285" s="19"/>
      <c r="R285" s="19"/>
    </row>
    <row r="286" spans="1:18" ht="15.75" customHeight="1" x14ac:dyDescent="0.35">
      <c r="A286" s="18"/>
      <c r="B286" s="18"/>
      <c r="P286" s="19"/>
      <c r="Q286" s="19"/>
      <c r="R286" s="19"/>
    </row>
    <row r="287" spans="1:18" ht="15.75" customHeight="1" x14ac:dyDescent="0.35">
      <c r="A287" s="18"/>
      <c r="B287" s="18"/>
      <c r="P287" s="19"/>
      <c r="Q287" s="19"/>
      <c r="R287" s="19"/>
    </row>
    <row r="288" spans="1:18" ht="15.75" customHeight="1" x14ac:dyDescent="0.35">
      <c r="A288" s="18"/>
      <c r="B288" s="18"/>
      <c r="P288" s="19"/>
      <c r="Q288" s="19"/>
      <c r="R288" s="19"/>
    </row>
    <row r="289" spans="1:18" ht="15.75" customHeight="1" x14ac:dyDescent="0.35">
      <c r="A289" s="18"/>
      <c r="B289" s="18"/>
      <c r="P289" s="19"/>
      <c r="Q289" s="19"/>
      <c r="R289" s="19"/>
    </row>
    <row r="290" spans="1:18" ht="15.75" customHeight="1" x14ac:dyDescent="0.35">
      <c r="A290" s="18"/>
      <c r="B290" s="18"/>
      <c r="P290" s="19"/>
      <c r="Q290" s="19"/>
      <c r="R290" s="19"/>
    </row>
    <row r="291" spans="1:18" ht="15.75" customHeight="1" x14ac:dyDescent="0.35">
      <c r="A291" s="18"/>
      <c r="B291" s="18"/>
      <c r="P291" s="19"/>
      <c r="Q291" s="19"/>
      <c r="R291" s="19"/>
    </row>
    <row r="292" spans="1:18" ht="15.75" customHeight="1" x14ac:dyDescent="0.35">
      <c r="A292" s="18"/>
      <c r="B292" s="18"/>
      <c r="P292" s="19"/>
      <c r="Q292" s="19"/>
      <c r="R292" s="19"/>
    </row>
    <row r="293" spans="1:18" ht="15.75" customHeight="1" x14ac:dyDescent="0.35">
      <c r="A293" s="18"/>
      <c r="B293" s="18"/>
      <c r="P293" s="19"/>
      <c r="Q293" s="19"/>
      <c r="R293" s="19"/>
    </row>
    <row r="294" spans="1:18" ht="15.75" customHeight="1" x14ac:dyDescent="0.35">
      <c r="A294" s="18"/>
      <c r="B294" s="18"/>
      <c r="P294" s="19"/>
      <c r="Q294" s="19"/>
      <c r="R294" s="19"/>
    </row>
    <row r="295" spans="1:18" ht="15.75" customHeight="1" x14ac:dyDescent="0.35">
      <c r="A295" s="18"/>
      <c r="B295" s="18"/>
      <c r="P295" s="19"/>
      <c r="Q295" s="19"/>
      <c r="R295" s="19"/>
    </row>
    <row r="296" spans="1:18" ht="15.75" customHeight="1" x14ac:dyDescent="0.35">
      <c r="A296" s="18"/>
      <c r="B296" s="18"/>
      <c r="P296" s="19"/>
      <c r="Q296" s="19"/>
      <c r="R296" s="19"/>
    </row>
    <row r="297" spans="1:18" ht="15.75" customHeight="1" x14ac:dyDescent="0.35">
      <c r="A297" s="18"/>
      <c r="B297" s="18"/>
      <c r="P297" s="19"/>
      <c r="Q297" s="19"/>
      <c r="R297" s="19"/>
    </row>
    <row r="298" spans="1:18" ht="15.75" customHeight="1" x14ac:dyDescent="0.35">
      <c r="A298" s="18"/>
      <c r="B298" s="18"/>
      <c r="P298" s="19"/>
      <c r="Q298" s="19"/>
      <c r="R298" s="19"/>
    </row>
    <row r="299" spans="1:18" ht="15.75" customHeight="1" x14ac:dyDescent="0.35">
      <c r="A299" s="18"/>
      <c r="B299" s="18"/>
      <c r="P299" s="19"/>
      <c r="Q299" s="19"/>
      <c r="R299" s="19"/>
    </row>
    <row r="300" spans="1:18" ht="15.75" customHeight="1" x14ac:dyDescent="0.35">
      <c r="A300" s="18"/>
      <c r="B300" s="18"/>
      <c r="P300" s="19"/>
      <c r="Q300" s="19"/>
      <c r="R300" s="19"/>
    </row>
    <row r="301" spans="1:18" ht="15.75" customHeight="1" x14ac:dyDescent="0.35">
      <c r="A301" s="18"/>
      <c r="B301" s="18"/>
      <c r="P301" s="19"/>
      <c r="Q301" s="19"/>
      <c r="R301" s="19"/>
    </row>
    <row r="302" spans="1:18" ht="15.75" customHeight="1" x14ac:dyDescent="0.35">
      <c r="A302" s="18"/>
      <c r="B302" s="18"/>
      <c r="P302" s="19"/>
      <c r="Q302" s="19"/>
      <c r="R302" s="19"/>
    </row>
    <row r="303" spans="1:18" ht="15.75" customHeight="1" x14ac:dyDescent="0.35">
      <c r="A303" s="18"/>
      <c r="B303" s="18"/>
      <c r="P303" s="19"/>
      <c r="Q303" s="19"/>
      <c r="R303" s="19"/>
    </row>
    <row r="304" spans="1:18" ht="15.75" customHeight="1" x14ac:dyDescent="0.35">
      <c r="A304" s="18"/>
      <c r="B304" s="18"/>
      <c r="P304" s="19"/>
      <c r="Q304" s="19"/>
      <c r="R304" s="19"/>
    </row>
    <row r="305" spans="1:18" ht="15.75" customHeight="1" x14ac:dyDescent="0.35">
      <c r="A305" s="18"/>
      <c r="B305" s="18"/>
      <c r="P305" s="19"/>
      <c r="Q305" s="19"/>
      <c r="R305" s="19"/>
    </row>
    <row r="306" spans="1:18" ht="15.75" customHeight="1" x14ac:dyDescent="0.35">
      <c r="A306" s="18"/>
      <c r="B306" s="18"/>
      <c r="P306" s="19"/>
      <c r="Q306" s="19"/>
      <c r="R306" s="19"/>
    </row>
    <row r="307" spans="1:18" ht="15.75" customHeight="1" x14ac:dyDescent="0.35">
      <c r="A307" s="18"/>
      <c r="B307" s="18"/>
      <c r="P307" s="19"/>
      <c r="Q307" s="19"/>
      <c r="R307" s="19"/>
    </row>
    <row r="308" spans="1:18" ht="15.75" customHeight="1" x14ac:dyDescent="0.35">
      <c r="A308" s="18"/>
      <c r="B308" s="18"/>
      <c r="P308" s="19"/>
      <c r="Q308" s="19"/>
      <c r="R308" s="19"/>
    </row>
    <row r="309" spans="1:18" ht="15.75" customHeight="1" x14ac:dyDescent="0.35">
      <c r="A309" s="18"/>
      <c r="B309" s="18"/>
      <c r="P309" s="19"/>
      <c r="Q309" s="19"/>
      <c r="R309" s="19"/>
    </row>
    <row r="310" spans="1:18" ht="15.75" customHeight="1" x14ac:dyDescent="0.35">
      <c r="A310" s="18"/>
      <c r="B310" s="18"/>
      <c r="P310" s="19"/>
      <c r="Q310" s="19"/>
      <c r="R310" s="19"/>
    </row>
    <row r="311" spans="1:18" ht="15.75" customHeight="1" x14ac:dyDescent="0.35">
      <c r="A311" s="18"/>
      <c r="B311" s="18"/>
      <c r="P311" s="19"/>
      <c r="Q311" s="19"/>
      <c r="R311" s="19"/>
    </row>
    <row r="312" spans="1:18" ht="15.75" customHeight="1" x14ac:dyDescent="0.35">
      <c r="A312" s="18"/>
      <c r="B312" s="18"/>
      <c r="P312" s="19"/>
      <c r="Q312" s="19"/>
      <c r="R312" s="19"/>
    </row>
    <row r="313" spans="1:18" ht="15.75" customHeight="1" x14ac:dyDescent="0.35">
      <c r="A313" s="18"/>
      <c r="B313" s="18"/>
      <c r="P313" s="19"/>
      <c r="Q313" s="19"/>
      <c r="R313" s="19"/>
    </row>
    <row r="314" spans="1:18" ht="15.75" customHeight="1" x14ac:dyDescent="0.35">
      <c r="A314" s="18"/>
      <c r="B314" s="18"/>
      <c r="P314" s="19"/>
      <c r="Q314" s="19"/>
      <c r="R314" s="19"/>
    </row>
    <row r="315" spans="1:18" ht="15.75" customHeight="1" x14ac:dyDescent="0.35">
      <c r="A315" s="18"/>
      <c r="B315" s="18"/>
      <c r="P315" s="19"/>
      <c r="Q315" s="19"/>
      <c r="R315" s="19"/>
    </row>
    <row r="316" spans="1:18" ht="15.75" customHeight="1" x14ac:dyDescent="0.35">
      <c r="A316" s="18"/>
      <c r="B316" s="18"/>
      <c r="P316" s="19"/>
      <c r="Q316" s="19"/>
      <c r="R316" s="19"/>
    </row>
    <row r="317" spans="1:18" ht="15.75" customHeight="1" x14ac:dyDescent="0.35">
      <c r="A317" s="18"/>
      <c r="B317" s="18"/>
      <c r="P317" s="19"/>
      <c r="Q317" s="19"/>
      <c r="R317" s="19"/>
    </row>
    <row r="318" spans="1:18" ht="15.75" customHeight="1" x14ac:dyDescent="0.35">
      <c r="A318" s="18"/>
      <c r="B318" s="18"/>
      <c r="P318" s="19"/>
      <c r="Q318" s="19"/>
      <c r="R318" s="19"/>
    </row>
    <row r="319" spans="1:18" ht="15.75" customHeight="1" x14ac:dyDescent="0.35">
      <c r="A319" s="18"/>
      <c r="B319" s="18"/>
      <c r="P319" s="19"/>
      <c r="Q319" s="19"/>
      <c r="R319" s="19"/>
    </row>
    <row r="320" spans="1:18" ht="15.75" customHeight="1" x14ac:dyDescent="0.35">
      <c r="A320" s="18"/>
      <c r="B320" s="18"/>
      <c r="P320" s="19"/>
      <c r="Q320" s="19"/>
      <c r="R320" s="19"/>
    </row>
    <row r="321" spans="1:18" ht="15.75" customHeight="1" x14ac:dyDescent="0.35">
      <c r="A321" s="18"/>
      <c r="B321" s="18"/>
      <c r="P321" s="19"/>
      <c r="Q321" s="19"/>
      <c r="R321" s="19"/>
    </row>
    <row r="322" spans="1:18" ht="15.75" customHeight="1" x14ac:dyDescent="0.35">
      <c r="A322" s="18"/>
      <c r="B322" s="18"/>
      <c r="P322" s="19"/>
      <c r="Q322" s="19"/>
      <c r="R322" s="19"/>
    </row>
    <row r="323" spans="1:18" ht="15.75" customHeight="1" x14ac:dyDescent="0.35">
      <c r="A323" s="18"/>
      <c r="B323" s="18"/>
      <c r="P323" s="19"/>
      <c r="Q323" s="19"/>
      <c r="R323" s="19"/>
    </row>
    <row r="324" spans="1:18" ht="15.75" customHeight="1" x14ac:dyDescent="0.35">
      <c r="A324" s="18"/>
      <c r="B324" s="18"/>
      <c r="P324" s="19"/>
      <c r="Q324" s="19"/>
      <c r="R324" s="19"/>
    </row>
    <row r="325" spans="1:18" ht="15.75" customHeight="1" x14ac:dyDescent="0.35">
      <c r="A325" s="18"/>
      <c r="B325" s="18"/>
      <c r="P325" s="19"/>
      <c r="Q325" s="19"/>
      <c r="R325" s="19"/>
    </row>
    <row r="326" spans="1:18" ht="15.75" customHeight="1" x14ac:dyDescent="0.35">
      <c r="A326" s="18"/>
      <c r="B326" s="18"/>
      <c r="P326" s="19"/>
      <c r="Q326" s="19"/>
      <c r="R326" s="19"/>
    </row>
    <row r="327" spans="1:18" ht="15.75" customHeight="1" x14ac:dyDescent="0.35">
      <c r="A327" s="18"/>
      <c r="B327" s="18"/>
      <c r="P327" s="19"/>
      <c r="Q327" s="19"/>
      <c r="R327" s="19"/>
    </row>
    <row r="328" spans="1:18" ht="15.75" customHeight="1" x14ac:dyDescent="0.35">
      <c r="A328" s="18"/>
      <c r="B328" s="18"/>
      <c r="P328" s="19"/>
      <c r="Q328" s="19"/>
      <c r="R328" s="19"/>
    </row>
    <row r="329" spans="1:18" ht="15.75" customHeight="1" x14ac:dyDescent="0.35">
      <c r="A329" s="18"/>
      <c r="B329" s="18"/>
      <c r="P329" s="19"/>
      <c r="Q329" s="19"/>
      <c r="R329" s="19"/>
    </row>
    <row r="330" spans="1:18" ht="15.75" customHeight="1" x14ac:dyDescent="0.35">
      <c r="A330" s="18"/>
      <c r="B330" s="18"/>
      <c r="P330" s="19"/>
      <c r="Q330" s="19"/>
      <c r="R330" s="19"/>
    </row>
    <row r="331" spans="1:18" ht="15.75" customHeight="1" x14ac:dyDescent="0.35">
      <c r="A331" s="18"/>
      <c r="B331" s="18"/>
      <c r="P331" s="19"/>
      <c r="Q331" s="19"/>
      <c r="R331" s="19"/>
    </row>
    <row r="332" spans="1:18" ht="15.75" customHeight="1" x14ac:dyDescent="0.35">
      <c r="A332" s="18"/>
      <c r="B332" s="18"/>
      <c r="P332" s="19"/>
      <c r="Q332" s="19"/>
      <c r="R332" s="19"/>
    </row>
    <row r="333" spans="1:18" ht="15.75" customHeight="1" x14ac:dyDescent="0.35">
      <c r="A333" s="18"/>
      <c r="B333" s="18"/>
      <c r="P333" s="19"/>
      <c r="Q333" s="19"/>
      <c r="R333" s="19"/>
    </row>
    <row r="334" spans="1:18" ht="15.75" customHeight="1" x14ac:dyDescent="0.35">
      <c r="A334" s="18"/>
      <c r="B334" s="18"/>
      <c r="P334" s="19"/>
      <c r="Q334" s="19"/>
      <c r="R334" s="19"/>
    </row>
    <row r="335" spans="1:18" ht="15.75" customHeight="1" x14ac:dyDescent="0.35">
      <c r="A335" s="18"/>
      <c r="B335" s="18"/>
      <c r="P335" s="19"/>
      <c r="Q335" s="19"/>
      <c r="R335" s="19"/>
    </row>
    <row r="336" spans="1:18" ht="15.75" customHeight="1" x14ac:dyDescent="0.35">
      <c r="A336" s="18"/>
      <c r="B336" s="18"/>
      <c r="P336" s="19"/>
      <c r="Q336" s="19"/>
      <c r="R336" s="19"/>
    </row>
    <row r="337" spans="1:18" ht="15.75" customHeight="1" x14ac:dyDescent="0.35">
      <c r="A337" s="18"/>
      <c r="B337" s="18"/>
      <c r="P337" s="19"/>
      <c r="Q337" s="19"/>
      <c r="R337" s="19"/>
    </row>
    <row r="338" spans="1:18" ht="15.75" customHeight="1" x14ac:dyDescent="0.35">
      <c r="A338" s="18"/>
      <c r="B338" s="18"/>
      <c r="P338" s="19"/>
      <c r="Q338" s="19"/>
      <c r="R338" s="19"/>
    </row>
    <row r="339" spans="1:18" ht="15.75" customHeight="1" x14ac:dyDescent="0.35">
      <c r="A339" s="18"/>
      <c r="B339" s="18"/>
      <c r="P339" s="19"/>
      <c r="Q339" s="19"/>
      <c r="R339" s="19"/>
    </row>
    <row r="340" spans="1:18" ht="15.75" customHeight="1" x14ac:dyDescent="0.35">
      <c r="A340" s="18"/>
      <c r="B340" s="18"/>
      <c r="P340" s="19"/>
      <c r="Q340" s="19"/>
      <c r="R340" s="19"/>
    </row>
    <row r="341" spans="1:18" ht="15.75" customHeight="1" x14ac:dyDescent="0.35">
      <c r="A341" s="18"/>
      <c r="B341" s="18"/>
      <c r="P341" s="19"/>
      <c r="Q341" s="19"/>
      <c r="R341" s="19"/>
    </row>
    <row r="342" spans="1:18" ht="15.75" customHeight="1" x14ac:dyDescent="0.35">
      <c r="A342" s="18"/>
      <c r="B342" s="18"/>
      <c r="P342" s="19"/>
      <c r="Q342" s="19"/>
      <c r="R342" s="19"/>
    </row>
    <row r="343" spans="1:18" ht="15.75" customHeight="1" x14ac:dyDescent="0.35">
      <c r="A343" s="18"/>
      <c r="B343" s="18"/>
      <c r="P343" s="19"/>
      <c r="Q343" s="19"/>
      <c r="R343" s="19"/>
    </row>
    <row r="344" spans="1:18" ht="15.75" customHeight="1" x14ac:dyDescent="0.35">
      <c r="A344" s="18"/>
      <c r="B344" s="18"/>
      <c r="P344" s="19"/>
      <c r="Q344" s="19"/>
      <c r="R344" s="19"/>
    </row>
    <row r="345" spans="1:18" ht="15.75" customHeight="1" x14ac:dyDescent="0.35">
      <c r="A345" s="18"/>
      <c r="B345" s="18"/>
      <c r="P345" s="19"/>
      <c r="Q345" s="19"/>
      <c r="R345" s="19"/>
    </row>
    <row r="346" spans="1:18" ht="15.75" customHeight="1" x14ac:dyDescent="0.35">
      <c r="A346" s="18"/>
      <c r="B346" s="18"/>
      <c r="P346" s="19"/>
      <c r="Q346" s="19"/>
      <c r="R346" s="19"/>
    </row>
    <row r="347" spans="1:18" ht="15.75" customHeight="1" x14ac:dyDescent="0.35">
      <c r="A347" s="18"/>
      <c r="B347" s="18"/>
      <c r="P347" s="19"/>
      <c r="Q347" s="19"/>
      <c r="R347" s="19"/>
    </row>
    <row r="348" spans="1:18" ht="15.75" customHeight="1" x14ac:dyDescent="0.35">
      <c r="A348" s="18"/>
      <c r="B348" s="18"/>
      <c r="P348" s="19"/>
      <c r="Q348" s="19"/>
      <c r="R348" s="19"/>
    </row>
    <row r="349" spans="1:18" ht="15.75" customHeight="1" x14ac:dyDescent="0.35">
      <c r="A349" s="18"/>
      <c r="B349" s="18"/>
      <c r="P349" s="19"/>
      <c r="Q349" s="19"/>
      <c r="R349" s="19"/>
    </row>
    <row r="350" spans="1:18" ht="15.75" customHeight="1" x14ac:dyDescent="0.35">
      <c r="A350" s="18"/>
      <c r="B350" s="18"/>
      <c r="P350" s="19"/>
      <c r="Q350" s="19"/>
      <c r="R350" s="19"/>
    </row>
    <row r="351" spans="1:18" ht="15.75" customHeight="1" x14ac:dyDescent="0.35">
      <c r="A351" s="18"/>
      <c r="B351" s="18"/>
      <c r="P351" s="19"/>
      <c r="Q351" s="19"/>
      <c r="R351" s="19"/>
    </row>
    <row r="352" spans="1:18" ht="15.75" customHeight="1" x14ac:dyDescent="0.35">
      <c r="A352" s="18"/>
      <c r="B352" s="18"/>
      <c r="P352" s="19"/>
      <c r="Q352" s="19"/>
      <c r="R352" s="19"/>
    </row>
    <row r="353" spans="1:18" ht="15.75" customHeight="1" x14ac:dyDescent="0.35">
      <c r="A353" s="18"/>
      <c r="B353" s="18"/>
      <c r="P353" s="19"/>
      <c r="Q353" s="19"/>
      <c r="R353" s="19"/>
    </row>
    <row r="354" spans="1:18" ht="15.75" customHeight="1" x14ac:dyDescent="0.35">
      <c r="A354" s="18"/>
      <c r="B354" s="18"/>
      <c r="P354" s="19"/>
      <c r="Q354" s="19"/>
      <c r="R354" s="19"/>
    </row>
    <row r="355" spans="1:18" ht="15.75" customHeight="1" x14ac:dyDescent="0.35">
      <c r="A355" s="18"/>
      <c r="B355" s="18"/>
      <c r="P355" s="19"/>
      <c r="Q355" s="19"/>
      <c r="R355" s="19"/>
    </row>
    <row r="356" spans="1:18" ht="15.75" customHeight="1" x14ac:dyDescent="0.35">
      <c r="A356" s="18"/>
      <c r="B356" s="18"/>
      <c r="P356" s="19"/>
      <c r="Q356" s="19"/>
      <c r="R356" s="19"/>
    </row>
    <row r="357" spans="1:18" ht="15.75" customHeight="1" x14ac:dyDescent="0.35">
      <c r="A357" s="18"/>
      <c r="B357" s="18"/>
      <c r="P357" s="19"/>
      <c r="Q357" s="19"/>
      <c r="R357" s="19"/>
    </row>
    <row r="358" spans="1:18" ht="15.75" customHeight="1" x14ac:dyDescent="0.35">
      <c r="A358" s="18"/>
      <c r="B358" s="18"/>
      <c r="P358" s="19"/>
      <c r="Q358" s="19"/>
      <c r="R358" s="19"/>
    </row>
    <row r="359" spans="1:18" ht="15.75" customHeight="1" x14ac:dyDescent="0.35">
      <c r="A359" s="18"/>
      <c r="B359" s="18"/>
      <c r="P359" s="19"/>
      <c r="Q359" s="19"/>
      <c r="R359" s="19"/>
    </row>
    <row r="360" spans="1:18" ht="15.75" customHeight="1" x14ac:dyDescent="0.35">
      <c r="A360" s="18"/>
      <c r="B360" s="18"/>
      <c r="P360" s="19"/>
      <c r="Q360" s="19"/>
      <c r="R360" s="19"/>
    </row>
    <row r="361" spans="1:18" ht="15.75" customHeight="1" x14ac:dyDescent="0.35">
      <c r="A361" s="18"/>
      <c r="B361" s="18"/>
      <c r="P361" s="19"/>
      <c r="Q361" s="19"/>
      <c r="R361" s="19"/>
    </row>
    <row r="362" spans="1:18" ht="15.75" customHeight="1" x14ac:dyDescent="0.35">
      <c r="A362" s="18"/>
      <c r="B362" s="18"/>
      <c r="P362" s="19"/>
      <c r="Q362" s="19"/>
      <c r="R362" s="19"/>
    </row>
    <row r="363" spans="1:18" ht="15.75" customHeight="1" x14ac:dyDescent="0.35">
      <c r="A363" s="18"/>
      <c r="B363" s="18"/>
      <c r="P363" s="19"/>
      <c r="Q363" s="19"/>
      <c r="R363" s="19"/>
    </row>
    <row r="364" spans="1:18" ht="15.75" customHeight="1" x14ac:dyDescent="0.35">
      <c r="A364" s="18"/>
      <c r="B364" s="18"/>
      <c r="P364" s="19"/>
      <c r="Q364" s="19"/>
      <c r="R364" s="19"/>
    </row>
    <row r="365" spans="1:18" ht="15.75" customHeight="1" x14ac:dyDescent="0.35">
      <c r="A365" s="18"/>
      <c r="B365" s="18"/>
      <c r="P365" s="19"/>
      <c r="Q365" s="19"/>
      <c r="R365" s="19"/>
    </row>
    <row r="366" spans="1:18" ht="15.75" customHeight="1" x14ac:dyDescent="0.35">
      <c r="A366" s="18"/>
      <c r="B366" s="18"/>
      <c r="P366" s="19"/>
      <c r="Q366" s="19"/>
      <c r="R366" s="19"/>
    </row>
    <row r="367" spans="1:18" ht="15.75" customHeight="1" x14ac:dyDescent="0.35">
      <c r="A367" s="18"/>
      <c r="B367" s="18"/>
      <c r="P367" s="19"/>
      <c r="Q367" s="19"/>
      <c r="R367" s="19"/>
    </row>
    <row r="368" spans="1:18" ht="15.75" customHeight="1" x14ac:dyDescent="0.35">
      <c r="A368" s="18"/>
      <c r="B368" s="18"/>
      <c r="P368" s="19"/>
      <c r="Q368" s="19"/>
      <c r="R368" s="19"/>
    </row>
    <row r="369" spans="1:18" ht="15.75" customHeight="1" x14ac:dyDescent="0.35">
      <c r="A369" s="18"/>
      <c r="B369" s="18"/>
      <c r="P369" s="19"/>
      <c r="Q369" s="19"/>
      <c r="R369" s="19"/>
    </row>
    <row r="370" spans="1:18" ht="15.75" customHeight="1" x14ac:dyDescent="0.35">
      <c r="A370" s="18"/>
      <c r="B370" s="18"/>
      <c r="P370" s="19"/>
      <c r="Q370" s="19"/>
      <c r="R370" s="19"/>
    </row>
    <row r="371" spans="1:18" ht="15.75" customHeight="1" x14ac:dyDescent="0.35">
      <c r="A371" s="18"/>
      <c r="B371" s="18"/>
      <c r="P371" s="19"/>
      <c r="Q371" s="19"/>
      <c r="R371" s="19"/>
    </row>
    <row r="372" spans="1:18" ht="15.75" customHeight="1" x14ac:dyDescent="0.35">
      <c r="A372" s="18"/>
      <c r="B372" s="18"/>
      <c r="P372" s="19"/>
      <c r="Q372" s="19"/>
      <c r="R372" s="19"/>
    </row>
    <row r="373" spans="1:18" ht="15.75" customHeight="1" x14ac:dyDescent="0.35">
      <c r="A373" s="18"/>
      <c r="B373" s="18"/>
      <c r="P373" s="19"/>
      <c r="Q373" s="19"/>
      <c r="R373" s="19"/>
    </row>
    <row r="374" spans="1:18" ht="15.75" customHeight="1" x14ac:dyDescent="0.35">
      <c r="A374" s="18"/>
      <c r="B374" s="18"/>
      <c r="P374" s="19"/>
      <c r="Q374" s="19"/>
      <c r="R374" s="19"/>
    </row>
    <row r="375" spans="1:18" ht="15.75" customHeight="1" x14ac:dyDescent="0.35">
      <c r="A375" s="18"/>
      <c r="B375" s="18"/>
      <c r="P375" s="19"/>
      <c r="Q375" s="19"/>
      <c r="R375" s="19"/>
    </row>
    <row r="376" spans="1:18" ht="15.75" customHeight="1" x14ac:dyDescent="0.35">
      <c r="A376" s="18"/>
      <c r="B376" s="18"/>
      <c r="P376" s="19"/>
      <c r="Q376" s="19"/>
      <c r="R376" s="19"/>
    </row>
    <row r="377" spans="1:18" ht="15.75" customHeight="1" x14ac:dyDescent="0.35">
      <c r="A377" s="18"/>
      <c r="B377" s="18"/>
      <c r="P377" s="19"/>
      <c r="Q377" s="19"/>
      <c r="R377" s="19"/>
    </row>
    <row r="378" spans="1:18" ht="15.75" customHeight="1" x14ac:dyDescent="0.35">
      <c r="A378" s="18"/>
      <c r="B378" s="18"/>
      <c r="P378" s="19"/>
      <c r="Q378" s="19"/>
      <c r="R378" s="19"/>
    </row>
    <row r="379" spans="1:18" ht="15.75" customHeight="1" x14ac:dyDescent="0.35">
      <c r="A379" s="18"/>
      <c r="B379" s="18"/>
      <c r="P379" s="19"/>
      <c r="Q379" s="19"/>
      <c r="R379" s="19"/>
    </row>
    <row r="380" spans="1:18" ht="15.75" customHeight="1" x14ac:dyDescent="0.35">
      <c r="A380" s="18"/>
      <c r="B380" s="18"/>
      <c r="P380" s="19"/>
      <c r="Q380" s="19"/>
      <c r="R380" s="19"/>
    </row>
    <row r="381" spans="1:18" ht="15.75" customHeight="1" x14ac:dyDescent="0.35">
      <c r="A381" s="18"/>
      <c r="B381" s="18"/>
      <c r="P381" s="19"/>
      <c r="Q381" s="19"/>
      <c r="R381" s="19"/>
    </row>
    <row r="382" spans="1:18" ht="15.75" customHeight="1" x14ac:dyDescent="0.35">
      <c r="A382" s="18"/>
      <c r="B382" s="18"/>
      <c r="P382" s="19"/>
      <c r="Q382" s="19"/>
      <c r="R382" s="19"/>
    </row>
    <row r="383" spans="1:18" ht="15.75" customHeight="1" x14ac:dyDescent="0.35">
      <c r="A383" s="18"/>
      <c r="B383" s="18"/>
      <c r="P383" s="19"/>
      <c r="Q383" s="19"/>
      <c r="R383" s="19"/>
    </row>
    <row r="384" spans="1:18" ht="15.75" customHeight="1" x14ac:dyDescent="0.35">
      <c r="A384" s="18"/>
      <c r="B384" s="18"/>
      <c r="P384" s="19"/>
      <c r="Q384" s="19"/>
      <c r="R384" s="19"/>
    </row>
    <row r="385" spans="1:18" ht="15.75" customHeight="1" x14ac:dyDescent="0.35">
      <c r="A385" s="18"/>
      <c r="B385" s="18"/>
      <c r="P385" s="19"/>
      <c r="Q385" s="19"/>
      <c r="R385" s="19"/>
    </row>
    <row r="386" spans="1:18" ht="15.75" customHeight="1" x14ac:dyDescent="0.35">
      <c r="A386" s="18"/>
      <c r="B386" s="18"/>
      <c r="P386" s="19"/>
      <c r="Q386" s="19"/>
      <c r="R386" s="19"/>
    </row>
    <row r="387" spans="1:18" ht="15.75" customHeight="1" x14ac:dyDescent="0.35">
      <c r="A387" s="18"/>
      <c r="B387" s="18"/>
      <c r="P387" s="19"/>
      <c r="Q387" s="19"/>
      <c r="R387" s="19"/>
    </row>
    <row r="388" spans="1:18" ht="15.75" customHeight="1" x14ac:dyDescent="0.35">
      <c r="A388" s="18"/>
      <c r="B388" s="18"/>
      <c r="P388" s="19"/>
      <c r="Q388" s="19"/>
      <c r="R388" s="19"/>
    </row>
    <row r="389" spans="1:18" ht="15.75" customHeight="1" x14ac:dyDescent="0.35">
      <c r="A389" s="18"/>
      <c r="B389" s="18"/>
      <c r="P389" s="19"/>
      <c r="Q389" s="19"/>
      <c r="R389" s="19"/>
    </row>
    <row r="390" spans="1:18" ht="15.75" customHeight="1" x14ac:dyDescent="0.35">
      <c r="A390" s="18"/>
      <c r="B390" s="18"/>
      <c r="P390" s="19"/>
      <c r="Q390" s="19"/>
      <c r="R390" s="19"/>
    </row>
    <row r="391" spans="1:18" ht="15.75" customHeight="1" x14ac:dyDescent="0.35">
      <c r="A391" s="18"/>
      <c r="B391" s="18"/>
      <c r="P391" s="19"/>
      <c r="Q391" s="19"/>
      <c r="R391" s="19"/>
    </row>
    <row r="392" spans="1:18" ht="15.75" customHeight="1" x14ac:dyDescent="0.35">
      <c r="A392" s="18"/>
      <c r="B392" s="18"/>
      <c r="P392" s="19"/>
      <c r="Q392" s="19"/>
      <c r="R392" s="19"/>
    </row>
    <row r="393" spans="1:18" ht="15.75" customHeight="1" x14ac:dyDescent="0.35">
      <c r="A393" s="18"/>
      <c r="B393" s="18"/>
      <c r="P393" s="19"/>
      <c r="Q393" s="19"/>
      <c r="R393" s="19"/>
    </row>
    <row r="394" spans="1:18" ht="15.75" customHeight="1" x14ac:dyDescent="0.35">
      <c r="A394" s="18"/>
      <c r="B394" s="18"/>
      <c r="P394" s="19"/>
      <c r="Q394" s="19"/>
      <c r="R394" s="19"/>
    </row>
    <row r="395" spans="1:18" ht="15.75" customHeight="1" x14ac:dyDescent="0.35">
      <c r="A395" s="18"/>
      <c r="B395" s="18"/>
      <c r="P395" s="19"/>
      <c r="Q395" s="19"/>
      <c r="R395" s="19"/>
    </row>
    <row r="396" spans="1:18" ht="15.75" customHeight="1" x14ac:dyDescent="0.35">
      <c r="A396" s="18"/>
      <c r="B396" s="18"/>
      <c r="P396" s="19"/>
      <c r="Q396" s="19"/>
      <c r="R396" s="19"/>
    </row>
    <row r="397" spans="1:18" ht="15.75" customHeight="1" x14ac:dyDescent="0.35">
      <c r="A397" s="18"/>
      <c r="B397" s="18"/>
      <c r="P397" s="19"/>
      <c r="Q397" s="19"/>
      <c r="R397" s="19"/>
    </row>
    <row r="398" spans="1:18" ht="15.75" customHeight="1" x14ac:dyDescent="0.35">
      <c r="A398" s="18"/>
      <c r="B398" s="18"/>
      <c r="P398" s="19"/>
      <c r="Q398" s="19"/>
      <c r="R398" s="19"/>
    </row>
    <row r="399" spans="1:18" ht="15.75" customHeight="1" x14ac:dyDescent="0.35">
      <c r="A399" s="18"/>
      <c r="B399" s="18"/>
      <c r="P399" s="19"/>
      <c r="Q399" s="19"/>
      <c r="R399" s="19"/>
    </row>
    <row r="400" spans="1:18" ht="15.75" customHeight="1" x14ac:dyDescent="0.35">
      <c r="A400" s="18"/>
      <c r="B400" s="18"/>
      <c r="P400" s="19"/>
      <c r="Q400" s="19"/>
      <c r="R400" s="19"/>
    </row>
    <row r="401" spans="1:18" ht="15.75" customHeight="1" x14ac:dyDescent="0.35">
      <c r="A401" s="18"/>
      <c r="B401" s="18"/>
      <c r="P401" s="19"/>
      <c r="Q401" s="19"/>
      <c r="R401" s="19"/>
    </row>
    <row r="402" spans="1:18" ht="15.75" customHeight="1" x14ac:dyDescent="0.35">
      <c r="A402" s="18"/>
      <c r="B402" s="18"/>
      <c r="P402" s="19"/>
      <c r="Q402" s="19"/>
      <c r="R402" s="19"/>
    </row>
    <row r="403" spans="1:18" ht="15.75" customHeight="1" x14ac:dyDescent="0.35">
      <c r="A403" s="18"/>
      <c r="B403" s="18"/>
      <c r="P403" s="19"/>
      <c r="Q403" s="19"/>
      <c r="R403" s="19"/>
    </row>
    <row r="404" spans="1:18" ht="15.75" customHeight="1" x14ac:dyDescent="0.35">
      <c r="A404" s="18"/>
      <c r="B404" s="18"/>
      <c r="P404" s="19"/>
      <c r="Q404" s="19"/>
      <c r="R404" s="19"/>
    </row>
    <row r="405" spans="1:18" ht="15.75" customHeight="1" x14ac:dyDescent="0.35">
      <c r="A405" s="18"/>
      <c r="B405" s="18"/>
      <c r="P405" s="19"/>
      <c r="Q405" s="19"/>
      <c r="R405" s="19"/>
    </row>
    <row r="406" spans="1:18" ht="15.75" customHeight="1" x14ac:dyDescent="0.35">
      <c r="A406" s="18"/>
      <c r="B406" s="18"/>
      <c r="P406" s="19"/>
      <c r="Q406" s="19"/>
      <c r="R406" s="19"/>
    </row>
    <row r="407" spans="1:18" ht="15.75" customHeight="1" x14ac:dyDescent="0.35">
      <c r="A407" s="18"/>
      <c r="B407" s="18"/>
      <c r="P407" s="19"/>
      <c r="Q407" s="19"/>
      <c r="R407" s="19"/>
    </row>
    <row r="408" spans="1:18" ht="15.75" customHeight="1" x14ac:dyDescent="0.35">
      <c r="A408" s="18"/>
      <c r="B408" s="18"/>
      <c r="P408" s="19"/>
      <c r="Q408" s="19"/>
      <c r="R408" s="19"/>
    </row>
    <row r="409" spans="1:18" ht="15.75" customHeight="1" x14ac:dyDescent="0.35">
      <c r="A409" s="18"/>
      <c r="B409" s="18"/>
      <c r="P409" s="19"/>
      <c r="Q409" s="19"/>
      <c r="R409" s="19"/>
    </row>
    <row r="410" spans="1:18" ht="15.75" customHeight="1" x14ac:dyDescent="0.35">
      <c r="A410" s="18"/>
      <c r="B410" s="18"/>
      <c r="P410" s="19"/>
      <c r="Q410" s="19"/>
      <c r="R410" s="19"/>
    </row>
    <row r="411" spans="1:18" ht="15.75" customHeight="1" x14ac:dyDescent="0.35">
      <c r="A411" s="18"/>
      <c r="B411" s="18"/>
      <c r="P411" s="19"/>
      <c r="Q411" s="19"/>
      <c r="R411" s="19"/>
    </row>
    <row r="412" spans="1:18" ht="15.75" customHeight="1" x14ac:dyDescent="0.35">
      <c r="A412" s="18"/>
      <c r="B412" s="18"/>
      <c r="P412" s="19"/>
      <c r="Q412" s="19"/>
      <c r="R412" s="19"/>
    </row>
    <row r="413" spans="1:18" ht="15.75" customHeight="1" x14ac:dyDescent="0.35">
      <c r="A413" s="18"/>
      <c r="B413" s="18"/>
      <c r="P413" s="19"/>
      <c r="Q413" s="19"/>
      <c r="R413" s="19"/>
    </row>
    <row r="414" spans="1:18" ht="15.75" customHeight="1" x14ac:dyDescent="0.35">
      <c r="A414" s="18"/>
      <c r="B414" s="18"/>
      <c r="P414" s="19"/>
      <c r="Q414" s="19"/>
      <c r="R414" s="19"/>
    </row>
    <row r="415" spans="1:18" ht="15.75" customHeight="1" x14ac:dyDescent="0.35">
      <c r="A415" s="18"/>
      <c r="B415" s="18"/>
      <c r="P415" s="19"/>
      <c r="Q415" s="19"/>
      <c r="R415" s="19"/>
    </row>
    <row r="416" spans="1:18" ht="15.75" customHeight="1" x14ac:dyDescent="0.35">
      <c r="A416" s="18"/>
      <c r="B416" s="18"/>
      <c r="P416" s="19"/>
      <c r="Q416" s="19"/>
      <c r="R416" s="19"/>
    </row>
    <row r="417" spans="1:18" ht="15.75" customHeight="1" x14ac:dyDescent="0.35">
      <c r="A417" s="18"/>
      <c r="B417" s="18"/>
      <c r="P417" s="19"/>
      <c r="Q417" s="19"/>
      <c r="R417" s="19"/>
    </row>
    <row r="418" spans="1:18" ht="15.75" customHeight="1" x14ac:dyDescent="0.35">
      <c r="A418" s="18"/>
      <c r="B418" s="18"/>
      <c r="P418" s="19"/>
      <c r="Q418" s="19"/>
      <c r="R418" s="19"/>
    </row>
    <row r="419" spans="1:18" ht="15.75" customHeight="1" x14ac:dyDescent="0.35">
      <c r="A419" s="18"/>
      <c r="B419" s="18"/>
      <c r="P419" s="19"/>
      <c r="Q419" s="19"/>
      <c r="R419" s="19"/>
    </row>
    <row r="420" spans="1:18" ht="15.75" customHeight="1" x14ac:dyDescent="0.35">
      <c r="A420" s="18"/>
      <c r="B420" s="18"/>
      <c r="P420" s="19"/>
      <c r="Q420" s="19"/>
      <c r="R420" s="19"/>
    </row>
    <row r="421" spans="1:18" ht="15.75" customHeight="1" x14ac:dyDescent="0.35">
      <c r="A421" s="18"/>
      <c r="B421" s="18"/>
      <c r="P421" s="19"/>
      <c r="Q421" s="19"/>
      <c r="R421" s="19"/>
    </row>
    <row r="422" spans="1:18" ht="15.75" customHeight="1" x14ac:dyDescent="0.35">
      <c r="A422" s="18"/>
      <c r="B422" s="18"/>
      <c r="P422" s="19"/>
      <c r="Q422" s="19"/>
      <c r="R422" s="19"/>
    </row>
    <row r="423" spans="1:18" ht="15.75" customHeight="1" x14ac:dyDescent="0.35">
      <c r="A423" s="18"/>
      <c r="B423" s="18"/>
      <c r="P423" s="19"/>
      <c r="Q423" s="19"/>
      <c r="R423" s="19"/>
    </row>
    <row r="424" spans="1:18" ht="15.75" customHeight="1" x14ac:dyDescent="0.35">
      <c r="A424" s="18"/>
      <c r="B424" s="18"/>
      <c r="P424" s="19"/>
      <c r="Q424" s="19"/>
      <c r="R424" s="19"/>
    </row>
    <row r="425" spans="1:18" ht="15.75" customHeight="1" x14ac:dyDescent="0.35">
      <c r="A425" s="18"/>
      <c r="B425" s="18"/>
      <c r="P425" s="19"/>
      <c r="Q425" s="19"/>
      <c r="R425" s="19"/>
    </row>
    <row r="426" spans="1:18" ht="15.75" customHeight="1" x14ac:dyDescent="0.35">
      <c r="A426" s="18"/>
      <c r="B426" s="18"/>
      <c r="P426" s="19"/>
      <c r="Q426" s="19"/>
      <c r="R426" s="19"/>
    </row>
    <row r="427" spans="1:18" ht="15.75" customHeight="1" x14ac:dyDescent="0.35">
      <c r="A427" s="18"/>
      <c r="B427" s="18"/>
      <c r="P427" s="19"/>
      <c r="Q427" s="19"/>
      <c r="R427" s="19"/>
    </row>
    <row r="428" spans="1:18" ht="15.75" customHeight="1" x14ac:dyDescent="0.35">
      <c r="A428" s="18"/>
      <c r="B428" s="18"/>
      <c r="P428" s="19"/>
      <c r="Q428" s="19"/>
      <c r="R428" s="19"/>
    </row>
    <row r="429" spans="1:18" ht="15.75" customHeight="1" x14ac:dyDescent="0.35">
      <c r="A429" s="18"/>
      <c r="B429" s="18"/>
      <c r="P429" s="19"/>
      <c r="Q429" s="19"/>
      <c r="R429" s="19"/>
    </row>
    <row r="430" spans="1:18" ht="15.75" customHeight="1" x14ac:dyDescent="0.35">
      <c r="A430" s="18"/>
      <c r="B430" s="18"/>
      <c r="P430" s="19"/>
      <c r="Q430" s="19"/>
      <c r="R430" s="19"/>
    </row>
    <row r="431" spans="1:18" ht="15.75" customHeight="1" x14ac:dyDescent="0.35">
      <c r="A431" s="18"/>
      <c r="B431" s="18"/>
      <c r="P431" s="19"/>
      <c r="Q431" s="19"/>
      <c r="R431" s="19"/>
    </row>
    <row r="432" spans="1:18" ht="15.75" customHeight="1" x14ac:dyDescent="0.35">
      <c r="A432" s="18"/>
      <c r="B432" s="18"/>
      <c r="P432" s="19"/>
      <c r="Q432" s="19"/>
      <c r="R432" s="19"/>
    </row>
    <row r="433" spans="1:18" ht="15.75" customHeight="1" x14ac:dyDescent="0.35">
      <c r="A433" s="18"/>
      <c r="B433" s="18"/>
      <c r="P433" s="19"/>
      <c r="Q433" s="19"/>
      <c r="R433" s="19"/>
    </row>
    <row r="434" spans="1:18" ht="15.75" customHeight="1" x14ac:dyDescent="0.35">
      <c r="A434" s="18"/>
      <c r="B434" s="18"/>
      <c r="P434" s="19"/>
      <c r="Q434" s="19"/>
      <c r="R434" s="19"/>
    </row>
    <row r="435" spans="1:18" ht="15.75" customHeight="1" x14ac:dyDescent="0.35">
      <c r="A435" s="18"/>
      <c r="B435" s="18"/>
      <c r="P435" s="19"/>
      <c r="Q435" s="19"/>
      <c r="R435" s="19"/>
    </row>
    <row r="436" spans="1:18" ht="15.75" customHeight="1" x14ac:dyDescent="0.35">
      <c r="A436" s="18"/>
      <c r="B436" s="18"/>
      <c r="P436" s="19"/>
      <c r="Q436" s="19"/>
      <c r="R436" s="19"/>
    </row>
    <row r="437" spans="1:18" ht="15.75" customHeight="1" x14ac:dyDescent="0.35">
      <c r="A437" s="18"/>
      <c r="B437" s="18"/>
      <c r="P437" s="19"/>
      <c r="Q437" s="19"/>
      <c r="R437" s="19"/>
    </row>
    <row r="438" spans="1:18" ht="15.75" customHeight="1" x14ac:dyDescent="0.35">
      <c r="A438" s="18"/>
      <c r="B438" s="18"/>
      <c r="P438" s="19"/>
      <c r="Q438" s="19"/>
      <c r="R438" s="19"/>
    </row>
    <row r="439" spans="1:18" ht="15.75" customHeight="1" x14ac:dyDescent="0.35">
      <c r="A439" s="18"/>
      <c r="B439" s="18"/>
      <c r="P439" s="19"/>
      <c r="Q439" s="19"/>
      <c r="R439" s="19"/>
    </row>
    <row r="440" spans="1:18" ht="15.75" customHeight="1" x14ac:dyDescent="0.35">
      <c r="A440" s="18"/>
      <c r="B440" s="18"/>
      <c r="P440" s="19"/>
      <c r="Q440" s="19"/>
      <c r="R440" s="19"/>
    </row>
    <row r="441" spans="1:18" ht="15.75" customHeight="1" x14ac:dyDescent="0.35">
      <c r="A441" s="18"/>
      <c r="B441" s="18"/>
      <c r="P441" s="19"/>
      <c r="Q441" s="19"/>
      <c r="R441" s="19"/>
    </row>
    <row r="442" spans="1:18" ht="15.75" customHeight="1" x14ac:dyDescent="0.35">
      <c r="A442" s="18"/>
      <c r="B442" s="18"/>
      <c r="P442" s="19"/>
      <c r="Q442" s="19"/>
      <c r="R442" s="19"/>
    </row>
    <row r="443" spans="1:18" ht="15.75" customHeight="1" x14ac:dyDescent="0.35">
      <c r="A443" s="18"/>
      <c r="B443" s="18"/>
      <c r="P443" s="19"/>
      <c r="Q443" s="19"/>
      <c r="R443" s="19"/>
    </row>
    <row r="444" spans="1:18" ht="15.75" customHeight="1" x14ac:dyDescent="0.35">
      <c r="A444" s="18"/>
      <c r="B444" s="18"/>
      <c r="P444" s="19"/>
      <c r="Q444" s="19"/>
      <c r="R444" s="19"/>
    </row>
    <row r="445" spans="1:18" ht="15.75" customHeight="1" x14ac:dyDescent="0.35">
      <c r="A445" s="18"/>
      <c r="B445" s="18"/>
      <c r="P445" s="19"/>
      <c r="Q445" s="19"/>
      <c r="R445" s="19"/>
    </row>
    <row r="446" spans="1:18" ht="15.75" customHeight="1" x14ac:dyDescent="0.35">
      <c r="A446" s="18"/>
      <c r="B446" s="18"/>
      <c r="P446" s="19"/>
      <c r="Q446" s="19"/>
      <c r="R446" s="19"/>
    </row>
    <row r="447" spans="1:18" ht="15.75" customHeight="1" x14ac:dyDescent="0.35">
      <c r="A447" s="18"/>
      <c r="B447" s="18"/>
      <c r="P447" s="19"/>
      <c r="Q447" s="19"/>
      <c r="R447" s="19"/>
    </row>
    <row r="448" spans="1:18" ht="15.75" customHeight="1" x14ac:dyDescent="0.35">
      <c r="A448" s="18"/>
      <c r="B448" s="18"/>
      <c r="P448" s="19"/>
      <c r="Q448" s="19"/>
      <c r="R448" s="19"/>
    </row>
    <row r="449" spans="1:18" ht="15.75" customHeight="1" x14ac:dyDescent="0.35">
      <c r="A449" s="18"/>
      <c r="B449" s="18"/>
      <c r="P449" s="19"/>
      <c r="Q449" s="19"/>
      <c r="R449" s="19"/>
    </row>
    <row r="450" spans="1:18" ht="15.75" customHeight="1" x14ac:dyDescent="0.35">
      <c r="A450" s="18"/>
      <c r="B450" s="18"/>
      <c r="P450" s="19"/>
      <c r="Q450" s="19"/>
      <c r="R450" s="19"/>
    </row>
    <row r="451" spans="1:18" ht="15.75" customHeight="1" x14ac:dyDescent="0.35">
      <c r="A451" s="18"/>
      <c r="B451" s="18"/>
      <c r="P451" s="19"/>
      <c r="Q451" s="19"/>
      <c r="R451" s="19"/>
    </row>
    <row r="452" spans="1:18" ht="15.75" customHeight="1" x14ac:dyDescent="0.35">
      <c r="A452" s="18"/>
      <c r="B452" s="18"/>
      <c r="P452" s="19"/>
      <c r="Q452" s="19"/>
      <c r="R452" s="19"/>
    </row>
    <row r="453" spans="1:18" ht="15.75" customHeight="1" x14ac:dyDescent="0.35">
      <c r="A453" s="18"/>
      <c r="B453" s="18"/>
      <c r="P453" s="19"/>
      <c r="Q453" s="19"/>
      <c r="R453" s="19"/>
    </row>
    <row r="454" spans="1:18" ht="15.75" customHeight="1" x14ac:dyDescent="0.35">
      <c r="A454" s="18"/>
      <c r="B454" s="18"/>
      <c r="P454" s="19"/>
      <c r="Q454" s="19"/>
      <c r="R454" s="19"/>
    </row>
    <row r="455" spans="1:18" ht="15.75" customHeight="1" x14ac:dyDescent="0.35">
      <c r="A455" s="18"/>
      <c r="B455" s="18"/>
      <c r="P455" s="19"/>
      <c r="Q455" s="19"/>
      <c r="R455" s="19"/>
    </row>
    <row r="456" spans="1:18" ht="15.75" customHeight="1" x14ac:dyDescent="0.35">
      <c r="A456" s="18"/>
      <c r="B456" s="18"/>
      <c r="P456" s="19"/>
      <c r="Q456" s="19"/>
      <c r="R456" s="19"/>
    </row>
    <row r="457" spans="1:18" ht="15.75" customHeight="1" x14ac:dyDescent="0.35">
      <c r="A457" s="18"/>
      <c r="B457" s="18"/>
      <c r="P457" s="19"/>
      <c r="Q457" s="19"/>
      <c r="R457" s="19"/>
    </row>
    <row r="458" spans="1:18" ht="15.75" customHeight="1" x14ac:dyDescent="0.35">
      <c r="A458" s="18"/>
      <c r="B458" s="18"/>
      <c r="P458" s="19"/>
      <c r="Q458" s="19"/>
      <c r="R458" s="19"/>
    </row>
    <row r="459" spans="1:18" ht="15.75" customHeight="1" x14ac:dyDescent="0.35">
      <c r="A459" s="18"/>
      <c r="B459" s="18"/>
      <c r="P459" s="19"/>
      <c r="Q459" s="19"/>
      <c r="R459" s="19"/>
    </row>
    <row r="460" spans="1:18" ht="15.75" customHeight="1" x14ac:dyDescent="0.35">
      <c r="A460" s="18"/>
      <c r="B460" s="18"/>
      <c r="P460" s="19"/>
      <c r="Q460" s="19"/>
      <c r="R460" s="19"/>
    </row>
    <row r="461" spans="1:18" ht="15.75" customHeight="1" x14ac:dyDescent="0.35">
      <c r="A461" s="18"/>
      <c r="B461" s="18"/>
      <c r="P461" s="19"/>
      <c r="Q461" s="19"/>
      <c r="R461" s="19"/>
    </row>
    <row r="462" spans="1:18" ht="15.75" customHeight="1" x14ac:dyDescent="0.35">
      <c r="A462" s="18"/>
      <c r="B462" s="18"/>
      <c r="P462" s="19"/>
      <c r="Q462" s="19"/>
      <c r="R462" s="19"/>
    </row>
    <row r="463" spans="1:18" ht="15.75" customHeight="1" x14ac:dyDescent="0.35">
      <c r="A463" s="18"/>
      <c r="B463" s="18"/>
      <c r="P463" s="19"/>
      <c r="Q463" s="19"/>
      <c r="R463" s="19"/>
    </row>
    <row r="464" spans="1:18" ht="15.75" customHeight="1" x14ac:dyDescent="0.35">
      <c r="A464" s="18"/>
      <c r="B464" s="18"/>
      <c r="P464" s="19"/>
      <c r="Q464" s="19"/>
      <c r="R464" s="19"/>
    </row>
    <row r="465" spans="1:18" ht="15.75" customHeight="1" x14ac:dyDescent="0.35">
      <c r="A465" s="18"/>
      <c r="B465" s="18"/>
      <c r="P465" s="19"/>
      <c r="Q465" s="19"/>
      <c r="R465" s="19"/>
    </row>
    <row r="466" spans="1:18" ht="15.75" customHeight="1" x14ac:dyDescent="0.35">
      <c r="A466" s="18"/>
      <c r="B466" s="18"/>
      <c r="P466" s="19"/>
      <c r="Q466" s="19"/>
      <c r="R466" s="19"/>
    </row>
    <row r="467" spans="1:18" ht="15.75" customHeight="1" x14ac:dyDescent="0.35">
      <c r="A467" s="18"/>
      <c r="B467" s="18"/>
      <c r="P467" s="19"/>
      <c r="Q467" s="19"/>
      <c r="R467" s="19"/>
    </row>
    <row r="468" spans="1:18" ht="15.75" customHeight="1" x14ac:dyDescent="0.35">
      <c r="A468" s="18"/>
      <c r="B468" s="18"/>
      <c r="P468" s="19"/>
      <c r="Q468" s="19"/>
      <c r="R468" s="19"/>
    </row>
    <row r="469" spans="1:18" ht="15.75" customHeight="1" x14ac:dyDescent="0.35">
      <c r="A469" s="18"/>
      <c r="B469" s="18"/>
      <c r="P469" s="19"/>
      <c r="Q469" s="19"/>
      <c r="R469" s="19"/>
    </row>
    <row r="470" spans="1:18" ht="15.75" customHeight="1" x14ac:dyDescent="0.35">
      <c r="A470" s="18"/>
      <c r="B470" s="18"/>
      <c r="P470" s="19"/>
      <c r="Q470" s="19"/>
      <c r="R470" s="19"/>
    </row>
    <row r="471" spans="1:18" ht="15.75" customHeight="1" x14ac:dyDescent="0.35">
      <c r="A471" s="18"/>
      <c r="B471" s="18"/>
      <c r="P471" s="19"/>
      <c r="Q471" s="19"/>
      <c r="R471" s="19"/>
    </row>
    <row r="472" spans="1:18" ht="15.75" customHeight="1" x14ac:dyDescent="0.35">
      <c r="A472" s="18"/>
      <c r="B472" s="18"/>
      <c r="P472" s="19"/>
      <c r="Q472" s="19"/>
      <c r="R472" s="19"/>
    </row>
    <row r="473" spans="1:18" ht="15.75" customHeight="1" x14ac:dyDescent="0.35">
      <c r="A473" s="18"/>
      <c r="B473" s="18"/>
      <c r="P473" s="19"/>
      <c r="Q473" s="19"/>
      <c r="R473" s="19"/>
    </row>
    <row r="474" spans="1:18" ht="15.75" customHeight="1" x14ac:dyDescent="0.35">
      <c r="A474" s="18"/>
      <c r="B474" s="18"/>
      <c r="P474" s="19"/>
      <c r="Q474" s="19"/>
      <c r="R474" s="19"/>
    </row>
    <row r="475" spans="1:18" ht="15.75" customHeight="1" x14ac:dyDescent="0.35">
      <c r="A475" s="18"/>
      <c r="B475" s="18"/>
      <c r="P475" s="19"/>
      <c r="Q475" s="19"/>
      <c r="R475" s="19"/>
    </row>
    <row r="476" spans="1:18" ht="15.75" customHeight="1" x14ac:dyDescent="0.35">
      <c r="A476" s="18"/>
      <c r="B476" s="18"/>
      <c r="P476" s="19"/>
      <c r="Q476" s="19"/>
      <c r="R476" s="19"/>
    </row>
    <row r="477" spans="1:18" ht="15.75" customHeight="1" x14ac:dyDescent="0.35">
      <c r="A477" s="18"/>
      <c r="B477" s="18"/>
      <c r="P477" s="19"/>
      <c r="Q477" s="19"/>
      <c r="R477" s="19"/>
    </row>
    <row r="478" spans="1:18" ht="15.75" customHeight="1" x14ac:dyDescent="0.35">
      <c r="A478" s="18"/>
      <c r="B478" s="18"/>
      <c r="P478" s="19"/>
      <c r="Q478" s="19"/>
      <c r="R478" s="19"/>
    </row>
    <row r="479" spans="1:18" ht="15.75" customHeight="1" x14ac:dyDescent="0.35">
      <c r="A479" s="18"/>
      <c r="B479" s="18"/>
      <c r="P479" s="19"/>
      <c r="Q479" s="19"/>
      <c r="R479" s="19"/>
    </row>
    <row r="480" spans="1:18" ht="15.75" customHeight="1" x14ac:dyDescent="0.35">
      <c r="A480" s="18"/>
      <c r="B480" s="18"/>
      <c r="P480" s="19"/>
      <c r="Q480" s="19"/>
      <c r="R480" s="19"/>
    </row>
    <row r="481" spans="1:18" ht="15.75" customHeight="1" x14ac:dyDescent="0.35">
      <c r="A481" s="18"/>
      <c r="B481" s="18"/>
      <c r="P481" s="19"/>
      <c r="Q481" s="19"/>
      <c r="R481" s="19"/>
    </row>
    <row r="482" spans="1:18" ht="15.75" customHeight="1" x14ac:dyDescent="0.35">
      <c r="A482" s="18"/>
      <c r="B482" s="18"/>
      <c r="P482" s="19"/>
      <c r="Q482" s="19"/>
      <c r="R482" s="19"/>
    </row>
    <row r="483" spans="1:18" ht="15.75" customHeight="1" x14ac:dyDescent="0.35">
      <c r="A483" s="18"/>
      <c r="B483" s="18"/>
      <c r="P483" s="19"/>
      <c r="Q483" s="19"/>
      <c r="R483" s="19"/>
    </row>
    <row r="484" spans="1:18" ht="15.75" customHeight="1" x14ac:dyDescent="0.35">
      <c r="A484" s="18"/>
      <c r="B484" s="18"/>
      <c r="P484" s="19"/>
      <c r="Q484" s="19"/>
      <c r="R484" s="19"/>
    </row>
    <row r="485" spans="1:18" ht="15.75" customHeight="1" x14ac:dyDescent="0.35">
      <c r="A485" s="18"/>
      <c r="B485" s="18"/>
      <c r="P485" s="19"/>
      <c r="Q485" s="19"/>
      <c r="R485" s="19"/>
    </row>
    <row r="486" spans="1:18" ht="15.75" customHeight="1" x14ac:dyDescent="0.35">
      <c r="A486" s="18"/>
      <c r="B486" s="18"/>
      <c r="P486" s="19"/>
      <c r="Q486" s="19"/>
      <c r="R486" s="19"/>
    </row>
    <row r="487" spans="1:18" ht="15.75" customHeight="1" x14ac:dyDescent="0.35">
      <c r="A487" s="18"/>
      <c r="B487" s="18"/>
      <c r="P487" s="19"/>
      <c r="Q487" s="19"/>
      <c r="R487" s="19"/>
    </row>
    <row r="488" spans="1:18" ht="15.75" customHeight="1" x14ac:dyDescent="0.35">
      <c r="A488" s="18"/>
      <c r="B488" s="18"/>
      <c r="P488" s="19"/>
      <c r="Q488" s="19"/>
      <c r="R488" s="19"/>
    </row>
    <row r="489" spans="1:18" ht="15.75" customHeight="1" x14ac:dyDescent="0.35">
      <c r="A489" s="18"/>
      <c r="B489" s="18"/>
      <c r="P489" s="19"/>
      <c r="Q489" s="19"/>
      <c r="R489" s="19"/>
    </row>
    <row r="490" spans="1:18" ht="15.75" customHeight="1" x14ac:dyDescent="0.35">
      <c r="A490" s="18"/>
      <c r="B490" s="18"/>
      <c r="P490" s="19"/>
      <c r="Q490" s="19"/>
      <c r="R490" s="19"/>
    </row>
    <row r="491" spans="1:18" ht="15.75" customHeight="1" x14ac:dyDescent="0.35">
      <c r="A491" s="18"/>
      <c r="B491" s="18"/>
      <c r="P491" s="19"/>
      <c r="Q491" s="19"/>
      <c r="R491" s="19"/>
    </row>
    <row r="492" spans="1:18" ht="15.75" customHeight="1" x14ac:dyDescent="0.35">
      <c r="A492" s="18"/>
      <c r="B492" s="18"/>
      <c r="P492" s="19"/>
      <c r="Q492" s="19"/>
      <c r="R492" s="19"/>
    </row>
    <row r="493" spans="1:18" ht="15.75" customHeight="1" x14ac:dyDescent="0.35">
      <c r="A493" s="18"/>
      <c r="B493" s="18"/>
      <c r="P493" s="19"/>
      <c r="Q493" s="19"/>
      <c r="R493" s="19"/>
    </row>
    <row r="494" spans="1:18" ht="15.75" customHeight="1" x14ac:dyDescent="0.35">
      <c r="A494" s="18"/>
      <c r="B494" s="18"/>
      <c r="P494" s="19"/>
      <c r="Q494" s="19"/>
      <c r="R494" s="19"/>
    </row>
    <row r="495" spans="1:18" ht="15.75" customHeight="1" x14ac:dyDescent="0.35">
      <c r="A495" s="18"/>
      <c r="B495" s="18"/>
      <c r="P495" s="19"/>
      <c r="Q495" s="19"/>
      <c r="R495" s="19"/>
    </row>
    <row r="496" spans="1:18" ht="15.75" customHeight="1" x14ac:dyDescent="0.35">
      <c r="A496" s="18"/>
      <c r="B496" s="18"/>
      <c r="P496" s="19"/>
      <c r="Q496" s="19"/>
      <c r="R496" s="19"/>
    </row>
    <row r="497" spans="1:18" ht="15.75" customHeight="1" x14ac:dyDescent="0.35">
      <c r="A497" s="18"/>
      <c r="B497" s="18"/>
      <c r="P497" s="19"/>
      <c r="Q497" s="19"/>
      <c r="R497" s="19"/>
    </row>
    <row r="498" spans="1:18" ht="15.75" customHeight="1" x14ac:dyDescent="0.35">
      <c r="A498" s="18"/>
      <c r="B498" s="18"/>
      <c r="P498" s="19"/>
      <c r="Q498" s="19"/>
      <c r="R498" s="19"/>
    </row>
    <row r="499" spans="1:18" ht="15.75" customHeight="1" x14ac:dyDescent="0.35">
      <c r="A499" s="18"/>
      <c r="B499" s="18"/>
      <c r="P499" s="19"/>
      <c r="Q499" s="19"/>
      <c r="R499" s="19"/>
    </row>
    <row r="500" spans="1:18" ht="15.75" customHeight="1" x14ac:dyDescent="0.35">
      <c r="A500" s="18"/>
      <c r="B500" s="18"/>
      <c r="P500" s="19"/>
      <c r="Q500" s="19"/>
      <c r="R500" s="19"/>
    </row>
    <row r="501" spans="1:18" ht="15.75" customHeight="1" x14ac:dyDescent="0.35">
      <c r="A501" s="18"/>
      <c r="B501" s="18"/>
      <c r="P501" s="19"/>
      <c r="Q501" s="19"/>
      <c r="R501" s="19"/>
    </row>
    <row r="502" spans="1:18" ht="15.75" customHeight="1" x14ac:dyDescent="0.35">
      <c r="A502" s="18"/>
      <c r="B502" s="18"/>
      <c r="P502" s="19"/>
      <c r="Q502" s="19"/>
      <c r="R502" s="19"/>
    </row>
    <row r="503" spans="1:18" ht="15.75" customHeight="1" x14ac:dyDescent="0.35">
      <c r="A503" s="18"/>
      <c r="B503" s="18"/>
      <c r="P503" s="19"/>
      <c r="Q503" s="19"/>
      <c r="R503" s="19"/>
    </row>
    <row r="504" spans="1:18" ht="15.75" customHeight="1" x14ac:dyDescent="0.35">
      <c r="A504" s="18"/>
      <c r="B504" s="18"/>
      <c r="P504" s="19"/>
      <c r="Q504" s="19"/>
      <c r="R504" s="19"/>
    </row>
    <row r="505" spans="1:18" ht="15.75" customHeight="1" x14ac:dyDescent="0.35">
      <c r="A505" s="18"/>
      <c r="B505" s="18"/>
      <c r="P505" s="19"/>
      <c r="Q505" s="19"/>
      <c r="R505" s="19"/>
    </row>
    <row r="506" spans="1:18" ht="15.75" customHeight="1" x14ac:dyDescent="0.35">
      <c r="A506" s="18"/>
      <c r="B506" s="18"/>
      <c r="P506" s="19"/>
      <c r="Q506" s="19"/>
      <c r="R506" s="19"/>
    </row>
    <row r="507" spans="1:18" ht="15.75" customHeight="1" x14ac:dyDescent="0.35">
      <c r="A507" s="18"/>
      <c r="B507" s="18"/>
      <c r="P507" s="19"/>
      <c r="Q507" s="19"/>
      <c r="R507" s="19"/>
    </row>
    <row r="508" spans="1:18" ht="15.75" customHeight="1" x14ac:dyDescent="0.35">
      <c r="A508" s="18"/>
      <c r="B508" s="18"/>
      <c r="P508" s="19"/>
      <c r="Q508" s="19"/>
      <c r="R508" s="19"/>
    </row>
    <row r="509" spans="1:18" ht="15.75" customHeight="1" x14ac:dyDescent="0.35">
      <c r="A509" s="18"/>
      <c r="B509" s="18"/>
      <c r="P509" s="19"/>
      <c r="Q509" s="19"/>
      <c r="R509" s="19"/>
    </row>
    <row r="510" spans="1:18" ht="15.75" customHeight="1" x14ac:dyDescent="0.35">
      <c r="A510" s="18"/>
      <c r="B510" s="18"/>
      <c r="P510" s="19"/>
      <c r="Q510" s="19"/>
      <c r="R510" s="19"/>
    </row>
    <row r="511" spans="1:18" ht="15.75" customHeight="1" x14ac:dyDescent="0.35">
      <c r="A511" s="18"/>
      <c r="B511" s="18"/>
      <c r="P511" s="19"/>
      <c r="Q511" s="19"/>
      <c r="R511" s="19"/>
    </row>
    <row r="512" spans="1:18" ht="15.75" customHeight="1" x14ac:dyDescent="0.35">
      <c r="A512" s="18"/>
      <c r="B512" s="18"/>
      <c r="P512" s="19"/>
      <c r="Q512" s="19"/>
      <c r="R512" s="19"/>
    </row>
    <row r="513" spans="1:18" ht="15.75" customHeight="1" x14ac:dyDescent="0.35">
      <c r="A513" s="18"/>
      <c r="B513" s="18"/>
      <c r="P513" s="19"/>
      <c r="Q513" s="19"/>
      <c r="R513" s="19"/>
    </row>
    <row r="514" spans="1:18" ht="15.75" customHeight="1" x14ac:dyDescent="0.35">
      <c r="A514" s="18"/>
      <c r="B514" s="18"/>
      <c r="P514" s="19"/>
      <c r="Q514" s="19"/>
      <c r="R514" s="19"/>
    </row>
    <row r="515" spans="1:18" ht="15.75" customHeight="1" x14ac:dyDescent="0.35">
      <c r="A515" s="18"/>
      <c r="B515" s="18"/>
      <c r="P515" s="19"/>
      <c r="Q515" s="19"/>
      <c r="R515" s="19"/>
    </row>
    <row r="516" spans="1:18" ht="15.75" customHeight="1" x14ac:dyDescent="0.35">
      <c r="A516" s="18"/>
      <c r="B516" s="18"/>
      <c r="P516" s="19"/>
      <c r="Q516" s="19"/>
      <c r="R516" s="19"/>
    </row>
    <row r="517" spans="1:18" ht="15.75" customHeight="1" x14ac:dyDescent="0.35">
      <c r="A517" s="18"/>
      <c r="B517" s="18"/>
      <c r="P517" s="19"/>
      <c r="Q517" s="19"/>
      <c r="R517" s="19"/>
    </row>
    <row r="518" spans="1:18" ht="15.75" customHeight="1" x14ac:dyDescent="0.35">
      <c r="A518" s="18"/>
      <c r="B518" s="18"/>
      <c r="P518" s="19"/>
      <c r="Q518" s="19"/>
      <c r="R518" s="19"/>
    </row>
    <row r="519" spans="1:18" ht="15.75" customHeight="1" x14ac:dyDescent="0.35">
      <c r="A519" s="18"/>
      <c r="B519" s="18"/>
      <c r="P519" s="19"/>
      <c r="Q519" s="19"/>
      <c r="R519" s="19"/>
    </row>
    <row r="520" spans="1:18" ht="15.75" customHeight="1" x14ac:dyDescent="0.35">
      <c r="A520" s="18"/>
      <c r="B520" s="18"/>
      <c r="P520" s="19"/>
      <c r="Q520" s="19"/>
      <c r="R520" s="19"/>
    </row>
    <row r="521" spans="1:18" ht="15.75" customHeight="1" x14ac:dyDescent="0.35">
      <c r="A521" s="18"/>
      <c r="B521" s="18"/>
      <c r="P521" s="19"/>
      <c r="Q521" s="19"/>
      <c r="R521" s="19"/>
    </row>
    <row r="522" spans="1:18" ht="15.75" customHeight="1" x14ac:dyDescent="0.35">
      <c r="A522" s="18"/>
      <c r="B522" s="18"/>
      <c r="P522" s="19"/>
      <c r="Q522" s="19"/>
      <c r="R522" s="19"/>
    </row>
    <row r="523" spans="1:18" ht="15.75" customHeight="1" x14ac:dyDescent="0.35">
      <c r="A523" s="18"/>
      <c r="B523" s="18"/>
      <c r="P523" s="19"/>
      <c r="Q523" s="19"/>
      <c r="R523" s="19"/>
    </row>
    <row r="524" spans="1:18" ht="15.75" customHeight="1" x14ac:dyDescent="0.35">
      <c r="A524" s="18"/>
      <c r="B524" s="18"/>
      <c r="P524" s="19"/>
      <c r="Q524" s="19"/>
      <c r="R524" s="19"/>
    </row>
    <row r="525" spans="1:18" ht="15.75" customHeight="1" x14ac:dyDescent="0.35">
      <c r="A525" s="18"/>
      <c r="B525" s="18"/>
      <c r="P525" s="19"/>
      <c r="Q525" s="19"/>
      <c r="R525" s="19"/>
    </row>
    <row r="526" spans="1:18" ht="15.75" customHeight="1" x14ac:dyDescent="0.35">
      <c r="A526" s="18"/>
      <c r="B526" s="18"/>
      <c r="P526" s="19"/>
      <c r="Q526" s="19"/>
      <c r="R526" s="19"/>
    </row>
    <row r="527" spans="1:18" ht="15.75" customHeight="1" x14ac:dyDescent="0.35">
      <c r="A527" s="18"/>
      <c r="B527" s="18"/>
      <c r="P527" s="19"/>
      <c r="Q527" s="19"/>
      <c r="R527" s="19"/>
    </row>
    <row r="528" spans="1:18" ht="15.75" customHeight="1" x14ac:dyDescent="0.35">
      <c r="A528" s="18"/>
      <c r="B528" s="18"/>
      <c r="P528" s="19"/>
      <c r="Q528" s="19"/>
      <c r="R528" s="19"/>
    </row>
    <row r="529" spans="1:18" ht="15.75" customHeight="1" x14ac:dyDescent="0.35">
      <c r="A529" s="18"/>
      <c r="B529" s="18"/>
      <c r="P529" s="19"/>
      <c r="Q529" s="19"/>
      <c r="R529" s="19"/>
    </row>
    <row r="530" spans="1:18" ht="15.75" customHeight="1" x14ac:dyDescent="0.35">
      <c r="A530" s="18"/>
      <c r="B530" s="18"/>
      <c r="P530" s="19"/>
      <c r="Q530" s="19"/>
      <c r="R530" s="19"/>
    </row>
    <row r="531" spans="1:18" ht="15.75" customHeight="1" x14ac:dyDescent="0.35">
      <c r="A531" s="18"/>
      <c r="B531" s="18"/>
      <c r="P531" s="19"/>
      <c r="Q531" s="19"/>
      <c r="R531" s="19"/>
    </row>
    <row r="532" spans="1:18" ht="15.75" customHeight="1" x14ac:dyDescent="0.35">
      <c r="A532" s="18"/>
      <c r="B532" s="18"/>
      <c r="P532" s="19"/>
      <c r="Q532" s="19"/>
      <c r="R532" s="19"/>
    </row>
    <row r="533" spans="1:18" ht="15.75" customHeight="1" x14ac:dyDescent="0.35">
      <c r="A533" s="18"/>
      <c r="B533" s="18"/>
      <c r="P533" s="19"/>
      <c r="Q533" s="19"/>
      <c r="R533" s="19"/>
    </row>
    <row r="534" spans="1:18" ht="15.75" customHeight="1" x14ac:dyDescent="0.35">
      <c r="A534" s="18"/>
      <c r="B534" s="18"/>
      <c r="P534" s="19"/>
      <c r="Q534" s="19"/>
      <c r="R534" s="19"/>
    </row>
    <row r="535" spans="1:18" ht="15.75" customHeight="1" x14ac:dyDescent="0.35">
      <c r="A535" s="18"/>
      <c r="B535" s="18"/>
      <c r="P535" s="19"/>
      <c r="Q535" s="19"/>
      <c r="R535" s="19"/>
    </row>
    <row r="536" spans="1:18" ht="15.75" customHeight="1" x14ac:dyDescent="0.35">
      <c r="A536" s="18"/>
      <c r="B536" s="18"/>
      <c r="P536" s="19"/>
      <c r="Q536" s="19"/>
      <c r="R536" s="19"/>
    </row>
    <row r="537" spans="1:18" ht="15.75" customHeight="1" x14ac:dyDescent="0.35">
      <c r="A537" s="18"/>
      <c r="B537" s="18"/>
      <c r="P537" s="19"/>
      <c r="Q537" s="19"/>
      <c r="R537" s="19"/>
    </row>
    <row r="538" spans="1:18" ht="15.75" customHeight="1" x14ac:dyDescent="0.35">
      <c r="A538" s="18"/>
      <c r="B538" s="18"/>
      <c r="P538" s="19"/>
      <c r="Q538" s="19"/>
      <c r="R538" s="19"/>
    </row>
    <row r="539" spans="1:18" ht="15.75" customHeight="1" x14ac:dyDescent="0.35">
      <c r="A539" s="18"/>
      <c r="B539" s="18"/>
      <c r="P539" s="19"/>
      <c r="Q539" s="19"/>
      <c r="R539" s="19"/>
    </row>
    <row r="540" spans="1:18" ht="15.75" customHeight="1" x14ac:dyDescent="0.35">
      <c r="A540" s="18"/>
      <c r="B540" s="18"/>
      <c r="P540" s="19"/>
      <c r="Q540" s="19"/>
      <c r="R540" s="19"/>
    </row>
    <row r="541" spans="1:18" ht="15.75" customHeight="1" x14ac:dyDescent="0.35">
      <c r="A541" s="18"/>
      <c r="B541" s="18"/>
      <c r="P541" s="19"/>
      <c r="Q541" s="19"/>
      <c r="R541" s="19"/>
    </row>
    <row r="542" spans="1:18" ht="15.75" customHeight="1" x14ac:dyDescent="0.35">
      <c r="A542" s="18"/>
      <c r="B542" s="18"/>
      <c r="P542" s="19"/>
      <c r="Q542" s="19"/>
      <c r="R542" s="19"/>
    </row>
    <row r="543" spans="1:18" ht="15.75" customHeight="1" x14ac:dyDescent="0.35">
      <c r="A543" s="18"/>
      <c r="B543" s="18"/>
      <c r="P543" s="19"/>
      <c r="Q543" s="19"/>
      <c r="R543" s="19"/>
    </row>
    <row r="544" spans="1:18" ht="15.75" customHeight="1" x14ac:dyDescent="0.35">
      <c r="A544" s="18"/>
      <c r="B544" s="18"/>
      <c r="P544" s="19"/>
      <c r="Q544" s="19"/>
      <c r="R544" s="19"/>
    </row>
    <row r="545" spans="1:18" ht="15.75" customHeight="1" x14ac:dyDescent="0.35">
      <c r="A545" s="18"/>
      <c r="B545" s="18"/>
      <c r="P545" s="19"/>
      <c r="Q545" s="19"/>
      <c r="R545" s="19"/>
    </row>
    <row r="546" spans="1:18" ht="15.75" customHeight="1" x14ac:dyDescent="0.35">
      <c r="A546" s="18"/>
      <c r="B546" s="18"/>
      <c r="P546" s="19"/>
      <c r="Q546" s="19"/>
      <c r="R546" s="19"/>
    </row>
    <row r="547" spans="1:18" ht="15.75" customHeight="1" x14ac:dyDescent="0.35">
      <c r="A547" s="18"/>
      <c r="B547" s="18"/>
      <c r="P547" s="19"/>
      <c r="Q547" s="19"/>
      <c r="R547" s="19"/>
    </row>
    <row r="548" spans="1:18" ht="15.75" customHeight="1" x14ac:dyDescent="0.35">
      <c r="A548" s="18"/>
      <c r="B548" s="18"/>
      <c r="P548" s="19"/>
      <c r="Q548" s="19"/>
      <c r="R548" s="19"/>
    </row>
    <row r="549" spans="1:18" ht="15.75" customHeight="1" x14ac:dyDescent="0.35">
      <c r="A549" s="18"/>
      <c r="B549" s="18"/>
      <c r="P549" s="19"/>
      <c r="Q549" s="19"/>
      <c r="R549" s="19"/>
    </row>
    <row r="550" spans="1:18" ht="15.75" customHeight="1" x14ac:dyDescent="0.35">
      <c r="A550" s="18"/>
      <c r="B550" s="18"/>
      <c r="P550" s="19"/>
      <c r="Q550" s="19"/>
      <c r="R550" s="19"/>
    </row>
    <row r="551" spans="1:18" ht="15.75" customHeight="1" x14ac:dyDescent="0.35">
      <c r="A551" s="18"/>
      <c r="B551" s="18"/>
      <c r="P551" s="19"/>
      <c r="Q551" s="19"/>
      <c r="R551" s="19"/>
    </row>
    <row r="552" spans="1:18" ht="15.75" customHeight="1" x14ac:dyDescent="0.35">
      <c r="A552" s="18"/>
      <c r="B552" s="18"/>
      <c r="P552" s="19"/>
      <c r="Q552" s="19"/>
      <c r="R552" s="19"/>
    </row>
    <row r="553" spans="1:18" ht="15.75" customHeight="1" x14ac:dyDescent="0.35">
      <c r="A553" s="18"/>
      <c r="B553" s="18"/>
      <c r="P553" s="19"/>
      <c r="Q553" s="19"/>
      <c r="R553" s="19"/>
    </row>
    <row r="554" spans="1:18" ht="15.75" customHeight="1" x14ac:dyDescent="0.35">
      <c r="A554" s="18"/>
      <c r="B554" s="18"/>
      <c r="P554" s="19"/>
      <c r="Q554" s="19"/>
      <c r="R554" s="19"/>
    </row>
    <row r="555" spans="1:18" ht="15.75" customHeight="1" x14ac:dyDescent="0.35">
      <c r="A555" s="18"/>
      <c r="B555" s="18"/>
      <c r="P555" s="19"/>
      <c r="Q555" s="19"/>
      <c r="R555" s="19"/>
    </row>
    <row r="556" spans="1:18" ht="15.75" customHeight="1" x14ac:dyDescent="0.35">
      <c r="A556" s="18"/>
      <c r="B556" s="18"/>
      <c r="P556" s="19"/>
      <c r="Q556" s="19"/>
      <c r="R556" s="19"/>
    </row>
    <row r="557" spans="1:18" ht="15.75" customHeight="1" x14ac:dyDescent="0.35">
      <c r="A557" s="18"/>
      <c r="B557" s="18"/>
      <c r="P557" s="19"/>
      <c r="Q557" s="19"/>
      <c r="R557" s="19"/>
    </row>
    <row r="558" spans="1:18" ht="15.75" customHeight="1" x14ac:dyDescent="0.35">
      <c r="A558" s="18"/>
      <c r="B558" s="18"/>
      <c r="P558" s="19"/>
      <c r="Q558" s="19"/>
      <c r="R558" s="19"/>
    </row>
    <row r="559" spans="1:18" ht="15.75" customHeight="1" x14ac:dyDescent="0.35">
      <c r="A559" s="18"/>
      <c r="B559" s="18"/>
      <c r="P559" s="19"/>
      <c r="Q559" s="19"/>
      <c r="R559" s="19"/>
    </row>
    <row r="560" spans="1:18" ht="15.75" customHeight="1" x14ac:dyDescent="0.35">
      <c r="A560" s="18"/>
      <c r="B560" s="18"/>
      <c r="P560" s="19"/>
      <c r="Q560" s="19"/>
      <c r="R560" s="19"/>
    </row>
    <row r="561" spans="1:18" ht="15.75" customHeight="1" x14ac:dyDescent="0.35">
      <c r="A561" s="18"/>
      <c r="B561" s="18"/>
      <c r="P561" s="19"/>
      <c r="Q561" s="19"/>
      <c r="R561" s="19"/>
    </row>
    <row r="562" spans="1:18" ht="15.75" customHeight="1" x14ac:dyDescent="0.35">
      <c r="A562" s="18"/>
      <c r="B562" s="18"/>
      <c r="P562" s="19"/>
      <c r="Q562" s="19"/>
      <c r="R562" s="19"/>
    </row>
    <row r="563" spans="1:18" ht="15.75" customHeight="1" x14ac:dyDescent="0.35">
      <c r="A563" s="18"/>
      <c r="B563" s="18"/>
      <c r="P563" s="19"/>
      <c r="Q563" s="19"/>
      <c r="R563" s="19"/>
    </row>
    <row r="564" spans="1:18" ht="15.75" customHeight="1" x14ac:dyDescent="0.35">
      <c r="A564" s="18"/>
      <c r="B564" s="18"/>
      <c r="P564" s="19"/>
      <c r="Q564" s="19"/>
      <c r="R564" s="19"/>
    </row>
    <row r="565" spans="1:18" ht="15.75" customHeight="1" x14ac:dyDescent="0.35">
      <c r="A565" s="18"/>
      <c r="B565" s="18"/>
      <c r="P565" s="19"/>
      <c r="Q565" s="19"/>
      <c r="R565" s="19"/>
    </row>
    <row r="566" spans="1:18" ht="15.75" customHeight="1" x14ac:dyDescent="0.35">
      <c r="A566" s="18"/>
      <c r="B566" s="18"/>
      <c r="P566" s="19"/>
      <c r="Q566" s="19"/>
      <c r="R566" s="19"/>
    </row>
    <row r="567" spans="1:18" ht="15.75" customHeight="1" x14ac:dyDescent="0.35">
      <c r="A567" s="18"/>
      <c r="B567" s="18"/>
      <c r="P567" s="19"/>
      <c r="Q567" s="19"/>
      <c r="R567" s="19"/>
    </row>
    <row r="568" spans="1:18" ht="15.75" customHeight="1" x14ac:dyDescent="0.35">
      <c r="A568" s="18"/>
      <c r="B568" s="18"/>
      <c r="P568" s="19"/>
      <c r="Q568" s="19"/>
      <c r="R568" s="19"/>
    </row>
    <row r="569" spans="1:18" ht="15.75" customHeight="1" x14ac:dyDescent="0.35">
      <c r="A569" s="18"/>
      <c r="B569" s="18"/>
      <c r="P569" s="19"/>
      <c r="Q569" s="19"/>
      <c r="R569" s="19"/>
    </row>
    <row r="570" spans="1:18" ht="15.75" customHeight="1" x14ac:dyDescent="0.35">
      <c r="A570" s="18"/>
      <c r="B570" s="18"/>
      <c r="P570" s="19"/>
      <c r="Q570" s="19"/>
      <c r="R570" s="19"/>
    </row>
    <row r="571" spans="1:18" ht="15.75" customHeight="1" x14ac:dyDescent="0.35">
      <c r="A571" s="18"/>
      <c r="B571" s="18"/>
      <c r="P571" s="19"/>
      <c r="Q571" s="19"/>
      <c r="R571" s="19"/>
    </row>
    <row r="572" spans="1:18" ht="15.75" customHeight="1" x14ac:dyDescent="0.35">
      <c r="A572" s="18"/>
      <c r="B572" s="18"/>
      <c r="P572" s="19"/>
      <c r="Q572" s="19"/>
      <c r="R572" s="19"/>
    </row>
    <row r="573" spans="1:18" ht="15.75" customHeight="1" x14ac:dyDescent="0.35">
      <c r="A573" s="18"/>
      <c r="B573" s="18"/>
      <c r="P573" s="19"/>
      <c r="Q573" s="19"/>
      <c r="R573" s="19"/>
    </row>
    <row r="574" spans="1:18" ht="15.75" customHeight="1" x14ac:dyDescent="0.35">
      <c r="A574" s="18"/>
      <c r="B574" s="18"/>
      <c r="P574" s="19"/>
      <c r="Q574" s="19"/>
      <c r="R574" s="19"/>
    </row>
    <row r="575" spans="1:18" ht="15.75" customHeight="1" x14ac:dyDescent="0.35">
      <c r="A575" s="18"/>
      <c r="B575" s="18"/>
      <c r="P575" s="19"/>
      <c r="Q575" s="19"/>
      <c r="R575" s="19"/>
    </row>
    <row r="576" spans="1:18" ht="15.75" customHeight="1" x14ac:dyDescent="0.35">
      <c r="A576" s="18"/>
      <c r="B576" s="18"/>
      <c r="P576" s="19"/>
      <c r="Q576" s="19"/>
      <c r="R576" s="19"/>
    </row>
    <row r="577" spans="1:18" ht="15.75" customHeight="1" x14ac:dyDescent="0.35">
      <c r="A577" s="18"/>
      <c r="B577" s="18"/>
      <c r="P577" s="19"/>
      <c r="Q577" s="19"/>
      <c r="R577" s="19"/>
    </row>
    <row r="578" spans="1:18" ht="15.75" customHeight="1" x14ac:dyDescent="0.35">
      <c r="A578" s="18"/>
      <c r="B578" s="18"/>
      <c r="P578" s="19"/>
      <c r="Q578" s="19"/>
      <c r="R578" s="19"/>
    </row>
    <row r="579" spans="1:18" ht="15.75" customHeight="1" x14ac:dyDescent="0.35">
      <c r="A579" s="18"/>
      <c r="B579" s="18"/>
      <c r="P579" s="19"/>
      <c r="Q579" s="19"/>
      <c r="R579" s="19"/>
    </row>
    <row r="580" spans="1:18" ht="15.75" customHeight="1" x14ac:dyDescent="0.35">
      <c r="A580" s="18"/>
      <c r="B580" s="18"/>
      <c r="P580" s="19"/>
      <c r="Q580" s="19"/>
      <c r="R580" s="19"/>
    </row>
    <row r="581" spans="1:18" ht="15.75" customHeight="1" x14ac:dyDescent="0.35">
      <c r="A581" s="18"/>
      <c r="B581" s="18"/>
      <c r="P581" s="19"/>
      <c r="Q581" s="19"/>
      <c r="R581" s="19"/>
    </row>
    <row r="582" spans="1:18" ht="15.75" customHeight="1" x14ac:dyDescent="0.35">
      <c r="A582" s="18"/>
      <c r="B582" s="18"/>
      <c r="P582" s="19"/>
      <c r="Q582" s="19"/>
      <c r="R582" s="19"/>
    </row>
    <row r="583" spans="1:18" ht="15.75" customHeight="1" x14ac:dyDescent="0.35">
      <c r="A583" s="18"/>
      <c r="B583" s="18"/>
      <c r="P583" s="19"/>
      <c r="Q583" s="19"/>
      <c r="R583" s="19"/>
    </row>
    <row r="584" spans="1:18" ht="15.75" customHeight="1" x14ac:dyDescent="0.35">
      <c r="A584" s="18"/>
      <c r="B584" s="18"/>
      <c r="P584" s="19"/>
      <c r="Q584" s="19"/>
      <c r="R584" s="19"/>
    </row>
    <row r="585" spans="1:18" ht="15.75" customHeight="1" x14ac:dyDescent="0.35">
      <c r="A585" s="18"/>
      <c r="B585" s="18"/>
      <c r="P585" s="19"/>
      <c r="Q585" s="19"/>
      <c r="R585" s="19"/>
    </row>
    <row r="586" spans="1:18" ht="15.75" customHeight="1" x14ac:dyDescent="0.35">
      <c r="A586" s="18"/>
      <c r="B586" s="18"/>
      <c r="P586" s="19"/>
      <c r="Q586" s="19"/>
      <c r="R586" s="19"/>
    </row>
    <row r="587" spans="1:18" ht="15.75" customHeight="1" x14ac:dyDescent="0.35">
      <c r="A587" s="18"/>
      <c r="B587" s="18"/>
      <c r="P587" s="19"/>
      <c r="Q587" s="19"/>
      <c r="R587" s="19"/>
    </row>
    <row r="588" spans="1:18" ht="15.75" customHeight="1" x14ac:dyDescent="0.35">
      <c r="A588" s="18"/>
      <c r="B588" s="18"/>
      <c r="P588" s="19"/>
      <c r="Q588" s="19"/>
      <c r="R588" s="19"/>
    </row>
    <row r="589" spans="1:18" ht="15.75" customHeight="1" x14ac:dyDescent="0.35">
      <c r="A589" s="18"/>
      <c r="B589" s="18"/>
      <c r="P589" s="19"/>
      <c r="Q589" s="19"/>
      <c r="R589" s="19"/>
    </row>
    <row r="590" spans="1:18" ht="15.75" customHeight="1" x14ac:dyDescent="0.35">
      <c r="A590" s="18"/>
      <c r="B590" s="18"/>
      <c r="P590" s="19"/>
      <c r="Q590" s="19"/>
      <c r="R590" s="19"/>
    </row>
    <row r="591" spans="1:18" ht="15.75" customHeight="1" x14ac:dyDescent="0.35">
      <c r="A591" s="18"/>
      <c r="B591" s="18"/>
      <c r="P591" s="19"/>
      <c r="Q591" s="19"/>
      <c r="R591" s="19"/>
    </row>
    <row r="592" spans="1:18" ht="15.75" customHeight="1" x14ac:dyDescent="0.35">
      <c r="A592" s="18"/>
      <c r="B592" s="18"/>
      <c r="P592" s="19"/>
      <c r="Q592" s="19"/>
      <c r="R592" s="19"/>
    </row>
    <row r="593" spans="1:18" ht="15.75" customHeight="1" x14ac:dyDescent="0.35">
      <c r="A593" s="18"/>
      <c r="B593" s="18"/>
      <c r="P593" s="19"/>
      <c r="Q593" s="19"/>
      <c r="R593" s="19"/>
    </row>
    <row r="594" spans="1:18" ht="15.75" customHeight="1" x14ac:dyDescent="0.35">
      <c r="A594" s="18"/>
      <c r="B594" s="18"/>
      <c r="P594" s="19"/>
      <c r="Q594" s="19"/>
      <c r="R594" s="19"/>
    </row>
    <row r="595" spans="1:18" ht="15.75" customHeight="1" x14ac:dyDescent="0.35">
      <c r="A595" s="18"/>
      <c r="B595" s="18"/>
      <c r="P595" s="19"/>
      <c r="Q595" s="19"/>
      <c r="R595" s="19"/>
    </row>
    <row r="596" spans="1:18" ht="15.75" customHeight="1" x14ac:dyDescent="0.35">
      <c r="A596" s="18"/>
      <c r="B596" s="18"/>
      <c r="P596" s="19"/>
      <c r="Q596" s="19"/>
      <c r="R596" s="19"/>
    </row>
    <row r="597" spans="1:18" ht="15.75" customHeight="1" x14ac:dyDescent="0.35">
      <c r="A597" s="18"/>
      <c r="B597" s="18"/>
      <c r="P597" s="19"/>
      <c r="Q597" s="19"/>
      <c r="R597" s="19"/>
    </row>
    <row r="598" spans="1:18" ht="15.75" customHeight="1" x14ac:dyDescent="0.35">
      <c r="A598" s="18"/>
      <c r="B598" s="18"/>
      <c r="P598" s="19"/>
      <c r="Q598" s="19"/>
      <c r="R598" s="19"/>
    </row>
    <row r="599" spans="1:18" ht="15.75" customHeight="1" x14ac:dyDescent="0.35">
      <c r="A599" s="18"/>
      <c r="B599" s="18"/>
      <c r="P599" s="19"/>
      <c r="Q599" s="19"/>
      <c r="R599" s="19"/>
    </row>
    <row r="600" spans="1:18" ht="15.75" customHeight="1" x14ac:dyDescent="0.35">
      <c r="A600" s="18"/>
      <c r="B600" s="18"/>
      <c r="P600" s="19"/>
      <c r="Q600" s="19"/>
      <c r="R600" s="19"/>
    </row>
    <row r="601" spans="1:18" ht="15.75" customHeight="1" x14ac:dyDescent="0.35">
      <c r="A601" s="18"/>
      <c r="B601" s="18"/>
      <c r="P601" s="19"/>
      <c r="Q601" s="19"/>
      <c r="R601" s="19"/>
    </row>
    <row r="602" spans="1:18" ht="15.75" customHeight="1" x14ac:dyDescent="0.35">
      <c r="A602" s="18"/>
      <c r="B602" s="18"/>
      <c r="P602" s="19"/>
      <c r="Q602" s="19"/>
      <c r="R602" s="19"/>
    </row>
    <row r="603" spans="1:18" ht="15.75" customHeight="1" x14ac:dyDescent="0.35">
      <c r="A603" s="18"/>
      <c r="B603" s="18"/>
      <c r="P603" s="19"/>
      <c r="Q603" s="19"/>
      <c r="R603" s="19"/>
    </row>
    <row r="604" spans="1:18" ht="15.75" customHeight="1" x14ac:dyDescent="0.35">
      <c r="A604" s="18"/>
      <c r="B604" s="18"/>
      <c r="P604" s="19"/>
      <c r="Q604" s="19"/>
      <c r="R604" s="19"/>
    </row>
    <row r="605" spans="1:18" ht="15.75" customHeight="1" x14ac:dyDescent="0.35">
      <c r="A605" s="18"/>
      <c r="B605" s="18"/>
      <c r="P605" s="19"/>
      <c r="Q605" s="19"/>
      <c r="R605" s="19"/>
    </row>
    <row r="606" spans="1:18" ht="15.75" customHeight="1" x14ac:dyDescent="0.35">
      <c r="A606" s="18"/>
      <c r="B606" s="18"/>
      <c r="P606" s="19"/>
      <c r="Q606" s="19"/>
      <c r="R606" s="19"/>
    </row>
    <row r="607" spans="1:18" ht="15.75" customHeight="1" x14ac:dyDescent="0.35">
      <c r="A607" s="18"/>
      <c r="B607" s="18"/>
      <c r="P607" s="19"/>
      <c r="Q607" s="19"/>
      <c r="R607" s="19"/>
    </row>
    <row r="608" spans="1:18" ht="15.75" customHeight="1" x14ac:dyDescent="0.35">
      <c r="A608" s="18"/>
      <c r="B608" s="18"/>
      <c r="P608" s="19"/>
      <c r="Q608" s="19"/>
      <c r="R608" s="19"/>
    </row>
    <row r="609" spans="1:18" ht="15.75" customHeight="1" x14ac:dyDescent="0.35">
      <c r="A609" s="18"/>
      <c r="B609" s="18"/>
      <c r="P609" s="19"/>
      <c r="Q609" s="19"/>
      <c r="R609" s="19"/>
    </row>
    <row r="610" spans="1:18" ht="15.75" customHeight="1" x14ac:dyDescent="0.35">
      <c r="A610" s="18"/>
      <c r="B610" s="18"/>
      <c r="P610" s="19"/>
      <c r="Q610" s="19"/>
      <c r="R610" s="19"/>
    </row>
    <row r="611" spans="1:18" ht="15.75" customHeight="1" x14ac:dyDescent="0.35">
      <c r="A611" s="18"/>
      <c r="B611" s="18"/>
      <c r="P611" s="19"/>
      <c r="Q611" s="19"/>
      <c r="R611" s="19"/>
    </row>
    <row r="612" spans="1:18" ht="15.75" customHeight="1" x14ac:dyDescent="0.35">
      <c r="A612" s="18"/>
      <c r="B612" s="18"/>
      <c r="P612" s="19"/>
      <c r="Q612" s="19"/>
      <c r="R612" s="19"/>
    </row>
    <row r="613" spans="1:18" ht="15.75" customHeight="1" x14ac:dyDescent="0.35">
      <c r="A613" s="18"/>
      <c r="B613" s="18"/>
      <c r="P613" s="19"/>
      <c r="Q613" s="19"/>
      <c r="R613" s="19"/>
    </row>
    <row r="614" spans="1:18" ht="15.75" customHeight="1" x14ac:dyDescent="0.35">
      <c r="A614" s="18"/>
      <c r="B614" s="18"/>
      <c r="P614" s="19"/>
      <c r="Q614" s="19"/>
      <c r="R614" s="19"/>
    </row>
    <row r="615" spans="1:18" ht="15.75" customHeight="1" x14ac:dyDescent="0.35">
      <c r="A615" s="18"/>
      <c r="B615" s="18"/>
      <c r="P615" s="19"/>
      <c r="Q615" s="19"/>
      <c r="R615" s="19"/>
    </row>
    <row r="616" spans="1:18" ht="15.75" customHeight="1" x14ac:dyDescent="0.35">
      <c r="A616" s="18"/>
      <c r="B616" s="18"/>
      <c r="P616" s="19"/>
      <c r="Q616" s="19"/>
      <c r="R616" s="19"/>
    </row>
    <row r="617" spans="1:18" ht="15.75" customHeight="1" x14ac:dyDescent="0.35">
      <c r="A617" s="18"/>
      <c r="B617" s="18"/>
      <c r="P617" s="19"/>
      <c r="Q617" s="19"/>
      <c r="R617" s="19"/>
    </row>
    <row r="618" spans="1:18" ht="15.75" customHeight="1" x14ac:dyDescent="0.35">
      <c r="A618" s="18"/>
      <c r="B618" s="18"/>
      <c r="P618" s="19"/>
      <c r="Q618" s="19"/>
      <c r="R618" s="19"/>
    </row>
    <row r="619" spans="1:18" ht="15.75" customHeight="1" x14ac:dyDescent="0.35">
      <c r="A619" s="18"/>
      <c r="B619" s="18"/>
      <c r="P619" s="19"/>
      <c r="Q619" s="19"/>
      <c r="R619" s="19"/>
    </row>
    <row r="620" spans="1:18" ht="15.75" customHeight="1" x14ac:dyDescent="0.35">
      <c r="A620" s="18"/>
      <c r="B620" s="18"/>
      <c r="P620" s="19"/>
      <c r="Q620" s="19"/>
      <c r="R620" s="19"/>
    </row>
    <row r="621" spans="1:18" ht="15.75" customHeight="1" x14ac:dyDescent="0.35">
      <c r="A621" s="18"/>
      <c r="B621" s="18"/>
      <c r="P621" s="19"/>
      <c r="Q621" s="19"/>
      <c r="R621" s="19"/>
    </row>
    <row r="622" spans="1:18" ht="15.75" customHeight="1" x14ac:dyDescent="0.35">
      <c r="A622" s="18"/>
      <c r="B622" s="18"/>
      <c r="P622" s="19"/>
      <c r="Q622" s="19"/>
      <c r="R622" s="19"/>
    </row>
    <row r="623" spans="1:18" ht="15.75" customHeight="1" x14ac:dyDescent="0.35">
      <c r="A623" s="18"/>
      <c r="B623" s="18"/>
      <c r="P623" s="19"/>
      <c r="Q623" s="19"/>
      <c r="R623" s="19"/>
    </row>
    <row r="624" spans="1:18" ht="15.75" customHeight="1" x14ac:dyDescent="0.35">
      <c r="A624" s="18"/>
      <c r="B624" s="18"/>
      <c r="P624" s="19"/>
      <c r="Q624" s="19"/>
      <c r="R624" s="19"/>
    </row>
    <row r="625" spans="1:18" ht="15.75" customHeight="1" x14ac:dyDescent="0.35">
      <c r="A625" s="18"/>
      <c r="B625" s="18"/>
      <c r="P625" s="19"/>
      <c r="Q625" s="19"/>
      <c r="R625" s="19"/>
    </row>
    <row r="626" spans="1:18" ht="15.75" customHeight="1" x14ac:dyDescent="0.35">
      <c r="A626" s="18"/>
      <c r="B626" s="18"/>
      <c r="P626" s="19"/>
      <c r="Q626" s="19"/>
      <c r="R626" s="19"/>
    </row>
    <row r="627" spans="1:18" ht="15.75" customHeight="1" x14ac:dyDescent="0.35">
      <c r="A627" s="18"/>
      <c r="B627" s="18"/>
      <c r="P627" s="19"/>
      <c r="Q627" s="19"/>
      <c r="R627" s="19"/>
    </row>
    <row r="628" spans="1:18" ht="15.75" customHeight="1" x14ac:dyDescent="0.35">
      <c r="A628" s="18"/>
      <c r="B628" s="18"/>
      <c r="P628" s="19"/>
      <c r="Q628" s="19"/>
      <c r="R628" s="19"/>
    </row>
    <row r="629" spans="1:18" ht="15.75" customHeight="1" x14ac:dyDescent="0.35">
      <c r="A629" s="18"/>
      <c r="B629" s="18"/>
      <c r="P629" s="19"/>
      <c r="Q629" s="19"/>
      <c r="R629" s="19"/>
    </row>
    <row r="630" spans="1:18" ht="15.75" customHeight="1" x14ac:dyDescent="0.35">
      <c r="A630" s="18"/>
      <c r="B630" s="18"/>
      <c r="P630" s="19"/>
      <c r="Q630" s="19"/>
      <c r="R630" s="19"/>
    </row>
    <row r="631" spans="1:18" ht="15.75" customHeight="1" x14ac:dyDescent="0.35">
      <c r="A631" s="18"/>
      <c r="B631" s="18"/>
      <c r="P631" s="19"/>
      <c r="Q631" s="19"/>
      <c r="R631" s="19"/>
    </row>
    <row r="632" spans="1:18" ht="15.75" customHeight="1" x14ac:dyDescent="0.35">
      <c r="A632" s="18"/>
      <c r="B632" s="18"/>
      <c r="P632" s="19"/>
      <c r="Q632" s="19"/>
      <c r="R632" s="19"/>
    </row>
    <row r="633" spans="1:18" ht="15.75" customHeight="1" x14ac:dyDescent="0.35">
      <c r="A633" s="18"/>
      <c r="B633" s="18"/>
      <c r="P633" s="19"/>
      <c r="Q633" s="19"/>
      <c r="R633" s="19"/>
    </row>
    <row r="634" spans="1:18" ht="15.75" customHeight="1" x14ac:dyDescent="0.35">
      <c r="A634" s="18"/>
      <c r="B634" s="18"/>
      <c r="P634" s="19"/>
      <c r="Q634" s="19"/>
      <c r="R634" s="19"/>
    </row>
    <row r="635" spans="1:18" ht="15.75" customHeight="1" x14ac:dyDescent="0.35">
      <c r="A635" s="18"/>
      <c r="B635" s="18"/>
      <c r="P635" s="19"/>
      <c r="Q635" s="19"/>
      <c r="R635" s="19"/>
    </row>
    <row r="636" spans="1:18" ht="15.75" customHeight="1" x14ac:dyDescent="0.35">
      <c r="A636" s="18"/>
      <c r="B636" s="18"/>
      <c r="P636" s="19"/>
      <c r="Q636" s="19"/>
      <c r="R636" s="19"/>
    </row>
    <row r="637" spans="1:18" ht="15.75" customHeight="1" x14ac:dyDescent="0.35">
      <c r="A637" s="18"/>
      <c r="B637" s="18"/>
      <c r="P637" s="19"/>
      <c r="Q637" s="19"/>
      <c r="R637" s="19"/>
    </row>
    <row r="638" spans="1:18" ht="15.75" customHeight="1" x14ac:dyDescent="0.35">
      <c r="A638" s="18"/>
      <c r="B638" s="18"/>
      <c r="P638" s="19"/>
      <c r="Q638" s="19"/>
      <c r="R638" s="19"/>
    </row>
    <row r="639" spans="1:18" ht="15.75" customHeight="1" x14ac:dyDescent="0.35">
      <c r="A639" s="18"/>
      <c r="B639" s="18"/>
      <c r="P639" s="19"/>
      <c r="Q639" s="19"/>
      <c r="R639" s="19"/>
    </row>
    <row r="640" spans="1:18" ht="15.75" customHeight="1" x14ac:dyDescent="0.35">
      <c r="A640" s="18"/>
      <c r="B640" s="18"/>
      <c r="P640" s="19"/>
      <c r="Q640" s="19"/>
      <c r="R640" s="19"/>
    </row>
    <row r="641" spans="1:18" ht="15.75" customHeight="1" x14ac:dyDescent="0.35">
      <c r="A641" s="18"/>
      <c r="B641" s="18"/>
      <c r="P641" s="19"/>
      <c r="Q641" s="19"/>
      <c r="R641" s="19"/>
    </row>
    <row r="642" spans="1:18" ht="15.75" customHeight="1" x14ac:dyDescent="0.35">
      <c r="A642" s="18"/>
      <c r="B642" s="18"/>
      <c r="P642" s="19"/>
      <c r="Q642" s="19"/>
      <c r="R642" s="19"/>
    </row>
    <row r="643" spans="1:18" ht="15.75" customHeight="1" x14ac:dyDescent="0.35">
      <c r="A643" s="18"/>
      <c r="B643" s="18"/>
      <c r="P643" s="19"/>
      <c r="Q643" s="19"/>
      <c r="R643" s="19"/>
    </row>
    <row r="644" spans="1:18" ht="15.75" customHeight="1" x14ac:dyDescent="0.35">
      <c r="A644" s="18"/>
      <c r="B644" s="18"/>
      <c r="P644" s="19"/>
      <c r="Q644" s="19"/>
      <c r="R644" s="19"/>
    </row>
    <row r="645" spans="1:18" ht="15.75" customHeight="1" x14ac:dyDescent="0.35">
      <c r="A645" s="18"/>
      <c r="B645" s="18"/>
      <c r="P645" s="19"/>
      <c r="Q645" s="19"/>
      <c r="R645" s="19"/>
    </row>
    <row r="646" spans="1:18" ht="15.75" customHeight="1" x14ac:dyDescent="0.35">
      <c r="A646" s="18"/>
      <c r="B646" s="18"/>
      <c r="P646" s="19"/>
      <c r="Q646" s="19"/>
      <c r="R646" s="19"/>
    </row>
    <row r="647" spans="1:18" ht="15.75" customHeight="1" x14ac:dyDescent="0.35">
      <c r="A647" s="18"/>
      <c r="B647" s="18"/>
      <c r="P647" s="19"/>
      <c r="Q647" s="19"/>
      <c r="R647" s="19"/>
    </row>
    <row r="648" spans="1:18" ht="15.75" customHeight="1" x14ac:dyDescent="0.35">
      <c r="A648" s="18"/>
      <c r="B648" s="18"/>
      <c r="P648" s="19"/>
      <c r="Q648" s="19"/>
      <c r="R648" s="19"/>
    </row>
    <row r="649" spans="1:18" ht="15.75" customHeight="1" x14ac:dyDescent="0.35">
      <c r="A649" s="18"/>
      <c r="B649" s="18"/>
      <c r="P649" s="19"/>
      <c r="Q649" s="19"/>
      <c r="R649" s="19"/>
    </row>
    <row r="650" spans="1:18" ht="15.75" customHeight="1" x14ac:dyDescent="0.35">
      <c r="A650" s="18"/>
      <c r="B650" s="18"/>
      <c r="P650" s="19"/>
      <c r="Q650" s="19"/>
      <c r="R650" s="19"/>
    </row>
    <row r="651" spans="1:18" ht="15.75" customHeight="1" x14ac:dyDescent="0.35">
      <c r="A651" s="18"/>
      <c r="B651" s="18"/>
      <c r="P651" s="19"/>
      <c r="Q651" s="19"/>
      <c r="R651" s="19"/>
    </row>
    <row r="652" spans="1:18" ht="15.75" customHeight="1" x14ac:dyDescent="0.35">
      <c r="A652" s="18"/>
      <c r="B652" s="18"/>
      <c r="P652" s="19"/>
      <c r="Q652" s="19"/>
      <c r="R652" s="19"/>
    </row>
    <row r="653" spans="1:18" ht="15.75" customHeight="1" x14ac:dyDescent="0.35">
      <c r="A653" s="18"/>
      <c r="B653" s="18"/>
      <c r="P653" s="19"/>
      <c r="Q653" s="19"/>
      <c r="R653" s="19"/>
    </row>
    <row r="654" spans="1:18" ht="15.75" customHeight="1" x14ac:dyDescent="0.35">
      <c r="A654" s="18"/>
      <c r="B654" s="18"/>
      <c r="P654" s="19"/>
      <c r="Q654" s="19"/>
      <c r="R654" s="19"/>
    </row>
    <row r="655" spans="1:18" ht="15.75" customHeight="1" x14ac:dyDescent="0.35">
      <c r="A655" s="18"/>
      <c r="B655" s="18"/>
      <c r="P655" s="19"/>
      <c r="Q655" s="19"/>
      <c r="R655" s="19"/>
    </row>
    <row r="656" spans="1:18" ht="15.75" customHeight="1" x14ac:dyDescent="0.35">
      <c r="A656" s="18"/>
      <c r="B656" s="18"/>
      <c r="P656" s="19"/>
      <c r="Q656" s="19"/>
      <c r="R656" s="19"/>
    </row>
    <row r="657" spans="1:18" ht="15.75" customHeight="1" x14ac:dyDescent="0.35">
      <c r="A657" s="18"/>
      <c r="B657" s="18"/>
      <c r="P657" s="19"/>
      <c r="Q657" s="19"/>
      <c r="R657" s="19"/>
    </row>
    <row r="658" spans="1:18" ht="15.75" customHeight="1" x14ac:dyDescent="0.35">
      <c r="A658" s="18"/>
      <c r="B658" s="18"/>
      <c r="P658" s="19"/>
      <c r="Q658" s="19"/>
      <c r="R658" s="19"/>
    </row>
    <row r="659" spans="1:18" ht="15.75" customHeight="1" x14ac:dyDescent="0.35">
      <c r="A659" s="18"/>
      <c r="B659" s="18"/>
      <c r="P659" s="19"/>
      <c r="Q659" s="19"/>
      <c r="R659" s="19"/>
    </row>
    <row r="660" spans="1:18" ht="15.75" customHeight="1" x14ac:dyDescent="0.35">
      <c r="A660" s="18"/>
      <c r="B660" s="18"/>
      <c r="P660" s="19"/>
      <c r="Q660" s="19"/>
      <c r="R660" s="19"/>
    </row>
    <row r="661" spans="1:18" ht="15.75" customHeight="1" x14ac:dyDescent="0.35">
      <c r="A661" s="18"/>
      <c r="B661" s="18"/>
      <c r="P661" s="19"/>
      <c r="Q661" s="19"/>
      <c r="R661" s="19"/>
    </row>
    <row r="662" spans="1:18" ht="15.75" customHeight="1" x14ac:dyDescent="0.35">
      <c r="A662" s="18"/>
      <c r="B662" s="18"/>
      <c r="P662" s="19"/>
      <c r="Q662" s="19"/>
      <c r="R662" s="19"/>
    </row>
    <row r="663" spans="1:18" ht="15.75" customHeight="1" x14ac:dyDescent="0.35">
      <c r="A663" s="18"/>
      <c r="B663" s="18"/>
      <c r="P663" s="19"/>
      <c r="Q663" s="19"/>
      <c r="R663" s="19"/>
    </row>
    <row r="664" spans="1:18" ht="15.75" customHeight="1" x14ac:dyDescent="0.35">
      <c r="A664" s="18"/>
      <c r="B664" s="18"/>
      <c r="P664" s="19"/>
      <c r="Q664" s="19"/>
      <c r="R664" s="19"/>
    </row>
    <row r="665" spans="1:18" ht="15.75" customHeight="1" x14ac:dyDescent="0.35">
      <c r="A665" s="18"/>
      <c r="B665" s="18"/>
      <c r="P665" s="19"/>
      <c r="Q665" s="19"/>
      <c r="R665" s="19"/>
    </row>
    <row r="666" spans="1:18" ht="15.75" customHeight="1" x14ac:dyDescent="0.35">
      <c r="A666" s="18"/>
      <c r="B666" s="18"/>
      <c r="P666" s="19"/>
      <c r="Q666" s="19"/>
      <c r="R666" s="19"/>
    </row>
    <row r="667" spans="1:18" ht="15.75" customHeight="1" x14ac:dyDescent="0.35">
      <c r="A667" s="18"/>
      <c r="B667" s="18"/>
      <c r="P667" s="19"/>
      <c r="Q667" s="19"/>
      <c r="R667" s="19"/>
    </row>
    <row r="668" spans="1:18" ht="15.75" customHeight="1" x14ac:dyDescent="0.35">
      <c r="A668" s="18"/>
      <c r="B668" s="18"/>
      <c r="P668" s="19"/>
      <c r="Q668" s="19"/>
      <c r="R668" s="19"/>
    </row>
    <row r="669" spans="1:18" ht="15.75" customHeight="1" x14ac:dyDescent="0.35">
      <c r="A669" s="18"/>
      <c r="B669" s="18"/>
      <c r="P669" s="19"/>
      <c r="Q669" s="19"/>
      <c r="R669" s="19"/>
    </row>
    <row r="670" spans="1:18" ht="15.75" customHeight="1" x14ac:dyDescent="0.35">
      <c r="A670" s="18"/>
      <c r="B670" s="18"/>
      <c r="P670" s="19"/>
      <c r="Q670" s="19"/>
      <c r="R670" s="19"/>
    </row>
    <row r="671" spans="1:18" ht="15.75" customHeight="1" x14ac:dyDescent="0.35">
      <c r="A671" s="18"/>
      <c r="B671" s="18"/>
      <c r="P671" s="19"/>
      <c r="Q671" s="19"/>
      <c r="R671" s="19"/>
    </row>
    <row r="672" spans="1:18" ht="15.75" customHeight="1" x14ac:dyDescent="0.35">
      <c r="A672" s="18"/>
      <c r="B672" s="18"/>
      <c r="P672" s="19"/>
      <c r="Q672" s="19"/>
      <c r="R672" s="19"/>
    </row>
    <row r="673" spans="1:18" ht="15.75" customHeight="1" x14ac:dyDescent="0.35">
      <c r="A673" s="18"/>
      <c r="B673" s="18"/>
      <c r="P673" s="19"/>
      <c r="Q673" s="19"/>
      <c r="R673" s="19"/>
    </row>
    <row r="674" spans="1:18" ht="15.75" customHeight="1" x14ac:dyDescent="0.35">
      <c r="A674" s="18"/>
      <c r="B674" s="18"/>
      <c r="P674" s="19"/>
      <c r="Q674" s="19"/>
      <c r="R674" s="19"/>
    </row>
    <row r="675" spans="1:18" ht="15.75" customHeight="1" x14ac:dyDescent="0.35">
      <c r="A675" s="18"/>
      <c r="B675" s="18"/>
      <c r="P675" s="19"/>
      <c r="Q675" s="19"/>
      <c r="R675" s="19"/>
    </row>
    <row r="676" spans="1:18" ht="15.75" customHeight="1" x14ac:dyDescent="0.35">
      <c r="A676" s="18"/>
      <c r="B676" s="18"/>
      <c r="P676" s="19"/>
      <c r="Q676" s="19"/>
      <c r="R676" s="19"/>
    </row>
    <row r="677" spans="1:18" ht="15.75" customHeight="1" x14ac:dyDescent="0.35">
      <c r="A677" s="18"/>
      <c r="B677" s="18"/>
      <c r="P677" s="19"/>
      <c r="Q677" s="19"/>
      <c r="R677" s="19"/>
    </row>
    <row r="678" spans="1:18" ht="15.75" customHeight="1" x14ac:dyDescent="0.35">
      <c r="A678" s="18"/>
      <c r="B678" s="18"/>
      <c r="P678" s="19"/>
      <c r="Q678" s="19"/>
      <c r="R678" s="19"/>
    </row>
    <row r="679" spans="1:18" ht="15.75" customHeight="1" x14ac:dyDescent="0.35">
      <c r="A679" s="18"/>
      <c r="B679" s="18"/>
      <c r="P679" s="19"/>
      <c r="Q679" s="19"/>
      <c r="R679" s="19"/>
    </row>
    <row r="680" spans="1:18" ht="15.75" customHeight="1" x14ac:dyDescent="0.35">
      <c r="A680" s="18"/>
      <c r="B680" s="18"/>
      <c r="P680" s="19"/>
      <c r="Q680" s="19"/>
      <c r="R680" s="19"/>
    </row>
    <row r="681" spans="1:18" ht="15.75" customHeight="1" x14ac:dyDescent="0.35">
      <c r="A681" s="18"/>
      <c r="B681" s="18"/>
      <c r="P681" s="19"/>
      <c r="Q681" s="19"/>
      <c r="R681" s="19"/>
    </row>
    <row r="682" spans="1:18" ht="15.75" customHeight="1" x14ac:dyDescent="0.35">
      <c r="A682" s="18"/>
      <c r="B682" s="18"/>
      <c r="P682" s="19"/>
      <c r="Q682" s="19"/>
      <c r="R682" s="19"/>
    </row>
    <row r="683" spans="1:18" ht="15.75" customHeight="1" x14ac:dyDescent="0.35">
      <c r="A683" s="18"/>
      <c r="B683" s="18"/>
      <c r="P683" s="19"/>
      <c r="Q683" s="19"/>
      <c r="R683" s="19"/>
    </row>
    <row r="684" spans="1:18" ht="15.75" customHeight="1" x14ac:dyDescent="0.35">
      <c r="A684" s="18"/>
      <c r="B684" s="18"/>
      <c r="P684" s="19"/>
      <c r="Q684" s="19"/>
      <c r="R684" s="19"/>
    </row>
    <row r="685" spans="1:18" ht="15.75" customHeight="1" x14ac:dyDescent="0.35">
      <c r="A685" s="18"/>
      <c r="B685" s="18"/>
      <c r="P685" s="19"/>
      <c r="Q685" s="19"/>
      <c r="R685" s="19"/>
    </row>
    <row r="686" spans="1:18" ht="15.75" customHeight="1" x14ac:dyDescent="0.35">
      <c r="A686" s="18"/>
      <c r="B686" s="18"/>
      <c r="P686" s="19"/>
      <c r="Q686" s="19"/>
      <c r="R686" s="19"/>
    </row>
    <row r="687" spans="1:18" ht="15.75" customHeight="1" x14ac:dyDescent="0.35">
      <c r="A687" s="18"/>
      <c r="B687" s="18"/>
      <c r="P687" s="19"/>
      <c r="Q687" s="19"/>
      <c r="R687" s="19"/>
    </row>
    <row r="688" spans="1:18" ht="15.75" customHeight="1" x14ac:dyDescent="0.35">
      <c r="A688" s="18"/>
      <c r="B688" s="18"/>
      <c r="P688" s="19"/>
      <c r="Q688" s="19"/>
      <c r="R688" s="19"/>
    </row>
    <row r="689" spans="1:18" ht="15.75" customHeight="1" x14ac:dyDescent="0.35">
      <c r="A689" s="18"/>
      <c r="B689" s="18"/>
      <c r="P689" s="19"/>
      <c r="Q689" s="19"/>
      <c r="R689" s="19"/>
    </row>
    <row r="690" spans="1:18" ht="15.75" customHeight="1" x14ac:dyDescent="0.35">
      <c r="A690" s="18"/>
      <c r="B690" s="18"/>
      <c r="P690" s="19"/>
      <c r="Q690" s="19"/>
      <c r="R690" s="19"/>
    </row>
    <row r="691" spans="1:18" ht="15.75" customHeight="1" x14ac:dyDescent="0.35">
      <c r="A691" s="18"/>
      <c r="B691" s="18"/>
      <c r="P691" s="19"/>
      <c r="Q691" s="19"/>
      <c r="R691" s="19"/>
    </row>
    <row r="692" spans="1:18" ht="15.75" customHeight="1" x14ac:dyDescent="0.35">
      <c r="A692" s="18"/>
      <c r="B692" s="18"/>
      <c r="P692" s="19"/>
      <c r="Q692" s="19"/>
      <c r="R692" s="19"/>
    </row>
    <row r="693" spans="1:18" ht="15.75" customHeight="1" x14ac:dyDescent="0.35">
      <c r="A693" s="18"/>
      <c r="B693" s="18"/>
      <c r="P693" s="19"/>
      <c r="Q693" s="19"/>
      <c r="R693" s="19"/>
    </row>
    <row r="694" spans="1:18" ht="15.75" customHeight="1" x14ac:dyDescent="0.35">
      <c r="A694" s="18"/>
      <c r="B694" s="18"/>
      <c r="P694" s="19"/>
      <c r="Q694" s="19"/>
      <c r="R694" s="19"/>
    </row>
    <row r="695" spans="1:18" ht="15.75" customHeight="1" x14ac:dyDescent="0.35">
      <c r="A695" s="18"/>
      <c r="B695" s="18"/>
      <c r="P695" s="19"/>
      <c r="Q695" s="19"/>
      <c r="R695" s="19"/>
    </row>
    <row r="696" spans="1:18" ht="15.75" customHeight="1" x14ac:dyDescent="0.35">
      <c r="A696" s="18"/>
      <c r="B696" s="18"/>
      <c r="P696" s="19"/>
      <c r="Q696" s="19"/>
      <c r="R696" s="19"/>
    </row>
    <row r="697" spans="1:18" ht="15.75" customHeight="1" x14ac:dyDescent="0.35">
      <c r="A697" s="18"/>
      <c r="B697" s="18"/>
      <c r="P697" s="19"/>
      <c r="Q697" s="19"/>
      <c r="R697" s="19"/>
    </row>
    <row r="698" spans="1:18" ht="15.75" customHeight="1" x14ac:dyDescent="0.35">
      <c r="A698" s="18"/>
      <c r="B698" s="18"/>
      <c r="P698" s="19"/>
      <c r="Q698" s="19"/>
      <c r="R698" s="19"/>
    </row>
    <row r="699" spans="1:18" ht="15.75" customHeight="1" x14ac:dyDescent="0.35">
      <c r="A699" s="18"/>
      <c r="B699" s="18"/>
      <c r="P699" s="19"/>
      <c r="Q699" s="19"/>
      <c r="R699" s="19"/>
    </row>
    <row r="700" spans="1:18" ht="15.75" customHeight="1" x14ac:dyDescent="0.35">
      <c r="A700" s="18"/>
      <c r="B700" s="18"/>
      <c r="P700" s="19"/>
      <c r="Q700" s="19"/>
      <c r="R700" s="19"/>
    </row>
    <row r="701" spans="1:18" ht="15.75" customHeight="1" x14ac:dyDescent="0.35">
      <c r="A701" s="18"/>
      <c r="B701" s="18"/>
      <c r="P701" s="19"/>
      <c r="Q701" s="19"/>
      <c r="R701" s="19"/>
    </row>
    <row r="702" spans="1:18" ht="15.75" customHeight="1" x14ac:dyDescent="0.35">
      <c r="A702" s="18"/>
      <c r="B702" s="18"/>
      <c r="P702" s="19"/>
      <c r="Q702" s="19"/>
      <c r="R702" s="19"/>
    </row>
    <row r="703" spans="1:18" ht="15.75" customHeight="1" x14ac:dyDescent="0.35">
      <c r="A703" s="18"/>
      <c r="B703" s="18"/>
      <c r="P703" s="19"/>
      <c r="Q703" s="19"/>
      <c r="R703" s="19"/>
    </row>
    <row r="704" spans="1:18" ht="15.75" customHeight="1" x14ac:dyDescent="0.35">
      <c r="A704" s="18"/>
      <c r="B704" s="18"/>
      <c r="P704" s="19"/>
      <c r="Q704" s="19"/>
      <c r="R704" s="19"/>
    </row>
    <row r="705" spans="1:18" ht="15.75" customHeight="1" x14ac:dyDescent="0.35">
      <c r="A705" s="18"/>
      <c r="B705" s="18"/>
      <c r="P705" s="19"/>
      <c r="Q705" s="19"/>
      <c r="R705" s="19"/>
    </row>
    <row r="706" spans="1:18" ht="15.75" customHeight="1" x14ac:dyDescent="0.35">
      <c r="A706" s="18"/>
      <c r="B706" s="18"/>
      <c r="P706" s="19"/>
      <c r="Q706" s="19"/>
      <c r="R706" s="19"/>
    </row>
    <row r="707" spans="1:18" ht="15.75" customHeight="1" x14ac:dyDescent="0.35">
      <c r="A707" s="18"/>
      <c r="B707" s="18"/>
      <c r="P707" s="19"/>
      <c r="Q707" s="19"/>
      <c r="R707" s="19"/>
    </row>
    <row r="708" spans="1:18" ht="15.75" customHeight="1" x14ac:dyDescent="0.35">
      <c r="A708" s="18"/>
      <c r="B708" s="18"/>
      <c r="P708" s="19"/>
      <c r="Q708" s="19"/>
      <c r="R708" s="19"/>
    </row>
    <row r="709" spans="1:18" ht="15.75" customHeight="1" x14ac:dyDescent="0.35">
      <c r="A709" s="18"/>
      <c r="B709" s="18"/>
      <c r="P709" s="19"/>
      <c r="Q709" s="19"/>
      <c r="R709" s="19"/>
    </row>
    <row r="710" spans="1:18" ht="15.75" customHeight="1" x14ac:dyDescent="0.35">
      <c r="A710" s="18"/>
      <c r="B710" s="18"/>
      <c r="P710" s="19"/>
      <c r="Q710" s="19"/>
      <c r="R710" s="19"/>
    </row>
    <row r="711" spans="1:18" ht="15.75" customHeight="1" x14ac:dyDescent="0.35">
      <c r="A711" s="18"/>
      <c r="B711" s="18"/>
      <c r="P711" s="19"/>
      <c r="Q711" s="19"/>
      <c r="R711" s="19"/>
    </row>
    <row r="712" spans="1:18" ht="15.75" customHeight="1" x14ac:dyDescent="0.35">
      <c r="A712" s="18"/>
      <c r="B712" s="18"/>
      <c r="P712" s="19"/>
      <c r="Q712" s="19"/>
      <c r="R712" s="19"/>
    </row>
    <row r="713" spans="1:18" ht="15.75" customHeight="1" x14ac:dyDescent="0.35">
      <c r="A713" s="18"/>
      <c r="B713" s="18"/>
      <c r="P713" s="19"/>
      <c r="Q713" s="19"/>
      <c r="R713" s="19"/>
    </row>
    <row r="714" spans="1:18" ht="15.75" customHeight="1" x14ac:dyDescent="0.35">
      <c r="A714" s="18"/>
      <c r="B714" s="18"/>
      <c r="P714" s="19"/>
      <c r="Q714" s="19"/>
      <c r="R714" s="19"/>
    </row>
    <row r="715" spans="1:18" ht="15.75" customHeight="1" x14ac:dyDescent="0.35">
      <c r="A715" s="18"/>
      <c r="B715" s="18"/>
      <c r="P715" s="19"/>
      <c r="Q715" s="19"/>
      <c r="R715" s="19"/>
    </row>
    <row r="716" spans="1:18" ht="15.75" customHeight="1" x14ac:dyDescent="0.35">
      <c r="A716" s="18"/>
      <c r="B716" s="18"/>
      <c r="P716" s="19"/>
      <c r="Q716" s="19"/>
      <c r="R716" s="19"/>
    </row>
    <row r="717" spans="1:18" ht="15.75" customHeight="1" x14ac:dyDescent="0.35">
      <c r="A717" s="18"/>
      <c r="B717" s="18"/>
      <c r="P717" s="19"/>
      <c r="Q717" s="19"/>
      <c r="R717" s="19"/>
    </row>
    <row r="718" spans="1:18" ht="15.75" customHeight="1" x14ac:dyDescent="0.35">
      <c r="A718" s="18"/>
      <c r="B718" s="18"/>
      <c r="P718" s="19"/>
      <c r="Q718" s="19"/>
      <c r="R718" s="19"/>
    </row>
    <row r="719" spans="1:18" ht="15.75" customHeight="1" x14ac:dyDescent="0.35">
      <c r="A719" s="18"/>
      <c r="B719" s="18"/>
      <c r="P719" s="19"/>
      <c r="Q719" s="19"/>
      <c r="R719" s="19"/>
    </row>
    <row r="720" spans="1:18" ht="15.75" customHeight="1" x14ac:dyDescent="0.35">
      <c r="A720" s="18"/>
      <c r="B720" s="18"/>
      <c r="P720" s="19"/>
      <c r="Q720" s="19"/>
      <c r="R720" s="19"/>
    </row>
    <row r="721" spans="1:18" ht="15.75" customHeight="1" x14ac:dyDescent="0.35">
      <c r="A721" s="18"/>
      <c r="B721" s="18"/>
      <c r="P721" s="19"/>
      <c r="Q721" s="19"/>
      <c r="R721" s="19"/>
    </row>
    <row r="722" spans="1:18" ht="15.75" customHeight="1" x14ac:dyDescent="0.35">
      <c r="A722" s="18"/>
      <c r="B722" s="18"/>
      <c r="P722" s="19"/>
      <c r="Q722" s="19"/>
      <c r="R722" s="19"/>
    </row>
    <row r="723" spans="1:18" ht="15.75" customHeight="1" x14ac:dyDescent="0.35">
      <c r="A723" s="18"/>
      <c r="B723" s="18"/>
      <c r="P723" s="19"/>
      <c r="Q723" s="19"/>
      <c r="R723" s="19"/>
    </row>
    <row r="724" spans="1:18" ht="15.75" customHeight="1" x14ac:dyDescent="0.35">
      <c r="A724" s="18"/>
      <c r="B724" s="18"/>
      <c r="P724" s="19"/>
      <c r="Q724" s="19"/>
      <c r="R724" s="19"/>
    </row>
    <row r="725" spans="1:18" ht="15.75" customHeight="1" x14ac:dyDescent="0.35">
      <c r="A725" s="18"/>
      <c r="B725" s="18"/>
      <c r="P725" s="19"/>
      <c r="Q725" s="19"/>
      <c r="R725" s="19"/>
    </row>
    <row r="726" spans="1:18" ht="15.75" customHeight="1" x14ac:dyDescent="0.35">
      <c r="A726" s="18"/>
      <c r="B726" s="18"/>
      <c r="P726" s="19"/>
      <c r="Q726" s="19"/>
      <c r="R726" s="19"/>
    </row>
    <row r="727" spans="1:18" ht="15.75" customHeight="1" x14ac:dyDescent="0.35">
      <c r="A727" s="18"/>
      <c r="B727" s="18"/>
      <c r="P727" s="19"/>
      <c r="Q727" s="19"/>
      <c r="R727" s="19"/>
    </row>
    <row r="728" spans="1:18" ht="15.75" customHeight="1" x14ac:dyDescent="0.35">
      <c r="A728" s="18"/>
      <c r="B728" s="18"/>
      <c r="P728" s="19"/>
      <c r="Q728" s="19"/>
      <c r="R728" s="19"/>
    </row>
    <row r="729" spans="1:18" ht="15.75" customHeight="1" x14ac:dyDescent="0.35">
      <c r="A729" s="18"/>
      <c r="B729" s="18"/>
      <c r="P729" s="19"/>
      <c r="Q729" s="19"/>
      <c r="R729" s="19"/>
    </row>
    <row r="730" spans="1:18" ht="15.75" customHeight="1" x14ac:dyDescent="0.35">
      <c r="A730" s="18"/>
      <c r="B730" s="18"/>
      <c r="P730" s="19"/>
      <c r="Q730" s="19"/>
      <c r="R730" s="19"/>
    </row>
    <row r="731" spans="1:18" ht="15.75" customHeight="1" x14ac:dyDescent="0.35">
      <c r="A731" s="18"/>
      <c r="B731" s="18"/>
      <c r="P731" s="19"/>
      <c r="Q731" s="19"/>
      <c r="R731" s="19"/>
    </row>
    <row r="732" spans="1:18" ht="15.75" customHeight="1" x14ac:dyDescent="0.35">
      <c r="A732" s="18"/>
      <c r="B732" s="18"/>
      <c r="P732" s="19"/>
      <c r="Q732" s="19"/>
      <c r="R732" s="19"/>
    </row>
    <row r="733" spans="1:18" ht="15.75" customHeight="1" x14ac:dyDescent="0.35">
      <c r="A733" s="18"/>
      <c r="B733" s="18"/>
      <c r="P733" s="19"/>
      <c r="Q733" s="19"/>
      <c r="R733" s="19"/>
    </row>
    <row r="734" spans="1:18" ht="15.75" customHeight="1" x14ac:dyDescent="0.35">
      <c r="A734" s="18"/>
      <c r="B734" s="18"/>
      <c r="P734" s="19"/>
      <c r="Q734" s="19"/>
      <c r="R734" s="19"/>
    </row>
    <row r="735" spans="1:18" ht="15.75" customHeight="1" x14ac:dyDescent="0.35">
      <c r="A735" s="18"/>
      <c r="B735" s="18"/>
      <c r="P735" s="19"/>
      <c r="Q735" s="19"/>
      <c r="R735" s="19"/>
    </row>
    <row r="736" spans="1:18" ht="15.75" customHeight="1" x14ac:dyDescent="0.35">
      <c r="A736" s="18"/>
      <c r="B736" s="18"/>
      <c r="P736" s="19"/>
      <c r="Q736" s="19"/>
      <c r="R736" s="19"/>
    </row>
    <row r="737" spans="1:18" ht="15.75" customHeight="1" x14ac:dyDescent="0.35">
      <c r="A737" s="18"/>
      <c r="B737" s="18"/>
      <c r="P737" s="19"/>
      <c r="Q737" s="19"/>
      <c r="R737" s="19"/>
    </row>
    <row r="738" spans="1:18" ht="15.75" customHeight="1" x14ac:dyDescent="0.35">
      <c r="A738" s="18"/>
      <c r="B738" s="18"/>
      <c r="P738" s="19"/>
      <c r="Q738" s="19"/>
      <c r="R738" s="19"/>
    </row>
    <row r="739" spans="1:18" ht="15.75" customHeight="1" x14ac:dyDescent="0.35">
      <c r="A739" s="18"/>
      <c r="B739" s="18"/>
      <c r="P739" s="19"/>
      <c r="Q739" s="19"/>
      <c r="R739" s="19"/>
    </row>
    <row r="740" spans="1:18" ht="15.75" customHeight="1" x14ac:dyDescent="0.35">
      <c r="A740" s="18"/>
      <c r="B740" s="18"/>
      <c r="P740" s="19"/>
      <c r="Q740" s="19"/>
      <c r="R740" s="19"/>
    </row>
    <row r="741" spans="1:18" ht="15.75" customHeight="1" x14ac:dyDescent="0.35">
      <c r="A741" s="18"/>
      <c r="B741" s="18"/>
      <c r="P741" s="19"/>
      <c r="Q741" s="19"/>
      <c r="R741" s="19"/>
    </row>
    <row r="742" spans="1:18" ht="15.75" customHeight="1" x14ac:dyDescent="0.35">
      <c r="A742" s="18"/>
      <c r="B742" s="18"/>
      <c r="P742" s="19"/>
      <c r="Q742" s="19"/>
      <c r="R742" s="19"/>
    </row>
    <row r="743" spans="1:18" ht="15.75" customHeight="1" x14ac:dyDescent="0.35">
      <c r="A743" s="18"/>
      <c r="B743" s="18"/>
      <c r="P743" s="19"/>
      <c r="Q743" s="19"/>
      <c r="R743" s="19"/>
    </row>
    <row r="744" spans="1:18" ht="15.75" customHeight="1" x14ac:dyDescent="0.35">
      <c r="A744" s="18"/>
      <c r="B744" s="18"/>
      <c r="P744" s="19"/>
      <c r="Q744" s="19"/>
      <c r="R744" s="19"/>
    </row>
    <row r="745" spans="1:18" ht="15.75" customHeight="1" x14ac:dyDescent="0.35">
      <c r="A745" s="18"/>
      <c r="B745" s="18"/>
      <c r="P745" s="19"/>
      <c r="Q745" s="19"/>
      <c r="R745" s="19"/>
    </row>
    <row r="746" spans="1:18" ht="15.75" customHeight="1" x14ac:dyDescent="0.35">
      <c r="A746" s="18"/>
      <c r="B746" s="18"/>
      <c r="P746" s="19"/>
      <c r="Q746" s="19"/>
      <c r="R746" s="19"/>
    </row>
    <row r="747" spans="1:18" ht="15.75" customHeight="1" x14ac:dyDescent="0.35">
      <c r="A747" s="18"/>
      <c r="B747" s="18"/>
      <c r="P747" s="19"/>
      <c r="Q747" s="19"/>
      <c r="R747" s="19"/>
    </row>
    <row r="748" spans="1:18" ht="15.75" customHeight="1" x14ac:dyDescent="0.35">
      <c r="A748" s="18"/>
      <c r="B748" s="18"/>
      <c r="P748" s="19"/>
      <c r="Q748" s="19"/>
      <c r="R748" s="19"/>
    </row>
    <row r="749" spans="1:18" ht="15.75" customHeight="1" x14ac:dyDescent="0.35">
      <c r="A749" s="18"/>
      <c r="B749" s="18"/>
      <c r="P749" s="19"/>
      <c r="Q749" s="19"/>
      <c r="R749" s="19"/>
    </row>
    <row r="750" spans="1:18" ht="15.75" customHeight="1" x14ac:dyDescent="0.35">
      <c r="A750" s="18"/>
      <c r="B750" s="18"/>
      <c r="P750" s="19"/>
      <c r="Q750" s="19"/>
      <c r="R750" s="19"/>
    </row>
    <row r="751" spans="1:18" ht="15.75" customHeight="1" x14ac:dyDescent="0.35">
      <c r="A751" s="18"/>
      <c r="B751" s="18"/>
      <c r="P751" s="19"/>
      <c r="Q751" s="19"/>
      <c r="R751" s="19"/>
    </row>
    <row r="752" spans="1:18" ht="15.75" customHeight="1" x14ac:dyDescent="0.35">
      <c r="A752" s="18"/>
      <c r="B752" s="18"/>
      <c r="P752" s="19"/>
      <c r="Q752" s="19"/>
      <c r="R752" s="19"/>
    </row>
    <row r="753" spans="1:18" ht="15.75" customHeight="1" x14ac:dyDescent="0.35">
      <c r="A753" s="18"/>
      <c r="B753" s="18"/>
      <c r="P753" s="19"/>
      <c r="Q753" s="19"/>
      <c r="R753" s="19"/>
    </row>
    <row r="754" spans="1:18" ht="15.75" customHeight="1" x14ac:dyDescent="0.35">
      <c r="A754" s="18"/>
      <c r="B754" s="18"/>
      <c r="P754" s="19"/>
      <c r="Q754" s="19"/>
      <c r="R754" s="19"/>
    </row>
    <row r="755" spans="1:18" ht="15.75" customHeight="1" x14ac:dyDescent="0.35">
      <c r="A755" s="18"/>
      <c r="B755" s="18"/>
      <c r="P755" s="19"/>
      <c r="Q755" s="19"/>
      <c r="R755" s="19"/>
    </row>
    <row r="756" spans="1:18" ht="15.75" customHeight="1" x14ac:dyDescent="0.35">
      <c r="A756" s="18"/>
      <c r="B756" s="18"/>
      <c r="P756" s="19"/>
      <c r="Q756" s="19"/>
      <c r="R756" s="19"/>
    </row>
    <row r="757" spans="1:18" ht="15.75" customHeight="1" x14ac:dyDescent="0.35">
      <c r="A757" s="18"/>
      <c r="B757" s="18"/>
      <c r="P757" s="19"/>
      <c r="Q757" s="19"/>
      <c r="R757" s="19"/>
    </row>
    <row r="758" spans="1:18" ht="15.75" customHeight="1" x14ac:dyDescent="0.35">
      <c r="A758" s="18"/>
      <c r="B758" s="18"/>
      <c r="P758" s="19"/>
      <c r="Q758" s="19"/>
      <c r="R758" s="19"/>
    </row>
    <row r="759" spans="1:18" ht="15.75" customHeight="1" x14ac:dyDescent="0.35">
      <c r="A759" s="18"/>
      <c r="B759" s="18"/>
      <c r="P759" s="19"/>
      <c r="Q759" s="19"/>
      <c r="R759" s="19"/>
    </row>
    <row r="760" spans="1:18" ht="15.75" customHeight="1" x14ac:dyDescent="0.35">
      <c r="A760" s="18"/>
      <c r="B760" s="18"/>
      <c r="P760" s="19"/>
      <c r="Q760" s="19"/>
      <c r="R760" s="19"/>
    </row>
    <row r="761" spans="1:18" ht="15.75" customHeight="1" x14ac:dyDescent="0.35">
      <c r="A761" s="18"/>
      <c r="B761" s="18"/>
      <c r="P761" s="19"/>
      <c r="Q761" s="19"/>
      <c r="R761" s="19"/>
    </row>
    <row r="762" spans="1:18" ht="15.75" customHeight="1" x14ac:dyDescent="0.35">
      <c r="A762" s="18"/>
      <c r="B762" s="18"/>
      <c r="P762" s="19"/>
      <c r="Q762" s="19"/>
      <c r="R762" s="19"/>
    </row>
    <row r="763" spans="1:18" ht="15.75" customHeight="1" x14ac:dyDescent="0.35">
      <c r="A763" s="18"/>
      <c r="B763" s="18"/>
      <c r="P763" s="19"/>
      <c r="Q763" s="19"/>
      <c r="R763" s="19"/>
    </row>
    <row r="764" spans="1:18" ht="15.75" customHeight="1" x14ac:dyDescent="0.35">
      <c r="A764" s="18"/>
      <c r="B764" s="18"/>
      <c r="P764" s="19"/>
      <c r="Q764" s="19"/>
      <c r="R764" s="19"/>
    </row>
    <row r="765" spans="1:18" ht="15.75" customHeight="1" x14ac:dyDescent="0.35">
      <c r="A765" s="18"/>
      <c r="B765" s="18"/>
      <c r="P765" s="19"/>
      <c r="Q765" s="19"/>
      <c r="R765" s="19"/>
    </row>
    <row r="766" spans="1:18" ht="15.75" customHeight="1" x14ac:dyDescent="0.35">
      <c r="A766" s="18"/>
      <c r="B766" s="18"/>
      <c r="P766" s="19"/>
      <c r="Q766" s="19"/>
      <c r="R766" s="19"/>
    </row>
    <row r="767" spans="1:18" ht="15.75" customHeight="1" x14ac:dyDescent="0.35">
      <c r="A767" s="18"/>
      <c r="B767" s="18"/>
      <c r="P767" s="19"/>
      <c r="Q767" s="19"/>
      <c r="R767" s="19"/>
    </row>
    <row r="768" spans="1:18" ht="15.75" customHeight="1" x14ac:dyDescent="0.35">
      <c r="A768" s="18"/>
      <c r="B768" s="18"/>
      <c r="P768" s="19"/>
      <c r="Q768" s="19"/>
      <c r="R768" s="19"/>
    </row>
    <row r="769" spans="1:18" ht="15.75" customHeight="1" x14ac:dyDescent="0.35">
      <c r="A769" s="18"/>
      <c r="B769" s="18"/>
      <c r="P769" s="19"/>
      <c r="Q769" s="19"/>
      <c r="R769" s="19"/>
    </row>
    <row r="770" spans="1:18" ht="15.75" customHeight="1" x14ac:dyDescent="0.35">
      <c r="A770" s="18"/>
      <c r="B770" s="18"/>
      <c r="P770" s="19"/>
      <c r="Q770" s="19"/>
      <c r="R770" s="19"/>
    </row>
    <row r="771" spans="1:18" ht="15.75" customHeight="1" x14ac:dyDescent="0.35">
      <c r="A771" s="18"/>
      <c r="B771" s="18"/>
      <c r="P771" s="19"/>
      <c r="Q771" s="19"/>
      <c r="R771" s="19"/>
    </row>
    <row r="772" spans="1:18" ht="15.75" customHeight="1" x14ac:dyDescent="0.35">
      <c r="A772" s="18"/>
      <c r="B772" s="18"/>
      <c r="P772" s="19"/>
      <c r="Q772" s="19"/>
      <c r="R772" s="19"/>
    </row>
    <row r="773" spans="1:18" ht="15.75" customHeight="1" x14ac:dyDescent="0.35">
      <c r="A773" s="18"/>
      <c r="B773" s="18"/>
      <c r="P773" s="19"/>
      <c r="Q773" s="19"/>
      <c r="R773" s="19"/>
    </row>
    <row r="774" spans="1:18" ht="15.75" customHeight="1" x14ac:dyDescent="0.35">
      <c r="A774" s="18"/>
      <c r="B774" s="18"/>
      <c r="P774" s="19"/>
      <c r="Q774" s="19"/>
      <c r="R774" s="19"/>
    </row>
    <row r="775" spans="1:18" ht="15.75" customHeight="1" x14ac:dyDescent="0.35">
      <c r="A775" s="18"/>
      <c r="B775" s="18"/>
      <c r="P775" s="19"/>
      <c r="Q775" s="19"/>
      <c r="R775" s="19"/>
    </row>
    <row r="776" spans="1:18" ht="15.75" customHeight="1" x14ac:dyDescent="0.35">
      <c r="A776" s="18"/>
      <c r="B776" s="18"/>
      <c r="P776" s="19"/>
      <c r="Q776" s="19"/>
      <c r="R776" s="19"/>
    </row>
    <row r="777" spans="1:18" ht="15.75" customHeight="1" x14ac:dyDescent="0.35">
      <c r="A777" s="18"/>
      <c r="B777" s="18"/>
      <c r="P777" s="19"/>
      <c r="Q777" s="19"/>
      <c r="R777" s="19"/>
    </row>
    <row r="778" spans="1:18" ht="15.75" customHeight="1" x14ac:dyDescent="0.35">
      <c r="A778" s="18"/>
      <c r="B778" s="18"/>
      <c r="P778" s="19"/>
      <c r="Q778" s="19"/>
      <c r="R778" s="19"/>
    </row>
    <row r="779" spans="1:18" ht="15.75" customHeight="1" x14ac:dyDescent="0.35">
      <c r="A779" s="18"/>
      <c r="B779" s="18"/>
      <c r="P779" s="19"/>
      <c r="Q779" s="19"/>
      <c r="R779" s="19"/>
    </row>
    <row r="780" spans="1:18" ht="15.75" customHeight="1" x14ac:dyDescent="0.35">
      <c r="A780" s="18"/>
      <c r="B780" s="18"/>
      <c r="P780" s="19"/>
      <c r="Q780" s="19"/>
      <c r="R780" s="19"/>
    </row>
    <row r="781" spans="1:18" ht="15.75" customHeight="1" x14ac:dyDescent="0.35">
      <c r="A781" s="18"/>
      <c r="B781" s="18"/>
      <c r="P781" s="19"/>
      <c r="Q781" s="19"/>
      <c r="R781" s="19"/>
    </row>
    <row r="782" spans="1:18" ht="15.75" customHeight="1" x14ac:dyDescent="0.35">
      <c r="A782" s="18"/>
      <c r="B782" s="18"/>
      <c r="P782" s="19"/>
      <c r="Q782" s="19"/>
      <c r="R782" s="19"/>
    </row>
    <row r="783" spans="1:18" ht="15.75" customHeight="1" x14ac:dyDescent="0.35">
      <c r="A783" s="18"/>
      <c r="B783" s="18"/>
      <c r="P783" s="19"/>
      <c r="Q783" s="19"/>
      <c r="R783" s="19"/>
    </row>
    <row r="784" spans="1:18" ht="15.75" customHeight="1" x14ac:dyDescent="0.35">
      <c r="A784" s="18"/>
      <c r="B784" s="18"/>
      <c r="P784" s="19"/>
      <c r="Q784" s="19"/>
      <c r="R784" s="19"/>
    </row>
    <row r="785" spans="1:18" ht="15.75" customHeight="1" x14ac:dyDescent="0.35">
      <c r="A785" s="18"/>
      <c r="B785" s="18"/>
      <c r="P785" s="19"/>
      <c r="Q785" s="19"/>
      <c r="R785" s="19"/>
    </row>
    <row r="786" spans="1:18" ht="15.75" customHeight="1" x14ac:dyDescent="0.35">
      <c r="A786" s="18"/>
      <c r="B786" s="18"/>
      <c r="P786" s="19"/>
      <c r="Q786" s="19"/>
      <c r="R786" s="19"/>
    </row>
    <row r="787" spans="1:18" ht="15.75" customHeight="1" x14ac:dyDescent="0.35">
      <c r="A787" s="18"/>
      <c r="B787" s="18"/>
      <c r="P787" s="19"/>
      <c r="Q787" s="19"/>
      <c r="R787" s="19"/>
    </row>
    <row r="788" spans="1:18" ht="15.75" customHeight="1" x14ac:dyDescent="0.35">
      <c r="A788" s="18"/>
      <c r="B788" s="18"/>
      <c r="P788" s="19"/>
      <c r="Q788" s="19"/>
      <c r="R788" s="19"/>
    </row>
    <row r="789" spans="1:18" ht="15.75" customHeight="1" x14ac:dyDescent="0.35">
      <c r="A789" s="18"/>
      <c r="B789" s="18"/>
      <c r="P789" s="19"/>
      <c r="Q789" s="19"/>
      <c r="R789" s="19"/>
    </row>
    <row r="790" spans="1:18" ht="15.75" customHeight="1" x14ac:dyDescent="0.35">
      <c r="A790" s="18"/>
      <c r="B790" s="18"/>
      <c r="P790" s="19"/>
      <c r="Q790" s="19"/>
      <c r="R790" s="19"/>
    </row>
    <row r="791" spans="1:18" ht="15.75" customHeight="1" x14ac:dyDescent="0.35">
      <c r="A791" s="18"/>
      <c r="B791" s="18"/>
      <c r="P791" s="19"/>
      <c r="Q791" s="19"/>
      <c r="R791" s="19"/>
    </row>
    <row r="792" spans="1:18" ht="15.75" customHeight="1" x14ac:dyDescent="0.35">
      <c r="A792" s="18"/>
      <c r="B792" s="18"/>
      <c r="P792" s="19"/>
      <c r="Q792" s="19"/>
      <c r="R792" s="19"/>
    </row>
    <row r="793" spans="1:18" ht="15.75" customHeight="1" x14ac:dyDescent="0.35">
      <c r="A793" s="18"/>
      <c r="B793" s="18"/>
      <c r="P793" s="19"/>
      <c r="Q793" s="19"/>
      <c r="R793" s="19"/>
    </row>
    <row r="794" spans="1:18" ht="15.75" customHeight="1" x14ac:dyDescent="0.35">
      <c r="A794" s="18"/>
      <c r="B794" s="18"/>
      <c r="P794" s="19"/>
      <c r="Q794" s="19"/>
      <c r="R794" s="19"/>
    </row>
    <row r="795" spans="1:18" ht="15.75" customHeight="1" x14ac:dyDescent="0.35">
      <c r="A795" s="18"/>
      <c r="B795" s="18"/>
      <c r="P795" s="19"/>
      <c r="Q795" s="19"/>
      <c r="R795" s="19"/>
    </row>
    <row r="796" spans="1:18" ht="15.75" customHeight="1" x14ac:dyDescent="0.35">
      <c r="A796" s="18"/>
      <c r="B796" s="18"/>
      <c r="P796" s="19"/>
      <c r="Q796" s="19"/>
      <c r="R796" s="19"/>
    </row>
    <row r="797" spans="1:18" ht="15.75" customHeight="1" x14ac:dyDescent="0.35">
      <c r="A797" s="18"/>
      <c r="B797" s="18"/>
      <c r="P797" s="19"/>
      <c r="Q797" s="19"/>
      <c r="R797" s="19"/>
    </row>
    <row r="798" spans="1:18" ht="15.75" customHeight="1" x14ac:dyDescent="0.35">
      <c r="A798" s="18"/>
      <c r="B798" s="18"/>
      <c r="P798" s="19"/>
      <c r="Q798" s="19"/>
      <c r="R798" s="19"/>
    </row>
    <row r="799" spans="1:18" ht="15.75" customHeight="1" x14ac:dyDescent="0.35">
      <c r="A799" s="18"/>
      <c r="B799" s="18"/>
      <c r="P799" s="19"/>
      <c r="Q799" s="19"/>
      <c r="R799" s="19"/>
    </row>
    <row r="800" spans="1:18" ht="15.75" customHeight="1" x14ac:dyDescent="0.35">
      <c r="A800" s="18"/>
      <c r="B800" s="18"/>
      <c r="P800" s="19"/>
      <c r="Q800" s="19"/>
      <c r="R800" s="19"/>
    </row>
    <row r="801" spans="1:18" ht="15.75" customHeight="1" x14ac:dyDescent="0.35">
      <c r="A801" s="18"/>
      <c r="B801" s="18"/>
      <c r="P801" s="19"/>
      <c r="Q801" s="19"/>
      <c r="R801" s="19"/>
    </row>
    <row r="802" spans="1:18" ht="15.75" customHeight="1" x14ac:dyDescent="0.35">
      <c r="A802" s="18"/>
      <c r="B802" s="18"/>
      <c r="P802" s="19"/>
      <c r="Q802" s="19"/>
      <c r="R802" s="19"/>
    </row>
    <row r="803" spans="1:18" ht="15.75" customHeight="1" x14ac:dyDescent="0.35">
      <c r="A803" s="18"/>
      <c r="B803" s="18"/>
      <c r="P803" s="19"/>
      <c r="Q803" s="19"/>
      <c r="R803" s="19"/>
    </row>
    <row r="804" spans="1:18" ht="15.75" customHeight="1" x14ac:dyDescent="0.35">
      <c r="A804" s="18"/>
      <c r="B804" s="18"/>
      <c r="P804" s="19"/>
      <c r="Q804" s="19"/>
      <c r="R804" s="19"/>
    </row>
    <row r="805" spans="1:18" ht="15.75" customHeight="1" x14ac:dyDescent="0.35">
      <c r="A805" s="18"/>
      <c r="B805" s="18"/>
      <c r="P805" s="19"/>
      <c r="Q805" s="19"/>
      <c r="R805" s="19"/>
    </row>
    <row r="806" spans="1:18" ht="15.75" customHeight="1" x14ac:dyDescent="0.35">
      <c r="A806" s="18"/>
      <c r="B806" s="18"/>
      <c r="P806" s="19"/>
      <c r="Q806" s="19"/>
      <c r="R806" s="19"/>
    </row>
    <row r="807" spans="1:18" ht="15.75" customHeight="1" x14ac:dyDescent="0.35">
      <c r="A807" s="18"/>
      <c r="B807" s="18"/>
      <c r="P807" s="19"/>
      <c r="Q807" s="19"/>
      <c r="R807" s="19"/>
    </row>
    <row r="808" spans="1:18" ht="15.75" customHeight="1" x14ac:dyDescent="0.35">
      <c r="A808" s="18"/>
      <c r="B808" s="18"/>
      <c r="P808" s="19"/>
      <c r="Q808" s="19"/>
      <c r="R808" s="19"/>
    </row>
    <row r="809" spans="1:18" ht="15.75" customHeight="1" x14ac:dyDescent="0.35">
      <c r="A809" s="18"/>
      <c r="B809" s="18"/>
      <c r="P809" s="19"/>
      <c r="Q809" s="19"/>
      <c r="R809" s="19"/>
    </row>
    <row r="810" spans="1:18" ht="15.75" customHeight="1" x14ac:dyDescent="0.35">
      <c r="A810" s="18"/>
      <c r="B810" s="18"/>
      <c r="P810" s="19"/>
      <c r="Q810" s="19"/>
      <c r="R810" s="19"/>
    </row>
    <row r="811" spans="1:18" ht="15.75" customHeight="1" x14ac:dyDescent="0.35">
      <c r="A811" s="18"/>
      <c r="B811" s="18"/>
      <c r="P811" s="19"/>
      <c r="Q811" s="19"/>
      <c r="R811" s="19"/>
    </row>
    <row r="812" spans="1:18" ht="15.75" customHeight="1" x14ac:dyDescent="0.35">
      <c r="A812" s="18"/>
      <c r="B812" s="18"/>
      <c r="P812" s="19"/>
      <c r="Q812" s="19"/>
      <c r="R812" s="19"/>
    </row>
    <row r="813" spans="1:18" ht="15.75" customHeight="1" x14ac:dyDescent="0.35">
      <c r="A813" s="18"/>
      <c r="B813" s="18"/>
      <c r="P813" s="19"/>
      <c r="Q813" s="19"/>
      <c r="R813" s="19"/>
    </row>
    <row r="814" spans="1:18" ht="15.75" customHeight="1" x14ac:dyDescent="0.35">
      <c r="A814" s="18"/>
      <c r="B814" s="18"/>
      <c r="P814" s="19"/>
      <c r="Q814" s="19"/>
      <c r="R814" s="19"/>
    </row>
    <row r="815" spans="1:18" ht="15.75" customHeight="1" x14ac:dyDescent="0.35">
      <c r="A815" s="18"/>
      <c r="B815" s="18"/>
      <c r="P815" s="19"/>
      <c r="Q815" s="19"/>
      <c r="R815" s="19"/>
    </row>
    <row r="816" spans="1:18" ht="15.75" customHeight="1" x14ac:dyDescent="0.35">
      <c r="A816" s="18"/>
      <c r="B816" s="18"/>
      <c r="P816" s="19"/>
      <c r="Q816" s="19"/>
      <c r="R816" s="19"/>
    </row>
    <row r="817" spans="1:18" ht="15.75" customHeight="1" x14ac:dyDescent="0.35">
      <c r="A817" s="18"/>
      <c r="B817" s="18"/>
      <c r="P817" s="19"/>
      <c r="Q817" s="19"/>
      <c r="R817" s="19"/>
    </row>
    <row r="818" spans="1:18" ht="15.75" customHeight="1" x14ac:dyDescent="0.35">
      <c r="A818" s="18"/>
      <c r="B818" s="18"/>
      <c r="P818" s="19"/>
      <c r="Q818" s="19"/>
      <c r="R818" s="19"/>
    </row>
    <row r="819" spans="1:18" ht="15.75" customHeight="1" x14ac:dyDescent="0.35">
      <c r="A819" s="18"/>
      <c r="B819" s="18"/>
      <c r="P819" s="19"/>
      <c r="Q819" s="19"/>
      <c r="R819" s="19"/>
    </row>
    <row r="820" spans="1:18" ht="15.75" customHeight="1" x14ac:dyDescent="0.35">
      <c r="A820" s="18"/>
      <c r="B820" s="18"/>
      <c r="P820" s="19"/>
      <c r="Q820" s="19"/>
      <c r="R820" s="19"/>
    </row>
    <row r="821" spans="1:18" ht="15.75" customHeight="1" x14ac:dyDescent="0.35">
      <c r="A821" s="18"/>
      <c r="B821" s="18"/>
      <c r="P821" s="19"/>
      <c r="Q821" s="19"/>
      <c r="R821" s="19"/>
    </row>
    <row r="822" spans="1:18" ht="15.75" customHeight="1" x14ac:dyDescent="0.35">
      <c r="A822" s="18"/>
      <c r="B822" s="18"/>
      <c r="P822" s="19"/>
      <c r="Q822" s="19"/>
      <c r="R822" s="19"/>
    </row>
    <row r="823" spans="1:18" ht="15.75" customHeight="1" x14ac:dyDescent="0.35">
      <c r="A823" s="18"/>
      <c r="B823" s="18"/>
      <c r="P823" s="19"/>
      <c r="Q823" s="19"/>
      <c r="R823" s="19"/>
    </row>
    <row r="824" spans="1:18" ht="15.75" customHeight="1" x14ac:dyDescent="0.35">
      <c r="A824" s="18"/>
      <c r="B824" s="18"/>
      <c r="P824" s="19"/>
      <c r="Q824" s="19"/>
      <c r="R824" s="19"/>
    </row>
    <row r="825" spans="1:18" ht="15.75" customHeight="1" x14ac:dyDescent="0.35">
      <c r="A825" s="18"/>
      <c r="B825" s="18"/>
      <c r="P825" s="19"/>
      <c r="Q825" s="19"/>
      <c r="R825" s="19"/>
    </row>
    <row r="826" spans="1:18" ht="15.75" customHeight="1" x14ac:dyDescent="0.35">
      <c r="A826" s="18"/>
      <c r="B826" s="18"/>
      <c r="P826" s="19"/>
      <c r="Q826" s="19"/>
      <c r="R826" s="19"/>
    </row>
    <row r="827" spans="1:18" ht="15.75" customHeight="1" x14ac:dyDescent="0.35">
      <c r="A827" s="18"/>
      <c r="B827" s="18"/>
      <c r="P827" s="19"/>
      <c r="Q827" s="19"/>
      <c r="R827" s="19"/>
    </row>
    <row r="828" spans="1:18" ht="15.75" customHeight="1" x14ac:dyDescent="0.35">
      <c r="A828" s="18"/>
      <c r="B828" s="18"/>
      <c r="P828" s="19"/>
      <c r="Q828" s="19"/>
      <c r="R828" s="19"/>
    </row>
    <row r="829" spans="1:18" ht="15.75" customHeight="1" x14ac:dyDescent="0.35">
      <c r="A829" s="18"/>
      <c r="B829" s="18"/>
      <c r="P829" s="19"/>
      <c r="Q829" s="19"/>
      <c r="R829" s="19"/>
    </row>
    <row r="830" spans="1:18" ht="15.75" customHeight="1" x14ac:dyDescent="0.35">
      <c r="A830" s="18"/>
      <c r="B830" s="18"/>
      <c r="P830" s="19"/>
      <c r="Q830" s="19"/>
      <c r="R830" s="19"/>
    </row>
    <row r="831" spans="1:18" ht="15.75" customHeight="1" x14ac:dyDescent="0.35">
      <c r="A831" s="18"/>
      <c r="B831" s="18"/>
      <c r="P831" s="19"/>
      <c r="Q831" s="19"/>
      <c r="R831" s="19"/>
    </row>
    <row r="832" spans="1:18" ht="15.75" customHeight="1" x14ac:dyDescent="0.35">
      <c r="A832" s="18"/>
      <c r="B832" s="18"/>
      <c r="P832" s="19"/>
      <c r="Q832" s="19"/>
      <c r="R832" s="19"/>
    </row>
    <row r="833" spans="1:18" ht="15.75" customHeight="1" x14ac:dyDescent="0.35">
      <c r="A833" s="18"/>
      <c r="B833" s="18"/>
      <c r="P833" s="19"/>
      <c r="Q833" s="19"/>
      <c r="R833" s="19"/>
    </row>
    <row r="834" spans="1:18" ht="15.75" customHeight="1" x14ac:dyDescent="0.35">
      <c r="A834" s="18"/>
      <c r="B834" s="18"/>
      <c r="P834" s="19"/>
      <c r="Q834" s="19"/>
      <c r="R834" s="19"/>
    </row>
    <row r="835" spans="1:18" ht="15.75" customHeight="1" x14ac:dyDescent="0.35">
      <c r="A835" s="18"/>
      <c r="B835" s="18"/>
      <c r="P835" s="19"/>
      <c r="Q835" s="19"/>
      <c r="R835" s="19"/>
    </row>
    <row r="836" spans="1:18" ht="15.75" customHeight="1" x14ac:dyDescent="0.35">
      <c r="A836" s="18"/>
      <c r="B836" s="18"/>
      <c r="P836" s="19"/>
      <c r="Q836" s="19"/>
      <c r="R836" s="19"/>
    </row>
    <row r="837" spans="1:18" ht="15.75" customHeight="1" x14ac:dyDescent="0.35">
      <c r="A837" s="18"/>
      <c r="B837" s="18"/>
      <c r="P837" s="19"/>
      <c r="Q837" s="19"/>
      <c r="R837" s="19"/>
    </row>
    <row r="838" spans="1:18" ht="15.75" customHeight="1" x14ac:dyDescent="0.35">
      <c r="A838" s="18"/>
      <c r="B838" s="18"/>
      <c r="P838" s="19"/>
      <c r="Q838" s="19"/>
      <c r="R838" s="19"/>
    </row>
    <row r="839" spans="1:18" ht="15.75" customHeight="1" x14ac:dyDescent="0.35">
      <c r="A839" s="18"/>
      <c r="B839" s="18"/>
      <c r="P839" s="19"/>
      <c r="Q839" s="19"/>
      <c r="R839" s="19"/>
    </row>
    <row r="840" spans="1:18" ht="15.75" customHeight="1" x14ac:dyDescent="0.35">
      <c r="A840" s="18"/>
      <c r="B840" s="18"/>
      <c r="P840" s="19"/>
      <c r="Q840" s="19"/>
      <c r="R840" s="19"/>
    </row>
    <row r="841" spans="1:18" ht="15.75" customHeight="1" x14ac:dyDescent="0.35">
      <c r="A841" s="18"/>
      <c r="B841" s="18"/>
      <c r="P841" s="19"/>
      <c r="Q841" s="19"/>
      <c r="R841" s="19"/>
    </row>
    <row r="842" spans="1:18" ht="15.75" customHeight="1" x14ac:dyDescent="0.35">
      <c r="A842" s="18"/>
      <c r="B842" s="18"/>
      <c r="P842" s="19"/>
      <c r="Q842" s="19"/>
      <c r="R842" s="19"/>
    </row>
    <row r="843" spans="1:18" ht="15.75" customHeight="1" x14ac:dyDescent="0.35">
      <c r="A843" s="18"/>
      <c r="B843" s="18"/>
      <c r="P843" s="19"/>
      <c r="Q843" s="19"/>
      <c r="R843" s="19"/>
    </row>
    <row r="844" spans="1:18" ht="15.75" customHeight="1" x14ac:dyDescent="0.35">
      <c r="A844" s="18"/>
      <c r="B844" s="18"/>
      <c r="P844" s="19"/>
      <c r="Q844" s="19"/>
      <c r="R844" s="19"/>
    </row>
    <row r="845" spans="1:18" ht="15.75" customHeight="1" x14ac:dyDescent="0.35">
      <c r="A845" s="18"/>
      <c r="B845" s="18"/>
      <c r="P845" s="19"/>
      <c r="Q845" s="19"/>
      <c r="R845" s="19"/>
    </row>
    <row r="846" spans="1:18" ht="15.75" customHeight="1" x14ac:dyDescent="0.35">
      <c r="A846" s="18"/>
      <c r="B846" s="18"/>
      <c r="P846" s="19"/>
      <c r="Q846" s="19"/>
      <c r="R846" s="19"/>
    </row>
    <row r="847" spans="1:18" ht="15.75" customHeight="1" x14ac:dyDescent="0.35">
      <c r="A847" s="18"/>
      <c r="B847" s="18"/>
      <c r="P847" s="19"/>
      <c r="Q847" s="19"/>
      <c r="R847" s="19"/>
    </row>
    <row r="848" spans="1:18" ht="15.75" customHeight="1" x14ac:dyDescent="0.35">
      <c r="A848" s="18"/>
      <c r="B848" s="18"/>
      <c r="P848" s="19"/>
      <c r="Q848" s="19"/>
      <c r="R848" s="19"/>
    </row>
    <row r="849" spans="1:18" ht="15.75" customHeight="1" x14ac:dyDescent="0.35">
      <c r="A849" s="18"/>
      <c r="B849" s="18"/>
      <c r="P849" s="19"/>
      <c r="Q849" s="19"/>
      <c r="R849" s="19"/>
    </row>
    <row r="850" spans="1:18" ht="15.75" customHeight="1" x14ac:dyDescent="0.35">
      <c r="A850" s="18"/>
      <c r="B850" s="18"/>
      <c r="P850" s="19"/>
      <c r="Q850" s="19"/>
      <c r="R850" s="19"/>
    </row>
    <row r="851" spans="1:18" ht="15.75" customHeight="1" x14ac:dyDescent="0.35">
      <c r="A851" s="18"/>
      <c r="B851" s="18"/>
      <c r="P851" s="19"/>
      <c r="Q851" s="19"/>
      <c r="R851" s="19"/>
    </row>
    <row r="852" spans="1:18" ht="15.75" customHeight="1" x14ac:dyDescent="0.35">
      <c r="A852" s="18"/>
      <c r="B852" s="18"/>
      <c r="P852" s="19"/>
      <c r="Q852" s="19"/>
      <c r="R852" s="19"/>
    </row>
    <row r="853" spans="1:18" ht="15.75" customHeight="1" x14ac:dyDescent="0.35">
      <c r="A853" s="18"/>
      <c r="B853" s="18"/>
      <c r="P853" s="19"/>
      <c r="Q853" s="19"/>
      <c r="R853" s="19"/>
    </row>
    <row r="854" spans="1:18" ht="15.75" customHeight="1" x14ac:dyDescent="0.35">
      <c r="A854" s="18"/>
      <c r="B854" s="18"/>
      <c r="P854" s="19"/>
      <c r="Q854" s="19"/>
      <c r="R854" s="19"/>
    </row>
    <row r="855" spans="1:18" ht="15.75" customHeight="1" x14ac:dyDescent="0.35">
      <c r="A855" s="18"/>
      <c r="B855" s="18"/>
      <c r="P855" s="19"/>
      <c r="Q855" s="19"/>
      <c r="R855" s="19"/>
    </row>
    <row r="856" spans="1:18" ht="15.75" customHeight="1" x14ac:dyDescent="0.35">
      <c r="A856" s="18"/>
      <c r="B856" s="18"/>
      <c r="P856" s="19"/>
      <c r="Q856" s="19"/>
      <c r="R856" s="19"/>
    </row>
    <row r="857" spans="1:18" ht="15.75" customHeight="1" x14ac:dyDescent="0.35">
      <c r="A857" s="18"/>
      <c r="B857" s="18"/>
      <c r="P857" s="19"/>
      <c r="Q857" s="19"/>
      <c r="R857" s="19"/>
    </row>
    <row r="858" spans="1:18" ht="15.75" customHeight="1" x14ac:dyDescent="0.35">
      <c r="A858" s="18"/>
      <c r="B858" s="18"/>
      <c r="P858" s="19"/>
      <c r="Q858" s="19"/>
      <c r="R858" s="19"/>
    </row>
    <row r="859" spans="1:18" ht="15.75" customHeight="1" x14ac:dyDescent="0.35">
      <c r="A859" s="18"/>
      <c r="B859" s="18"/>
      <c r="P859" s="19"/>
      <c r="Q859" s="19"/>
      <c r="R859" s="19"/>
    </row>
    <row r="860" spans="1:18" ht="15.75" customHeight="1" x14ac:dyDescent="0.35">
      <c r="A860" s="18"/>
      <c r="B860" s="18"/>
      <c r="P860" s="19"/>
      <c r="Q860" s="19"/>
      <c r="R860" s="19"/>
    </row>
    <row r="861" spans="1:18" ht="15.75" customHeight="1" x14ac:dyDescent="0.35">
      <c r="A861" s="18"/>
      <c r="B861" s="18"/>
      <c r="P861" s="19"/>
      <c r="Q861" s="19"/>
      <c r="R861" s="19"/>
    </row>
    <row r="862" spans="1:18" ht="15.75" customHeight="1" x14ac:dyDescent="0.35">
      <c r="A862" s="18"/>
      <c r="B862" s="18"/>
      <c r="P862" s="19"/>
      <c r="Q862" s="19"/>
      <c r="R862" s="19"/>
    </row>
    <row r="863" spans="1:18" ht="15.75" customHeight="1" x14ac:dyDescent="0.35">
      <c r="A863" s="18"/>
      <c r="B863" s="18"/>
      <c r="P863" s="19"/>
      <c r="Q863" s="19"/>
      <c r="R863" s="19"/>
    </row>
    <row r="864" spans="1:18" ht="15.75" customHeight="1" x14ac:dyDescent="0.35">
      <c r="A864" s="18"/>
      <c r="B864" s="18"/>
      <c r="P864" s="19"/>
      <c r="Q864" s="19"/>
      <c r="R864" s="19"/>
    </row>
    <row r="865" spans="1:18" ht="15.75" customHeight="1" x14ac:dyDescent="0.35">
      <c r="A865" s="18"/>
      <c r="B865" s="18"/>
      <c r="P865" s="19"/>
      <c r="Q865" s="19"/>
      <c r="R865" s="19"/>
    </row>
    <row r="866" spans="1:18" ht="15.75" customHeight="1" x14ac:dyDescent="0.35">
      <c r="A866" s="18"/>
      <c r="B866" s="18"/>
      <c r="P866" s="19"/>
      <c r="Q866" s="19"/>
      <c r="R866" s="19"/>
    </row>
    <row r="867" spans="1:18" ht="15.75" customHeight="1" x14ac:dyDescent="0.35">
      <c r="A867" s="18"/>
      <c r="B867" s="18"/>
      <c r="P867" s="19"/>
      <c r="Q867" s="19"/>
      <c r="R867" s="19"/>
    </row>
    <row r="868" spans="1:18" ht="15.75" customHeight="1" x14ac:dyDescent="0.35">
      <c r="A868" s="18"/>
      <c r="B868" s="18"/>
      <c r="P868" s="19"/>
      <c r="Q868" s="19"/>
      <c r="R868" s="19"/>
    </row>
    <row r="869" spans="1:18" ht="15.75" customHeight="1" x14ac:dyDescent="0.35">
      <c r="A869" s="18"/>
      <c r="B869" s="18"/>
      <c r="P869" s="19"/>
      <c r="Q869" s="19"/>
      <c r="R869" s="19"/>
    </row>
    <row r="870" spans="1:18" ht="15.75" customHeight="1" x14ac:dyDescent="0.35">
      <c r="A870" s="18"/>
      <c r="B870" s="18"/>
      <c r="P870" s="19"/>
      <c r="Q870" s="19"/>
      <c r="R870" s="19"/>
    </row>
    <row r="871" spans="1:18" ht="15.75" customHeight="1" x14ac:dyDescent="0.35">
      <c r="A871" s="18"/>
      <c r="B871" s="18"/>
      <c r="P871" s="19"/>
      <c r="Q871" s="19"/>
      <c r="R871" s="19"/>
    </row>
    <row r="872" spans="1:18" ht="15.75" customHeight="1" x14ac:dyDescent="0.35">
      <c r="A872" s="18"/>
      <c r="B872" s="18"/>
      <c r="P872" s="19"/>
      <c r="Q872" s="19"/>
      <c r="R872" s="19"/>
    </row>
    <row r="873" spans="1:18" ht="15.75" customHeight="1" x14ac:dyDescent="0.35">
      <c r="A873" s="18"/>
      <c r="B873" s="18"/>
      <c r="P873" s="19"/>
      <c r="Q873" s="19"/>
      <c r="R873" s="19"/>
    </row>
    <row r="874" spans="1:18" ht="15.75" customHeight="1" x14ac:dyDescent="0.35">
      <c r="A874" s="18"/>
      <c r="B874" s="18"/>
      <c r="P874" s="19"/>
      <c r="Q874" s="19"/>
      <c r="R874" s="19"/>
    </row>
    <row r="875" spans="1:18" ht="15.75" customHeight="1" x14ac:dyDescent="0.35">
      <c r="A875" s="18"/>
      <c r="B875" s="18"/>
      <c r="P875" s="19"/>
      <c r="Q875" s="19"/>
      <c r="R875" s="19"/>
    </row>
    <row r="876" spans="1:18" ht="15.75" customHeight="1" x14ac:dyDescent="0.35">
      <c r="A876" s="18"/>
      <c r="B876" s="18"/>
      <c r="P876" s="19"/>
      <c r="Q876" s="19"/>
      <c r="R876" s="19"/>
    </row>
    <row r="877" spans="1:18" ht="15.75" customHeight="1" x14ac:dyDescent="0.35">
      <c r="A877" s="18"/>
      <c r="B877" s="18"/>
      <c r="P877" s="19"/>
      <c r="Q877" s="19"/>
      <c r="R877" s="19"/>
    </row>
    <row r="878" spans="1:18" ht="15.75" customHeight="1" x14ac:dyDescent="0.35">
      <c r="A878" s="18"/>
      <c r="B878" s="18"/>
      <c r="P878" s="19"/>
      <c r="Q878" s="19"/>
      <c r="R878" s="19"/>
    </row>
    <row r="879" spans="1:18" ht="15.75" customHeight="1" x14ac:dyDescent="0.35">
      <c r="A879" s="18"/>
      <c r="B879" s="18"/>
      <c r="P879" s="19"/>
      <c r="Q879" s="19"/>
      <c r="R879" s="19"/>
    </row>
    <row r="880" spans="1:18" ht="15.75" customHeight="1" x14ac:dyDescent="0.35">
      <c r="A880" s="18"/>
      <c r="B880" s="18"/>
      <c r="P880" s="19"/>
      <c r="Q880" s="19"/>
      <c r="R880" s="19"/>
    </row>
    <row r="881" spans="1:18" ht="15.75" customHeight="1" x14ac:dyDescent="0.35">
      <c r="A881" s="18"/>
      <c r="B881" s="18"/>
      <c r="P881" s="19"/>
      <c r="Q881" s="19"/>
      <c r="R881" s="19"/>
    </row>
    <row r="882" spans="1:18" ht="15.75" customHeight="1" x14ac:dyDescent="0.35">
      <c r="A882" s="18"/>
      <c r="B882" s="18"/>
      <c r="P882" s="19"/>
      <c r="Q882" s="19"/>
      <c r="R882" s="19"/>
    </row>
    <row r="883" spans="1:18" ht="15.75" customHeight="1" x14ac:dyDescent="0.35">
      <c r="A883" s="18"/>
      <c r="B883" s="18"/>
      <c r="P883" s="19"/>
      <c r="Q883" s="19"/>
      <c r="R883" s="19"/>
    </row>
    <row r="884" spans="1:18" ht="15.75" customHeight="1" x14ac:dyDescent="0.35">
      <c r="A884" s="18"/>
      <c r="B884" s="18"/>
      <c r="P884" s="19"/>
      <c r="Q884" s="19"/>
      <c r="R884" s="19"/>
    </row>
    <row r="885" spans="1:18" ht="15.75" customHeight="1" x14ac:dyDescent="0.35">
      <c r="A885" s="18"/>
      <c r="B885" s="18"/>
      <c r="P885" s="19"/>
      <c r="Q885" s="19"/>
      <c r="R885" s="19"/>
    </row>
    <row r="886" spans="1:18" ht="15.75" customHeight="1" x14ac:dyDescent="0.35">
      <c r="A886" s="18"/>
      <c r="B886" s="18"/>
      <c r="P886" s="19"/>
      <c r="Q886" s="19"/>
      <c r="R886" s="19"/>
    </row>
    <row r="887" spans="1:18" ht="15.75" customHeight="1" x14ac:dyDescent="0.35">
      <c r="A887" s="18"/>
      <c r="B887" s="18"/>
      <c r="P887" s="19"/>
      <c r="Q887" s="19"/>
      <c r="R887" s="19"/>
    </row>
    <row r="888" spans="1:18" ht="15.75" customHeight="1" x14ac:dyDescent="0.35">
      <c r="A888" s="18"/>
      <c r="B888" s="18"/>
      <c r="P888" s="19"/>
      <c r="Q888" s="19"/>
      <c r="R888" s="19"/>
    </row>
    <row r="889" spans="1:18" ht="15.75" customHeight="1" x14ac:dyDescent="0.35">
      <c r="A889" s="18"/>
      <c r="B889" s="18"/>
      <c r="P889" s="19"/>
      <c r="Q889" s="19"/>
      <c r="R889" s="19"/>
    </row>
    <row r="890" spans="1:18" ht="15.75" customHeight="1" x14ac:dyDescent="0.35">
      <c r="A890" s="18"/>
      <c r="B890" s="18"/>
      <c r="P890" s="19"/>
      <c r="Q890" s="19"/>
      <c r="R890" s="19"/>
    </row>
    <row r="891" spans="1:18" ht="15.75" customHeight="1" x14ac:dyDescent="0.35">
      <c r="A891" s="18"/>
      <c r="B891" s="18"/>
      <c r="P891" s="19"/>
      <c r="Q891" s="19"/>
      <c r="R891" s="19"/>
    </row>
    <row r="892" spans="1:18" ht="15.75" customHeight="1" x14ac:dyDescent="0.35">
      <c r="A892" s="18"/>
      <c r="B892" s="18"/>
      <c r="P892" s="19"/>
      <c r="Q892" s="19"/>
      <c r="R892" s="19"/>
    </row>
    <row r="893" spans="1:18" ht="15.75" customHeight="1" x14ac:dyDescent="0.35">
      <c r="A893" s="18"/>
      <c r="B893" s="18"/>
      <c r="P893" s="19"/>
      <c r="Q893" s="19"/>
      <c r="R893" s="19"/>
    </row>
    <row r="894" spans="1:18" ht="15.75" customHeight="1" x14ac:dyDescent="0.35">
      <c r="A894" s="18"/>
      <c r="B894" s="18"/>
      <c r="P894" s="19"/>
      <c r="Q894" s="19"/>
      <c r="R894" s="19"/>
    </row>
    <row r="895" spans="1:18" ht="15.75" customHeight="1" x14ac:dyDescent="0.35">
      <c r="A895" s="18"/>
      <c r="B895" s="18"/>
      <c r="P895" s="19"/>
      <c r="Q895" s="19"/>
      <c r="R895" s="19"/>
    </row>
    <row r="896" spans="1:18" ht="15.75" customHeight="1" x14ac:dyDescent="0.35">
      <c r="A896" s="18"/>
      <c r="B896" s="18"/>
      <c r="P896" s="19"/>
      <c r="Q896" s="19"/>
      <c r="R896" s="19"/>
    </row>
    <row r="897" spans="1:18" ht="15.75" customHeight="1" x14ac:dyDescent="0.35">
      <c r="A897" s="18"/>
      <c r="B897" s="18"/>
      <c r="P897" s="19"/>
      <c r="Q897" s="19"/>
      <c r="R897" s="19"/>
    </row>
    <row r="898" spans="1:18" ht="15.75" customHeight="1" x14ac:dyDescent="0.35">
      <c r="A898" s="18"/>
      <c r="B898" s="18"/>
      <c r="P898" s="19"/>
      <c r="Q898" s="19"/>
      <c r="R898" s="19"/>
    </row>
    <row r="899" spans="1:18" ht="15.75" customHeight="1" x14ac:dyDescent="0.35">
      <c r="A899" s="18"/>
      <c r="B899" s="18"/>
      <c r="P899" s="19"/>
      <c r="Q899" s="19"/>
      <c r="R899" s="19"/>
    </row>
    <row r="900" spans="1:18" ht="15.75" customHeight="1" x14ac:dyDescent="0.35">
      <c r="A900" s="18"/>
      <c r="B900" s="18"/>
      <c r="P900" s="19"/>
      <c r="Q900" s="19"/>
      <c r="R900" s="19"/>
    </row>
    <row r="901" spans="1:18" ht="15.75" customHeight="1" x14ac:dyDescent="0.35">
      <c r="A901" s="18"/>
      <c r="B901" s="18"/>
      <c r="P901" s="19"/>
      <c r="Q901" s="19"/>
      <c r="R901" s="19"/>
    </row>
    <row r="902" spans="1:18" ht="15.75" customHeight="1" x14ac:dyDescent="0.35">
      <c r="A902" s="18"/>
      <c r="B902" s="18"/>
      <c r="P902" s="19"/>
      <c r="Q902" s="19"/>
      <c r="R902" s="19"/>
    </row>
    <row r="903" spans="1:18" ht="15.75" customHeight="1" x14ac:dyDescent="0.35">
      <c r="A903" s="18"/>
      <c r="B903" s="18"/>
      <c r="P903" s="19"/>
      <c r="Q903" s="19"/>
      <c r="R903" s="19"/>
    </row>
    <row r="904" spans="1:18" ht="15.75" customHeight="1" x14ac:dyDescent="0.35">
      <c r="A904" s="18"/>
      <c r="B904" s="18"/>
      <c r="P904" s="19"/>
      <c r="Q904" s="19"/>
      <c r="R904" s="19"/>
    </row>
    <row r="905" spans="1:18" ht="15.75" customHeight="1" x14ac:dyDescent="0.35">
      <c r="A905" s="18"/>
      <c r="B905" s="18"/>
      <c r="P905" s="19"/>
      <c r="Q905" s="19"/>
      <c r="R905" s="19"/>
    </row>
    <row r="906" spans="1:18" ht="15.75" customHeight="1" x14ac:dyDescent="0.35">
      <c r="A906" s="18"/>
      <c r="B906" s="18"/>
      <c r="P906" s="19"/>
      <c r="Q906" s="19"/>
      <c r="R906" s="19"/>
    </row>
    <row r="907" spans="1:18" ht="15.75" customHeight="1" x14ac:dyDescent="0.35">
      <c r="A907" s="18"/>
      <c r="B907" s="18"/>
      <c r="P907" s="19"/>
      <c r="Q907" s="19"/>
      <c r="R907" s="19"/>
    </row>
    <row r="908" spans="1:18" ht="15.75" customHeight="1" x14ac:dyDescent="0.35">
      <c r="A908" s="18"/>
      <c r="B908" s="18"/>
      <c r="P908" s="19"/>
      <c r="Q908" s="19"/>
      <c r="R908" s="19"/>
    </row>
    <row r="909" spans="1:18" ht="15.75" customHeight="1" x14ac:dyDescent="0.35">
      <c r="A909" s="18"/>
      <c r="B909" s="18"/>
      <c r="P909" s="19"/>
      <c r="Q909" s="19"/>
      <c r="R909" s="19"/>
    </row>
    <row r="910" spans="1:18" ht="15.75" customHeight="1" x14ac:dyDescent="0.35">
      <c r="A910" s="18"/>
      <c r="B910" s="18"/>
      <c r="P910" s="19"/>
      <c r="Q910" s="19"/>
      <c r="R910" s="19"/>
    </row>
    <row r="911" spans="1:18" ht="15.75" customHeight="1" x14ac:dyDescent="0.35">
      <c r="A911" s="18"/>
      <c r="B911" s="18"/>
      <c r="P911" s="19"/>
      <c r="Q911" s="19"/>
      <c r="R911" s="19"/>
    </row>
    <row r="912" spans="1:18" ht="15.75" customHeight="1" x14ac:dyDescent="0.35">
      <c r="A912" s="18"/>
      <c r="B912" s="18"/>
      <c r="P912" s="19"/>
      <c r="Q912" s="19"/>
      <c r="R912" s="19"/>
    </row>
    <row r="913" spans="1:18" ht="15.75" customHeight="1" x14ac:dyDescent="0.35">
      <c r="A913" s="18"/>
      <c r="B913" s="18"/>
      <c r="P913" s="19"/>
      <c r="Q913" s="19"/>
      <c r="R913" s="19"/>
    </row>
    <row r="914" spans="1:18" ht="15.75" customHeight="1" x14ac:dyDescent="0.35">
      <c r="A914" s="18"/>
      <c r="B914" s="18"/>
      <c r="P914" s="19"/>
      <c r="Q914" s="19"/>
      <c r="R914" s="19"/>
    </row>
    <row r="915" spans="1:18" ht="15.75" customHeight="1" x14ac:dyDescent="0.35">
      <c r="A915" s="18"/>
      <c r="B915" s="18"/>
      <c r="P915" s="19"/>
      <c r="Q915" s="19"/>
      <c r="R915" s="19"/>
    </row>
    <row r="916" spans="1:18" ht="15.75" customHeight="1" x14ac:dyDescent="0.35">
      <c r="A916" s="18"/>
      <c r="B916" s="18"/>
      <c r="P916" s="19"/>
      <c r="Q916" s="19"/>
      <c r="R916" s="19"/>
    </row>
    <row r="917" spans="1:18" ht="15.75" customHeight="1" x14ac:dyDescent="0.35">
      <c r="A917" s="18"/>
      <c r="B917" s="18"/>
      <c r="P917" s="19"/>
      <c r="Q917" s="19"/>
      <c r="R917" s="19"/>
    </row>
    <row r="918" spans="1:18" ht="15.75" customHeight="1" x14ac:dyDescent="0.35">
      <c r="A918" s="18"/>
      <c r="B918" s="18"/>
      <c r="P918" s="19"/>
      <c r="Q918" s="19"/>
      <c r="R918" s="19"/>
    </row>
    <row r="919" spans="1:18" ht="15.75" customHeight="1" x14ac:dyDescent="0.35">
      <c r="A919" s="18"/>
      <c r="B919" s="18"/>
      <c r="P919" s="19"/>
      <c r="Q919" s="19"/>
      <c r="R919" s="19"/>
    </row>
    <row r="920" spans="1:18" ht="15.75" customHeight="1" x14ac:dyDescent="0.35">
      <c r="A920" s="18"/>
      <c r="B920" s="18"/>
      <c r="P920" s="19"/>
      <c r="Q920" s="19"/>
      <c r="R920" s="19"/>
    </row>
    <row r="921" spans="1:18" ht="15.75" customHeight="1" x14ac:dyDescent="0.35">
      <c r="A921" s="18"/>
      <c r="B921" s="18"/>
      <c r="P921" s="19"/>
      <c r="Q921" s="19"/>
      <c r="R921" s="19"/>
    </row>
    <row r="922" spans="1:18" ht="15.75" customHeight="1" x14ac:dyDescent="0.35">
      <c r="A922" s="18"/>
      <c r="B922" s="18"/>
      <c r="P922" s="19"/>
      <c r="Q922" s="19"/>
      <c r="R922" s="19"/>
    </row>
    <row r="923" spans="1:18" ht="15.75" customHeight="1" x14ac:dyDescent="0.35">
      <c r="A923" s="18"/>
      <c r="B923" s="18"/>
      <c r="P923" s="19"/>
      <c r="Q923" s="19"/>
      <c r="R923" s="19"/>
    </row>
    <row r="924" spans="1:18" ht="15.75" customHeight="1" x14ac:dyDescent="0.35">
      <c r="A924" s="18"/>
      <c r="B924" s="18"/>
      <c r="P924" s="19"/>
      <c r="Q924" s="19"/>
      <c r="R924" s="19"/>
    </row>
    <row r="925" spans="1:18" ht="15.75" customHeight="1" x14ac:dyDescent="0.35">
      <c r="A925" s="18"/>
      <c r="B925" s="18"/>
      <c r="P925" s="19"/>
      <c r="Q925" s="19"/>
      <c r="R925" s="19"/>
    </row>
    <row r="926" spans="1:18" ht="15.75" customHeight="1" x14ac:dyDescent="0.35">
      <c r="A926" s="18"/>
      <c r="B926" s="18"/>
      <c r="P926" s="19"/>
      <c r="Q926" s="19"/>
      <c r="R926" s="19"/>
    </row>
    <row r="927" spans="1:18" ht="15.75" customHeight="1" x14ac:dyDescent="0.35">
      <c r="A927" s="18"/>
      <c r="B927" s="18"/>
      <c r="P927" s="19"/>
      <c r="Q927" s="19"/>
      <c r="R927" s="19"/>
    </row>
    <row r="928" spans="1:18" ht="15.75" customHeight="1" x14ac:dyDescent="0.35">
      <c r="A928" s="18"/>
      <c r="B928" s="18"/>
      <c r="P928" s="19"/>
      <c r="Q928" s="19"/>
      <c r="R928" s="19"/>
    </row>
    <row r="929" spans="1:18" ht="15.75" customHeight="1" x14ac:dyDescent="0.35">
      <c r="A929" s="18"/>
      <c r="B929" s="18"/>
      <c r="P929" s="19"/>
      <c r="Q929" s="19"/>
      <c r="R929" s="19"/>
    </row>
    <row r="930" spans="1:18" ht="15.75" customHeight="1" x14ac:dyDescent="0.35">
      <c r="A930" s="18"/>
      <c r="B930" s="18"/>
      <c r="P930" s="19"/>
      <c r="Q930" s="19"/>
      <c r="R930" s="19"/>
    </row>
    <row r="931" spans="1:18" ht="15.75" customHeight="1" x14ac:dyDescent="0.35">
      <c r="A931" s="18"/>
      <c r="B931" s="18"/>
      <c r="P931" s="19"/>
      <c r="Q931" s="19"/>
      <c r="R931" s="19"/>
    </row>
    <row r="932" spans="1:18" ht="15.75" customHeight="1" x14ac:dyDescent="0.35">
      <c r="A932" s="18"/>
      <c r="B932" s="18"/>
      <c r="P932" s="19"/>
      <c r="Q932" s="19"/>
      <c r="R932" s="19"/>
    </row>
    <row r="933" spans="1:18" ht="15.75" customHeight="1" x14ac:dyDescent="0.35">
      <c r="A933" s="18"/>
      <c r="B933" s="18"/>
      <c r="P933" s="19"/>
      <c r="Q933" s="19"/>
      <c r="R933" s="19"/>
    </row>
    <row r="934" spans="1:18" ht="15.75" customHeight="1" x14ac:dyDescent="0.35">
      <c r="A934" s="18"/>
      <c r="B934" s="18"/>
      <c r="P934" s="19"/>
      <c r="Q934" s="19"/>
      <c r="R934" s="19"/>
    </row>
    <row r="935" spans="1:18" ht="15.75" customHeight="1" x14ac:dyDescent="0.35">
      <c r="A935" s="18"/>
      <c r="B935" s="18"/>
      <c r="P935" s="19"/>
      <c r="Q935" s="19"/>
      <c r="R935" s="19"/>
    </row>
    <row r="936" spans="1:18" ht="15.75" customHeight="1" x14ac:dyDescent="0.35">
      <c r="A936" s="18"/>
      <c r="B936" s="18"/>
      <c r="P936" s="19"/>
      <c r="Q936" s="19"/>
      <c r="R936" s="19"/>
    </row>
    <row r="937" spans="1:18" ht="15.75" customHeight="1" x14ac:dyDescent="0.35">
      <c r="A937" s="18"/>
      <c r="B937" s="18"/>
      <c r="P937" s="19"/>
      <c r="Q937" s="19"/>
      <c r="R937" s="19"/>
    </row>
    <row r="938" spans="1:18" ht="15.75" customHeight="1" x14ac:dyDescent="0.35">
      <c r="A938" s="18"/>
      <c r="B938" s="18"/>
      <c r="P938" s="19"/>
      <c r="Q938" s="19"/>
      <c r="R938" s="19"/>
    </row>
    <row r="939" spans="1:18" ht="15.75" customHeight="1" x14ac:dyDescent="0.35">
      <c r="A939" s="18"/>
      <c r="B939" s="18"/>
      <c r="P939" s="19"/>
      <c r="Q939" s="19"/>
      <c r="R939" s="19"/>
    </row>
    <row r="940" spans="1:18" ht="15.75" customHeight="1" x14ac:dyDescent="0.35">
      <c r="A940" s="18"/>
      <c r="B940" s="18"/>
      <c r="P940" s="19"/>
      <c r="Q940" s="19"/>
      <c r="R940" s="19"/>
    </row>
    <row r="941" spans="1:18" ht="15.75" customHeight="1" x14ac:dyDescent="0.35">
      <c r="A941" s="18"/>
      <c r="B941" s="18"/>
      <c r="P941" s="19"/>
      <c r="Q941" s="19"/>
      <c r="R941" s="19"/>
    </row>
    <row r="942" spans="1:18" ht="15.75" customHeight="1" x14ac:dyDescent="0.35">
      <c r="A942" s="18"/>
      <c r="B942" s="18"/>
      <c r="P942" s="19"/>
      <c r="Q942" s="19"/>
      <c r="R942" s="19"/>
    </row>
    <row r="943" spans="1:18" ht="15.75" customHeight="1" x14ac:dyDescent="0.35">
      <c r="A943" s="18"/>
      <c r="B943" s="18"/>
      <c r="P943" s="19"/>
      <c r="Q943" s="19"/>
      <c r="R943" s="19"/>
    </row>
    <row r="944" spans="1:18" ht="15.75" customHeight="1" x14ac:dyDescent="0.35">
      <c r="A944" s="18"/>
      <c r="B944" s="18"/>
      <c r="P944" s="19"/>
      <c r="Q944" s="19"/>
      <c r="R944" s="19"/>
    </row>
    <row r="945" spans="1:18" ht="15.75" customHeight="1" x14ac:dyDescent="0.35">
      <c r="A945" s="18"/>
      <c r="B945" s="18"/>
      <c r="P945" s="19"/>
      <c r="Q945" s="19"/>
      <c r="R945" s="19"/>
    </row>
    <row r="946" spans="1:18" ht="15.75" customHeight="1" x14ac:dyDescent="0.35">
      <c r="A946" s="18"/>
      <c r="B946" s="18"/>
      <c r="P946" s="19"/>
      <c r="Q946" s="19"/>
      <c r="R946" s="19"/>
    </row>
    <row r="947" spans="1:18" ht="15.75" customHeight="1" x14ac:dyDescent="0.35">
      <c r="A947" s="18"/>
      <c r="B947" s="18"/>
      <c r="P947" s="19"/>
      <c r="Q947" s="19"/>
      <c r="R947" s="19"/>
    </row>
    <row r="948" spans="1:18" ht="15.75" customHeight="1" x14ac:dyDescent="0.35">
      <c r="A948" s="18"/>
      <c r="B948" s="18"/>
      <c r="P948" s="19"/>
      <c r="Q948" s="19"/>
      <c r="R948" s="19"/>
    </row>
    <row r="949" spans="1:18" ht="15.75" customHeight="1" x14ac:dyDescent="0.35">
      <c r="A949" s="18"/>
      <c r="B949" s="18"/>
      <c r="P949" s="19"/>
      <c r="Q949" s="19"/>
      <c r="R949" s="19"/>
    </row>
    <row r="950" spans="1:18" ht="15.75" customHeight="1" x14ac:dyDescent="0.35">
      <c r="A950" s="18"/>
      <c r="B950" s="18"/>
      <c r="P950" s="19"/>
      <c r="Q950" s="19"/>
      <c r="R950" s="19"/>
    </row>
    <row r="951" spans="1:18" ht="15.75" customHeight="1" x14ac:dyDescent="0.35">
      <c r="A951" s="18"/>
      <c r="B951" s="18"/>
      <c r="P951" s="19"/>
      <c r="Q951" s="19"/>
      <c r="R951" s="19"/>
    </row>
    <row r="952" spans="1:18" ht="15.75" customHeight="1" x14ac:dyDescent="0.35">
      <c r="A952" s="18"/>
      <c r="B952" s="18"/>
      <c r="P952" s="19"/>
      <c r="Q952" s="19"/>
      <c r="R952" s="19"/>
    </row>
    <row r="953" spans="1:18" ht="15.75" customHeight="1" x14ac:dyDescent="0.35">
      <c r="A953" s="18"/>
      <c r="B953" s="18"/>
      <c r="P953" s="19"/>
      <c r="Q953" s="19"/>
      <c r="R953" s="19"/>
    </row>
    <row r="954" spans="1:18" ht="15.75" customHeight="1" x14ac:dyDescent="0.35">
      <c r="A954" s="18"/>
      <c r="B954" s="18"/>
      <c r="P954" s="19"/>
      <c r="Q954" s="19"/>
      <c r="R954" s="19"/>
    </row>
    <row r="955" spans="1:18" ht="15.75" customHeight="1" x14ac:dyDescent="0.35">
      <c r="A955" s="18"/>
      <c r="B955" s="18"/>
      <c r="P955" s="19"/>
      <c r="Q955" s="19"/>
      <c r="R955" s="19"/>
    </row>
    <row r="956" spans="1:18" ht="15.75" customHeight="1" x14ac:dyDescent="0.35">
      <c r="A956" s="18"/>
      <c r="B956" s="18"/>
      <c r="P956" s="19"/>
      <c r="Q956" s="19"/>
      <c r="R956" s="19"/>
    </row>
    <row r="957" spans="1:18" ht="15.75" customHeight="1" x14ac:dyDescent="0.35">
      <c r="A957" s="18"/>
      <c r="B957" s="18"/>
      <c r="P957" s="19"/>
      <c r="Q957" s="19"/>
      <c r="R957" s="19"/>
    </row>
    <row r="958" spans="1:18" ht="15.75" customHeight="1" x14ac:dyDescent="0.35">
      <c r="A958" s="18"/>
      <c r="B958" s="18"/>
      <c r="P958" s="19"/>
      <c r="Q958" s="19"/>
      <c r="R958" s="19"/>
    </row>
    <row r="959" spans="1:18" ht="15.75" customHeight="1" x14ac:dyDescent="0.35">
      <c r="A959" s="18"/>
      <c r="B959" s="18"/>
      <c r="P959" s="19"/>
      <c r="Q959" s="19"/>
      <c r="R959" s="19"/>
    </row>
    <row r="960" spans="1:18" ht="15.75" customHeight="1" x14ac:dyDescent="0.35">
      <c r="A960" s="18"/>
      <c r="B960" s="18"/>
      <c r="P960" s="19"/>
      <c r="Q960" s="19"/>
      <c r="R960" s="19"/>
    </row>
    <row r="961" spans="1:18" ht="15.75" customHeight="1" x14ac:dyDescent="0.35">
      <c r="A961" s="18"/>
      <c r="B961" s="18"/>
      <c r="P961" s="19"/>
      <c r="Q961" s="19"/>
      <c r="R961" s="19"/>
    </row>
    <row r="962" spans="1:18" ht="15.75" customHeight="1" x14ac:dyDescent="0.35">
      <c r="A962" s="18"/>
      <c r="B962" s="18"/>
      <c r="P962" s="19"/>
      <c r="Q962" s="19"/>
      <c r="R962" s="19"/>
    </row>
    <row r="963" spans="1:18" ht="15.75" customHeight="1" x14ac:dyDescent="0.35">
      <c r="A963" s="18"/>
      <c r="B963" s="18"/>
      <c r="P963" s="19"/>
      <c r="Q963" s="19"/>
      <c r="R963" s="19"/>
    </row>
    <row r="964" spans="1:18" ht="15.75" customHeight="1" x14ac:dyDescent="0.35">
      <c r="A964" s="18"/>
      <c r="B964" s="18"/>
      <c r="P964" s="19"/>
      <c r="Q964" s="19"/>
      <c r="R964" s="19"/>
    </row>
    <row r="965" spans="1:18" ht="15.75" customHeight="1" x14ac:dyDescent="0.35">
      <c r="A965" s="18"/>
      <c r="B965" s="18"/>
      <c r="P965" s="19"/>
      <c r="Q965" s="19"/>
      <c r="R965" s="19"/>
    </row>
    <row r="966" spans="1:18" ht="15.75" customHeight="1" x14ac:dyDescent="0.35">
      <c r="A966" s="18"/>
      <c r="B966" s="18"/>
      <c r="P966" s="19"/>
      <c r="Q966" s="19"/>
      <c r="R966" s="19"/>
    </row>
    <row r="967" spans="1:18" ht="15.75" customHeight="1" x14ac:dyDescent="0.35">
      <c r="A967" s="18"/>
      <c r="B967" s="18"/>
      <c r="P967" s="19"/>
      <c r="Q967" s="19"/>
      <c r="R967" s="19"/>
    </row>
    <row r="968" spans="1:18" ht="15.75" customHeight="1" x14ac:dyDescent="0.35">
      <c r="A968" s="18"/>
      <c r="B968" s="18"/>
      <c r="P968" s="19"/>
      <c r="Q968" s="19"/>
      <c r="R968" s="19"/>
    </row>
    <row r="969" spans="1:18" ht="15.75" customHeight="1" x14ac:dyDescent="0.35">
      <c r="A969" s="18"/>
      <c r="B969" s="18"/>
      <c r="P969" s="19"/>
      <c r="Q969" s="19"/>
      <c r="R969" s="19"/>
    </row>
    <row r="970" spans="1:18" ht="15.75" customHeight="1" x14ac:dyDescent="0.35">
      <c r="A970" s="18"/>
      <c r="B970" s="18"/>
      <c r="P970" s="19"/>
      <c r="Q970" s="19"/>
      <c r="R970" s="19"/>
    </row>
    <row r="971" spans="1:18" ht="15.75" customHeight="1" x14ac:dyDescent="0.35">
      <c r="A971" s="18"/>
      <c r="B971" s="18"/>
      <c r="P971" s="19"/>
      <c r="Q971" s="19"/>
      <c r="R971" s="19"/>
    </row>
    <row r="972" spans="1:18" ht="15.75" customHeight="1" x14ac:dyDescent="0.35">
      <c r="A972" s="18"/>
      <c r="B972" s="18"/>
      <c r="P972" s="19"/>
      <c r="Q972" s="19"/>
      <c r="R972" s="19"/>
    </row>
    <row r="973" spans="1:18" ht="15.75" customHeight="1" x14ac:dyDescent="0.35">
      <c r="A973" s="18"/>
      <c r="B973" s="18"/>
      <c r="P973" s="19"/>
      <c r="Q973" s="19"/>
      <c r="R973" s="19"/>
    </row>
    <row r="974" spans="1:18" ht="15.75" customHeight="1" x14ac:dyDescent="0.35">
      <c r="A974" s="18"/>
      <c r="B974" s="18"/>
      <c r="P974" s="19"/>
      <c r="Q974" s="19"/>
      <c r="R974" s="19"/>
    </row>
    <row r="975" spans="1:18" ht="15.75" customHeight="1" x14ac:dyDescent="0.35">
      <c r="A975" s="18"/>
      <c r="B975" s="18"/>
      <c r="P975" s="19"/>
      <c r="Q975" s="19"/>
      <c r="R975" s="19"/>
    </row>
    <row r="976" spans="1:18" ht="15.75" customHeight="1" x14ac:dyDescent="0.35">
      <c r="A976" s="18"/>
      <c r="B976" s="18"/>
      <c r="P976" s="19"/>
      <c r="Q976" s="19"/>
      <c r="R976" s="19"/>
    </row>
    <row r="977" spans="1:18" ht="15.75" customHeight="1" x14ac:dyDescent="0.35">
      <c r="A977" s="18"/>
      <c r="B977" s="18"/>
      <c r="P977" s="19"/>
      <c r="Q977" s="19"/>
      <c r="R977" s="19"/>
    </row>
    <row r="978" spans="1:18" ht="15.75" customHeight="1" x14ac:dyDescent="0.35">
      <c r="A978" s="18"/>
      <c r="B978" s="18"/>
      <c r="P978" s="19"/>
      <c r="Q978" s="19"/>
      <c r="R978" s="19"/>
    </row>
    <row r="979" spans="1:18" ht="15.75" customHeight="1" x14ac:dyDescent="0.35">
      <c r="A979" s="18"/>
      <c r="B979" s="18"/>
      <c r="P979" s="19"/>
      <c r="Q979" s="19"/>
      <c r="R979" s="19"/>
    </row>
    <row r="980" spans="1:18" ht="15.75" customHeight="1" x14ac:dyDescent="0.35">
      <c r="A980" s="18"/>
      <c r="B980" s="18"/>
      <c r="P980" s="19"/>
      <c r="Q980" s="19"/>
      <c r="R980" s="19"/>
    </row>
    <row r="981" spans="1:18" ht="15.75" customHeight="1" x14ac:dyDescent="0.35">
      <c r="A981" s="18"/>
      <c r="B981" s="18"/>
      <c r="P981" s="19"/>
      <c r="Q981" s="19"/>
      <c r="R981" s="19"/>
    </row>
    <row r="982" spans="1:18" ht="15.75" customHeight="1" x14ac:dyDescent="0.35">
      <c r="A982" s="18"/>
      <c r="B982" s="18"/>
      <c r="P982" s="19"/>
      <c r="Q982" s="19"/>
      <c r="R982" s="19"/>
    </row>
    <row r="983" spans="1:18" ht="15.75" customHeight="1" x14ac:dyDescent="0.35">
      <c r="A983" s="18"/>
      <c r="B983" s="18"/>
      <c r="P983" s="19"/>
      <c r="Q983" s="19"/>
      <c r="R983" s="19"/>
    </row>
    <row r="984" spans="1:18" ht="15.75" customHeight="1" x14ac:dyDescent="0.35">
      <c r="A984" s="18"/>
      <c r="B984" s="18"/>
      <c r="P984" s="19"/>
      <c r="Q984" s="19"/>
      <c r="R984" s="19"/>
    </row>
    <row r="985" spans="1:18" ht="15.75" customHeight="1" x14ac:dyDescent="0.35">
      <c r="A985" s="18"/>
      <c r="B985" s="18"/>
      <c r="P985" s="19"/>
      <c r="Q985" s="19"/>
      <c r="R985" s="19"/>
    </row>
    <row r="986" spans="1:18" ht="15.75" customHeight="1" x14ac:dyDescent="0.35">
      <c r="A986" s="18"/>
      <c r="B986" s="18"/>
      <c r="P986" s="19"/>
      <c r="Q986" s="19"/>
      <c r="R986" s="19"/>
    </row>
    <row r="987" spans="1:18" ht="15.75" customHeight="1" x14ac:dyDescent="0.35">
      <c r="A987" s="18"/>
      <c r="B987" s="18"/>
      <c r="P987" s="19"/>
      <c r="Q987" s="19"/>
      <c r="R987" s="19"/>
    </row>
    <row r="988" spans="1:18" ht="15.75" customHeight="1" x14ac:dyDescent="0.35">
      <c r="A988" s="18"/>
      <c r="B988" s="18"/>
      <c r="P988" s="19"/>
      <c r="Q988" s="19"/>
      <c r="R988" s="19"/>
    </row>
    <row r="989" spans="1:18" ht="15.75" customHeight="1" x14ac:dyDescent="0.35">
      <c r="A989" s="18"/>
      <c r="B989" s="18"/>
      <c r="P989" s="19"/>
      <c r="Q989" s="19"/>
      <c r="R989" s="19"/>
    </row>
    <row r="990" spans="1:18" ht="15.75" customHeight="1" x14ac:dyDescent="0.35">
      <c r="A990" s="18"/>
      <c r="B990" s="18"/>
      <c r="P990" s="19"/>
      <c r="Q990" s="19"/>
      <c r="R990" s="19"/>
    </row>
    <row r="991" spans="1:18" ht="15.75" customHeight="1" x14ac:dyDescent="0.35">
      <c r="A991" s="18"/>
      <c r="B991" s="18"/>
      <c r="P991" s="19"/>
      <c r="Q991" s="19"/>
      <c r="R991" s="19"/>
    </row>
    <row r="992" spans="1:18" ht="15.75" customHeight="1" x14ac:dyDescent="0.35">
      <c r="A992" s="18"/>
      <c r="B992" s="18"/>
      <c r="P992" s="19"/>
      <c r="Q992" s="19"/>
      <c r="R992" s="19"/>
    </row>
    <row r="993" spans="1:18" ht="15.75" customHeight="1" x14ac:dyDescent="0.35">
      <c r="A993" s="18"/>
      <c r="B993" s="18"/>
      <c r="P993" s="19"/>
      <c r="Q993" s="19"/>
      <c r="R993" s="19"/>
    </row>
    <row r="994" spans="1:18" ht="15.75" customHeight="1" x14ac:dyDescent="0.35">
      <c r="A994" s="18"/>
      <c r="B994" s="18"/>
      <c r="P994" s="19"/>
      <c r="Q994" s="19"/>
      <c r="R994" s="19"/>
    </row>
    <row r="995" spans="1:18" ht="15.75" customHeight="1" x14ac:dyDescent="0.35">
      <c r="A995" s="18"/>
      <c r="B995" s="18"/>
      <c r="P995" s="19"/>
      <c r="Q995" s="19"/>
      <c r="R995" s="19"/>
    </row>
    <row r="996" spans="1:18" ht="15.75" customHeight="1" x14ac:dyDescent="0.35">
      <c r="A996" s="18"/>
      <c r="B996" s="18"/>
      <c r="P996" s="19"/>
      <c r="Q996" s="19"/>
      <c r="R996" s="19"/>
    </row>
    <row r="997" spans="1:18" ht="15.75" customHeight="1" x14ac:dyDescent="0.35">
      <c r="A997" s="18"/>
      <c r="B997" s="18"/>
      <c r="P997" s="19"/>
      <c r="Q997" s="19"/>
      <c r="R997" s="19"/>
    </row>
    <row r="998" spans="1:18" ht="15.75" customHeight="1" x14ac:dyDescent="0.35">
      <c r="A998" s="18"/>
      <c r="B998" s="18"/>
      <c r="P998" s="19"/>
      <c r="Q998" s="19"/>
      <c r="R998" s="19"/>
    </row>
    <row r="999" spans="1:18" ht="15.75" customHeight="1" x14ac:dyDescent="0.35">
      <c r="A999" s="18"/>
      <c r="B999" s="18"/>
      <c r="P999" s="19"/>
      <c r="Q999" s="19"/>
      <c r="R999" s="19"/>
    </row>
    <row r="1000" spans="1:18" ht="15.75" customHeight="1" x14ac:dyDescent="0.35">
      <c r="A1000" s="18"/>
      <c r="B1000" s="18"/>
      <c r="P1000" s="19"/>
      <c r="Q1000" s="19"/>
      <c r="R1000" s="19"/>
    </row>
  </sheetData>
  <autoFilter ref="A1:R169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2" width="13.453125" customWidth="1"/>
    <col min="3" max="3" width="8.7265625" customWidth="1"/>
    <col min="4" max="4" width="12.7265625" customWidth="1"/>
    <col min="5" max="5" width="12" customWidth="1"/>
    <col min="6" max="6" width="13.81640625" customWidth="1"/>
    <col min="7" max="8" width="8.7265625" customWidth="1"/>
    <col min="9" max="9" width="13.81640625" customWidth="1"/>
    <col min="10" max="10" width="13" customWidth="1"/>
    <col min="11" max="11" width="11.7265625" customWidth="1"/>
    <col min="12" max="12" width="12.08984375" customWidth="1"/>
    <col min="13" max="13" width="11.26953125" customWidth="1"/>
    <col min="14" max="15" width="8.7265625" customWidth="1"/>
    <col min="16" max="18" width="19.08984375" customWidth="1"/>
    <col min="19" max="27" width="8.7265625" customWidth="1"/>
  </cols>
  <sheetData>
    <row r="1" spans="1:2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8"/>
      <c r="P1" s="3" t="s">
        <v>15</v>
      </c>
      <c r="Q1" s="1" t="s">
        <v>16</v>
      </c>
      <c r="R1" s="1" t="s">
        <v>17</v>
      </c>
      <c r="S1" s="18"/>
      <c r="T1" s="18"/>
      <c r="U1" s="18"/>
      <c r="V1" s="18"/>
      <c r="W1" s="18"/>
      <c r="X1" s="18"/>
      <c r="Y1" s="18"/>
      <c r="Z1" s="18"/>
      <c r="AA1" s="18"/>
    </row>
    <row r="2" spans="1:27" ht="14.5" x14ac:dyDescent="0.35">
      <c r="A2" s="4" t="s">
        <v>18</v>
      </c>
      <c r="B2" s="19" t="s">
        <v>19</v>
      </c>
      <c r="C2" s="19" t="s">
        <v>20</v>
      </c>
      <c r="D2" s="19">
        <v>10</v>
      </c>
      <c r="E2" s="19">
        <v>2410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f t="shared" ref="K2:K159" si="0">(E2+F2+G2)-(I2+J2)</f>
        <v>2410</v>
      </c>
      <c r="L2" s="19">
        <v>0</v>
      </c>
      <c r="M2" s="19">
        <v>24</v>
      </c>
      <c r="N2" s="20">
        <v>0</v>
      </c>
      <c r="O2" s="18"/>
      <c r="P2" s="6">
        <v>2129</v>
      </c>
      <c r="Q2" s="7">
        <f t="shared" ref="Q2:Q159" si="1">P2*(I2+J2)</f>
        <v>0</v>
      </c>
      <c r="R2" s="7">
        <f t="shared" ref="R2:R159" si="2">P2*L2</f>
        <v>0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 ht="14.5" x14ac:dyDescent="0.35">
      <c r="A3" s="4" t="s">
        <v>21</v>
      </c>
      <c r="B3" s="19" t="s">
        <v>22</v>
      </c>
      <c r="C3" s="19" t="s">
        <v>20</v>
      </c>
      <c r="D3" s="19">
        <v>10</v>
      </c>
      <c r="E3" s="19">
        <v>22106</v>
      </c>
      <c r="F3" s="19">
        <v>660859</v>
      </c>
      <c r="G3" s="19">
        <v>0</v>
      </c>
      <c r="H3" s="19">
        <v>0</v>
      </c>
      <c r="I3" s="19">
        <v>648359</v>
      </c>
      <c r="J3" s="19">
        <v>50</v>
      </c>
      <c r="K3" s="19">
        <f t="shared" si="0"/>
        <v>34556</v>
      </c>
      <c r="L3" s="19">
        <v>60415.782608695699</v>
      </c>
      <c r="M3" s="19">
        <v>24</v>
      </c>
      <c r="N3" s="20">
        <f t="shared" ref="N3:N12" si="3">(L3/(I3+J3))*M3</f>
        <v>2.2362101429941545</v>
      </c>
      <c r="O3" s="18"/>
      <c r="P3" s="6">
        <v>2129</v>
      </c>
      <c r="Q3" s="7">
        <f t="shared" si="1"/>
        <v>1380462761</v>
      </c>
      <c r="R3" s="7">
        <f t="shared" si="2"/>
        <v>128625201.17391315</v>
      </c>
      <c r="S3" s="18"/>
      <c r="T3" s="18"/>
      <c r="U3" s="18"/>
      <c r="V3" s="18"/>
      <c r="W3" s="18"/>
      <c r="X3" s="18"/>
      <c r="Y3" s="18"/>
      <c r="Z3" s="18"/>
      <c r="AA3" s="18"/>
    </row>
    <row r="4" spans="1:27" ht="14.5" x14ac:dyDescent="0.35">
      <c r="A4" s="4" t="s">
        <v>23</v>
      </c>
      <c r="B4" s="19" t="s">
        <v>19</v>
      </c>
      <c r="C4" s="19" t="s">
        <v>20</v>
      </c>
      <c r="D4" s="19">
        <v>10</v>
      </c>
      <c r="E4" s="19">
        <v>7276</v>
      </c>
      <c r="F4" s="19">
        <v>19950</v>
      </c>
      <c r="G4" s="19">
        <v>0</v>
      </c>
      <c r="H4" s="19">
        <v>0</v>
      </c>
      <c r="I4" s="19">
        <v>15850</v>
      </c>
      <c r="J4" s="19">
        <v>0</v>
      </c>
      <c r="K4" s="19">
        <f t="shared" si="0"/>
        <v>11376</v>
      </c>
      <c r="L4" s="19">
        <v>11278.5</v>
      </c>
      <c r="M4" s="19">
        <v>24</v>
      </c>
      <c r="N4" s="20">
        <f t="shared" si="3"/>
        <v>17.077854889589904</v>
      </c>
      <c r="O4" s="18"/>
      <c r="P4" s="6">
        <v>2129</v>
      </c>
      <c r="Q4" s="7">
        <f t="shared" si="1"/>
        <v>33744650</v>
      </c>
      <c r="R4" s="7">
        <f t="shared" si="2"/>
        <v>24011926.5</v>
      </c>
      <c r="S4" s="18"/>
      <c r="T4" s="18"/>
      <c r="U4" s="18"/>
      <c r="V4" s="18"/>
      <c r="W4" s="18"/>
      <c r="X4" s="18"/>
      <c r="Y4" s="18"/>
      <c r="Z4" s="18"/>
      <c r="AA4" s="18"/>
    </row>
    <row r="5" spans="1:27" ht="14.5" x14ac:dyDescent="0.35">
      <c r="A5" s="4" t="s">
        <v>24</v>
      </c>
      <c r="B5" s="19" t="s">
        <v>19</v>
      </c>
      <c r="C5" s="19" t="s">
        <v>20</v>
      </c>
      <c r="D5" s="19">
        <v>10</v>
      </c>
      <c r="E5" s="19">
        <v>1320</v>
      </c>
      <c r="F5" s="19">
        <v>0</v>
      </c>
      <c r="G5" s="19">
        <v>0</v>
      </c>
      <c r="H5" s="19">
        <v>0</v>
      </c>
      <c r="I5" s="19">
        <v>150</v>
      </c>
      <c r="J5" s="19">
        <v>0</v>
      </c>
      <c r="K5" s="19">
        <f t="shared" si="0"/>
        <v>1170</v>
      </c>
      <c r="L5" s="19">
        <v>1220</v>
      </c>
      <c r="M5" s="19">
        <v>24</v>
      </c>
      <c r="N5" s="20">
        <f t="shared" si="3"/>
        <v>195.2</v>
      </c>
      <c r="O5" s="18"/>
      <c r="P5" s="6">
        <v>2131</v>
      </c>
      <c r="Q5" s="7">
        <f t="shared" si="1"/>
        <v>319650</v>
      </c>
      <c r="R5" s="7">
        <f t="shared" si="2"/>
        <v>2599820</v>
      </c>
      <c r="S5" s="18"/>
      <c r="T5" s="18"/>
      <c r="U5" s="18"/>
      <c r="V5" s="18"/>
      <c r="W5" s="18"/>
      <c r="X5" s="18"/>
      <c r="Y5" s="18"/>
      <c r="Z5" s="18"/>
      <c r="AA5" s="18"/>
    </row>
    <row r="6" spans="1:27" ht="14.5" x14ac:dyDescent="0.35">
      <c r="A6" s="4" t="s">
        <v>25</v>
      </c>
      <c r="B6" s="19" t="s">
        <v>19</v>
      </c>
      <c r="C6" s="19" t="s">
        <v>20</v>
      </c>
      <c r="D6" s="19">
        <v>10</v>
      </c>
      <c r="E6" s="19">
        <v>14318</v>
      </c>
      <c r="F6" s="19">
        <v>0</v>
      </c>
      <c r="G6" s="19">
        <v>0</v>
      </c>
      <c r="H6" s="19">
        <v>0</v>
      </c>
      <c r="I6" s="19">
        <v>6543</v>
      </c>
      <c r="J6" s="19">
        <v>0</v>
      </c>
      <c r="K6" s="19">
        <f t="shared" si="0"/>
        <v>7775</v>
      </c>
      <c r="L6" s="19">
        <v>10310</v>
      </c>
      <c r="M6" s="19">
        <v>24</v>
      </c>
      <c r="N6" s="20">
        <f t="shared" si="3"/>
        <v>37.817514901421362</v>
      </c>
      <c r="O6" s="18"/>
      <c r="P6" s="6">
        <v>2131</v>
      </c>
      <c r="Q6" s="7">
        <f t="shared" si="1"/>
        <v>13943133</v>
      </c>
      <c r="R6" s="7">
        <f t="shared" si="2"/>
        <v>21970610</v>
      </c>
      <c r="S6" s="18"/>
      <c r="T6" s="18"/>
      <c r="U6" s="18"/>
      <c r="V6" s="18"/>
      <c r="W6" s="18"/>
      <c r="X6" s="18"/>
      <c r="Y6" s="18"/>
      <c r="Z6" s="18"/>
      <c r="AA6" s="18"/>
    </row>
    <row r="7" spans="1:27" ht="14.5" x14ac:dyDescent="0.35">
      <c r="A7" s="4" t="s">
        <v>26</v>
      </c>
      <c r="B7" s="19" t="s">
        <v>22</v>
      </c>
      <c r="C7" s="19" t="s">
        <v>20</v>
      </c>
      <c r="D7" s="19">
        <v>10</v>
      </c>
      <c r="E7" s="19">
        <v>30618</v>
      </c>
      <c r="F7" s="19">
        <v>101125</v>
      </c>
      <c r="G7" s="19">
        <v>0</v>
      </c>
      <c r="H7" s="19">
        <v>0</v>
      </c>
      <c r="I7" s="19">
        <v>99300</v>
      </c>
      <c r="J7" s="19">
        <v>2457</v>
      </c>
      <c r="K7" s="19">
        <f t="shared" si="0"/>
        <v>29986</v>
      </c>
      <c r="L7" s="19">
        <v>41307.157894736803</v>
      </c>
      <c r="M7" s="19">
        <v>24</v>
      </c>
      <c r="N7" s="20">
        <f t="shared" si="3"/>
        <v>9.7425414416077842</v>
      </c>
      <c r="P7" s="6">
        <v>1910</v>
      </c>
      <c r="Q7" s="7">
        <f t="shared" si="1"/>
        <v>194355870</v>
      </c>
      <c r="R7" s="7">
        <f t="shared" si="2"/>
        <v>78896671.578947291</v>
      </c>
    </row>
    <row r="8" spans="1:27" ht="14.5" x14ac:dyDescent="0.35">
      <c r="A8" s="4" t="s">
        <v>170</v>
      </c>
      <c r="B8" s="19" t="s">
        <v>22</v>
      </c>
      <c r="C8" s="19" t="s">
        <v>20</v>
      </c>
      <c r="D8" s="19">
        <v>10</v>
      </c>
      <c r="E8" s="19">
        <v>25525</v>
      </c>
      <c r="F8" s="19">
        <v>123500</v>
      </c>
      <c r="G8" s="19">
        <v>0</v>
      </c>
      <c r="H8" s="19">
        <v>0</v>
      </c>
      <c r="I8" s="19">
        <v>127525</v>
      </c>
      <c r="J8" s="19">
        <v>0</v>
      </c>
      <c r="K8" s="19">
        <f t="shared" si="0"/>
        <v>21500</v>
      </c>
      <c r="L8" s="19">
        <v>18430.9523809524</v>
      </c>
      <c r="M8" s="19">
        <v>24</v>
      </c>
      <c r="N8" s="20">
        <f t="shared" si="3"/>
        <v>3.468675609824408</v>
      </c>
      <c r="P8" s="6">
        <v>1910</v>
      </c>
      <c r="Q8" s="7">
        <f t="shared" si="1"/>
        <v>243572750</v>
      </c>
      <c r="R8" s="7">
        <f t="shared" si="2"/>
        <v>35203119.047619082</v>
      </c>
    </row>
    <row r="9" spans="1:27" ht="14.5" x14ac:dyDescent="0.35">
      <c r="A9" s="4" t="s">
        <v>27</v>
      </c>
      <c r="B9" s="19" t="s">
        <v>22</v>
      </c>
      <c r="C9" s="19" t="s">
        <v>20</v>
      </c>
      <c r="D9" s="19">
        <v>10</v>
      </c>
      <c r="E9" s="19">
        <v>60590</v>
      </c>
      <c r="F9" s="19">
        <v>15164</v>
      </c>
      <c r="G9" s="19">
        <v>0</v>
      </c>
      <c r="H9" s="19">
        <v>0</v>
      </c>
      <c r="I9" s="19">
        <v>19554</v>
      </c>
      <c r="J9" s="19">
        <v>10</v>
      </c>
      <c r="K9" s="19">
        <f t="shared" si="0"/>
        <v>56190</v>
      </c>
      <c r="L9" s="19">
        <v>60268.307692307702</v>
      </c>
      <c r="M9" s="19">
        <v>24</v>
      </c>
      <c r="N9" s="20">
        <f t="shared" si="3"/>
        <v>73.933724423194889</v>
      </c>
      <c r="P9" s="6">
        <v>2217</v>
      </c>
      <c r="Q9" s="7">
        <f t="shared" si="1"/>
        <v>43373388</v>
      </c>
      <c r="R9" s="7">
        <f t="shared" si="2"/>
        <v>133614838.15384617</v>
      </c>
    </row>
    <row r="10" spans="1:27" ht="14.5" x14ac:dyDescent="0.35">
      <c r="A10" s="4" t="s">
        <v>28</v>
      </c>
      <c r="B10" s="19" t="s">
        <v>19</v>
      </c>
      <c r="C10" s="19" t="s">
        <v>20</v>
      </c>
      <c r="D10" s="19">
        <v>10</v>
      </c>
      <c r="E10" s="19">
        <v>17078</v>
      </c>
      <c r="F10" s="19">
        <v>3300</v>
      </c>
      <c r="G10" s="19">
        <v>0</v>
      </c>
      <c r="H10" s="19">
        <v>0</v>
      </c>
      <c r="I10" s="19">
        <v>18800</v>
      </c>
      <c r="J10" s="19">
        <v>27</v>
      </c>
      <c r="K10" s="19">
        <f t="shared" si="0"/>
        <v>1551</v>
      </c>
      <c r="L10" s="19">
        <v>8827</v>
      </c>
      <c r="M10" s="19">
        <v>24</v>
      </c>
      <c r="N10" s="20">
        <f t="shared" si="3"/>
        <v>11.252350347904605</v>
      </c>
      <c r="P10" s="6">
        <v>2131</v>
      </c>
      <c r="Q10" s="7">
        <f t="shared" si="1"/>
        <v>40120337</v>
      </c>
      <c r="R10" s="7">
        <f t="shared" si="2"/>
        <v>18810337</v>
      </c>
    </row>
    <row r="11" spans="1:27" ht="14.5" x14ac:dyDescent="0.35">
      <c r="A11" s="4" t="s">
        <v>29</v>
      </c>
      <c r="B11" s="19" t="s">
        <v>19</v>
      </c>
      <c r="C11" s="19" t="s">
        <v>20</v>
      </c>
      <c r="D11" s="19">
        <v>10</v>
      </c>
      <c r="E11" s="19">
        <v>1506</v>
      </c>
      <c r="F11" s="19">
        <v>1020</v>
      </c>
      <c r="G11" s="19">
        <v>0</v>
      </c>
      <c r="H11" s="19">
        <v>0</v>
      </c>
      <c r="I11" s="19">
        <v>225</v>
      </c>
      <c r="J11" s="19">
        <v>0</v>
      </c>
      <c r="K11" s="19">
        <f t="shared" si="0"/>
        <v>2301</v>
      </c>
      <c r="L11" s="19">
        <v>2077.6666666666702</v>
      </c>
      <c r="M11" s="19">
        <v>24</v>
      </c>
      <c r="N11" s="20">
        <f t="shared" si="3"/>
        <v>221.61777777777814</v>
      </c>
      <c r="P11" s="6">
        <v>2131</v>
      </c>
      <c r="Q11" s="7">
        <f t="shared" si="1"/>
        <v>479475</v>
      </c>
      <c r="R11" s="7">
        <f t="shared" si="2"/>
        <v>4427507.6666666744</v>
      </c>
    </row>
    <row r="12" spans="1:27" ht="14.5" x14ac:dyDescent="0.35">
      <c r="A12" s="4" t="s">
        <v>30</v>
      </c>
      <c r="B12" s="19" t="s">
        <v>22</v>
      </c>
      <c r="C12" s="19" t="s">
        <v>20</v>
      </c>
      <c r="D12" s="19">
        <v>10</v>
      </c>
      <c r="E12" s="19">
        <v>26455</v>
      </c>
      <c r="F12" s="19">
        <v>377575</v>
      </c>
      <c r="G12" s="19">
        <v>0</v>
      </c>
      <c r="H12" s="19">
        <v>0</v>
      </c>
      <c r="I12" s="19">
        <v>372050</v>
      </c>
      <c r="J12" s="19">
        <v>230</v>
      </c>
      <c r="K12" s="19">
        <f t="shared" si="0"/>
        <v>31750</v>
      </c>
      <c r="L12" s="19">
        <v>40810.347826087003</v>
      </c>
      <c r="M12" s="19">
        <v>24</v>
      </c>
      <c r="N12" s="20">
        <f t="shared" si="3"/>
        <v>2.6309453847267865</v>
      </c>
      <c r="P12" s="6">
        <v>1691</v>
      </c>
      <c r="Q12" s="7">
        <f t="shared" si="1"/>
        <v>629525480</v>
      </c>
      <c r="R12" s="7">
        <f t="shared" si="2"/>
        <v>69010298.173913121</v>
      </c>
    </row>
    <row r="13" spans="1:27" ht="14.5" x14ac:dyDescent="0.35">
      <c r="A13" s="4" t="s">
        <v>31</v>
      </c>
      <c r="B13" s="19" t="s">
        <v>19</v>
      </c>
      <c r="C13" s="19" t="s">
        <v>20</v>
      </c>
      <c r="D13" s="19">
        <v>10</v>
      </c>
      <c r="E13" s="19">
        <v>3780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f t="shared" si="0"/>
        <v>3780</v>
      </c>
      <c r="L13" s="19">
        <v>0</v>
      </c>
      <c r="M13" s="19">
        <v>24</v>
      </c>
      <c r="N13" s="20">
        <v>0</v>
      </c>
      <c r="P13" s="6">
        <v>1694</v>
      </c>
      <c r="Q13" s="7">
        <f t="shared" si="1"/>
        <v>0</v>
      </c>
      <c r="R13" s="7">
        <f t="shared" si="2"/>
        <v>0</v>
      </c>
    </row>
    <row r="14" spans="1:27" ht="14.5" x14ac:dyDescent="0.35">
      <c r="A14" s="4" t="s">
        <v>33</v>
      </c>
      <c r="B14" s="19" t="s">
        <v>22</v>
      </c>
      <c r="C14" s="19" t="s">
        <v>20</v>
      </c>
      <c r="D14" s="19">
        <v>10</v>
      </c>
      <c r="E14" s="19">
        <v>11122</v>
      </c>
      <c r="F14" s="19">
        <v>46988</v>
      </c>
      <c r="G14" s="19">
        <v>0</v>
      </c>
      <c r="H14" s="19">
        <v>0</v>
      </c>
      <c r="I14" s="19">
        <v>50525</v>
      </c>
      <c r="J14" s="19">
        <v>0</v>
      </c>
      <c r="K14" s="19">
        <f t="shared" si="0"/>
        <v>7585</v>
      </c>
      <c r="L14" s="19">
        <v>8701.9523809523816</v>
      </c>
      <c r="M14" s="19">
        <v>24</v>
      </c>
      <c r="N14" s="20">
        <f t="shared" ref="N14:N22" si="4">(L14/(I14+J14))*M14</f>
        <v>4.1335350250936598</v>
      </c>
      <c r="P14" s="6">
        <v>1890</v>
      </c>
      <c r="Q14" s="7">
        <f t="shared" si="1"/>
        <v>95492250</v>
      </c>
      <c r="R14" s="7">
        <f t="shared" si="2"/>
        <v>16446690.000000002</v>
      </c>
    </row>
    <row r="15" spans="1:27" ht="14.5" x14ac:dyDescent="0.35">
      <c r="A15" s="4" t="s">
        <v>34</v>
      </c>
      <c r="B15" s="19" t="s">
        <v>22</v>
      </c>
      <c r="C15" s="19" t="s">
        <v>20</v>
      </c>
      <c r="D15" s="19">
        <v>10</v>
      </c>
      <c r="E15" s="19">
        <v>16311</v>
      </c>
      <c r="F15" s="19">
        <v>332700</v>
      </c>
      <c r="G15" s="19">
        <v>0</v>
      </c>
      <c r="H15" s="19">
        <v>0</v>
      </c>
      <c r="I15" s="19">
        <v>335900</v>
      </c>
      <c r="J15" s="19">
        <v>200</v>
      </c>
      <c r="K15" s="19">
        <f t="shared" si="0"/>
        <v>12911</v>
      </c>
      <c r="L15" s="19">
        <v>41855.565217391297</v>
      </c>
      <c r="M15" s="19">
        <v>24</v>
      </c>
      <c r="N15" s="20">
        <f t="shared" si="4"/>
        <v>2.9887937078767961</v>
      </c>
      <c r="P15" s="6">
        <v>2216</v>
      </c>
      <c r="Q15" s="7">
        <f t="shared" si="1"/>
        <v>744797600</v>
      </c>
      <c r="R15" s="7">
        <f t="shared" si="2"/>
        <v>92751932.52173911</v>
      </c>
    </row>
    <row r="16" spans="1:27" ht="14.5" x14ac:dyDescent="0.35">
      <c r="A16" s="4" t="s">
        <v>35</v>
      </c>
      <c r="B16" s="19" t="s">
        <v>19</v>
      </c>
      <c r="C16" s="19" t="s">
        <v>20</v>
      </c>
      <c r="D16" s="19">
        <v>10</v>
      </c>
      <c r="E16" s="19">
        <v>54905</v>
      </c>
      <c r="F16" s="19">
        <v>260000</v>
      </c>
      <c r="G16" s="19">
        <v>0</v>
      </c>
      <c r="H16" s="19">
        <v>0</v>
      </c>
      <c r="I16" s="19">
        <v>8000</v>
      </c>
      <c r="J16" s="19">
        <v>253441</v>
      </c>
      <c r="K16" s="19">
        <f t="shared" si="0"/>
        <v>53464</v>
      </c>
      <c r="L16" s="19">
        <v>45514.565217391297</v>
      </c>
      <c r="M16" s="19">
        <v>24</v>
      </c>
      <c r="N16" s="20">
        <f t="shared" si="4"/>
        <v>4.1781876798872064</v>
      </c>
      <c r="P16" s="6">
        <v>2846</v>
      </c>
      <c r="Q16" s="7">
        <f t="shared" si="1"/>
        <v>744061086</v>
      </c>
      <c r="R16" s="7">
        <f t="shared" si="2"/>
        <v>129534452.60869563</v>
      </c>
    </row>
    <row r="17" spans="1:18" ht="14.5" x14ac:dyDescent="0.35">
      <c r="A17" s="4" t="s">
        <v>36</v>
      </c>
      <c r="B17" s="19" t="s">
        <v>22</v>
      </c>
      <c r="C17" s="19" t="s">
        <v>20</v>
      </c>
      <c r="D17" s="19">
        <v>10</v>
      </c>
      <c r="E17" s="19">
        <v>12798</v>
      </c>
      <c r="F17" s="19">
        <v>318750</v>
      </c>
      <c r="G17" s="19">
        <v>0</v>
      </c>
      <c r="H17" s="19">
        <v>0</v>
      </c>
      <c r="I17" s="19">
        <v>321190</v>
      </c>
      <c r="J17" s="19">
        <v>5</v>
      </c>
      <c r="K17" s="19">
        <f t="shared" si="0"/>
        <v>10353</v>
      </c>
      <c r="L17" s="19">
        <v>21541.8636363636</v>
      </c>
      <c r="M17" s="19">
        <v>24</v>
      </c>
      <c r="N17" s="20">
        <f t="shared" si="4"/>
        <v>1.6096288151208034</v>
      </c>
      <c r="P17" s="6">
        <v>2129</v>
      </c>
      <c r="Q17" s="7">
        <f t="shared" si="1"/>
        <v>683824155</v>
      </c>
      <c r="R17" s="7">
        <f t="shared" si="2"/>
        <v>45862627.681818105</v>
      </c>
    </row>
    <row r="18" spans="1:18" ht="14.5" x14ac:dyDescent="0.35">
      <c r="A18" s="4" t="s">
        <v>37</v>
      </c>
      <c r="B18" s="19" t="s">
        <v>19</v>
      </c>
      <c r="C18" s="19" t="s">
        <v>20</v>
      </c>
      <c r="D18" s="19">
        <v>10</v>
      </c>
      <c r="E18" s="19">
        <v>3025</v>
      </c>
      <c r="F18" s="19">
        <v>1575</v>
      </c>
      <c r="G18" s="19">
        <v>0</v>
      </c>
      <c r="H18" s="19">
        <v>0</v>
      </c>
      <c r="I18" s="19">
        <v>950</v>
      </c>
      <c r="J18" s="19">
        <v>0</v>
      </c>
      <c r="K18" s="19">
        <f t="shared" si="0"/>
        <v>3650</v>
      </c>
      <c r="L18" s="19">
        <v>3758.3333333333298</v>
      </c>
      <c r="M18" s="19">
        <v>24</v>
      </c>
      <c r="N18" s="20">
        <f t="shared" si="4"/>
        <v>94.947368421052545</v>
      </c>
      <c r="P18" s="6">
        <v>2129</v>
      </c>
      <c r="Q18" s="7">
        <f t="shared" si="1"/>
        <v>2022550</v>
      </c>
      <c r="R18" s="7">
        <f t="shared" si="2"/>
        <v>8001491.6666666595</v>
      </c>
    </row>
    <row r="19" spans="1:18" ht="14.5" x14ac:dyDescent="0.35">
      <c r="A19" s="4" t="s">
        <v>38</v>
      </c>
      <c r="B19" s="19" t="s">
        <v>22</v>
      </c>
      <c r="C19" s="19" t="s">
        <v>20</v>
      </c>
      <c r="D19" s="19">
        <v>10</v>
      </c>
      <c r="E19" s="19">
        <v>17574</v>
      </c>
      <c r="F19" s="19">
        <v>230800</v>
      </c>
      <c r="G19" s="19">
        <v>0</v>
      </c>
      <c r="H19" s="19">
        <v>0</v>
      </c>
      <c r="I19" s="19">
        <v>0</v>
      </c>
      <c r="J19" s="19">
        <v>212850</v>
      </c>
      <c r="K19" s="19">
        <f t="shared" si="0"/>
        <v>35524</v>
      </c>
      <c r="L19" s="19">
        <v>52883.136363636404</v>
      </c>
      <c r="M19" s="19">
        <v>24</v>
      </c>
      <c r="N19" s="20">
        <f t="shared" si="4"/>
        <v>5.9628624511499826</v>
      </c>
      <c r="P19" s="6">
        <v>2263</v>
      </c>
      <c r="Q19" s="7">
        <f t="shared" si="1"/>
        <v>481679550</v>
      </c>
      <c r="R19" s="7">
        <f t="shared" si="2"/>
        <v>119674537.59090918</v>
      </c>
    </row>
    <row r="20" spans="1:18" ht="14.5" x14ac:dyDescent="0.35">
      <c r="A20" s="4" t="s">
        <v>39</v>
      </c>
      <c r="B20" s="19" t="s">
        <v>19</v>
      </c>
      <c r="C20" s="19" t="s">
        <v>20</v>
      </c>
      <c r="D20" s="19">
        <v>10</v>
      </c>
      <c r="E20" s="19">
        <v>28774</v>
      </c>
      <c r="F20" s="19">
        <v>34163</v>
      </c>
      <c r="G20" s="19">
        <v>0</v>
      </c>
      <c r="H20" s="19">
        <v>0</v>
      </c>
      <c r="I20" s="19">
        <v>0</v>
      </c>
      <c r="J20" s="19">
        <v>31393</v>
      </c>
      <c r="K20" s="19">
        <f t="shared" si="0"/>
        <v>31544</v>
      </c>
      <c r="L20" s="19">
        <v>39457.071428571398</v>
      </c>
      <c r="M20" s="19">
        <v>24</v>
      </c>
      <c r="N20" s="20">
        <f t="shared" si="4"/>
        <v>30.164995836196397</v>
      </c>
      <c r="P20" s="6">
        <v>2263</v>
      </c>
      <c r="Q20" s="7">
        <f t="shared" si="1"/>
        <v>71042359</v>
      </c>
      <c r="R20" s="7">
        <f t="shared" si="2"/>
        <v>89291352.642857075</v>
      </c>
    </row>
    <row r="21" spans="1:18" ht="15.75" customHeight="1" x14ac:dyDescent="0.35">
      <c r="A21" s="4" t="s">
        <v>40</v>
      </c>
      <c r="B21" s="19" t="s">
        <v>19</v>
      </c>
      <c r="C21" s="19" t="s">
        <v>20</v>
      </c>
      <c r="D21" s="19">
        <v>10</v>
      </c>
      <c r="E21" s="19">
        <v>3196</v>
      </c>
      <c r="F21" s="19">
        <v>5000</v>
      </c>
      <c r="G21" s="19">
        <v>0</v>
      </c>
      <c r="H21" s="19">
        <v>0</v>
      </c>
      <c r="I21" s="19">
        <v>0</v>
      </c>
      <c r="J21" s="19">
        <v>6200</v>
      </c>
      <c r="K21" s="19">
        <f t="shared" si="0"/>
        <v>1996</v>
      </c>
      <c r="L21" s="19">
        <v>3018.2222222222204</v>
      </c>
      <c r="M21" s="19">
        <v>24</v>
      </c>
      <c r="N21" s="20">
        <f t="shared" si="4"/>
        <v>11.683440860215047</v>
      </c>
      <c r="P21" s="6">
        <v>2732</v>
      </c>
      <c r="Q21" s="7">
        <f t="shared" si="1"/>
        <v>16938400</v>
      </c>
      <c r="R21" s="7">
        <f t="shared" si="2"/>
        <v>8245783.1111111064</v>
      </c>
    </row>
    <row r="22" spans="1:18" ht="15.75" customHeight="1" x14ac:dyDescent="0.35">
      <c r="A22" s="4" t="s">
        <v>41</v>
      </c>
      <c r="B22" s="19" t="s">
        <v>19</v>
      </c>
      <c r="C22" s="19" t="s">
        <v>20</v>
      </c>
      <c r="D22" s="19">
        <v>10</v>
      </c>
      <c r="E22" s="19">
        <v>24730</v>
      </c>
      <c r="F22" s="19">
        <v>9625</v>
      </c>
      <c r="G22" s="19">
        <v>0</v>
      </c>
      <c r="H22" s="19">
        <v>0</v>
      </c>
      <c r="I22" s="19">
        <v>0</v>
      </c>
      <c r="J22" s="19">
        <v>13475</v>
      </c>
      <c r="K22" s="19">
        <f t="shared" si="0"/>
        <v>20880</v>
      </c>
      <c r="L22" s="19">
        <v>27135.555555555598</v>
      </c>
      <c r="M22" s="19">
        <v>24</v>
      </c>
      <c r="N22" s="20">
        <f t="shared" si="4"/>
        <v>48.330488559060065</v>
      </c>
      <c r="P22" s="6">
        <v>2962</v>
      </c>
      <c r="Q22" s="7">
        <f t="shared" si="1"/>
        <v>39912950</v>
      </c>
      <c r="R22" s="7">
        <f t="shared" si="2"/>
        <v>80375515.555555686</v>
      </c>
    </row>
    <row r="23" spans="1:18" ht="15.75" customHeight="1" x14ac:dyDescent="0.35">
      <c r="A23" s="4" t="s">
        <v>42</v>
      </c>
      <c r="B23" s="19" t="s">
        <v>19</v>
      </c>
      <c r="C23" s="19" t="s">
        <v>20</v>
      </c>
      <c r="D23" s="19">
        <v>10</v>
      </c>
      <c r="E23" s="19">
        <v>124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f t="shared" si="0"/>
        <v>124</v>
      </c>
      <c r="L23" s="19">
        <v>0</v>
      </c>
      <c r="M23" s="19">
        <v>24</v>
      </c>
      <c r="N23" s="20">
        <v>0</v>
      </c>
      <c r="P23" s="6">
        <v>2263</v>
      </c>
      <c r="Q23" s="7">
        <f t="shared" si="1"/>
        <v>0</v>
      </c>
      <c r="R23" s="7">
        <f t="shared" si="2"/>
        <v>0</v>
      </c>
    </row>
    <row r="24" spans="1:18" ht="15.75" customHeight="1" x14ac:dyDescent="0.35">
      <c r="A24" s="4" t="s">
        <v>43</v>
      </c>
      <c r="B24" s="19" t="s">
        <v>19</v>
      </c>
      <c r="C24" s="19" t="s">
        <v>20</v>
      </c>
      <c r="D24" s="19">
        <v>10</v>
      </c>
      <c r="E24" s="19">
        <v>770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f t="shared" si="0"/>
        <v>770</v>
      </c>
      <c r="L24" s="19">
        <v>0</v>
      </c>
      <c r="M24" s="19">
        <v>24</v>
      </c>
      <c r="N24" s="20">
        <v>0</v>
      </c>
      <c r="P24" s="6">
        <v>2263</v>
      </c>
      <c r="Q24" s="7">
        <f t="shared" si="1"/>
        <v>0</v>
      </c>
      <c r="R24" s="7">
        <f t="shared" si="2"/>
        <v>0</v>
      </c>
    </row>
    <row r="25" spans="1:18" ht="15.75" customHeight="1" x14ac:dyDescent="0.35">
      <c r="A25" s="4" t="s">
        <v>44</v>
      </c>
      <c r="B25" s="19" t="s">
        <v>19</v>
      </c>
      <c r="C25" s="19" t="s">
        <v>20</v>
      </c>
      <c r="D25" s="19">
        <v>10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f t="shared" si="0"/>
        <v>0</v>
      </c>
      <c r="L25" s="19">
        <v>0</v>
      </c>
      <c r="M25" s="19">
        <v>24</v>
      </c>
      <c r="N25" s="20">
        <v>0</v>
      </c>
      <c r="P25" s="6">
        <v>2268</v>
      </c>
      <c r="Q25" s="7">
        <f t="shared" si="1"/>
        <v>0</v>
      </c>
      <c r="R25" s="7">
        <f t="shared" si="2"/>
        <v>0</v>
      </c>
    </row>
    <row r="26" spans="1:18" ht="15.75" customHeight="1" x14ac:dyDescent="0.35">
      <c r="A26" s="4" t="s">
        <v>171</v>
      </c>
      <c r="B26" s="19" t="s">
        <v>22</v>
      </c>
      <c r="C26" s="19" t="s">
        <v>20</v>
      </c>
      <c r="D26" s="19">
        <v>10</v>
      </c>
      <c r="E26" s="19">
        <v>26255</v>
      </c>
      <c r="F26" s="19">
        <v>70700</v>
      </c>
      <c r="G26" s="19">
        <v>0</v>
      </c>
      <c r="H26" s="19">
        <v>0</v>
      </c>
      <c r="I26" s="19">
        <v>84450</v>
      </c>
      <c r="J26" s="19">
        <v>0</v>
      </c>
      <c r="K26" s="19">
        <f t="shared" si="0"/>
        <v>12505</v>
      </c>
      <c r="L26" s="19">
        <v>23891.7647058824</v>
      </c>
      <c r="M26" s="19">
        <v>24</v>
      </c>
      <c r="N26" s="20">
        <f t="shared" ref="N26:N29" si="5">(L26/(I26+J26))*M26</f>
        <v>6.7898443213875384</v>
      </c>
      <c r="P26" s="6">
        <v>2268</v>
      </c>
      <c r="Q26" s="7">
        <f t="shared" si="1"/>
        <v>191532600</v>
      </c>
      <c r="R26" s="7">
        <f t="shared" si="2"/>
        <v>54186522.352941282</v>
      </c>
    </row>
    <row r="27" spans="1:18" ht="15.75" customHeight="1" x14ac:dyDescent="0.35">
      <c r="A27" s="4" t="s">
        <v>45</v>
      </c>
      <c r="B27" s="19" t="s">
        <v>19</v>
      </c>
      <c r="C27" s="19" t="s">
        <v>20</v>
      </c>
      <c r="D27" s="19">
        <v>10</v>
      </c>
      <c r="E27" s="19">
        <v>4936</v>
      </c>
      <c r="F27" s="19">
        <v>4714</v>
      </c>
      <c r="G27" s="19">
        <v>0</v>
      </c>
      <c r="H27" s="19">
        <v>0</v>
      </c>
      <c r="I27" s="19">
        <v>7158</v>
      </c>
      <c r="J27" s="19">
        <v>0</v>
      </c>
      <c r="K27" s="19">
        <f t="shared" si="0"/>
        <v>2492</v>
      </c>
      <c r="L27" s="19">
        <v>4852.4000000000005</v>
      </c>
      <c r="M27" s="19">
        <v>24</v>
      </c>
      <c r="N27" s="20">
        <f t="shared" si="5"/>
        <v>16.269572506286675</v>
      </c>
      <c r="P27" s="6">
        <v>1956</v>
      </c>
      <c r="Q27" s="7">
        <f t="shared" si="1"/>
        <v>14001048</v>
      </c>
      <c r="R27" s="7">
        <f t="shared" si="2"/>
        <v>9491294.4000000004</v>
      </c>
    </row>
    <row r="28" spans="1:18" ht="15.75" customHeight="1" x14ac:dyDescent="0.35">
      <c r="A28" s="4" t="s">
        <v>46</v>
      </c>
      <c r="B28" s="19" t="s">
        <v>22</v>
      </c>
      <c r="C28" s="19" t="s">
        <v>20</v>
      </c>
      <c r="D28" s="19">
        <v>10</v>
      </c>
      <c r="E28" s="19">
        <v>34885</v>
      </c>
      <c r="F28" s="19">
        <v>268500</v>
      </c>
      <c r="G28" s="19">
        <v>0</v>
      </c>
      <c r="H28" s="19">
        <v>0</v>
      </c>
      <c r="I28" s="19">
        <v>0</v>
      </c>
      <c r="J28" s="19">
        <v>270000</v>
      </c>
      <c r="K28" s="19">
        <f t="shared" si="0"/>
        <v>33385</v>
      </c>
      <c r="L28" s="19">
        <v>30370.869565217399</v>
      </c>
      <c r="M28" s="19">
        <v>24</v>
      </c>
      <c r="N28" s="20">
        <f t="shared" si="5"/>
        <v>2.6996328502415468</v>
      </c>
      <c r="P28" s="6">
        <v>2031</v>
      </c>
      <c r="Q28" s="7">
        <f t="shared" si="1"/>
        <v>548370000</v>
      </c>
      <c r="R28" s="7">
        <f t="shared" si="2"/>
        <v>61683236.086956538</v>
      </c>
    </row>
    <row r="29" spans="1:18" ht="15.75" customHeight="1" x14ac:dyDescent="0.35">
      <c r="A29" s="4" t="s">
        <v>48</v>
      </c>
      <c r="B29" s="19" t="s">
        <v>19</v>
      </c>
      <c r="C29" s="19" t="s">
        <v>20</v>
      </c>
      <c r="D29" s="19">
        <v>10</v>
      </c>
      <c r="E29" s="19">
        <v>3033</v>
      </c>
      <c r="F29" s="19">
        <v>0</v>
      </c>
      <c r="G29" s="19">
        <v>0</v>
      </c>
      <c r="H29" s="19">
        <v>0</v>
      </c>
      <c r="I29" s="19">
        <v>150</v>
      </c>
      <c r="J29" s="19">
        <v>0</v>
      </c>
      <c r="K29" s="19">
        <f t="shared" si="0"/>
        <v>2883</v>
      </c>
      <c r="L29" s="19">
        <v>2883</v>
      </c>
      <c r="M29" s="19">
        <v>24</v>
      </c>
      <c r="N29" s="20">
        <f t="shared" si="5"/>
        <v>461.28</v>
      </c>
      <c r="P29" s="6">
        <v>2179</v>
      </c>
      <c r="Q29" s="7">
        <f t="shared" si="1"/>
        <v>326850</v>
      </c>
      <c r="R29" s="7">
        <f t="shared" si="2"/>
        <v>6282057</v>
      </c>
    </row>
    <row r="30" spans="1:18" ht="15.75" customHeight="1" x14ac:dyDescent="0.35">
      <c r="A30" s="4" t="s">
        <v>49</v>
      </c>
      <c r="B30" s="19" t="s">
        <v>19</v>
      </c>
      <c r="C30" s="19" t="s">
        <v>20</v>
      </c>
      <c r="D30" s="19">
        <v>10</v>
      </c>
      <c r="E30" s="19">
        <v>1495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f t="shared" si="0"/>
        <v>1495</v>
      </c>
      <c r="L30" s="19">
        <v>0</v>
      </c>
      <c r="M30" s="19">
        <v>24</v>
      </c>
      <c r="N30" s="20">
        <v>0</v>
      </c>
      <c r="P30" s="6">
        <v>2179</v>
      </c>
      <c r="Q30" s="7">
        <f t="shared" si="1"/>
        <v>0</v>
      </c>
      <c r="R30" s="7">
        <f t="shared" si="2"/>
        <v>0</v>
      </c>
    </row>
    <row r="31" spans="1:18" ht="15.75" customHeight="1" x14ac:dyDescent="0.35">
      <c r="A31" s="4" t="s">
        <v>47</v>
      </c>
      <c r="B31" s="19" t="s">
        <v>19</v>
      </c>
      <c r="C31" s="19" t="s">
        <v>20</v>
      </c>
      <c r="D31" s="19">
        <v>10</v>
      </c>
      <c r="E31" s="19">
        <v>2240</v>
      </c>
      <c r="F31" s="19">
        <v>0</v>
      </c>
      <c r="G31" s="19">
        <v>0</v>
      </c>
      <c r="H31" s="19">
        <v>0</v>
      </c>
      <c r="I31" s="19">
        <v>175</v>
      </c>
      <c r="J31" s="19">
        <v>0</v>
      </c>
      <c r="K31" s="19">
        <f t="shared" si="0"/>
        <v>2065</v>
      </c>
      <c r="L31" s="19">
        <v>2090</v>
      </c>
      <c r="M31" s="19">
        <v>24</v>
      </c>
      <c r="N31" s="20">
        <f t="shared" ref="N31:N34" si="6">(L31/(I31+J31))*M31</f>
        <v>286.62857142857143</v>
      </c>
      <c r="P31" s="6">
        <v>2179</v>
      </c>
      <c r="Q31" s="7">
        <f t="shared" si="1"/>
        <v>381325</v>
      </c>
      <c r="R31" s="7">
        <f t="shared" si="2"/>
        <v>4554110</v>
      </c>
    </row>
    <row r="32" spans="1:18" ht="15.75" customHeight="1" x14ac:dyDescent="0.35">
      <c r="A32" s="4" t="s">
        <v>50</v>
      </c>
      <c r="B32" s="19" t="s">
        <v>22</v>
      </c>
      <c r="C32" s="19" t="s">
        <v>20</v>
      </c>
      <c r="D32" s="19">
        <v>10</v>
      </c>
      <c r="E32" s="19">
        <v>12133</v>
      </c>
      <c r="F32" s="19">
        <v>103750</v>
      </c>
      <c r="G32" s="19">
        <v>0</v>
      </c>
      <c r="H32" s="19">
        <v>0</v>
      </c>
      <c r="I32" s="19">
        <v>109940</v>
      </c>
      <c r="J32" s="19">
        <v>65</v>
      </c>
      <c r="K32" s="19">
        <f t="shared" si="0"/>
        <v>5878</v>
      </c>
      <c r="L32" s="19">
        <v>13191.695652173901</v>
      </c>
      <c r="M32" s="19">
        <v>24</v>
      </c>
      <c r="N32" s="20">
        <f t="shared" si="6"/>
        <v>2.8780573215051461</v>
      </c>
      <c r="P32" s="6">
        <v>2179</v>
      </c>
      <c r="Q32" s="7">
        <f t="shared" si="1"/>
        <v>239700895</v>
      </c>
      <c r="R32" s="7">
        <f t="shared" si="2"/>
        <v>28744704.826086931</v>
      </c>
    </row>
    <row r="33" spans="1:18" ht="15.75" customHeight="1" x14ac:dyDescent="0.35">
      <c r="A33" s="4" t="s">
        <v>172</v>
      </c>
      <c r="B33" s="19" t="s">
        <v>19</v>
      </c>
      <c r="C33" s="19" t="s">
        <v>20</v>
      </c>
      <c r="D33" s="19">
        <v>10</v>
      </c>
      <c r="E33" s="19">
        <v>2175</v>
      </c>
      <c r="F33" s="19">
        <v>0</v>
      </c>
      <c r="G33" s="19">
        <v>0</v>
      </c>
      <c r="H33" s="19">
        <v>0</v>
      </c>
      <c r="I33" s="19">
        <v>1400</v>
      </c>
      <c r="J33" s="19">
        <v>0</v>
      </c>
      <c r="K33" s="19">
        <f t="shared" si="0"/>
        <v>775</v>
      </c>
      <c r="L33" s="19">
        <v>1075</v>
      </c>
      <c r="M33" s="19">
        <v>24</v>
      </c>
      <c r="N33" s="20">
        <f t="shared" si="6"/>
        <v>18.428571428571431</v>
      </c>
      <c r="P33" s="6">
        <v>3145</v>
      </c>
      <c r="Q33" s="7">
        <f t="shared" si="1"/>
        <v>4403000</v>
      </c>
      <c r="R33" s="7">
        <f t="shared" si="2"/>
        <v>3380875</v>
      </c>
    </row>
    <row r="34" spans="1:18" ht="15.75" customHeight="1" x14ac:dyDescent="0.35">
      <c r="A34" s="4" t="s">
        <v>51</v>
      </c>
      <c r="B34" s="19" t="s">
        <v>19</v>
      </c>
      <c r="C34" s="19" t="s">
        <v>20</v>
      </c>
      <c r="D34" s="19">
        <v>10</v>
      </c>
      <c r="E34" s="19">
        <v>18892</v>
      </c>
      <c r="F34" s="19">
        <v>29441</v>
      </c>
      <c r="G34" s="19">
        <v>0</v>
      </c>
      <c r="H34" s="19">
        <v>0</v>
      </c>
      <c r="I34" s="19">
        <v>19850</v>
      </c>
      <c r="J34" s="19">
        <v>0</v>
      </c>
      <c r="K34" s="19">
        <f t="shared" si="0"/>
        <v>28483</v>
      </c>
      <c r="L34" s="19">
        <v>27041.625</v>
      </c>
      <c r="M34" s="19">
        <v>24</v>
      </c>
      <c r="N34" s="20">
        <f t="shared" si="6"/>
        <v>32.695163727959695</v>
      </c>
      <c r="P34" s="6">
        <v>2179</v>
      </c>
      <c r="Q34" s="7">
        <f t="shared" si="1"/>
        <v>43253150</v>
      </c>
      <c r="R34" s="7">
        <f t="shared" si="2"/>
        <v>58923700.875</v>
      </c>
    </row>
    <row r="35" spans="1:18" ht="15.75" customHeight="1" x14ac:dyDescent="0.35">
      <c r="A35" s="4" t="s">
        <v>52</v>
      </c>
      <c r="B35" s="19" t="s">
        <v>19</v>
      </c>
      <c r="C35" s="19" t="s">
        <v>20</v>
      </c>
      <c r="D35" s="19">
        <v>10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f t="shared" si="0"/>
        <v>0</v>
      </c>
      <c r="L35" s="19">
        <v>0</v>
      </c>
      <c r="M35" s="19">
        <v>24</v>
      </c>
      <c r="N35" s="20">
        <v>0</v>
      </c>
      <c r="P35" s="6">
        <v>2268</v>
      </c>
      <c r="Q35" s="7">
        <f t="shared" si="1"/>
        <v>0</v>
      </c>
      <c r="R35" s="7">
        <f t="shared" si="2"/>
        <v>0</v>
      </c>
    </row>
    <row r="36" spans="1:18" ht="15.75" customHeight="1" x14ac:dyDescent="0.35">
      <c r="A36" s="4" t="s">
        <v>173</v>
      </c>
      <c r="B36" s="19" t="s">
        <v>19</v>
      </c>
      <c r="C36" s="19" t="s">
        <v>20</v>
      </c>
      <c r="D36" s="19">
        <v>10</v>
      </c>
      <c r="E36" s="19">
        <v>13750</v>
      </c>
      <c r="F36" s="19">
        <v>50000</v>
      </c>
      <c r="G36" s="19">
        <v>0</v>
      </c>
      <c r="H36" s="19">
        <v>0</v>
      </c>
      <c r="I36" s="19">
        <v>50000</v>
      </c>
      <c r="J36" s="19">
        <v>0</v>
      </c>
      <c r="K36" s="19">
        <f t="shared" si="0"/>
        <v>13750</v>
      </c>
      <c r="L36" s="19">
        <v>12333.333333333299</v>
      </c>
      <c r="M36" s="19">
        <v>24</v>
      </c>
      <c r="N36" s="20">
        <f>(L36/(I36+J36))*M36</f>
        <v>5.9199999999999839</v>
      </c>
      <c r="P36" s="6">
        <v>2268</v>
      </c>
      <c r="Q36" s="7">
        <f t="shared" si="1"/>
        <v>113400000</v>
      </c>
      <c r="R36" s="7">
        <f t="shared" si="2"/>
        <v>27971999.999999922</v>
      </c>
    </row>
    <row r="37" spans="1:18" ht="15.75" customHeight="1" x14ac:dyDescent="0.35">
      <c r="A37" s="4" t="s">
        <v>53</v>
      </c>
      <c r="B37" s="19" t="s">
        <v>19</v>
      </c>
      <c r="C37" s="19" t="s">
        <v>20</v>
      </c>
      <c r="D37" s="19">
        <v>10</v>
      </c>
      <c r="E37" s="19">
        <v>71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f t="shared" si="0"/>
        <v>71</v>
      </c>
      <c r="L37" s="19">
        <v>0</v>
      </c>
      <c r="M37" s="19">
        <v>24</v>
      </c>
      <c r="N37" s="20">
        <v>0</v>
      </c>
      <c r="P37" s="6">
        <v>1956</v>
      </c>
      <c r="Q37" s="7">
        <f t="shared" si="1"/>
        <v>0</v>
      </c>
      <c r="R37" s="7">
        <f t="shared" si="2"/>
        <v>0</v>
      </c>
    </row>
    <row r="38" spans="1:18" ht="15.75" customHeight="1" x14ac:dyDescent="0.35">
      <c r="A38" s="4" t="s">
        <v>54</v>
      </c>
      <c r="B38" s="19" t="s">
        <v>19</v>
      </c>
      <c r="C38" s="19" t="s">
        <v>20</v>
      </c>
      <c r="D38" s="19">
        <v>10</v>
      </c>
      <c r="E38" s="19">
        <v>85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f t="shared" si="0"/>
        <v>85</v>
      </c>
      <c r="L38" s="19">
        <v>0</v>
      </c>
      <c r="M38" s="19">
        <v>24</v>
      </c>
      <c r="N38" s="20">
        <v>0</v>
      </c>
      <c r="P38" s="6">
        <v>2218</v>
      </c>
      <c r="Q38" s="7">
        <f t="shared" si="1"/>
        <v>0</v>
      </c>
      <c r="R38" s="7">
        <f t="shared" si="2"/>
        <v>0</v>
      </c>
    </row>
    <row r="39" spans="1:18" ht="15.75" customHeight="1" x14ac:dyDescent="0.35">
      <c r="A39" s="4" t="s">
        <v>174</v>
      </c>
      <c r="B39" s="19" t="s">
        <v>19</v>
      </c>
      <c r="C39" s="19" t="s">
        <v>20</v>
      </c>
      <c r="D39" s="19">
        <v>10</v>
      </c>
      <c r="E39" s="19">
        <v>10525</v>
      </c>
      <c r="F39" s="19">
        <v>7250</v>
      </c>
      <c r="G39" s="19">
        <v>0</v>
      </c>
      <c r="H39" s="19">
        <v>0</v>
      </c>
      <c r="I39" s="19">
        <v>10125</v>
      </c>
      <c r="J39" s="19">
        <v>0</v>
      </c>
      <c r="K39" s="19">
        <f t="shared" si="0"/>
        <v>7650</v>
      </c>
      <c r="L39" s="19">
        <v>6604.1666666666697</v>
      </c>
      <c r="M39" s="19">
        <v>24</v>
      </c>
      <c r="N39" s="20">
        <f>(L39/(I39+J39))*M39</f>
        <v>15.654320987654328</v>
      </c>
      <c r="P39" s="6">
        <v>2218</v>
      </c>
      <c r="Q39" s="7">
        <f t="shared" si="1"/>
        <v>22457250</v>
      </c>
      <c r="R39" s="7">
        <f t="shared" si="2"/>
        <v>14648041.666666673</v>
      </c>
    </row>
    <row r="40" spans="1:18" ht="15.75" customHeight="1" x14ac:dyDescent="0.35">
      <c r="A40" s="4" t="s">
        <v>55</v>
      </c>
      <c r="B40" s="19" t="s">
        <v>19</v>
      </c>
      <c r="C40" s="19" t="s">
        <v>20</v>
      </c>
      <c r="D40" s="19">
        <v>10</v>
      </c>
      <c r="E40" s="19">
        <v>88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f t="shared" si="0"/>
        <v>88</v>
      </c>
      <c r="L40" s="19">
        <v>0</v>
      </c>
      <c r="M40" s="19">
        <v>24</v>
      </c>
      <c r="N40" s="20">
        <v>0</v>
      </c>
      <c r="P40" s="6">
        <v>2218</v>
      </c>
      <c r="Q40" s="7">
        <f t="shared" si="1"/>
        <v>0</v>
      </c>
      <c r="R40" s="7">
        <f t="shared" si="2"/>
        <v>0</v>
      </c>
    </row>
    <row r="41" spans="1:18" ht="15.75" customHeight="1" x14ac:dyDescent="0.35">
      <c r="A41" s="4" t="s">
        <v>57</v>
      </c>
      <c r="B41" s="19" t="s">
        <v>22</v>
      </c>
      <c r="C41" s="19" t="s">
        <v>20</v>
      </c>
      <c r="D41" s="19">
        <v>10</v>
      </c>
      <c r="E41" s="19">
        <v>10852</v>
      </c>
      <c r="F41" s="19">
        <v>80800</v>
      </c>
      <c r="G41" s="19">
        <v>0</v>
      </c>
      <c r="H41" s="19">
        <v>0</v>
      </c>
      <c r="I41" s="19">
        <v>49745</v>
      </c>
      <c r="J41" s="19">
        <v>22806</v>
      </c>
      <c r="K41" s="19">
        <f t="shared" si="0"/>
        <v>19101</v>
      </c>
      <c r="L41" s="19">
        <v>17918.631578947399</v>
      </c>
      <c r="M41" s="19">
        <v>24</v>
      </c>
      <c r="N41" s="20">
        <f t="shared" ref="N41:N49" si="7">(L41/(I41+J41))*M41</f>
        <v>5.9275152361061538</v>
      </c>
      <c r="P41" s="6">
        <v>2245</v>
      </c>
      <c r="Q41" s="7">
        <f t="shared" si="1"/>
        <v>162876995</v>
      </c>
      <c r="R41" s="7">
        <f t="shared" si="2"/>
        <v>40227327.894736908</v>
      </c>
    </row>
    <row r="42" spans="1:18" ht="15.75" customHeight="1" x14ac:dyDescent="0.35">
      <c r="A42" s="4" t="s">
        <v>58</v>
      </c>
      <c r="B42" s="19" t="s">
        <v>22</v>
      </c>
      <c r="C42" s="19" t="s">
        <v>20</v>
      </c>
      <c r="D42" s="19">
        <v>10</v>
      </c>
      <c r="E42" s="19">
        <v>11960</v>
      </c>
      <c r="F42" s="19">
        <v>199050</v>
      </c>
      <c r="G42" s="19">
        <v>0</v>
      </c>
      <c r="H42" s="19">
        <v>0</v>
      </c>
      <c r="I42" s="19">
        <v>0</v>
      </c>
      <c r="J42" s="19">
        <v>189896</v>
      </c>
      <c r="K42" s="19">
        <f t="shared" si="0"/>
        <v>21114</v>
      </c>
      <c r="L42" s="19">
        <v>20641.090909090901</v>
      </c>
      <c r="M42" s="19">
        <v>24</v>
      </c>
      <c r="N42" s="20">
        <f t="shared" si="7"/>
        <v>2.6087236267124196</v>
      </c>
      <c r="P42" s="6">
        <v>1419</v>
      </c>
      <c r="Q42" s="7">
        <f t="shared" si="1"/>
        <v>269462424</v>
      </c>
      <c r="R42" s="7">
        <f t="shared" si="2"/>
        <v>29289707.999999989</v>
      </c>
    </row>
    <row r="43" spans="1:18" ht="15.75" customHeight="1" x14ac:dyDescent="0.35">
      <c r="A43" s="4" t="s">
        <v>59</v>
      </c>
      <c r="B43" s="19" t="s">
        <v>19</v>
      </c>
      <c r="C43" s="19" t="s">
        <v>20</v>
      </c>
      <c r="D43" s="19">
        <v>10</v>
      </c>
      <c r="E43" s="19">
        <v>995</v>
      </c>
      <c r="F43" s="19">
        <v>3099</v>
      </c>
      <c r="G43" s="19">
        <v>0</v>
      </c>
      <c r="H43" s="19">
        <v>0</v>
      </c>
      <c r="I43" s="19">
        <v>0</v>
      </c>
      <c r="J43" s="19">
        <v>3099</v>
      </c>
      <c r="K43" s="19">
        <f t="shared" si="0"/>
        <v>995</v>
      </c>
      <c r="L43" s="19">
        <v>1447.5</v>
      </c>
      <c r="M43" s="19">
        <v>24</v>
      </c>
      <c r="N43" s="20">
        <f t="shared" si="7"/>
        <v>11.210067763794772</v>
      </c>
      <c r="P43" s="6">
        <v>2765</v>
      </c>
      <c r="Q43" s="7">
        <f t="shared" si="1"/>
        <v>8568735</v>
      </c>
      <c r="R43" s="7">
        <f t="shared" si="2"/>
        <v>4002337.5</v>
      </c>
    </row>
    <row r="44" spans="1:18" ht="15.75" customHeight="1" x14ac:dyDescent="0.35">
      <c r="A44" s="4" t="s">
        <v>60</v>
      </c>
      <c r="B44" s="19" t="s">
        <v>19</v>
      </c>
      <c r="C44" s="19" t="s">
        <v>20</v>
      </c>
      <c r="D44" s="19">
        <v>10</v>
      </c>
      <c r="E44" s="19">
        <v>13410</v>
      </c>
      <c r="F44" s="19">
        <v>13189</v>
      </c>
      <c r="G44" s="19">
        <v>0</v>
      </c>
      <c r="H44" s="19">
        <v>0</v>
      </c>
      <c r="I44" s="19">
        <v>0</v>
      </c>
      <c r="J44" s="19">
        <v>16629</v>
      </c>
      <c r="K44" s="19">
        <f t="shared" si="0"/>
        <v>9970</v>
      </c>
      <c r="L44" s="19">
        <v>12296.8125</v>
      </c>
      <c r="M44" s="19">
        <v>24</v>
      </c>
      <c r="N44" s="20">
        <f t="shared" si="7"/>
        <v>17.747519393830057</v>
      </c>
      <c r="P44" s="6">
        <v>4592</v>
      </c>
      <c r="Q44" s="7">
        <f t="shared" si="1"/>
        <v>76360368</v>
      </c>
      <c r="R44" s="7">
        <f t="shared" si="2"/>
        <v>56466963</v>
      </c>
    </row>
    <row r="45" spans="1:18" ht="15.75" customHeight="1" x14ac:dyDescent="0.35">
      <c r="A45" s="4" t="s">
        <v>61</v>
      </c>
      <c r="B45" s="19" t="s">
        <v>19</v>
      </c>
      <c r="C45" s="19" t="s">
        <v>20</v>
      </c>
      <c r="D45" s="19">
        <v>10</v>
      </c>
      <c r="E45" s="19">
        <v>11255</v>
      </c>
      <c r="F45" s="19">
        <v>34701</v>
      </c>
      <c r="G45" s="19">
        <v>0</v>
      </c>
      <c r="H45" s="19">
        <v>0</v>
      </c>
      <c r="I45" s="19">
        <v>0</v>
      </c>
      <c r="J45" s="19">
        <v>18325</v>
      </c>
      <c r="K45" s="19">
        <f t="shared" si="0"/>
        <v>27631</v>
      </c>
      <c r="L45" s="19">
        <v>23936.3636363636</v>
      </c>
      <c r="M45" s="19">
        <v>24</v>
      </c>
      <c r="N45" s="20">
        <f t="shared" si="7"/>
        <v>31.349125635619444</v>
      </c>
      <c r="P45" s="6">
        <v>2297</v>
      </c>
      <c r="Q45" s="7">
        <f t="shared" si="1"/>
        <v>42092525</v>
      </c>
      <c r="R45" s="7">
        <f t="shared" si="2"/>
        <v>54981827.272727191</v>
      </c>
    </row>
    <row r="46" spans="1:18" ht="15.75" customHeight="1" x14ac:dyDescent="0.35">
      <c r="A46" s="4" t="s">
        <v>62</v>
      </c>
      <c r="B46" s="19" t="s">
        <v>19</v>
      </c>
      <c r="C46" s="19" t="s">
        <v>20</v>
      </c>
      <c r="D46" s="19">
        <v>10</v>
      </c>
      <c r="E46" s="19">
        <v>2554</v>
      </c>
      <c r="F46" s="19">
        <v>0</v>
      </c>
      <c r="G46" s="19">
        <v>0</v>
      </c>
      <c r="H46" s="19">
        <v>0</v>
      </c>
      <c r="I46" s="19">
        <v>0</v>
      </c>
      <c r="J46" s="19">
        <v>1525</v>
      </c>
      <c r="K46" s="19">
        <f t="shared" si="0"/>
        <v>1029</v>
      </c>
      <c r="L46" s="19">
        <v>1779</v>
      </c>
      <c r="M46" s="19">
        <v>24</v>
      </c>
      <c r="N46" s="20">
        <f t="shared" si="7"/>
        <v>27.997377049180329</v>
      </c>
      <c r="P46" s="6">
        <v>2616</v>
      </c>
      <c r="Q46" s="7">
        <f t="shared" si="1"/>
        <v>3989400</v>
      </c>
      <c r="R46" s="7">
        <f t="shared" si="2"/>
        <v>4653864</v>
      </c>
    </row>
    <row r="47" spans="1:18" ht="15.75" customHeight="1" x14ac:dyDescent="0.35">
      <c r="A47" s="4" t="s">
        <v>63</v>
      </c>
      <c r="B47" s="19" t="s">
        <v>19</v>
      </c>
      <c r="C47" s="19" t="s">
        <v>20</v>
      </c>
      <c r="D47" s="19">
        <v>10</v>
      </c>
      <c r="E47" s="19">
        <v>7150</v>
      </c>
      <c r="F47" s="19">
        <v>0</v>
      </c>
      <c r="G47" s="19">
        <v>0</v>
      </c>
      <c r="H47" s="19">
        <v>0</v>
      </c>
      <c r="I47" s="19">
        <v>0</v>
      </c>
      <c r="J47" s="19">
        <v>1500</v>
      </c>
      <c r="K47" s="19">
        <f t="shared" si="0"/>
        <v>5650</v>
      </c>
      <c r="L47" s="19">
        <v>5650</v>
      </c>
      <c r="M47" s="19">
        <v>24</v>
      </c>
      <c r="N47" s="20">
        <f t="shared" si="7"/>
        <v>90.4</v>
      </c>
      <c r="P47" s="6">
        <v>2616</v>
      </c>
      <c r="Q47" s="7">
        <f t="shared" si="1"/>
        <v>3924000</v>
      </c>
      <c r="R47" s="7">
        <f t="shared" si="2"/>
        <v>14780400</v>
      </c>
    </row>
    <row r="48" spans="1:18" ht="15.75" customHeight="1" x14ac:dyDescent="0.35">
      <c r="A48" s="4" t="s">
        <v>64</v>
      </c>
      <c r="B48" s="19" t="s">
        <v>19</v>
      </c>
      <c r="C48" s="19" t="s">
        <v>20</v>
      </c>
      <c r="D48" s="19">
        <v>10</v>
      </c>
      <c r="E48" s="19">
        <v>40514</v>
      </c>
      <c r="F48" s="19">
        <v>77200</v>
      </c>
      <c r="G48" s="19">
        <v>0</v>
      </c>
      <c r="H48" s="19">
        <v>0</v>
      </c>
      <c r="I48" s="19">
        <v>0</v>
      </c>
      <c r="J48" s="19">
        <v>83025</v>
      </c>
      <c r="K48" s="19">
        <f t="shared" si="0"/>
        <v>34689</v>
      </c>
      <c r="L48" s="19">
        <v>47391.777777777803</v>
      </c>
      <c r="M48" s="19">
        <v>24</v>
      </c>
      <c r="N48" s="20">
        <f t="shared" si="7"/>
        <v>13.699520224831886</v>
      </c>
      <c r="P48" s="6">
        <v>1968</v>
      </c>
      <c r="Q48" s="7">
        <f t="shared" si="1"/>
        <v>163393200</v>
      </c>
      <c r="R48" s="7">
        <f t="shared" si="2"/>
        <v>93267018.666666716</v>
      </c>
    </row>
    <row r="49" spans="1:18" ht="15.75" customHeight="1" x14ac:dyDescent="0.35">
      <c r="A49" s="4" t="s">
        <v>66</v>
      </c>
      <c r="B49" s="19" t="s">
        <v>19</v>
      </c>
      <c r="C49" s="19" t="s">
        <v>20</v>
      </c>
      <c r="D49" s="19">
        <v>10</v>
      </c>
      <c r="E49" s="19">
        <v>20818</v>
      </c>
      <c r="F49" s="19">
        <v>145000</v>
      </c>
      <c r="G49" s="19">
        <v>0</v>
      </c>
      <c r="H49" s="19">
        <v>0</v>
      </c>
      <c r="I49" s="19">
        <v>28750</v>
      </c>
      <c r="J49" s="19">
        <v>119876</v>
      </c>
      <c r="K49" s="19">
        <f t="shared" si="0"/>
        <v>17192</v>
      </c>
      <c r="L49" s="19">
        <v>16050.833333333299</v>
      </c>
      <c r="M49" s="19">
        <v>24</v>
      </c>
      <c r="N49" s="20">
        <f t="shared" si="7"/>
        <v>2.5918749074858987</v>
      </c>
      <c r="P49" s="6">
        <v>2503</v>
      </c>
      <c r="Q49" s="7">
        <f t="shared" si="1"/>
        <v>372010878</v>
      </c>
      <c r="R49" s="7">
        <f t="shared" si="2"/>
        <v>40175235.833333246</v>
      </c>
    </row>
    <row r="50" spans="1:18" ht="15.75" customHeight="1" x14ac:dyDescent="0.35">
      <c r="A50" s="4" t="s">
        <v>67</v>
      </c>
      <c r="B50" s="19" t="s">
        <v>19</v>
      </c>
      <c r="C50" s="19" t="s">
        <v>20</v>
      </c>
      <c r="D50" s="19">
        <v>10</v>
      </c>
      <c r="E50" s="19">
        <v>311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f t="shared" si="0"/>
        <v>311</v>
      </c>
      <c r="L50" s="19">
        <v>0</v>
      </c>
      <c r="M50" s="19">
        <v>24</v>
      </c>
      <c r="N50" s="20">
        <v>0</v>
      </c>
      <c r="P50" s="6">
        <v>2103</v>
      </c>
      <c r="Q50" s="7">
        <f t="shared" si="1"/>
        <v>0</v>
      </c>
      <c r="R50" s="7">
        <f t="shared" si="2"/>
        <v>0</v>
      </c>
    </row>
    <row r="51" spans="1:18" ht="15.75" customHeight="1" x14ac:dyDescent="0.35">
      <c r="A51" s="4" t="s">
        <v>68</v>
      </c>
      <c r="B51" s="19" t="s">
        <v>19</v>
      </c>
      <c r="C51" s="19" t="s">
        <v>20</v>
      </c>
      <c r="D51" s="19">
        <v>10</v>
      </c>
      <c r="E51" s="19">
        <v>15624</v>
      </c>
      <c r="F51" s="19">
        <v>5725</v>
      </c>
      <c r="G51" s="19">
        <v>0</v>
      </c>
      <c r="H51" s="19">
        <v>0</v>
      </c>
      <c r="I51" s="19">
        <v>0</v>
      </c>
      <c r="J51" s="19">
        <v>16753</v>
      </c>
      <c r="K51" s="19">
        <f t="shared" si="0"/>
        <v>4596</v>
      </c>
      <c r="L51" s="19">
        <v>11534.75</v>
      </c>
      <c r="M51" s="19">
        <v>24</v>
      </c>
      <c r="N51" s="20">
        <f t="shared" ref="N51:N55" si="8">(L51/(I51+J51))*M51</f>
        <v>16.524443383274637</v>
      </c>
      <c r="P51" s="6">
        <v>2802</v>
      </c>
      <c r="Q51" s="7">
        <f t="shared" si="1"/>
        <v>46941906</v>
      </c>
      <c r="R51" s="7">
        <f t="shared" si="2"/>
        <v>32320369.5</v>
      </c>
    </row>
    <row r="52" spans="1:18" ht="15.75" customHeight="1" x14ac:dyDescent="0.35">
      <c r="A52" s="4" t="s">
        <v>194</v>
      </c>
      <c r="B52" s="19" t="s">
        <v>19</v>
      </c>
      <c r="C52" s="19" t="s">
        <v>20</v>
      </c>
      <c r="D52" s="19">
        <v>10</v>
      </c>
      <c r="E52" s="19">
        <v>7525</v>
      </c>
      <c r="F52" s="19">
        <v>10200</v>
      </c>
      <c r="G52" s="19">
        <v>0</v>
      </c>
      <c r="H52" s="19">
        <v>0</v>
      </c>
      <c r="I52" s="19">
        <v>0</v>
      </c>
      <c r="J52" s="19">
        <v>10515</v>
      </c>
      <c r="K52" s="19">
        <f t="shared" si="0"/>
        <v>7210</v>
      </c>
      <c r="L52" s="19">
        <v>11720.714285714301</v>
      </c>
      <c r="M52" s="19">
        <v>24</v>
      </c>
      <c r="N52" s="20">
        <f t="shared" si="8"/>
        <v>26.751986957407823</v>
      </c>
      <c r="P52" s="6">
        <v>2103</v>
      </c>
      <c r="Q52" s="7">
        <f t="shared" si="1"/>
        <v>22113045</v>
      </c>
      <c r="R52" s="7">
        <f t="shared" si="2"/>
        <v>24648662.142857175</v>
      </c>
    </row>
    <row r="53" spans="1:18" ht="15.75" customHeight="1" x14ac:dyDescent="0.35">
      <c r="A53" s="4" t="s">
        <v>69</v>
      </c>
      <c r="B53" s="19" t="s">
        <v>19</v>
      </c>
      <c r="C53" s="19" t="s">
        <v>20</v>
      </c>
      <c r="D53" s="19">
        <v>10</v>
      </c>
      <c r="E53" s="19">
        <v>37049</v>
      </c>
      <c r="F53" s="19">
        <v>116250</v>
      </c>
      <c r="G53" s="19">
        <v>0</v>
      </c>
      <c r="H53" s="19">
        <v>0</v>
      </c>
      <c r="I53" s="19">
        <v>120000</v>
      </c>
      <c r="J53" s="19">
        <v>0</v>
      </c>
      <c r="K53" s="19">
        <f t="shared" si="0"/>
        <v>33299</v>
      </c>
      <c r="L53" s="19">
        <v>28455.25</v>
      </c>
      <c r="M53" s="19">
        <v>24</v>
      </c>
      <c r="N53" s="20">
        <f t="shared" si="8"/>
        <v>5.6910499999999997</v>
      </c>
      <c r="P53" s="6">
        <v>2126</v>
      </c>
      <c r="Q53" s="7">
        <f t="shared" si="1"/>
        <v>255120000</v>
      </c>
      <c r="R53" s="7">
        <f t="shared" si="2"/>
        <v>60495861.5</v>
      </c>
    </row>
    <row r="54" spans="1:18" ht="15.75" customHeight="1" x14ac:dyDescent="0.35">
      <c r="A54" s="4" t="s">
        <v>70</v>
      </c>
      <c r="B54" s="19" t="s">
        <v>22</v>
      </c>
      <c r="C54" s="19" t="s">
        <v>20</v>
      </c>
      <c r="D54" s="19">
        <v>10</v>
      </c>
      <c r="E54" s="19">
        <v>19185</v>
      </c>
      <c r="F54" s="19">
        <v>5075</v>
      </c>
      <c r="G54" s="19">
        <v>0</v>
      </c>
      <c r="H54" s="19">
        <v>0</v>
      </c>
      <c r="I54" s="19">
        <v>6000</v>
      </c>
      <c r="J54" s="19">
        <v>5</v>
      </c>
      <c r="K54" s="19">
        <f t="shared" si="0"/>
        <v>18255</v>
      </c>
      <c r="L54" s="19">
        <v>18238.75</v>
      </c>
      <c r="M54" s="19">
        <v>24</v>
      </c>
      <c r="N54" s="20">
        <f t="shared" si="8"/>
        <v>72.894254787676942</v>
      </c>
      <c r="P54" s="6">
        <v>2846</v>
      </c>
      <c r="Q54" s="7">
        <f t="shared" si="1"/>
        <v>17090230</v>
      </c>
      <c r="R54" s="7">
        <f t="shared" si="2"/>
        <v>51907482.5</v>
      </c>
    </row>
    <row r="55" spans="1:18" ht="15.75" customHeight="1" x14ac:dyDescent="0.35">
      <c r="A55" s="4" t="s">
        <v>189</v>
      </c>
      <c r="B55" s="19" t="s">
        <v>19</v>
      </c>
      <c r="C55" s="19" t="s">
        <v>20</v>
      </c>
      <c r="D55" s="19">
        <v>10</v>
      </c>
      <c r="E55" s="19">
        <v>1900</v>
      </c>
      <c r="F55" s="19">
        <v>0</v>
      </c>
      <c r="G55" s="19">
        <v>0</v>
      </c>
      <c r="H55" s="19">
        <v>0</v>
      </c>
      <c r="I55" s="19">
        <v>0</v>
      </c>
      <c r="J55" s="19">
        <v>30</v>
      </c>
      <c r="K55" s="19">
        <f t="shared" si="0"/>
        <v>1870</v>
      </c>
      <c r="L55" s="19">
        <v>1870</v>
      </c>
      <c r="M55" s="19">
        <v>24</v>
      </c>
      <c r="N55" s="20">
        <f t="shared" si="8"/>
        <v>1496</v>
      </c>
      <c r="P55" s="6">
        <v>2514</v>
      </c>
      <c r="Q55" s="7">
        <f t="shared" si="1"/>
        <v>75420</v>
      </c>
      <c r="R55" s="7">
        <f t="shared" si="2"/>
        <v>4701180</v>
      </c>
    </row>
    <row r="56" spans="1:18" ht="15.75" customHeight="1" x14ac:dyDescent="0.35">
      <c r="A56" s="4" t="s">
        <v>72</v>
      </c>
      <c r="B56" s="19" t="s">
        <v>19</v>
      </c>
      <c r="C56" s="19" t="s">
        <v>20</v>
      </c>
      <c r="D56" s="19">
        <v>10</v>
      </c>
      <c r="E56" s="19">
        <v>413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f t="shared" si="0"/>
        <v>413</v>
      </c>
      <c r="L56" s="19">
        <v>0</v>
      </c>
      <c r="M56" s="19">
        <v>24</v>
      </c>
      <c r="N56" s="20">
        <v>0</v>
      </c>
      <c r="P56" s="6">
        <v>1956</v>
      </c>
      <c r="Q56" s="7">
        <f t="shared" si="1"/>
        <v>0</v>
      </c>
      <c r="R56" s="7">
        <f t="shared" si="2"/>
        <v>0</v>
      </c>
    </row>
    <row r="57" spans="1:18" ht="15.75" customHeight="1" x14ac:dyDescent="0.35">
      <c r="A57" s="4" t="s">
        <v>199</v>
      </c>
      <c r="B57" s="19" t="s">
        <v>19</v>
      </c>
      <c r="C57" s="19" t="s">
        <v>20</v>
      </c>
      <c r="D57" s="19">
        <v>10</v>
      </c>
      <c r="E57" s="19">
        <v>12225</v>
      </c>
      <c r="F57" s="19">
        <v>15710</v>
      </c>
      <c r="G57" s="19">
        <v>0</v>
      </c>
      <c r="H57" s="19">
        <v>0</v>
      </c>
      <c r="I57" s="19">
        <v>22035</v>
      </c>
      <c r="J57" s="19">
        <v>0</v>
      </c>
      <c r="K57" s="19">
        <f t="shared" si="0"/>
        <v>5900</v>
      </c>
      <c r="L57" s="19">
        <v>14880</v>
      </c>
      <c r="M57" s="19">
        <v>24</v>
      </c>
      <c r="N57" s="20">
        <f t="shared" ref="N57:N64" si="9">(L57/(I57+J57))*M57</f>
        <v>16.206943498978898</v>
      </c>
      <c r="P57" s="6">
        <v>2514</v>
      </c>
      <c r="Q57" s="7">
        <f t="shared" si="1"/>
        <v>55395990</v>
      </c>
      <c r="R57" s="7">
        <f t="shared" si="2"/>
        <v>37408320</v>
      </c>
    </row>
    <row r="58" spans="1:18" ht="15.75" customHeight="1" x14ac:dyDescent="0.35">
      <c r="A58" s="4" t="s">
        <v>73</v>
      </c>
      <c r="B58" s="19" t="s">
        <v>19</v>
      </c>
      <c r="C58" s="19" t="s">
        <v>20</v>
      </c>
      <c r="D58" s="19">
        <v>10</v>
      </c>
      <c r="E58" s="19">
        <v>27318</v>
      </c>
      <c r="F58" s="19">
        <v>12037</v>
      </c>
      <c r="G58" s="19">
        <v>0</v>
      </c>
      <c r="H58" s="19">
        <v>0</v>
      </c>
      <c r="I58" s="19">
        <v>0</v>
      </c>
      <c r="J58" s="19">
        <v>31307</v>
      </c>
      <c r="K58" s="19">
        <f t="shared" si="0"/>
        <v>8048</v>
      </c>
      <c r="L58" s="19">
        <v>16596</v>
      </c>
      <c r="M58" s="19">
        <v>24</v>
      </c>
      <c r="N58" s="20">
        <f t="shared" si="9"/>
        <v>12.722522119653753</v>
      </c>
      <c r="P58" s="6">
        <v>3391</v>
      </c>
      <c r="Q58" s="7">
        <f t="shared" si="1"/>
        <v>106162037</v>
      </c>
      <c r="R58" s="7">
        <f t="shared" si="2"/>
        <v>56277036</v>
      </c>
    </row>
    <row r="59" spans="1:18" ht="15.75" customHeight="1" x14ac:dyDescent="0.35">
      <c r="A59" s="4" t="s">
        <v>74</v>
      </c>
      <c r="B59" s="19" t="s">
        <v>19</v>
      </c>
      <c r="C59" s="19" t="s">
        <v>20</v>
      </c>
      <c r="D59" s="19">
        <v>10</v>
      </c>
      <c r="E59" s="19">
        <v>26613</v>
      </c>
      <c r="F59" s="19">
        <v>6075</v>
      </c>
      <c r="G59" s="19">
        <v>0</v>
      </c>
      <c r="H59" s="19">
        <v>0</v>
      </c>
      <c r="I59" s="19">
        <v>0</v>
      </c>
      <c r="J59" s="19">
        <v>5600</v>
      </c>
      <c r="K59" s="19">
        <f t="shared" si="0"/>
        <v>27088</v>
      </c>
      <c r="L59" s="19">
        <v>29888</v>
      </c>
      <c r="M59" s="19">
        <v>24</v>
      </c>
      <c r="N59" s="20">
        <f t="shared" si="9"/>
        <v>128.09142857142857</v>
      </c>
      <c r="P59" s="6">
        <v>3549</v>
      </c>
      <c r="Q59" s="7">
        <f t="shared" si="1"/>
        <v>19874400</v>
      </c>
      <c r="R59" s="7">
        <f t="shared" si="2"/>
        <v>106072512</v>
      </c>
    </row>
    <row r="60" spans="1:18" ht="15.75" customHeight="1" x14ac:dyDescent="0.35">
      <c r="A60" s="4" t="s">
        <v>75</v>
      </c>
      <c r="B60" s="19" t="s">
        <v>19</v>
      </c>
      <c r="C60" s="19" t="s">
        <v>20</v>
      </c>
      <c r="D60" s="19">
        <v>10</v>
      </c>
      <c r="E60" s="19">
        <v>51300</v>
      </c>
      <c r="F60" s="19">
        <v>0</v>
      </c>
      <c r="G60" s="19">
        <v>0</v>
      </c>
      <c r="H60" s="19">
        <v>0</v>
      </c>
      <c r="I60" s="19">
        <v>28084</v>
      </c>
      <c r="J60" s="19">
        <v>0</v>
      </c>
      <c r="K60" s="19">
        <f t="shared" si="0"/>
        <v>23216</v>
      </c>
      <c r="L60" s="19">
        <v>34608.888888888898</v>
      </c>
      <c r="M60" s="19">
        <v>24</v>
      </c>
      <c r="N60" s="20">
        <f t="shared" si="9"/>
        <v>29.576033803351855</v>
      </c>
      <c r="P60" s="6">
        <v>2129</v>
      </c>
      <c r="Q60" s="7">
        <f t="shared" si="1"/>
        <v>59790836</v>
      </c>
      <c r="R60" s="7">
        <f t="shared" si="2"/>
        <v>73682324.444444463</v>
      </c>
    </row>
    <row r="61" spans="1:18" ht="15.75" customHeight="1" x14ac:dyDescent="0.35">
      <c r="A61" s="4" t="s">
        <v>76</v>
      </c>
      <c r="B61" s="19" t="s">
        <v>19</v>
      </c>
      <c r="C61" s="19" t="s">
        <v>20</v>
      </c>
      <c r="D61" s="19">
        <v>10</v>
      </c>
      <c r="E61" s="19">
        <v>13107</v>
      </c>
      <c r="F61" s="19">
        <v>0</v>
      </c>
      <c r="G61" s="19">
        <v>0</v>
      </c>
      <c r="H61" s="19">
        <v>0</v>
      </c>
      <c r="I61" s="19">
        <v>5775</v>
      </c>
      <c r="J61" s="19">
        <v>0</v>
      </c>
      <c r="K61" s="19">
        <f t="shared" si="0"/>
        <v>7332</v>
      </c>
      <c r="L61" s="19">
        <v>9257</v>
      </c>
      <c r="M61" s="19">
        <v>24</v>
      </c>
      <c r="N61" s="20">
        <f t="shared" si="9"/>
        <v>38.470649350649353</v>
      </c>
      <c r="P61" s="6">
        <v>2129</v>
      </c>
      <c r="Q61" s="7">
        <f t="shared" si="1"/>
        <v>12294975</v>
      </c>
      <c r="R61" s="7">
        <f t="shared" si="2"/>
        <v>19708153</v>
      </c>
    </row>
    <row r="62" spans="1:18" ht="15.75" customHeight="1" x14ac:dyDescent="0.35">
      <c r="A62" s="4" t="s">
        <v>77</v>
      </c>
      <c r="B62" s="19" t="s">
        <v>19</v>
      </c>
      <c r="C62" s="19" t="s">
        <v>20</v>
      </c>
      <c r="D62" s="19">
        <v>10</v>
      </c>
      <c r="E62" s="19">
        <v>969</v>
      </c>
      <c r="F62" s="19">
        <v>0</v>
      </c>
      <c r="G62" s="19">
        <v>0</v>
      </c>
      <c r="H62" s="19">
        <v>0</v>
      </c>
      <c r="I62" s="19">
        <v>225</v>
      </c>
      <c r="J62" s="19">
        <v>0</v>
      </c>
      <c r="K62" s="19">
        <f t="shared" si="0"/>
        <v>744</v>
      </c>
      <c r="L62" s="19">
        <v>781.5</v>
      </c>
      <c r="M62" s="19">
        <v>24</v>
      </c>
      <c r="N62" s="20">
        <f t="shared" si="9"/>
        <v>83.36</v>
      </c>
      <c r="P62" s="6">
        <v>2131</v>
      </c>
      <c r="Q62" s="7">
        <f t="shared" si="1"/>
        <v>479475</v>
      </c>
      <c r="R62" s="7">
        <f t="shared" si="2"/>
        <v>1665376.5</v>
      </c>
    </row>
    <row r="63" spans="1:18" ht="15.75" customHeight="1" x14ac:dyDescent="0.35">
      <c r="A63" s="4" t="s">
        <v>78</v>
      </c>
      <c r="B63" s="19" t="s">
        <v>19</v>
      </c>
      <c r="C63" s="19" t="s">
        <v>20</v>
      </c>
      <c r="D63" s="19">
        <v>10</v>
      </c>
      <c r="E63" s="19">
        <v>3111</v>
      </c>
      <c r="F63" s="19">
        <v>2365</v>
      </c>
      <c r="G63" s="19">
        <v>0</v>
      </c>
      <c r="H63" s="19">
        <v>0</v>
      </c>
      <c r="I63" s="19">
        <v>2825</v>
      </c>
      <c r="J63" s="19">
        <v>0</v>
      </c>
      <c r="K63" s="19">
        <f t="shared" si="0"/>
        <v>2651</v>
      </c>
      <c r="L63" s="19">
        <v>2862.6666666666702</v>
      </c>
      <c r="M63" s="19">
        <v>24</v>
      </c>
      <c r="N63" s="20">
        <f t="shared" si="9"/>
        <v>24.320000000000029</v>
      </c>
      <c r="P63" s="6">
        <v>2131</v>
      </c>
      <c r="Q63" s="7">
        <f t="shared" si="1"/>
        <v>6020075</v>
      </c>
      <c r="R63" s="7">
        <f t="shared" si="2"/>
        <v>6100342.6666666744</v>
      </c>
    </row>
    <row r="64" spans="1:18" ht="15.75" customHeight="1" x14ac:dyDescent="0.35">
      <c r="A64" s="4" t="s">
        <v>79</v>
      </c>
      <c r="B64" s="19" t="s">
        <v>19</v>
      </c>
      <c r="C64" s="19" t="s">
        <v>20</v>
      </c>
      <c r="D64" s="19">
        <v>10</v>
      </c>
      <c r="E64" s="19">
        <v>16832</v>
      </c>
      <c r="F64" s="19">
        <v>61572</v>
      </c>
      <c r="G64" s="19">
        <v>0</v>
      </c>
      <c r="H64" s="19">
        <v>0</v>
      </c>
      <c r="I64" s="19">
        <v>34222</v>
      </c>
      <c r="J64" s="19">
        <v>5</v>
      </c>
      <c r="K64" s="19">
        <f t="shared" si="0"/>
        <v>44177</v>
      </c>
      <c r="L64" s="19">
        <v>53033.133333333302</v>
      </c>
      <c r="M64" s="19">
        <v>24</v>
      </c>
      <c r="N64" s="20">
        <f t="shared" si="9"/>
        <v>37.186875858240548</v>
      </c>
      <c r="P64" s="6">
        <v>2245</v>
      </c>
      <c r="Q64" s="7">
        <f t="shared" si="1"/>
        <v>76839615</v>
      </c>
      <c r="R64" s="7">
        <f t="shared" si="2"/>
        <v>119059384.33333327</v>
      </c>
    </row>
    <row r="65" spans="1:18" ht="15.75" customHeight="1" x14ac:dyDescent="0.35">
      <c r="A65" s="4" t="s">
        <v>80</v>
      </c>
      <c r="B65" s="19" t="s">
        <v>19</v>
      </c>
      <c r="C65" s="19" t="s">
        <v>20</v>
      </c>
      <c r="D65" s="19">
        <v>10</v>
      </c>
      <c r="E65" s="19">
        <v>873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f t="shared" si="0"/>
        <v>873</v>
      </c>
      <c r="L65" s="19">
        <v>0</v>
      </c>
      <c r="M65" s="19">
        <v>24</v>
      </c>
      <c r="N65" s="20">
        <v>0</v>
      </c>
      <c r="P65" s="6">
        <v>2121</v>
      </c>
      <c r="Q65" s="7">
        <f t="shared" si="1"/>
        <v>0</v>
      </c>
      <c r="R65" s="7">
        <f t="shared" si="2"/>
        <v>0</v>
      </c>
    </row>
    <row r="66" spans="1:18" ht="15.75" customHeight="1" x14ac:dyDescent="0.35">
      <c r="A66" s="4" t="s">
        <v>195</v>
      </c>
      <c r="B66" s="19" t="s">
        <v>19</v>
      </c>
      <c r="C66" s="19" t="s">
        <v>20</v>
      </c>
      <c r="D66" s="19">
        <v>10</v>
      </c>
      <c r="E66" s="19">
        <v>17250</v>
      </c>
      <c r="F66" s="19">
        <v>64675</v>
      </c>
      <c r="G66" s="19">
        <v>0</v>
      </c>
      <c r="H66" s="19">
        <v>0</v>
      </c>
      <c r="I66" s="19">
        <v>48100</v>
      </c>
      <c r="J66" s="19">
        <v>0</v>
      </c>
      <c r="K66" s="19">
        <f t="shared" si="0"/>
        <v>33825</v>
      </c>
      <c r="L66" s="19">
        <v>30914.583333333303</v>
      </c>
      <c r="M66" s="19">
        <v>24</v>
      </c>
      <c r="N66" s="20">
        <f t="shared" ref="N66:N75" si="10">(L66/(I66+J66))*M66</f>
        <v>15.425155925155909</v>
      </c>
      <c r="P66" s="6">
        <v>2121</v>
      </c>
      <c r="Q66" s="7">
        <f t="shared" si="1"/>
        <v>102020100</v>
      </c>
      <c r="R66" s="7">
        <f t="shared" si="2"/>
        <v>65569831.249999933</v>
      </c>
    </row>
    <row r="67" spans="1:18" ht="15.75" customHeight="1" x14ac:dyDescent="0.35">
      <c r="A67" s="4" t="s">
        <v>196</v>
      </c>
      <c r="B67" s="19" t="s">
        <v>19</v>
      </c>
      <c r="C67" s="19" t="s">
        <v>20</v>
      </c>
      <c r="D67" s="19">
        <v>10</v>
      </c>
      <c r="E67" s="19">
        <v>2100</v>
      </c>
      <c r="F67" s="19">
        <v>1575</v>
      </c>
      <c r="G67" s="19">
        <v>0</v>
      </c>
      <c r="H67" s="19">
        <v>0</v>
      </c>
      <c r="I67" s="19">
        <v>1550</v>
      </c>
      <c r="J67" s="19">
        <v>0</v>
      </c>
      <c r="K67" s="19">
        <f t="shared" si="0"/>
        <v>2125</v>
      </c>
      <c r="L67" s="19">
        <v>2137.5</v>
      </c>
      <c r="M67" s="19">
        <v>24</v>
      </c>
      <c r="N67" s="20">
        <f t="shared" si="10"/>
        <v>33.096774193548391</v>
      </c>
      <c r="P67" s="6">
        <v>2121</v>
      </c>
      <c r="Q67" s="7">
        <f t="shared" si="1"/>
        <v>3287550</v>
      </c>
      <c r="R67" s="7">
        <f t="shared" si="2"/>
        <v>4533637.5</v>
      </c>
    </row>
    <row r="68" spans="1:18" ht="15.75" customHeight="1" x14ac:dyDescent="0.35">
      <c r="A68" s="4" t="s">
        <v>82</v>
      </c>
      <c r="B68" s="19" t="s">
        <v>19</v>
      </c>
      <c r="C68" s="19" t="s">
        <v>20</v>
      </c>
      <c r="D68" s="19">
        <v>10</v>
      </c>
      <c r="E68" s="19">
        <v>2630</v>
      </c>
      <c r="F68" s="19">
        <v>2100</v>
      </c>
      <c r="G68" s="19">
        <v>0</v>
      </c>
      <c r="H68" s="19">
        <v>0</v>
      </c>
      <c r="I68" s="19">
        <v>0</v>
      </c>
      <c r="J68" s="19">
        <v>800</v>
      </c>
      <c r="K68" s="19">
        <f t="shared" si="0"/>
        <v>3930</v>
      </c>
      <c r="L68" s="19">
        <v>2880</v>
      </c>
      <c r="M68" s="19">
        <v>24</v>
      </c>
      <c r="N68" s="20">
        <f t="shared" si="10"/>
        <v>86.4</v>
      </c>
      <c r="P68" s="6">
        <v>4592</v>
      </c>
      <c r="Q68" s="7">
        <f t="shared" si="1"/>
        <v>3673600</v>
      </c>
      <c r="R68" s="7">
        <f t="shared" si="2"/>
        <v>13224960</v>
      </c>
    </row>
    <row r="69" spans="1:18" ht="15.75" customHeight="1" x14ac:dyDescent="0.35">
      <c r="A69" s="4" t="s">
        <v>83</v>
      </c>
      <c r="B69" s="19" t="s">
        <v>19</v>
      </c>
      <c r="C69" s="19" t="s">
        <v>20</v>
      </c>
      <c r="D69" s="19">
        <v>10</v>
      </c>
      <c r="E69" s="19">
        <v>12819</v>
      </c>
      <c r="F69" s="19">
        <v>3150</v>
      </c>
      <c r="G69" s="19">
        <v>0</v>
      </c>
      <c r="H69" s="19">
        <v>0</v>
      </c>
      <c r="I69" s="19">
        <v>0</v>
      </c>
      <c r="J69" s="19">
        <v>4175</v>
      </c>
      <c r="K69" s="19">
        <f t="shared" si="0"/>
        <v>11794</v>
      </c>
      <c r="L69" s="19">
        <v>10969</v>
      </c>
      <c r="M69" s="19">
        <v>24</v>
      </c>
      <c r="N69" s="20">
        <f t="shared" si="10"/>
        <v>63.055329341317368</v>
      </c>
      <c r="P69" s="6">
        <v>2297</v>
      </c>
      <c r="Q69" s="7">
        <f t="shared" si="1"/>
        <v>9589975</v>
      </c>
      <c r="R69" s="7">
        <f t="shared" si="2"/>
        <v>25195793</v>
      </c>
    </row>
    <row r="70" spans="1:18" ht="15.75" customHeight="1" x14ac:dyDescent="0.35">
      <c r="A70" s="4" t="s">
        <v>84</v>
      </c>
      <c r="B70" s="19" t="s">
        <v>19</v>
      </c>
      <c r="C70" s="19" t="s">
        <v>20</v>
      </c>
      <c r="D70" s="19">
        <v>10</v>
      </c>
      <c r="E70" s="19">
        <v>2594</v>
      </c>
      <c r="F70" s="19">
        <v>1425</v>
      </c>
      <c r="G70" s="19">
        <v>0</v>
      </c>
      <c r="H70" s="19">
        <v>0</v>
      </c>
      <c r="I70" s="19">
        <v>0</v>
      </c>
      <c r="J70" s="19">
        <v>419</v>
      </c>
      <c r="K70" s="19">
        <f t="shared" si="0"/>
        <v>3600</v>
      </c>
      <c r="L70" s="19">
        <v>3784.5</v>
      </c>
      <c r="M70" s="19">
        <v>24</v>
      </c>
      <c r="N70" s="20">
        <f t="shared" si="10"/>
        <v>216.77326968973745</v>
      </c>
      <c r="P70" s="6">
        <v>4592</v>
      </c>
      <c r="Q70" s="7">
        <f t="shared" si="1"/>
        <v>1924048</v>
      </c>
      <c r="R70" s="7">
        <f t="shared" si="2"/>
        <v>17378424</v>
      </c>
    </row>
    <row r="71" spans="1:18" ht="15.75" customHeight="1" x14ac:dyDescent="0.35">
      <c r="A71" s="4" t="s">
        <v>85</v>
      </c>
      <c r="B71" s="19" t="s">
        <v>22</v>
      </c>
      <c r="C71" s="19" t="s">
        <v>20</v>
      </c>
      <c r="D71" s="19">
        <v>10</v>
      </c>
      <c r="E71" s="19">
        <v>25841</v>
      </c>
      <c r="F71" s="19">
        <v>142950</v>
      </c>
      <c r="G71" s="19">
        <v>0</v>
      </c>
      <c r="H71" s="19">
        <v>0</v>
      </c>
      <c r="I71" s="19">
        <v>0</v>
      </c>
      <c r="J71" s="19">
        <v>141050</v>
      </c>
      <c r="K71" s="19">
        <f t="shared" si="0"/>
        <v>27741</v>
      </c>
      <c r="L71" s="19">
        <v>26790.166666666697</v>
      </c>
      <c r="M71" s="19">
        <v>24</v>
      </c>
      <c r="N71" s="20">
        <f t="shared" si="10"/>
        <v>4.5584119106699807</v>
      </c>
      <c r="P71" s="6">
        <v>1419</v>
      </c>
      <c r="Q71" s="7">
        <f t="shared" si="1"/>
        <v>200149950</v>
      </c>
      <c r="R71" s="7">
        <f t="shared" si="2"/>
        <v>38015246.500000045</v>
      </c>
    </row>
    <row r="72" spans="1:18" ht="15.75" customHeight="1" x14ac:dyDescent="0.35">
      <c r="A72" s="4" t="s">
        <v>86</v>
      </c>
      <c r="B72" s="19" t="s">
        <v>19</v>
      </c>
      <c r="C72" s="19" t="s">
        <v>20</v>
      </c>
      <c r="D72" s="19">
        <v>10</v>
      </c>
      <c r="E72" s="19">
        <v>1942</v>
      </c>
      <c r="F72" s="19">
        <v>2057</v>
      </c>
      <c r="G72" s="19">
        <v>0</v>
      </c>
      <c r="H72" s="19">
        <v>0</v>
      </c>
      <c r="I72" s="19">
        <v>0</v>
      </c>
      <c r="J72" s="19">
        <v>1707</v>
      </c>
      <c r="K72" s="19">
        <f t="shared" si="0"/>
        <v>2292</v>
      </c>
      <c r="L72" s="19">
        <v>2144.3333333333298</v>
      </c>
      <c r="M72" s="19">
        <v>24</v>
      </c>
      <c r="N72" s="20">
        <f t="shared" si="10"/>
        <v>30.148799062683018</v>
      </c>
      <c r="P72" s="6">
        <v>4592</v>
      </c>
      <c r="Q72" s="7">
        <f t="shared" si="1"/>
        <v>7838544</v>
      </c>
      <c r="R72" s="7">
        <f t="shared" si="2"/>
        <v>9846778.6666666511</v>
      </c>
    </row>
    <row r="73" spans="1:18" ht="15.75" customHeight="1" x14ac:dyDescent="0.35">
      <c r="A73" s="4" t="s">
        <v>190</v>
      </c>
      <c r="B73" s="19" t="s">
        <v>19</v>
      </c>
      <c r="C73" s="19" t="s">
        <v>20</v>
      </c>
      <c r="D73" s="19">
        <v>10</v>
      </c>
      <c r="E73" s="19">
        <v>1200</v>
      </c>
      <c r="F73" s="19">
        <v>1500</v>
      </c>
      <c r="G73" s="19">
        <v>0</v>
      </c>
      <c r="H73" s="19">
        <v>0</v>
      </c>
      <c r="I73" s="19">
        <v>0</v>
      </c>
      <c r="J73" s="19">
        <v>1200</v>
      </c>
      <c r="K73" s="19">
        <f t="shared" si="0"/>
        <v>1500</v>
      </c>
      <c r="L73" s="19">
        <v>750</v>
      </c>
      <c r="M73" s="19">
        <v>24</v>
      </c>
      <c r="N73" s="20">
        <f t="shared" si="10"/>
        <v>15</v>
      </c>
      <c r="P73" s="6">
        <v>2103</v>
      </c>
      <c r="Q73" s="7">
        <f t="shared" si="1"/>
        <v>2523600</v>
      </c>
      <c r="R73" s="7">
        <f t="shared" si="2"/>
        <v>1577250</v>
      </c>
    </row>
    <row r="74" spans="1:18" ht="15.75" customHeight="1" x14ac:dyDescent="0.35">
      <c r="A74" s="4" t="s">
        <v>88</v>
      </c>
      <c r="B74" s="19" t="s">
        <v>19</v>
      </c>
      <c r="C74" s="19" t="s">
        <v>20</v>
      </c>
      <c r="D74" s="19">
        <v>10</v>
      </c>
      <c r="E74" s="19">
        <v>17070</v>
      </c>
      <c r="F74" s="19">
        <v>0</v>
      </c>
      <c r="G74" s="19">
        <v>0</v>
      </c>
      <c r="H74" s="19">
        <v>0</v>
      </c>
      <c r="I74" s="19">
        <v>0</v>
      </c>
      <c r="J74" s="19">
        <v>5675</v>
      </c>
      <c r="K74" s="19">
        <f t="shared" si="0"/>
        <v>11395</v>
      </c>
      <c r="L74" s="19">
        <v>13286.666666666701</v>
      </c>
      <c r="M74" s="19">
        <v>24</v>
      </c>
      <c r="N74" s="20">
        <f t="shared" si="10"/>
        <v>56.1903083700442</v>
      </c>
      <c r="P74" s="6">
        <v>2103</v>
      </c>
      <c r="Q74" s="7">
        <f t="shared" si="1"/>
        <v>11934525</v>
      </c>
      <c r="R74" s="7">
        <f t="shared" si="2"/>
        <v>27941860.000000071</v>
      </c>
    </row>
    <row r="75" spans="1:18" ht="15.75" customHeight="1" x14ac:dyDescent="0.35">
      <c r="A75" s="4" t="s">
        <v>89</v>
      </c>
      <c r="B75" s="19" t="s">
        <v>19</v>
      </c>
      <c r="C75" s="19" t="s">
        <v>20</v>
      </c>
      <c r="D75" s="19">
        <v>10</v>
      </c>
      <c r="E75" s="19">
        <v>2274</v>
      </c>
      <c r="F75" s="19">
        <v>2526</v>
      </c>
      <c r="G75" s="19">
        <v>0</v>
      </c>
      <c r="H75" s="19">
        <v>0</v>
      </c>
      <c r="I75" s="19">
        <v>0</v>
      </c>
      <c r="J75" s="19">
        <v>726</v>
      </c>
      <c r="K75" s="19">
        <f t="shared" si="0"/>
        <v>4074</v>
      </c>
      <c r="L75" s="19">
        <v>4049.3333333333298</v>
      </c>
      <c r="M75" s="19">
        <v>24</v>
      </c>
      <c r="N75" s="20">
        <f t="shared" si="10"/>
        <v>133.86225895316795</v>
      </c>
      <c r="P75" s="6">
        <v>4592</v>
      </c>
      <c r="Q75" s="7">
        <f t="shared" si="1"/>
        <v>3333792</v>
      </c>
      <c r="R75" s="7">
        <f t="shared" si="2"/>
        <v>18594538.666666649</v>
      </c>
    </row>
    <row r="76" spans="1:18" ht="15.75" customHeight="1" x14ac:dyDescent="0.35">
      <c r="A76" s="4" t="s">
        <v>90</v>
      </c>
      <c r="B76" s="19" t="s">
        <v>19</v>
      </c>
      <c r="C76" s="19" t="s">
        <v>20</v>
      </c>
      <c r="D76" s="19">
        <v>10</v>
      </c>
      <c r="E76" s="19">
        <v>2835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f t="shared" si="0"/>
        <v>2835</v>
      </c>
      <c r="L76" s="19">
        <v>0</v>
      </c>
      <c r="M76" s="19">
        <v>24</v>
      </c>
      <c r="N76" s="20">
        <v>0</v>
      </c>
      <c r="P76" s="6">
        <v>2297</v>
      </c>
      <c r="Q76" s="7">
        <f t="shared" si="1"/>
        <v>0</v>
      </c>
      <c r="R76" s="7">
        <f t="shared" si="2"/>
        <v>0</v>
      </c>
    </row>
    <row r="77" spans="1:18" ht="15.75" customHeight="1" x14ac:dyDescent="0.35">
      <c r="A77" s="4" t="s">
        <v>91</v>
      </c>
      <c r="B77" s="19" t="s">
        <v>19</v>
      </c>
      <c r="C77" s="19" t="s">
        <v>20</v>
      </c>
      <c r="D77" s="19">
        <v>10</v>
      </c>
      <c r="E77" s="19">
        <v>2042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f t="shared" si="0"/>
        <v>2042</v>
      </c>
      <c r="L77" s="19">
        <v>0</v>
      </c>
      <c r="M77" s="19">
        <v>24</v>
      </c>
      <c r="N77" s="20">
        <v>0</v>
      </c>
      <c r="P77" s="6">
        <v>2616</v>
      </c>
      <c r="Q77" s="7">
        <f t="shared" si="1"/>
        <v>0</v>
      </c>
      <c r="R77" s="7">
        <f t="shared" si="2"/>
        <v>0</v>
      </c>
    </row>
    <row r="78" spans="1:18" ht="15.75" customHeight="1" x14ac:dyDescent="0.35">
      <c r="A78" s="4" t="s">
        <v>92</v>
      </c>
      <c r="B78" s="19" t="s">
        <v>22</v>
      </c>
      <c r="C78" s="19" t="s">
        <v>20</v>
      </c>
      <c r="D78" s="19">
        <v>10</v>
      </c>
      <c r="E78" s="19">
        <v>14558</v>
      </c>
      <c r="F78" s="19">
        <v>85475</v>
      </c>
      <c r="G78" s="19">
        <v>0</v>
      </c>
      <c r="H78" s="19">
        <v>0</v>
      </c>
      <c r="I78" s="19">
        <v>0</v>
      </c>
      <c r="J78" s="19">
        <v>98733</v>
      </c>
      <c r="K78" s="19">
        <f t="shared" si="0"/>
        <v>1300</v>
      </c>
      <c r="L78" s="19">
        <v>14849.800000000001</v>
      </c>
      <c r="M78" s="19">
        <v>24</v>
      </c>
      <c r="N78" s="20">
        <f t="shared" ref="N78:N86" si="11">(L78/(I78+J78))*M78</f>
        <v>3.6096867308802532</v>
      </c>
      <c r="P78" s="6">
        <v>1419</v>
      </c>
      <c r="Q78" s="7">
        <f t="shared" si="1"/>
        <v>140102127</v>
      </c>
      <c r="R78" s="7">
        <f t="shared" si="2"/>
        <v>21071866.200000003</v>
      </c>
    </row>
    <row r="79" spans="1:18" ht="15.75" customHeight="1" x14ac:dyDescent="0.35">
      <c r="A79" s="4" t="s">
        <v>93</v>
      </c>
      <c r="B79" s="19" t="s">
        <v>19</v>
      </c>
      <c r="C79" s="19" t="s">
        <v>20</v>
      </c>
      <c r="D79" s="19">
        <v>10</v>
      </c>
      <c r="E79" s="19">
        <v>1348</v>
      </c>
      <c r="F79" s="19">
        <v>0</v>
      </c>
      <c r="G79" s="19">
        <v>0</v>
      </c>
      <c r="H79" s="19">
        <v>0</v>
      </c>
      <c r="I79" s="19">
        <v>0</v>
      </c>
      <c r="J79" s="19">
        <v>600</v>
      </c>
      <c r="K79" s="19">
        <f t="shared" si="0"/>
        <v>748</v>
      </c>
      <c r="L79" s="19">
        <v>848</v>
      </c>
      <c r="M79" s="19">
        <v>24</v>
      </c>
      <c r="N79" s="20">
        <f t="shared" si="11"/>
        <v>33.92</v>
      </c>
      <c r="P79" s="6">
        <v>2616</v>
      </c>
      <c r="Q79" s="7">
        <f t="shared" si="1"/>
        <v>1569600</v>
      </c>
      <c r="R79" s="7">
        <f t="shared" si="2"/>
        <v>2218368</v>
      </c>
    </row>
    <row r="80" spans="1:18" ht="15.75" customHeight="1" x14ac:dyDescent="0.35">
      <c r="A80" s="4" t="s">
        <v>95</v>
      </c>
      <c r="B80" s="19" t="s">
        <v>19</v>
      </c>
      <c r="C80" s="19" t="s">
        <v>20</v>
      </c>
      <c r="D80" s="19">
        <v>10</v>
      </c>
      <c r="E80" s="19">
        <v>10882</v>
      </c>
      <c r="F80" s="19">
        <v>0</v>
      </c>
      <c r="G80" s="19">
        <v>0</v>
      </c>
      <c r="H80" s="19">
        <v>870</v>
      </c>
      <c r="I80" s="19">
        <v>10962</v>
      </c>
      <c r="J80" s="19">
        <v>0</v>
      </c>
      <c r="K80" s="19">
        <f t="shared" si="0"/>
        <v>-80</v>
      </c>
      <c r="L80" s="19">
        <v>4237.1428571428605</v>
      </c>
      <c r="M80" s="19">
        <v>24</v>
      </c>
      <c r="N80" s="20">
        <f t="shared" si="11"/>
        <v>9.2767221831261324</v>
      </c>
      <c r="P80" s="6">
        <v>7550</v>
      </c>
      <c r="Q80" s="7">
        <f t="shared" si="1"/>
        <v>82763100</v>
      </c>
      <c r="R80" s="7">
        <f t="shared" si="2"/>
        <v>31990428.571428597</v>
      </c>
    </row>
    <row r="81" spans="1:18" ht="15.75" customHeight="1" x14ac:dyDescent="0.35">
      <c r="A81" s="4" t="s">
        <v>203</v>
      </c>
      <c r="B81" s="19" t="s">
        <v>19</v>
      </c>
      <c r="C81" s="19" t="s">
        <v>20</v>
      </c>
      <c r="D81" s="19">
        <v>10</v>
      </c>
      <c r="E81" s="19">
        <v>0</v>
      </c>
      <c r="F81" s="19">
        <v>23488</v>
      </c>
      <c r="G81" s="19">
        <v>0</v>
      </c>
      <c r="H81" s="19">
        <v>0</v>
      </c>
      <c r="I81" s="19">
        <v>4200</v>
      </c>
      <c r="J81" s="19">
        <v>0</v>
      </c>
      <c r="K81" s="19">
        <f t="shared" si="0"/>
        <v>19288</v>
      </c>
      <c r="L81" s="19">
        <v>13595.2</v>
      </c>
      <c r="M81" s="19">
        <v>24</v>
      </c>
      <c r="N81" s="20">
        <f t="shared" si="11"/>
        <v>77.68685714285715</v>
      </c>
      <c r="P81" s="6">
        <v>7550</v>
      </c>
      <c r="Q81" s="7">
        <f t="shared" si="1"/>
        <v>31710000</v>
      </c>
      <c r="R81" s="7">
        <f t="shared" si="2"/>
        <v>102643760</v>
      </c>
    </row>
    <row r="82" spans="1:18" ht="15.75" customHeight="1" x14ac:dyDescent="0.35">
      <c r="A82" s="4" t="s">
        <v>96</v>
      </c>
      <c r="B82" s="19" t="s">
        <v>19</v>
      </c>
      <c r="C82" s="19" t="s">
        <v>20</v>
      </c>
      <c r="D82" s="19">
        <v>10</v>
      </c>
      <c r="E82" s="19">
        <v>3412</v>
      </c>
      <c r="F82" s="19">
        <v>3513</v>
      </c>
      <c r="G82" s="19">
        <v>0</v>
      </c>
      <c r="H82" s="19">
        <v>0</v>
      </c>
      <c r="I82" s="19">
        <v>0</v>
      </c>
      <c r="J82" s="19">
        <v>3362</v>
      </c>
      <c r="K82" s="19">
        <f t="shared" si="0"/>
        <v>3563</v>
      </c>
      <c r="L82" s="19">
        <v>4289.3333333333303</v>
      </c>
      <c r="M82" s="19">
        <v>24</v>
      </c>
      <c r="N82" s="20">
        <f t="shared" si="11"/>
        <v>30.619869125520502</v>
      </c>
      <c r="P82" s="6">
        <v>4592</v>
      </c>
      <c r="Q82" s="7">
        <f t="shared" si="1"/>
        <v>15438304</v>
      </c>
      <c r="R82" s="7">
        <f t="shared" si="2"/>
        <v>19696618.666666653</v>
      </c>
    </row>
    <row r="83" spans="1:18" ht="15.75" customHeight="1" x14ac:dyDescent="0.35">
      <c r="A83" s="4" t="s">
        <v>97</v>
      </c>
      <c r="B83" s="19" t="s">
        <v>19</v>
      </c>
      <c r="C83" s="19" t="s">
        <v>20</v>
      </c>
      <c r="D83" s="19">
        <v>10</v>
      </c>
      <c r="E83" s="19">
        <v>7109</v>
      </c>
      <c r="F83" s="19">
        <v>5000</v>
      </c>
      <c r="G83" s="19">
        <v>0</v>
      </c>
      <c r="H83" s="19">
        <v>0</v>
      </c>
      <c r="I83" s="19">
        <v>0</v>
      </c>
      <c r="J83" s="19">
        <v>3575</v>
      </c>
      <c r="K83" s="19">
        <f t="shared" si="0"/>
        <v>8534</v>
      </c>
      <c r="L83" s="19">
        <v>6815.25</v>
      </c>
      <c r="M83" s="19">
        <v>24</v>
      </c>
      <c r="N83" s="20">
        <f t="shared" si="11"/>
        <v>45.75272727272727</v>
      </c>
      <c r="P83" s="6">
        <v>2297</v>
      </c>
      <c r="Q83" s="7">
        <f t="shared" si="1"/>
        <v>8211775</v>
      </c>
      <c r="R83" s="7">
        <f t="shared" si="2"/>
        <v>15654629.25</v>
      </c>
    </row>
    <row r="84" spans="1:18" ht="15.75" customHeight="1" x14ac:dyDescent="0.35">
      <c r="A84" s="4" t="s">
        <v>98</v>
      </c>
      <c r="B84" s="19" t="s">
        <v>19</v>
      </c>
      <c r="C84" s="19" t="s">
        <v>20</v>
      </c>
      <c r="D84" s="19">
        <v>10</v>
      </c>
      <c r="E84" s="19">
        <v>600</v>
      </c>
      <c r="F84" s="19">
        <v>1050</v>
      </c>
      <c r="G84" s="19">
        <v>0</v>
      </c>
      <c r="H84" s="19">
        <v>0</v>
      </c>
      <c r="I84" s="19">
        <v>0</v>
      </c>
      <c r="J84" s="19">
        <v>600</v>
      </c>
      <c r="K84" s="19">
        <f t="shared" si="0"/>
        <v>1050</v>
      </c>
      <c r="L84" s="19">
        <v>525</v>
      </c>
      <c r="M84" s="19">
        <v>24</v>
      </c>
      <c r="N84" s="20">
        <f t="shared" si="11"/>
        <v>21</v>
      </c>
      <c r="P84" s="6">
        <v>2616</v>
      </c>
      <c r="Q84" s="7">
        <f t="shared" si="1"/>
        <v>1569600</v>
      </c>
      <c r="R84" s="7">
        <f t="shared" si="2"/>
        <v>1373400</v>
      </c>
    </row>
    <row r="85" spans="1:18" ht="15.75" customHeight="1" x14ac:dyDescent="0.35">
      <c r="A85" s="4" t="s">
        <v>99</v>
      </c>
      <c r="B85" s="19" t="s">
        <v>22</v>
      </c>
      <c r="C85" s="19" t="s">
        <v>20</v>
      </c>
      <c r="D85" s="19">
        <v>10</v>
      </c>
      <c r="E85" s="19">
        <v>15460</v>
      </c>
      <c r="F85" s="19">
        <v>77425</v>
      </c>
      <c r="G85" s="19">
        <v>0</v>
      </c>
      <c r="H85" s="19">
        <v>0</v>
      </c>
      <c r="I85" s="19">
        <v>0</v>
      </c>
      <c r="J85" s="19">
        <v>67210</v>
      </c>
      <c r="K85" s="19">
        <f t="shared" si="0"/>
        <v>25675</v>
      </c>
      <c r="L85" s="19">
        <v>25938.2352941176</v>
      </c>
      <c r="M85" s="19">
        <v>24</v>
      </c>
      <c r="N85" s="20">
        <f t="shared" si="11"/>
        <v>9.2622771471332008</v>
      </c>
      <c r="P85" s="6">
        <v>1419</v>
      </c>
      <c r="Q85" s="7">
        <f t="shared" si="1"/>
        <v>95370990</v>
      </c>
      <c r="R85" s="7">
        <f t="shared" si="2"/>
        <v>36806355.882352874</v>
      </c>
    </row>
    <row r="86" spans="1:18" ht="15.75" customHeight="1" x14ac:dyDescent="0.35">
      <c r="A86" s="4" t="s">
        <v>100</v>
      </c>
      <c r="B86" s="19" t="s">
        <v>19</v>
      </c>
      <c r="C86" s="19" t="s">
        <v>20</v>
      </c>
      <c r="D86" s="19">
        <v>10</v>
      </c>
      <c r="E86" s="19">
        <v>1036</v>
      </c>
      <c r="F86" s="19">
        <v>2054</v>
      </c>
      <c r="G86" s="19">
        <v>0</v>
      </c>
      <c r="H86" s="19">
        <v>0</v>
      </c>
      <c r="I86" s="19">
        <v>0</v>
      </c>
      <c r="J86" s="19">
        <v>712</v>
      </c>
      <c r="K86" s="19">
        <f t="shared" si="0"/>
        <v>2378</v>
      </c>
      <c r="L86" s="19">
        <v>1031</v>
      </c>
      <c r="M86" s="19">
        <v>24</v>
      </c>
      <c r="N86" s="20">
        <f t="shared" si="11"/>
        <v>34.752808988764045</v>
      </c>
      <c r="P86" s="6">
        <v>2616</v>
      </c>
      <c r="Q86" s="7">
        <f t="shared" si="1"/>
        <v>1862592</v>
      </c>
      <c r="R86" s="7">
        <f t="shared" si="2"/>
        <v>2697096</v>
      </c>
    </row>
    <row r="87" spans="1:18" ht="15.75" customHeight="1" x14ac:dyDescent="0.35">
      <c r="A87" s="4" t="s">
        <v>101</v>
      </c>
      <c r="B87" s="19" t="s">
        <v>19</v>
      </c>
      <c r="C87" s="19" t="s">
        <v>20</v>
      </c>
      <c r="D87" s="19">
        <v>10</v>
      </c>
      <c r="E87" s="19">
        <v>845</v>
      </c>
      <c r="F87" s="19">
        <v>1540</v>
      </c>
      <c r="G87" s="19">
        <v>0</v>
      </c>
      <c r="H87" s="19">
        <v>0</v>
      </c>
      <c r="I87" s="19">
        <v>0</v>
      </c>
      <c r="J87" s="19">
        <v>0</v>
      </c>
      <c r="K87" s="19">
        <f t="shared" si="0"/>
        <v>2385</v>
      </c>
      <c r="L87" s="19">
        <v>2385</v>
      </c>
      <c r="M87" s="19">
        <v>24</v>
      </c>
      <c r="N87" s="20">
        <v>0</v>
      </c>
      <c r="P87" s="6">
        <v>4592</v>
      </c>
      <c r="Q87" s="7">
        <f t="shared" si="1"/>
        <v>0</v>
      </c>
      <c r="R87" s="7">
        <f t="shared" si="2"/>
        <v>10951920</v>
      </c>
    </row>
    <row r="88" spans="1:18" ht="15.75" customHeight="1" x14ac:dyDescent="0.35">
      <c r="A88" s="4" t="s">
        <v>102</v>
      </c>
      <c r="B88" s="19" t="s">
        <v>19</v>
      </c>
      <c r="C88" s="19" t="s">
        <v>20</v>
      </c>
      <c r="D88" s="19">
        <v>10</v>
      </c>
      <c r="E88" s="19">
        <v>11155</v>
      </c>
      <c r="F88" s="19">
        <v>0</v>
      </c>
      <c r="G88" s="19">
        <v>0</v>
      </c>
      <c r="H88" s="19">
        <v>0</v>
      </c>
      <c r="I88" s="19">
        <v>0</v>
      </c>
      <c r="J88" s="19">
        <v>1625</v>
      </c>
      <c r="K88" s="19">
        <f t="shared" si="0"/>
        <v>9530</v>
      </c>
      <c r="L88" s="19">
        <v>9530</v>
      </c>
      <c r="M88" s="19">
        <v>24</v>
      </c>
      <c r="N88" s="20">
        <f t="shared" ref="N88:N98" si="12">(L88/(I88+J88))*M88</f>
        <v>140.75076923076924</v>
      </c>
      <c r="P88" s="6">
        <v>2297</v>
      </c>
      <c r="Q88" s="7">
        <f t="shared" si="1"/>
        <v>3732625</v>
      </c>
      <c r="R88" s="7">
        <f t="shared" si="2"/>
        <v>21890410</v>
      </c>
    </row>
    <row r="89" spans="1:18" ht="15.75" customHeight="1" x14ac:dyDescent="0.35">
      <c r="A89" s="4" t="s">
        <v>103</v>
      </c>
      <c r="B89" s="19" t="s">
        <v>19</v>
      </c>
      <c r="C89" s="19" t="s">
        <v>20</v>
      </c>
      <c r="D89" s="19">
        <v>10</v>
      </c>
      <c r="E89" s="19">
        <v>1925</v>
      </c>
      <c r="F89" s="19">
        <v>0</v>
      </c>
      <c r="G89" s="19">
        <v>0</v>
      </c>
      <c r="H89" s="19">
        <v>0</v>
      </c>
      <c r="I89" s="19">
        <v>0</v>
      </c>
      <c r="J89" s="19">
        <v>400</v>
      </c>
      <c r="K89" s="19">
        <f t="shared" si="0"/>
        <v>1525</v>
      </c>
      <c r="L89" s="19">
        <v>1525</v>
      </c>
      <c r="M89" s="19">
        <v>24</v>
      </c>
      <c r="N89" s="20">
        <f t="shared" si="12"/>
        <v>91.5</v>
      </c>
      <c r="P89" s="6">
        <v>2616</v>
      </c>
      <c r="Q89" s="7">
        <f t="shared" si="1"/>
        <v>1046400</v>
      </c>
      <c r="R89" s="7">
        <f t="shared" si="2"/>
        <v>3989400</v>
      </c>
    </row>
    <row r="90" spans="1:18" ht="15.75" customHeight="1" x14ac:dyDescent="0.35">
      <c r="A90" s="4" t="s">
        <v>104</v>
      </c>
      <c r="B90" s="19" t="s">
        <v>22</v>
      </c>
      <c r="C90" s="19" t="s">
        <v>20</v>
      </c>
      <c r="D90" s="19">
        <v>10</v>
      </c>
      <c r="E90" s="19">
        <v>15945</v>
      </c>
      <c r="F90" s="19">
        <v>68925</v>
      </c>
      <c r="G90" s="19">
        <v>0</v>
      </c>
      <c r="H90" s="19">
        <v>0</v>
      </c>
      <c r="I90" s="19">
        <v>0</v>
      </c>
      <c r="J90" s="19">
        <v>69990</v>
      </c>
      <c r="K90" s="19">
        <f t="shared" si="0"/>
        <v>14880</v>
      </c>
      <c r="L90" s="19">
        <v>14833.4</v>
      </c>
      <c r="M90" s="19">
        <v>24</v>
      </c>
      <c r="N90" s="20">
        <f t="shared" si="12"/>
        <v>5.0864637805400772</v>
      </c>
      <c r="P90" s="6">
        <v>1419</v>
      </c>
      <c r="Q90" s="7">
        <f t="shared" si="1"/>
        <v>99315810</v>
      </c>
      <c r="R90" s="7">
        <f t="shared" si="2"/>
        <v>21048594.599999998</v>
      </c>
    </row>
    <row r="91" spans="1:18" ht="15.75" customHeight="1" x14ac:dyDescent="0.35">
      <c r="A91" s="4" t="s">
        <v>105</v>
      </c>
      <c r="B91" s="19" t="s">
        <v>19</v>
      </c>
      <c r="C91" s="19" t="s">
        <v>20</v>
      </c>
      <c r="D91" s="19">
        <v>10</v>
      </c>
      <c r="E91" s="19">
        <v>1189</v>
      </c>
      <c r="F91" s="19">
        <v>2100</v>
      </c>
      <c r="G91" s="19">
        <v>0</v>
      </c>
      <c r="H91" s="19">
        <v>0</v>
      </c>
      <c r="I91" s="19">
        <v>0</v>
      </c>
      <c r="J91" s="19">
        <v>850</v>
      </c>
      <c r="K91" s="19">
        <f t="shared" si="0"/>
        <v>2439</v>
      </c>
      <c r="L91" s="19">
        <v>1997.3333333333301</v>
      </c>
      <c r="M91" s="19">
        <v>24</v>
      </c>
      <c r="N91" s="20">
        <f t="shared" si="12"/>
        <v>56.395294117646969</v>
      </c>
      <c r="P91" s="6">
        <v>1419</v>
      </c>
      <c r="Q91" s="7">
        <f t="shared" si="1"/>
        <v>1206150</v>
      </c>
      <c r="R91" s="7">
        <f t="shared" si="2"/>
        <v>2834215.9999999953</v>
      </c>
    </row>
    <row r="92" spans="1:18" ht="15.75" customHeight="1" x14ac:dyDescent="0.35">
      <c r="A92" s="4" t="s">
        <v>106</v>
      </c>
      <c r="B92" s="19" t="s">
        <v>19</v>
      </c>
      <c r="C92" s="19" t="s">
        <v>20</v>
      </c>
      <c r="D92" s="19">
        <v>10</v>
      </c>
      <c r="E92" s="19">
        <v>11333</v>
      </c>
      <c r="F92" s="19">
        <v>22202</v>
      </c>
      <c r="G92" s="19">
        <v>0</v>
      </c>
      <c r="H92" s="19">
        <v>0</v>
      </c>
      <c r="I92" s="19">
        <v>0</v>
      </c>
      <c r="J92" s="19">
        <v>27635</v>
      </c>
      <c r="K92" s="19">
        <f t="shared" si="0"/>
        <v>5900</v>
      </c>
      <c r="L92" s="19">
        <v>14177.7</v>
      </c>
      <c r="M92" s="19">
        <v>24</v>
      </c>
      <c r="N92" s="20">
        <f t="shared" si="12"/>
        <v>12.312820698389725</v>
      </c>
      <c r="P92" s="6">
        <v>1968</v>
      </c>
      <c r="Q92" s="7">
        <f t="shared" si="1"/>
        <v>54385680</v>
      </c>
      <c r="R92" s="7">
        <f t="shared" si="2"/>
        <v>27901713.600000001</v>
      </c>
    </row>
    <row r="93" spans="1:18" ht="15.75" customHeight="1" x14ac:dyDescent="0.35">
      <c r="A93" s="4" t="s">
        <v>109</v>
      </c>
      <c r="B93" s="19" t="s">
        <v>19</v>
      </c>
      <c r="C93" s="19" t="s">
        <v>20</v>
      </c>
      <c r="D93" s="19">
        <v>10</v>
      </c>
      <c r="E93" s="19">
        <v>13605</v>
      </c>
      <c r="F93" s="19">
        <v>22234</v>
      </c>
      <c r="G93" s="19">
        <v>0</v>
      </c>
      <c r="H93" s="19">
        <v>0</v>
      </c>
      <c r="I93" s="19">
        <v>20425</v>
      </c>
      <c r="J93" s="19">
        <v>0</v>
      </c>
      <c r="K93" s="19">
        <f t="shared" si="0"/>
        <v>15414</v>
      </c>
      <c r="L93" s="19">
        <v>15165</v>
      </c>
      <c r="M93" s="19">
        <v>24</v>
      </c>
      <c r="N93" s="20">
        <f t="shared" si="12"/>
        <v>17.819339045287638</v>
      </c>
      <c r="P93" s="6">
        <v>1968</v>
      </c>
      <c r="Q93" s="7">
        <f t="shared" si="1"/>
        <v>40196400</v>
      </c>
      <c r="R93" s="7">
        <f t="shared" si="2"/>
        <v>29844720</v>
      </c>
    </row>
    <row r="94" spans="1:18" ht="15.75" customHeight="1" x14ac:dyDescent="0.35">
      <c r="A94" s="4" t="s">
        <v>191</v>
      </c>
      <c r="B94" s="19" t="s">
        <v>19</v>
      </c>
      <c r="C94" s="19" t="s">
        <v>20</v>
      </c>
      <c r="D94" s="19">
        <v>10</v>
      </c>
      <c r="E94" s="19">
        <v>7328</v>
      </c>
      <c r="F94" s="19">
        <v>16271</v>
      </c>
      <c r="G94" s="19">
        <v>0</v>
      </c>
      <c r="H94" s="19">
        <v>0</v>
      </c>
      <c r="I94" s="19">
        <v>12311</v>
      </c>
      <c r="J94" s="19">
        <v>0</v>
      </c>
      <c r="K94" s="19">
        <f t="shared" si="0"/>
        <v>11288</v>
      </c>
      <c r="L94" s="19">
        <v>12867.714285714301</v>
      </c>
      <c r="M94" s="19">
        <v>24</v>
      </c>
      <c r="N94" s="20">
        <f t="shared" si="12"/>
        <v>25.085301182450102</v>
      </c>
      <c r="P94" s="6">
        <v>2157</v>
      </c>
      <c r="Q94" s="7">
        <f t="shared" si="1"/>
        <v>26554827</v>
      </c>
      <c r="R94" s="7">
        <f t="shared" si="2"/>
        <v>27755659.714285746</v>
      </c>
    </row>
    <row r="95" spans="1:18" ht="15.75" customHeight="1" x14ac:dyDescent="0.35">
      <c r="A95" s="4" t="s">
        <v>111</v>
      </c>
      <c r="B95" s="19" t="s">
        <v>19</v>
      </c>
      <c r="C95" s="19" t="s">
        <v>20</v>
      </c>
      <c r="D95" s="19">
        <v>10</v>
      </c>
      <c r="E95" s="19">
        <v>7940</v>
      </c>
      <c r="F95" s="19">
        <v>15096</v>
      </c>
      <c r="G95" s="19">
        <v>0</v>
      </c>
      <c r="H95" s="19">
        <v>0</v>
      </c>
      <c r="I95" s="19">
        <v>0</v>
      </c>
      <c r="J95" s="19">
        <v>12465</v>
      </c>
      <c r="K95" s="19">
        <f t="shared" si="0"/>
        <v>10571</v>
      </c>
      <c r="L95" s="19">
        <v>7839.6923076923104</v>
      </c>
      <c r="M95" s="19">
        <v>24</v>
      </c>
      <c r="N95" s="20">
        <f t="shared" si="12"/>
        <v>15.094473757289647</v>
      </c>
      <c r="P95" s="6">
        <v>2031</v>
      </c>
      <c r="Q95" s="7">
        <f t="shared" si="1"/>
        <v>25316415</v>
      </c>
      <c r="R95" s="7">
        <f t="shared" si="2"/>
        <v>15922415.076923082</v>
      </c>
    </row>
    <row r="96" spans="1:18" ht="15.75" customHeight="1" x14ac:dyDescent="0.35">
      <c r="A96" s="4" t="s">
        <v>112</v>
      </c>
      <c r="B96" s="19" t="s">
        <v>19</v>
      </c>
      <c r="C96" s="19" t="s">
        <v>20</v>
      </c>
      <c r="D96" s="19">
        <v>10</v>
      </c>
      <c r="E96" s="19">
        <v>13596</v>
      </c>
      <c r="F96" s="19">
        <v>3675</v>
      </c>
      <c r="G96" s="19">
        <v>0</v>
      </c>
      <c r="H96" s="19">
        <v>0</v>
      </c>
      <c r="I96" s="19">
        <v>0</v>
      </c>
      <c r="J96" s="19">
        <v>10600</v>
      </c>
      <c r="K96" s="19">
        <f t="shared" si="0"/>
        <v>6671</v>
      </c>
      <c r="L96" s="19">
        <v>6875.1</v>
      </c>
      <c r="M96" s="19">
        <v>24</v>
      </c>
      <c r="N96" s="20">
        <f t="shared" si="12"/>
        <v>15.566264150943397</v>
      </c>
      <c r="P96" s="6">
        <v>2031</v>
      </c>
      <c r="Q96" s="7">
        <f t="shared" si="1"/>
        <v>21528600</v>
      </c>
      <c r="R96" s="7">
        <f t="shared" si="2"/>
        <v>13963328.100000001</v>
      </c>
    </row>
    <row r="97" spans="1:18" ht="15.75" customHeight="1" x14ac:dyDescent="0.35">
      <c r="A97" s="4" t="s">
        <v>113</v>
      </c>
      <c r="B97" s="19" t="s">
        <v>19</v>
      </c>
      <c r="C97" s="19" t="s">
        <v>20</v>
      </c>
      <c r="D97" s="19">
        <v>10</v>
      </c>
      <c r="E97" s="19">
        <v>1050</v>
      </c>
      <c r="F97" s="19">
        <v>1025</v>
      </c>
      <c r="G97" s="19">
        <v>0</v>
      </c>
      <c r="H97" s="19">
        <v>0</v>
      </c>
      <c r="I97" s="19">
        <v>0</v>
      </c>
      <c r="J97" s="19">
        <v>1075</v>
      </c>
      <c r="K97" s="19">
        <f t="shared" si="0"/>
        <v>1000</v>
      </c>
      <c r="L97" s="19">
        <v>1530</v>
      </c>
      <c r="M97" s="19">
        <v>24</v>
      </c>
      <c r="N97" s="20">
        <f t="shared" si="12"/>
        <v>34.158139534883716</v>
      </c>
      <c r="P97" s="6">
        <v>2642</v>
      </c>
      <c r="Q97" s="7">
        <f t="shared" si="1"/>
        <v>2840150</v>
      </c>
      <c r="R97" s="7">
        <f t="shared" si="2"/>
        <v>4042260</v>
      </c>
    </row>
    <row r="98" spans="1:18" ht="15.75" customHeight="1" x14ac:dyDescent="0.35">
      <c r="A98" s="4" t="s">
        <v>114</v>
      </c>
      <c r="B98" s="19" t="s">
        <v>19</v>
      </c>
      <c r="C98" s="19" t="s">
        <v>20</v>
      </c>
      <c r="D98" s="19">
        <v>10</v>
      </c>
      <c r="E98" s="19">
        <v>1250</v>
      </c>
      <c r="F98" s="19">
        <v>1050</v>
      </c>
      <c r="G98" s="19">
        <v>0</v>
      </c>
      <c r="H98" s="19">
        <v>0</v>
      </c>
      <c r="I98" s="19">
        <v>0</v>
      </c>
      <c r="J98" s="19">
        <v>1550</v>
      </c>
      <c r="K98" s="19">
        <f t="shared" si="0"/>
        <v>750</v>
      </c>
      <c r="L98" s="19">
        <v>1100</v>
      </c>
      <c r="M98" s="19">
        <v>24</v>
      </c>
      <c r="N98" s="20">
        <f t="shared" si="12"/>
        <v>17.032258064516128</v>
      </c>
      <c r="P98" s="6">
        <v>2642</v>
      </c>
      <c r="Q98" s="7">
        <f t="shared" si="1"/>
        <v>4095100</v>
      </c>
      <c r="R98" s="7">
        <f t="shared" si="2"/>
        <v>2906200</v>
      </c>
    </row>
    <row r="99" spans="1:18" ht="15.75" customHeight="1" x14ac:dyDescent="0.35">
      <c r="A99" s="4" t="s">
        <v>115</v>
      </c>
      <c r="B99" s="19" t="s">
        <v>19</v>
      </c>
      <c r="C99" s="19" t="s">
        <v>20</v>
      </c>
      <c r="D99" s="19">
        <v>10</v>
      </c>
      <c r="E99" s="19">
        <v>450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f t="shared" si="0"/>
        <v>450</v>
      </c>
      <c r="L99" s="19">
        <v>0</v>
      </c>
      <c r="M99" s="19">
        <v>24</v>
      </c>
      <c r="N99" s="20">
        <v>0</v>
      </c>
      <c r="P99" s="6">
        <v>2488</v>
      </c>
      <c r="Q99" s="7">
        <f t="shared" si="1"/>
        <v>0</v>
      </c>
      <c r="R99" s="7">
        <f t="shared" si="2"/>
        <v>0</v>
      </c>
    </row>
    <row r="100" spans="1:18" ht="15.75" customHeight="1" x14ac:dyDescent="0.35">
      <c r="A100" s="4" t="s">
        <v>116</v>
      </c>
      <c r="B100" s="19" t="s">
        <v>19</v>
      </c>
      <c r="C100" s="19" t="s">
        <v>20</v>
      </c>
      <c r="D100" s="19">
        <v>10</v>
      </c>
      <c r="E100" s="19">
        <v>4400</v>
      </c>
      <c r="F100" s="19">
        <v>1500</v>
      </c>
      <c r="G100" s="19">
        <v>0</v>
      </c>
      <c r="H100" s="19">
        <v>0</v>
      </c>
      <c r="I100" s="19">
        <v>0</v>
      </c>
      <c r="J100" s="19">
        <v>2300</v>
      </c>
      <c r="K100" s="19">
        <f t="shared" si="0"/>
        <v>3600</v>
      </c>
      <c r="L100" s="19">
        <v>4870</v>
      </c>
      <c r="M100" s="19">
        <v>24</v>
      </c>
      <c r="N100" s="20">
        <f t="shared" ref="N100:N115" si="13">(L100/(I100+J100))*M100</f>
        <v>50.817391304347822</v>
      </c>
      <c r="P100" s="6">
        <v>2431</v>
      </c>
      <c r="Q100" s="7">
        <f t="shared" si="1"/>
        <v>5591300</v>
      </c>
      <c r="R100" s="7">
        <f t="shared" si="2"/>
        <v>11838970</v>
      </c>
    </row>
    <row r="101" spans="1:18" ht="15.75" customHeight="1" x14ac:dyDescent="0.35">
      <c r="A101" s="4" t="s">
        <v>117</v>
      </c>
      <c r="B101" s="19" t="s">
        <v>19</v>
      </c>
      <c r="C101" s="19" t="s">
        <v>20</v>
      </c>
      <c r="D101" s="19">
        <v>10</v>
      </c>
      <c r="E101" s="19">
        <v>3310</v>
      </c>
      <c r="F101" s="19">
        <v>4494</v>
      </c>
      <c r="G101" s="19">
        <v>0</v>
      </c>
      <c r="H101" s="19">
        <v>0</v>
      </c>
      <c r="I101" s="19">
        <v>0</v>
      </c>
      <c r="J101" s="19">
        <v>4000</v>
      </c>
      <c r="K101" s="19">
        <f t="shared" si="0"/>
        <v>3804</v>
      </c>
      <c r="L101" s="19">
        <v>3836.8571428571404</v>
      </c>
      <c r="M101" s="19">
        <v>24</v>
      </c>
      <c r="N101" s="20">
        <f t="shared" si="13"/>
        <v>23.021142857142841</v>
      </c>
      <c r="P101" s="6">
        <v>4592</v>
      </c>
      <c r="Q101" s="7">
        <f t="shared" si="1"/>
        <v>18368000</v>
      </c>
      <c r="R101" s="7">
        <f t="shared" si="2"/>
        <v>17618847.999999989</v>
      </c>
    </row>
    <row r="102" spans="1:18" ht="15.75" customHeight="1" x14ac:dyDescent="0.35">
      <c r="A102" s="4" t="s">
        <v>118</v>
      </c>
      <c r="B102" s="19" t="s">
        <v>19</v>
      </c>
      <c r="C102" s="19" t="s">
        <v>20</v>
      </c>
      <c r="D102" s="19">
        <v>10</v>
      </c>
      <c r="E102" s="19">
        <v>2600</v>
      </c>
      <c r="F102" s="19">
        <v>0</v>
      </c>
      <c r="G102" s="19">
        <v>0</v>
      </c>
      <c r="H102" s="19">
        <v>0</v>
      </c>
      <c r="I102" s="19">
        <v>0</v>
      </c>
      <c r="J102" s="19">
        <v>250</v>
      </c>
      <c r="K102" s="19">
        <f t="shared" si="0"/>
        <v>2350</v>
      </c>
      <c r="L102" s="19">
        <v>2350</v>
      </c>
      <c r="M102" s="19">
        <v>24</v>
      </c>
      <c r="N102" s="20">
        <f t="shared" si="13"/>
        <v>225.60000000000002</v>
      </c>
      <c r="P102" s="6">
        <v>2297</v>
      </c>
      <c r="Q102" s="7">
        <f t="shared" si="1"/>
        <v>574250</v>
      </c>
      <c r="R102" s="7">
        <f t="shared" si="2"/>
        <v>5397950</v>
      </c>
    </row>
    <row r="103" spans="1:18" ht="15.75" customHeight="1" x14ac:dyDescent="0.35">
      <c r="A103" s="4" t="s">
        <v>119</v>
      </c>
      <c r="B103" s="19" t="s">
        <v>19</v>
      </c>
      <c r="C103" s="19" t="s">
        <v>20</v>
      </c>
      <c r="D103" s="19">
        <v>10</v>
      </c>
      <c r="E103" s="19">
        <v>2025</v>
      </c>
      <c r="F103" s="19">
        <v>975</v>
      </c>
      <c r="G103" s="19">
        <v>0</v>
      </c>
      <c r="H103" s="19">
        <v>0</v>
      </c>
      <c r="I103" s="19">
        <v>0</v>
      </c>
      <c r="J103" s="19">
        <v>125</v>
      </c>
      <c r="K103" s="19">
        <f t="shared" si="0"/>
        <v>2875</v>
      </c>
      <c r="L103" s="19">
        <v>2387.5</v>
      </c>
      <c r="M103" s="19">
        <v>24</v>
      </c>
      <c r="N103" s="20">
        <f t="shared" si="13"/>
        <v>458.40000000000003</v>
      </c>
      <c r="P103" s="6">
        <v>2616</v>
      </c>
      <c r="Q103" s="7">
        <f t="shared" si="1"/>
        <v>327000</v>
      </c>
      <c r="R103" s="7">
        <f t="shared" si="2"/>
        <v>6245700</v>
      </c>
    </row>
    <row r="104" spans="1:18" ht="15.75" customHeight="1" x14ac:dyDescent="0.35">
      <c r="A104" s="4" t="s">
        <v>120</v>
      </c>
      <c r="B104" s="19" t="s">
        <v>19</v>
      </c>
      <c r="C104" s="19" t="s">
        <v>20</v>
      </c>
      <c r="D104" s="19">
        <v>10</v>
      </c>
      <c r="E104" s="19">
        <v>4229</v>
      </c>
      <c r="F104" s="19">
        <v>16287</v>
      </c>
      <c r="G104" s="19">
        <v>0</v>
      </c>
      <c r="H104" s="19">
        <v>0</v>
      </c>
      <c r="I104" s="19">
        <v>0</v>
      </c>
      <c r="J104" s="19">
        <v>10619</v>
      </c>
      <c r="K104" s="19">
        <f t="shared" si="0"/>
        <v>9897</v>
      </c>
      <c r="L104" s="19">
        <v>9142.9</v>
      </c>
      <c r="M104" s="19">
        <v>24</v>
      </c>
      <c r="N104" s="20">
        <f t="shared" si="13"/>
        <v>20.663866654110556</v>
      </c>
      <c r="P104" s="6">
        <v>1419</v>
      </c>
      <c r="Q104" s="7">
        <f t="shared" si="1"/>
        <v>15068361</v>
      </c>
      <c r="R104" s="7">
        <f t="shared" si="2"/>
        <v>12973775.1</v>
      </c>
    </row>
    <row r="105" spans="1:18" ht="15.75" customHeight="1" x14ac:dyDescent="0.35">
      <c r="A105" s="4" t="s">
        <v>121</v>
      </c>
      <c r="B105" s="19" t="s">
        <v>19</v>
      </c>
      <c r="C105" s="19" t="s">
        <v>20</v>
      </c>
      <c r="D105" s="19">
        <v>10</v>
      </c>
      <c r="E105" s="19">
        <v>1560</v>
      </c>
      <c r="F105" s="19">
        <v>1984</v>
      </c>
      <c r="G105" s="19">
        <v>0</v>
      </c>
      <c r="H105" s="19">
        <v>0</v>
      </c>
      <c r="I105" s="19">
        <v>0</v>
      </c>
      <c r="J105" s="19">
        <v>300</v>
      </c>
      <c r="K105" s="19">
        <f t="shared" si="0"/>
        <v>3244</v>
      </c>
      <c r="L105" s="19">
        <v>3394</v>
      </c>
      <c r="M105" s="19">
        <v>24</v>
      </c>
      <c r="N105" s="20">
        <f t="shared" si="13"/>
        <v>271.52</v>
      </c>
      <c r="P105" s="6">
        <v>2616</v>
      </c>
      <c r="Q105" s="7">
        <f t="shared" si="1"/>
        <v>784800</v>
      </c>
      <c r="R105" s="7">
        <f t="shared" si="2"/>
        <v>8878704</v>
      </c>
    </row>
    <row r="106" spans="1:18" ht="15.75" customHeight="1" x14ac:dyDescent="0.35">
      <c r="A106" s="4" t="s">
        <v>122</v>
      </c>
      <c r="B106" s="19" t="s">
        <v>19</v>
      </c>
      <c r="C106" s="19" t="s">
        <v>20</v>
      </c>
      <c r="D106" s="19">
        <v>10</v>
      </c>
      <c r="E106" s="19">
        <v>7564</v>
      </c>
      <c r="F106" s="19">
        <v>4200</v>
      </c>
      <c r="G106" s="19">
        <v>0</v>
      </c>
      <c r="H106" s="19">
        <v>0</v>
      </c>
      <c r="I106" s="19">
        <v>10245</v>
      </c>
      <c r="J106" s="19">
        <v>0</v>
      </c>
      <c r="K106" s="19">
        <f t="shared" si="0"/>
        <v>1519</v>
      </c>
      <c r="L106" s="19">
        <v>3750.25</v>
      </c>
      <c r="M106" s="19">
        <v>24</v>
      </c>
      <c r="N106" s="20">
        <f t="shared" si="13"/>
        <v>8.7853587115666176</v>
      </c>
      <c r="P106" s="6">
        <v>2246</v>
      </c>
      <c r="Q106" s="7">
        <f t="shared" si="1"/>
        <v>23010270</v>
      </c>
      <c r="R106" s="7">
        <f t="shared" si="2"/>
        <v>8423061.5</v>
      </c>
    </row>
    <row r="107" spans="1:18" ht="15.75" customHeight="1" x14ac:dyDescent="0.35">
      <c r="A107" s="4" t="s">
        <v>123</v>
      </c>
      <c r="B107" s="19" t="s">
        <v>19</v>
      </c>
      <c r="C107" s="19" t="s">
        <v>20</v>
      </c>
      <c r="D107" s="19">
        <v>10</v>
      </c>
      <c r="E107" s="19">
        <v>5089</v>
      </c>
      <c r="F107" s="19">
        <v>2508</v>
      </c>
      <c r="G107" s="19">
        <v>0</v>
      </c>
      <c r="H107" s="19">
        <v>0</v>
      </c>
      <c r="I107" s="19">
        <v>1250</v>
      </c>
      <c r="J107" s="19">
        <v>0</v>
      </c>
      <c r="K107" s="19">
        <f t="shared" si="0"/>
        <v>6347</v>
      </c>
      <c r="L107" s="19">
        <v>6972</v>
      </c>
      <c r="M107" s="19">
        <v>24</v>
      </c>
      <c r="N107" s="20">
        <f t="shared" si="13"/>
        <v>133.86240000000001</v>
      </c>
      <c r="P107" s="6">
        <v>2355</v>
      </c>
      <c r="Q107" s="7">
        <f t="shared" si="1"/>
        <v>2943750</v>
      </c>
      <c r="R107" s="7">
        <f t="shared" si="2"/>
        <v>16419060</v>
      </c>
    </row>
    <row r="108" spans="1:18" ht="15.75" customHeight="1" x14ac:dyDescent="0.35">
      <c r="A108" s="4" t="s">
        <v>124</v>
      </c>
      <c r="B108" s="19" t="s">
        <v>19</v>
      </c>
      <c r="C108" s="19" t="s">
        <v>20</v>
      </c>
      <c r="D108" s="19">
        <v>10</v>
      </c>
      <c r="E108" s="19">
        <v>11441</v>
      </c>
      <c r="F108" s="19">
        <v>1575</v>
      </c>
      <c r="G108" s="19">
        <v>0</v>
      </c>
      <c r="H108" s="19">
        <v>0</v>
      </c>
      <c r="I108" s="19">
        <v>0</v>
      </c>
      <c r="J108" s="19">
        <v>7750</v>
      </c>
      <c r="K108" s="19">
        <f t="shared" si="0"/>
        <v>5266</v>
      </c>
      <c r="L108" s="19">
        <v>7632.6666666666697</v>
      </c>
      <c r="M108" s="19">
        <v>24</v>
      </c>
      <c r="N108" s="20">
        <f t="shared" si="13"/>
        <v>23.636645161290332</v>
      </c>
      <c r="P108" s="6">
        <v>2031</v>
      </c>
      <c r="Q108" s="7">
        <f t="shared" si="1"/>
        <v>15740250</v>
      </c>
      <c r="R108" s="7">
        <f t="shared" si="2"/>
        <v>15501946.000000006</v>
      </c>
    </row>
    <row r="109" spans="1:18" ht="15.75" customHeight="1" x14ac:dyDescent="0.35">
      <c r="A109" s="4" t="s">
        <v>125</v>
      </c>
      <c r="B109" s="19" t="s">
        <v>19</v>
      </c>
      <c r="C109" s="19" t="s">
        <v>20</v>
      </c>
      <c r="D109" s="19">
        <v>10</v>
      </c>
      <c r="E109" s="19">
        <v>1925</v>
      </c>
      <c r="F109" s="19">
        <v>10400</v>
      </c>
      <c r="G109" s="19">
        <v>0</v>
      </c>
      <c r="H109" s="19">
        <v>0</v>
      </c>
      <c r="I109" s="19">
        <v>10300</v>
      </c>
      <c r="J109" s="19">
        <v>0</v>
      </c>
      <c r="K109" s="19">
        <f t="shared" si="0"/>
        <v>2025</v>
      </c>
      <c r="L109" s="19">
        <v>3690.625</v>
      </c>
      <c r="M109" s="19">
        <v>24</v>
      </c>
      <c r="N109" s="20">
        <f t="shared" si="13"/>
        <v>8.599514563106796</v>
      </c>
      <c r="P109" s="6">
        <v>2108</v>
      </c>
      <c r="Q109" s="7">
        <f t="shared" si="1"/>
        <v>21712400</v>
      </c>
      <c r="R109" s="7">
        <f t="shared" si="2"/>
        <v>7779837.5</v>
      </c>
    </row>
    <row r="110" spans="1:18" ht="15.75" customHeight="1" x14ac:dyDescent="0.35">
      <c r="A110" s="4" t="s">
        <v>126</v>
      </c>
      <c r="B110" s="19" t="s">
        <v>19</v>
      </c>
      <c r="C110" s="19" t="s">
        <v>20</v>
      </c>
      <c r="D110" s="19">
        <v>10</v>
      </c>
      <c r="E110" s="19">
        <v>1100</v>
      </c>
      <c r="F110" s="19">
        <v>1475</v>
      </c>
      <c r="G110" s="19">
        <v>0</v>
      </c>
      <c r="H110" s="19">
        <v>0</v>
      </c>
      <c r="I110" s="19">
        <v>1000</v>
      </c>
      <c r="J110" s="19">
        <v>0</v>
      </c>
      <c r="K110" s="19">
        <f t="shared" si="0"/>
        <v>1575</v>
      </c>
      <c r="L110" s="19">
        <v>2075</v>
      </c>
      <c r="M110" s="19">
        <v>24</v>
      </c>
      <c r="N110" s="20">
        <f t="shared" si="13"/>
        <v>49.800000000000004</v>
      </c>
      <c r="P110" s="6">
        <v>2173</v>
      </c>
      <c r="Q110" s="7">
        <f t="shared" si="1"/>
        <v>2173000</v>
      </c>
      <c r="R110" s="7">
        <f t="shared" si="2"/>
        <v>4508975</v>
      </c>
    </row>
    <row r="111" spans="1:18" ht="15.75" customHeight="1" x14ac:dyDescent="0.35">
      <c r="A111" s="4" t="s">
        <v>130</v>
      </c>
      <c r="B111" s="19" t="s">
        <v>19</v>
      </c>
      <c r="C111" s="19" t="s">
        <v>20</v>
      </c>
      <c r="D111" s="19">
        <v>10</v>
      </c>
      <c r="E111" s="19">
        <v>3575</v>
      </c>
      <c r="F111" s="19">
        <v>1096</v>
      </c>
      <c r="G111" s="19">
        <v>0</v>
      </c>
      <c r="H111" s="19">
        <v>0</v>
      </c>
      <c r="I111" s="19">
        <v>2596</v>
      </c>
      <c r="J111" s="19">
        <v>0</v>
      </c>
      <c r="K111" s="19">
        <f t="shared" si="0"/>
        <v>2075</v>
      </c>
      <c r="L111" s="19">
        <v>2825</v>
      </c>
      <c r="M111" s="19">
        <v>24</v>
      </c>
      <c r="N111" s="20">
        <f t="shared" si="13"/>
        <v>26.117103235747301</v>
      </c>
      <c r="P111" s="6">
        <v>2503</v>
      </c>
      <c r="Q111" s="7">
        <f t="shared" si="1"/>
        <v>6497788</v>
      </c>
      <c r="R111" s="7">
        <f t="shared" si="2"/>
        <v>7070975</v>
      </c>
    </row>
    <row r="112" spans="1:18" ht="15.75" customHeight="1" x14ac:dyDescent="0.35">
      <c r="A112" s="4" t="s">
        <v>131</v>
      </c>
      <c r="B112" s="19" t="s">
        <v>19</v>
      </c>
      <c r="C112" s="19" t="s">
        <v>20</v>
      </c>
      <c r="D112" s="19">
        <v>10</v>
      </c>
      <c r="E112" s="19">
        <v>3150</v>
      </c>
      <c r="F112" s="19">
        <v>3150</v>
      </c>
      <c r="G112" s="19">
        <v>0</v>
      </c>
      <c r="H112" s="19">
        <v>0</v>
      </c>
      <c r="I112" s="19">
        <v>4175</v>
      </c>
      <c r="J112" s="19">
        <v>0</v>
      </c>
      <c r="K112" s="19">
        <f t="shared" si="0"/>
        <v>2125</v>
      </c>
      <c r="L112" s="19">
        <v>2350</v>
      </c>
      <c r="M112" s="19">
        <v>24</v>
      </c>
      <c r="N112" s="20">
        <f t="shared" si="13"/>
        <v>13.508982035928144</v>
      </c>
      <c r="P112" s="6">
        <v>2355</v>
      </c>
      <c r="Q112" s="7">
        <f t="shared" si="1"/>
        <v>9832125</v>
      </c>
      <c r="R112" s="7">
        <f t="shared" si="2"/>
        <v>5534250</v>
      </c>
    </row>
    <row r="113" spans="1:18" ht="15.75" customHeight="1" x14ac:dyDescent="0.35">
      <c r="A113" s="4" t="s">
        <v>132</v>
      </c>
      <c r="B113" s="19" t="s">
        <v>19</v>
      </c>
      <c r="C113" s="19" t="s">
        <v>20</v>
      </c>
      <c r="D113" s="19">
        <v>10</v>
      </c>
      <c r="E113" s="19">
        <v>2054</v>
      </c>
      <c r="F113" s="19">
        <v>3570</v>
      </c>
      <c r="G113" s="19">
        <v>0</v>
      </c>
      <c r="H113" s="19">
        <v>0</v>
      </c>
      <c r="I113" s="19">
        <v>3159</v>
      </c>
      <c r="J113" s="19">
        <v>0</v>
      </c>
      <c r="K113" s="19">
        <f t="shared" si="0"/>
        <v>2465</v>
      </c>
      <c r="L113" s="19">
        <v>1694.8333333333301</v>
      </c>
      <c r="M113" s="19">
        <v>24</v>
      </c>
      <c r="N113" s="20">
        <f t="shared" si="13"/>
        <v>12.876226654004407</v>
      </c>
      <c r="P113" s="6">
        <v>2216</v>
      </c>
      <c r="Q113" s="7">
        <f t="shared" si="1"/>
        <v>7000344</v>
      </c>
      <c r="R113" s="7">
        <f t="shared" si="2"/>
        <v>3755750.6666666595</v>
      </c>
    </row>
    <row r="114" spans="1:18" ht="15.75" customHeight="1" x14ac:dyDescent="0.35">
      <c r="A114" s="4" t="s">
        <v>133</v>
      </c>
      <c r="B114" s="19" t="s">
        <v>19</v>
      </c>
      <c r="C114" s="19" t="s">
        <v>20</v>
      </c>
      <c r="D114" s="19">
        <v>10</v>
      </c>
      <c r="E114" s="19">
        <v>3275</v>
      </c>
      <c r="F114" s="19">
        <v>1050</v>
      </c>
      <c r="G114" s="19">
        <v>0</v>
      </c>
      <c r="H114" s="19">
        <v>0</v>
      </c>
      <c r="I114" s="19">
        <v>3425</v>
      </c>
      <c r="J114" s="19">
        <v>0</v>
      </c>
      <c r="K114" s="19">
        <f t="shared" si="0"/>
        <v>900</v>
      </c>
      <c r="L114" s="19">
        <v>1337.5</v>
      </c>
      <c r="M114" s="19">
        <v>24</v>
      </c>
      <c r="N114" s="20">
        <f t="shared" si="13"/>
        <v>9.3722627737226283</v>
      </c>
      <c r="P114" s="6">
        <v>1968</v>
      </c>
      <c r="Q114" s="7">
        <f t="shared" si="1"/>
        <v>6740400</v>
      </c>
      <c r="R114" s="7">
        <f t="shared" si="2"/>
        <v>2632200</v>
      </c>
    </row>
    <row r="115" spans="1:18" ht="15.75" customHeight="1" x14ac:dyDescent="0.35">
      <c r="A115" s="4" t="s">
        <v>192</v>
      </c>
      <c r="B115" s="19" t="s">
        <v>19</v>
      </c>
      <c r="C115" s="19" t="s">
        <v>20</v>
      </c>
      <c r="D115" s="19">
        <v>10</v>
      </c>
      <c r="E115" s="19">
        <v>5550</v>
      </c>
      <c r="F115" s="19">
        <v>0</v>
      </c>
      <c r="G115" s="19">
        <v>0</v>
      </c>
      <c r="H115" s="19">
        <v>0</v>
      </c>
      <c r="I115" s="19">
        <v>0</v>
      </c>
      <c r="J115" s="19">
        <v>2750</v>
      </c>
      <c r="K115" s="19">
        <f t="shared" si="0"/>
        <v>2800</v>
      </c>
      <c r="L115" s="19">
        <v>3425</v>
      </c>
      <c r="M115" s="19">
        <v>24</v>
      </c>
      <c r="N115" s="20">
        <f t="shared" si="13"/>
        <v>29.890909090909091</v>
      </c>
      <c r="P115" s="6">
        <v>2297</v>
      </c>
      <c r="Q115" s="7">
        <f t="shared" si="1"/>
        <v>6316750</v>
      </c>
      <c r="R115" s="7">
        <f t="shared" si="2"/>
        <v>7867225</v>
      </c>
    </row>
    <row r="116" spans="1:18" ht="15.75" customHeight="1" x14ac:dyDescent="0.35">
      <c r="A116" s="4" t="s">
        <v>193</v>
      </c>
      <c r="B116" s="19" t="s">
        <v>19</v>
      </c>
      <c r="C116" s="19" t="s">
        <v>20</v>
      </c>
      <c r="D116" s="19">
        <v>10</v>
      </c>
      <c r="E116" s="19">
        <v>2500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f t="shared" si="0"/>
        <v>2500</v>
      </c>
      <c r="L116" s="19">
        <v>0</v>
      </c>
      <c r="M116" s="19">
        <v>24</v>
      </c>
      <c r="N116" s="20">
        <v>0</v>
      </c>
      <c r="P116" s="6">
        <v>2616</v>
      </c>
      <c r="Q116" s="7">
        <f t="shared" si="1"/>
        <v>0</v>
      </c>
      <c r="R116" s="7">
        <f t="shared" si="2"/>
        <v>0</v>
      </c>
    </row>
    <row r="117" spans="1:18" ht="15.75" customHeight="1" x14ac:dyDescent="0.35">
      <c r="A117" s="4" t="s">
        <v>137</v>
      </c>
      <c r="B117" s="19" t="s">
        <v>19</v>
      </c>
      <c r="C117" s="19" t="s">
        <v>20</v>
      </c>
      <c r="D117" s="19">
        <v>10</v>
      </c>
      <c r="E117" s="19">
        <v>2329</v>
      </c>
      <c r="F117" s="19">
        <v>0</v>
      </c>
      <c r="G117" s="19">
        <v>0</v>
      </c>
      <c r="H117" s="19">
        <v>0</v>
      </c>
      <c r="I117" s="19">
        <v>850</v>
      </c>
      <c r="J117" s="19">
        <v>0</v>
      </c>
      <c r="K117" s="19">
        <f t="shared" si="0"/>
        <v>1479</v>
      </c>
      <c r="L117" s="19">
        <v>1654</v>
      </c>
      <c r="M117" s="19">
        <v>24</v>
      </c>
      <c r="N117" s="20">
        <f t="shared" ref="N117:N121" si="14">(L117/(I117+J117))*M117</f>
        <v>46.701176470588237</v>
      </c>
      <c r="P117" s="6">
        <v>2355</v>
      </c>
      <c r="Q117" s="7">
        <f t="shared" si="1"/>
        <v>2001750</v>
      </c>
      <c r="R117" s="7">
        <f t="shared" si="2"/>
        <v>3895170</v>
      </c>
    </row>
    <row r="118" spans="1:18" ht="15.75" customHeight="1" x14ac:dyDescent="0.35">
      <c r="A118" s="4" t="s">
        <v>138</v>
      </c>
      <c r="B118" s="19" t="s">
        <v>19</v>
      </c>
      <c r="C118" s="19" t="s">
        <v>20</v>
      </c>
      <c r="D118" s="19">
        <v>10</v>
      </c>
      <c r="E118" s="19">
        <v>1900</v>
      </c>
      <c r="F118" s="19">
        <v>0</v>
      </c>
      <c r="G118" s="19">
        <v>0</v>
      </c>
      <c r="H118" s="19">
        <v>0</v>
      </c>
      <c r="I118" s="19">
        <v>200</v>
      </c>
      <c r="J118" s="19">
        <v>0</v>
      </c>
      <c r="K118" s="19">
        <f t="shared" si="0"/>
        <v>1700</v>
      </c>
      <c r="L118" s="19">
        <v>1700</v>
      </c>
      <c r="M118" s="19">
        <v>24</v>
      </c>
      <c r="N118" s="20">
        <f t="shared" si="14"/>
        <v>204</v>
      </c>
      <c r="P118" s="6">
        <v>2372</v>
      </c>
      <c r="Q118" s="7">
        <f t="shared" si="1"/>
        <v>474400</v>
      </c>
      <c r="R118" s="7">
        <f t="shared" si="2"/>
        <v>4032400</v>
      </c>
    </row>
    <row r="119" spans="1:18" ht="15.75" customHeight="1" x14ac:dyDescent="0.35">
      <c r="A119" s="4" t="s">
        <v>139</v>
      </c>
      <c r="B119" s="19" t="s">
        <v>19</v>
      </c>
      <c r="C119" s="19" t="s">
        <v>20</v>
      </c>
      <c r="D119" s="19">
        <v>10</v>
      </c>
      <c r="E119" s="19">
        <v>2000</v>
      </c>
      <c r="F119" s="19">
        <v>0</v>
      </c>
      <c r="G119" s="19">
        <v>0</v>
      </c>
      <c r="H119" s="19">
        <v>0</v>
      </c>
      <c r="I119" s="19">
        <v>775</v>
      </c>
      <c r="J119" s="19">
        <v>0</v>
      </c>
      <c r="K119" s="19">
        <f t="shared" si="0"/>
        <v>1225</v>
      </c>
      <c r="L119" s="19">
        <v>1350</v>
      </c>
      <c r="M119" s="19">
        <v>24</v>
      </c>
      <c r="N119" s="20">
        <f t="shared" si="14"/>
        <v>41.806451612903224</v>
      </c>
      <c r="P119" s="6">
        <v>3482</v>
      </c>
      <c r="Q119" s="7">
        <f t="shared" si="1"/>
        <v>2698550</v>
      </c>
      <c r="R119" s="7">
        <f t="shared" si="2"/>
        <v>4700700</v>
      </c>
    </row>
    <row r="120" spans="1:18" ht="15.75" customHeight="1" x14ac:dyDescent="0.35">
      <c r="A120" s="4" t="s">
        <v>140</v>
      </c>
      <c r="B120" s="19" t="s">
        <v>19</v>
      </c>
      <c r="C120" s="19" t="s">
        <v>20</v>
      </c>
      <c r="D120" s="19">
        <v>10</v>
      </c>
      <c r="E120" s="19">
        <v>2800</v>
      </c>
      <c r="F120" s="19">
        <v>0</v>
      </c>
      <c r="G120" s="19">
        <v>0</v>
      </c>
      <c r="H120" s="19">
        <v>0</v>
      </c>
      <c r="I120" s="19">
        <v>700</v>
      </c>
      <c r="J120" s="19">
        <v>0</v>
      </c>
      <c r="K120" s="19">
        <f t="shared" si="0"/>
        <v>2100</v>
      </c>
      <c r="L120" s="19">
        <v>2400</v>
      </c>
      <c r="M120" s="19">
        <v>24</v>
      </c>
      <c r="N120" s="20">
        <f t="shared" si="14"/>
        <v>82.285714285714278</v>
      </c>
      <c r="P120" s="6">
        <v>2555</v>
      </c>
      <c r="Q120" s="7">
        <f t="shared" si="1"/>
        <v>1788500</v>
      </c>
      <c r="R120" s="7">
        <f t="shared" si="2"/>
        <v>6132000</v>
      </c>
    </row>
    <row r="121" spans="1:18" ht="15.75" customHeight="1" x14ac:dyDescent="0.35">
      <c r="A121" s="4" t="s">
        <v>141</v>
      </c>
      <c r="B121" s="19" t="s">
        <v>19</v>
      </c>
      <c r="C121" s="19" t="s">
        <v>20</v>
      </c>
      <c r="D121" s="19">
        <v>10</v>
      </c>
      <c r="E121" s="19">
        <v>1889</v>
      </c>
      <c r="F121" s="19">
        <v>0</v>
      </c>
      <c r="G121" s="19">
        <v>0</v>
      </c>
      <c r="H121" s="19">
        <v>0</v>
      </c>
      <c r="I121" s="19">
        <v>1400</v>
      </c>
      <c r="J121" s="19">
        <v>0</v>
      </c>
      <c r="K121" s="19">
        <f t="shared" si="0"/>
        <v>489</v>
      </c>
      <c r="L121" s="19">
        <v>939</v>
      </c>
      <c r="M121" s="19">
        <v>24</v>
      </c>
      <c r="N121" s="20">
        <f t="shared" si="14"/>
        <v>16.097142857142856</v>
      </c>
      <c r="P121" s="6">
        <v>3665</v>
      </c>
      <c r="Q121" s="7">
        <f t="shared" si="1"/>
        <v>5131000</v>
      </c>
      <c r="R121" s="7">
        <f t="shared" si="2"/>
        <v>3441435</v>
      </c>
    </row>
    <row r="122" spans="1:18" ht="15.75" customHeight="1" x14ac:dyDescent="0.35">
      <c r="A122" s="4" t="s">
        <v>142</v>
      </c>
      <c r="B122" s="19" t="s">
        <v>19</v>
      </c>
      <c r="C122" s="19" t="s">
        <v>20</v>
      </c>
      <c r="D122" s="19">
        <v>10</v>
      </c>
      <c r="E122" s="19">
        <v>1522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f t="shared" si="0"/>
        <v>1522</v>
      </c>
      <c r="L122" s="19">
        <v>0</v>
      </c>
      <c r="M122" s="19">
        <v>24</v>
      </c>
      <c r="N122" s="20">
        <v>0</v>
      </c>
      <c r="P122" s="6">
        <v>1904</v>
      </c>
      <c r="Q122" s="7">
        <f t="shared" si="1"/>
        <v>0</v>
      </c>
      <c r="R122" s="7">
        <f t="shared" si="2"/>
        <v>0</v>
      </c>
    </row>
    <row r="123" spans="1:18" ht="15.75" customHeight="1" x14ac:dyDescent="0.35">
      <c r="A123" s="4" t="s">
        <v>143</v>
      </c>
      <c r="B123" s="19" t="s">
        <v>19</v>
      </c>
      <c r="C123" s="19" t="s">
        <v>20</v>
      </c>
      <c r="D123" s="19">
        <v>10</v>
      </c>
      <c r="E123" s="19">
        <v>3400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f t="shared" si="0"/>
        <v>3400</v>
      </c>
      <c r="L123" s="19">
        <v>0</v>
      </c>
      <c r="M123" s="19">
        <v>24</v>
      </c>
      <c r="N123" s="20">
        <v>0</v>
      </c>
      <c r="P123" s="6">
        <v>994</v>
      </c>
      <c r="Q123" s="7">
        <f t="shared" si="1"/>
        <v>0</v>
      </c>
      <c r="R123" s="7">
        <f t="shared" si="2"/>
        <v>0</v>
      </c>
    </row>
    <row r="124" spans="1:18" ht="15.75" customHeight="1" x14ac:dyDescent="0.35">
      <c r="A124" s="4" t="s">
        <v>144</v>
      </c>
      <c r="B124" s="19" t="s">
        <v>19</v>
      </c>
      <c r="C124" s="19" t="s">
        <v>20</v>
      </c>
      <c r="D124" s="19">
        <v>10</v>
      </c>
      <c r="E124" s="19">
        <v>425</v>
      </c>
      <c r="F124" s="19">
        <v>5000</v>
      </c>
      <c r="G124" s="19">
        <v>0</v>
      </c>
      <c r="H124" s="19">
        <v>0</v>
      </c>
      <c r="I124" s="19">
        <v>0</v>
      </c>
      <c r="J124" s="19">
        <v>2425</v>
      </c>
      <c r="K124" s="19">
        <f t="shared" si="0"/>
        <v>3000</v>
      </c>
      <c r="L124" s="19">
        <v>1250</v>
      </c>
      <c r="M124" s="19">
        <v>24</v>
      </c>
      <c r="N124" s="20">
        <f t="shared" ref="N124:N128" si="15">(L124/(I124+J124))*M124</f>
        <v>12.371134020618555</v>
      </c>
      <c r="P124" s="6">
        <v>994</v>
      </c>
      <c r="Q124" s="7">
        <f t="shared" si="1"/>
        <v>2410450</v>
      </c>
      <c r="R124" s="7">
        <f t="shared" si="2"/>
        <v>1242500</v>
      </c>
    </row>
    <row r="125" spans="1:18" ht="15.75" customHeight="1" x14ac:dyDescent="0.35">
      <c r="A125" s="4" t="s">
        <v>145</v>
      </c>
      <c r="B125" s="19" t="s">
        <v>19</v>
      </c>
      <c r="C125" s="19" t="s">
        <v>20</v>
      </c>
      <c r="D125" s="19">
        <v>10</v>
      </c>
      <c r="E125" s="19">
        <v>1945</v>
      </c>
      <c r="F125" s="19">
        <v>0</v>
      </c>
      <c r="G125" s="19">
        <v>0</v>
      </c>
      <c r="H125" s="19">
        <v>0</v>
      </c>
      <c r="I125" s="19">
        <v>0</v>
      </c>
      <c r="J125" s="19">
        <v>650</v>
      </c>
      <c r="K125" s="19">
        <f t="shared" si="0"/>
        <v>1295</v>
      </c>
      <c r="L125" s="19">
        <v>1295</v>
      </c>
      <c r="M125" s="19">
        <v>24</v>
      </c>
      <c r="N125" s="20">
        <f t="shared" si="15"/>
        <v>47.815384615384616</v>
      </c>
      <c r="P125" s="6">
        <v>3489</v>
      </c>
      <c r="Q125" s="7">
        <f t="shared" si="1"/>
        <v>2267850</v>
      </c>
      <c r="R125" s="7">
        <f t="shared" si="2"/>
        <v>4518255</v>
      </c>
    </row>
    <row r="126" spans="1:18" ht="15.75" customHeight="1" x14ac:dyDescent="0.35">
      <c r="A126" s="4" t="s">
        <v>175</v>
      </c>
      <c r="B126" s="19" t="s">
        <v>19</v>
      </c>
      <c r="C126" s="19" t="s">
        <v>20</v>
      </c>
      <c r="D126" s="19">
        <v>10</v>
      </c>
      <c r="E126" s="19">
        <v>850</v>
      </c>
      <c r="F126" s="19">
        <v>0</v>
      </c>
      <c r="G126" s="19">
        <v>0</v>
      </c>
      <c r="H126" s="19">
        <v>0</v>
      </c>
      <c r="I126" s="19">
        <v>100</v>
      </c>
      <c r="J126" s="19">
        <v>0</v>
      </c>
      <c r="K126" s="19">
        <f t="shared" si="0"/>
        <v>750</v>
      </c>
      <c r="L126" s="19">
        <v>750</v>
      </c>
      <c r="M126" s="19">
        <v>24</v>
      </c>
      <c r="N126" s="20">
        <f t="shared" si="15"/>
        <v>180</v>
      </c>
      <c r="P126" s="6">
        <v>3162</v>
      </c>
      <c r="Q126" s="7">
        <f t="shared" si="1"/>
        <v>316200</v>
      </c>
      <c r="R126" s="7">
        <f t="shared" si="2"/>
        <v>2371500</v>
      </c>
    </row>
    <row r="127" spans="1:18" ht="15.75" customHeight="1" x14ac:dyDescent="0.35">
      <c r="A127" s="4" t="s">
        <v>176</v>
      </c>
      <c r="B127" s="19" t="s">
        <v>19</v>
      </c>
      <c r="C127" s="19" t="s">
        <v>20</v>
      </c>
      <c r="D127" s="19">
        <v>10</v>
      </c>
      <c r="E127" s="19">
        <v>1563</v>
      </c>
      <c r="F127" s="19">
        <v>3121</v>
      </c>
      <c r="G127" s="19">
        <v>0</v>
      </c>
      <c r="H127" s="19">
        <v>0</v>
      </c>
      <c r="I127" s="19">
        <v>875</v>
      </c>
      <c r="J127" s="19">
        <v>0</v>
      </c>
      <c r="K127" s="19">
        <f t="shared" si="0"/>
        <v>3809</v>
      </c>
      <c r="L127" s="19">
        <v>3620.6</v>
      </c>
      <c r="M127" s="19">
        <v>24</v>
      </c>
      <c r="N127" s="20">
        <f t="shared" si="15"/>
        <v>99.307885714285703</v>
      </c>
      <c r="P127" s="6">
        <v>3567</v>
      </c>
      <c r="Q127" s="7">
        <f t="shared" si="1"/>
        <v>3121125</v>
      </c>
      <c r="R127" s="7">
        <f t="shared" si="2"/>
        <v>12914680.199999999</v>
      </c>
    </row>
    <row r="128" spans="1:18" ht="15.75" customHeight="1" x14ac:dyDescent="0.35">
      <c r="A128" s="4" t="s">
        <v>177</v>
      </c>
      <c r="B128" s="19" t="s">
        <v>19</v>
      </c>
      <c r="C128" s="19" t="s">
        <v>20</v>
      </c>
      <c r="D128" s="19">
        <v>10</v>
      </c>
      <c r="E128" s="19">
        <v>475</v>
      </c>
      <c r="F128" s="19">
        <v>1050</v>
      </c>
      <c r="G128" s="19">
        <v>0</v>
      </c>
      <c r="H128" s="19">
        <v>0</v>
      </c>
      <c r="I128" s="19">
        <v>75</v>
      </c>
      <c r="J128" s="19">
        <v>0</v>
      </c>
      <c r="K128" s="19">
        <f t="shared" si="0"/>
        <v>1450</v>
      </c>
      <c r="L128" s="19">
        <v>925</v>
      </c>
      <c r="M128" s="19">
        <v>24</v>
      </c>
      <c r="N128" s="20">
        <f t="shared" si="15"/>
        <v>296</v>
      </c>
      <c r="P128" s="6">
        <v>3850</v>
      </c>
      <c r="Q128" s="7">
        <f t="shared" si="1"/>
        <v>288750</v>
      </c>
      <c r="R128" s="7">
        <f t="shared" si="2"/>
        <v>3561250</v>
      </c>
    </row>
    <row r="129" spans="1:18" ht="15.75" customHeight="1" x14ac:dyDescent="0.35">
      <c r="A129" s="4" t="s">
        <v>178</v>
      </c>
      <c r="B129" s="19" t="s">
        <v>19</v>
      </c>
      <c r="C129" s="19" t="s">
        <v>20</v>
      </c>
      <c r="D129" s="19">
        <v>10</v>
      </c>
      <c r="E129" s="19">
        <v>1500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f t="shared" si="0"/>
        <v>1500</v>
      </c>
      <c r="L129" s="19">
        <v>0</v>
      </c>
      <c r="M129" s="19">
        <v>24</v>
      </c>
      <c r="N129" s="20">
        <v>0</v>
      </c>
      <c r="P129" s="6">
        <v>1402</v>
      </c>
      <c r="Q129" s="7">
        <f t="shared" si="1"/>
        <v>0</v>
      </c>
      <c r="R129" s="7">
        <f t="shared" si="2"/>
        <v>0</v>
      </c>
    </row>
    <row r="130" spans="1:18" ht="15.75" customHeight="1" x14ac:dyDescent="0.35">
      <c r="A130" s="4" t="s">
        <v>147</v>
      </c>
      <c r="B130" s="19" t="s">
        <v>19</v>
      </c>
      <c r="C130" s="19" t="s">
        <v>20</v>
      </c>
      <c r="D130" s="19">
        <v>10</v>
      </c>
      <c r="E130" s="19">
        <v>6800</v>
      </c>
      <c r="F130" s="19">
        <v>12475</v>
      </c>
      <c r="G130" s="19">
        <v>0</v>
      </c>
      <c r="H130" s="19">
        <v>0</v>
      </c>
      <c r="I130" s="19">
        <v>2000</v>
      </c>
      <c r="J130" s="19">
        <v>6050</v>
      </c>
      <c r="K130" s="19">
        <f t="shared" si="0"/>
        <v>11225</v>
      </c>
      <c r="L130" s="19">
        <v>7996.1538461538494</v>
      </c>
      <c r="M130" s="19">
        <v>24</v>
      </c>
      <c r="N130" s="20">
        <f t="shared" ref="N130:N131" si="16">(L130/(I130+J130))*M130</f>
        <v>23.839464882943155</v>
      </c>
      <c r="P130" s="6">
        <v>6112</v>
      </c>
      <c r="Q130" s="7">
        <f t="shared" si="1"/>
        <v>49201600</v>
      </c>
      <c r="R130" s="7">
        <f t="shared" si="2"/>
        <v>48872492.307692327</v>
      </c>
    </row>
    <row r="131" spans="1:18" ht="15.75" customHeight="1" x14ac:dyDescent="0.35">
      <c r="A131" s="4" t="s">
        <v>148</v>
      </c>
      <c r="B131" s="19" t="s">
        <v>19</v>
      </c>
      <c r="C131" s="19" t="s">
        <v>20</v>
      </c>
      <c r="D131" s="19">
        <v>10</v>
      </c>
      <c r="E131" s="19">
        <v>1972</v>
      </c>
      <c r="F131" s="19">
        <v>0</v>
      </c>
      <c r="G131" s="19">
        <v>0</v>
      </c>
      <c r="H131" s="19">
        <v>0</v>
      </c>
      <c r="I131" s="19">
        <v>25</v>
      </c>
      <c r="J131" s="19">
        <v>1375</v>
      </c>
      <c r="K131" s="19">
        <f t="shared" si="0"/>
        <v>572</v>
      </c>
      <c r="L131" s="19">
        <v>822</v>
      </c>
      <c r="M131" s="19">
        <v>24</v>
      </c>
      <c r="N131" s="20">
        <f t="shared" si="16"/>
        <v>14.091428571428573</v>
      </c>
      <c r="P131" s="6">
        <v>2392</v>
      </c>
      <c r="Q131" s="7">
        <f t="shared" si="1"/>
        <v>3348800</v>
      </c>
      <c r="R131" s="7">
        <f t="shared" si="2"/>
        <v>1966224</v>
      </c>
    </row>
    <row r="132" spans="1:18" ht="15.75" customHeight="1" x14ac:dyDescent="0.35">
      <c r="A132" s="4" t="s">
        <v>149</v>
      </c>
      <c r="B132" s="19" t="s">
        <v>19</v>
      </c>
      <c r="C132" s="19" t="s">
        <v>20</v>
      </c>
      <c r="D132" s="19">
        <v>10</v>
      </c>
      <c r="E132" s="19">
        <v>24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f t="shared" si="0"/>
        <v>24</v>
      </c>
      <c r="L132" s="19">
        <v>0</v>
      </c>
      <c r="M132" s="19">
        <v>24</v>
      </c>
      <c r="N132" s="20">
        <v>0</v>
      </c>
      <c r="P132" s="6">
        <v>2651</v>
      </c>
      <c r="Q132" s="7">
        <f t="shared" si="1"/>
        <v>0</v>
      </c>
      <c r="R132" s="7">
        <f t="shared" si="2"/>
        <v>0</v>
      </c>
    </row>
    <row r="133" spans="1:18" ht="15.75" customHeight="1" x14ac:dyDescent="0.35">
      <c r="A133" s="4" t="s">
        <v>204</v>
      </c>
      <c r="B133" s="19" t="s">
        <v>19</v>
      </c>
      <c r="C133" s="19" t="s">
        <v>20</v>
      </c>
      <c r="D133" s="19">
        <v>10</v>
      </c>
      <c r="E133" s="19">
        <v>0</v>
      </c>
      <c r="F133" s="19">
        <v>1020</v>
      </c>
      <c r="G133" s="19">
        <v>0</v>
      </c>
      <c r="H133" s="19">
        <v>0</v>
      </c>
      <c r="I133" s="19">
        <v>0</v>
      </c>
      <c r="J133" s="19">
        <v>0</v>
      </c>
      <c r="K133" s="19">
        <f t="shared" si="0"/>
        <v>1020</v>
      </c>
      <c r="L133" s="19">
        <v>1020</v>
      </c>
      <c r="M133" s="19">
        <v>24</v>
      </c>
      <c r="N133" s="20">
        <v>0</v>
      </c>
      <c r="P133" s="6">
        <v>2651</v>
      </c>
      <c r="Q133" s="7">
        <f t="shared" si="1"/>
        <v>0</v>
      </c>
      <c r="R133" s="7">
        <f t="shared" si="2"/>
        <v>2704020</v>
      </c>
    </row>
    <row r="134" spans="1:18" ht="15.75" customHeight="1" x14ac:dyDescent="0.35">
      <c r="A134" s="4" t="s">
        <v>150</v>
      </c>
      <c r="B134" s="19" t="s">
        <v>19</v>
      </c>
      <c r="C134" s="19" t="s">
        <v>20</v>
      </c>
      <c r="D134" s="19">
        <v>10</v>
      </c>
      <c r="E134" s="19">
        <v>1531</v>
      </c>
      <c r="F134" s="19">
        <v>0</v>
      </c>
      <c r="G134" s="19">
        <v>0</v>
      </c>
      <c r="H134" s="19">
        <v>0</v>
      </c>
      <c r="I134" s="19">
        <v>590</v>
      </c>
      <c r="J134" s="19">
        <v>0</v>
      </c>
      <c r="K134" s="19">
        <f t="shared" si="0"/>
        <v>941</v>
      </c>
      <c r="L134" s="19">
        <v>1197</v>
      </c>
      <c r="M134" s="19">
        <v>24</v>
      </c>
      <c r="N134" s="20">
        <f t="shared" ref="N134:N143" si="17">(L134/(I134+J134))*M134</f>
        <v>48.69152542372882</v>
      </c>
      <c r="P134" s="6">
        <v>4343</v>
      </c>
      <c r="Q134" s="7">
        <f t="shared" si="1"/>
        <v>2562370</v>
      </c>
      <c r="R134" s="7">
        <f t="shared" si="2"/>
        <v>5198571</v>
      </c>
    </row>
    <row r="135" spans="1:18" ht="15.75" customHeight="1" x14ac:dyDescent="0.35">
      <c r="A135" s="4" t="s">
        <v>151</v>
      </c>
      <c r="B135" s="19" t="s">
        <v>19</v>
      </c>
      <c r="C135" s="19" t="s">
        <v>20</v>
      </c>
      <c r="D135" s="19">
        <v>10</v>
      </c>
      <c r="E135" s="19">
        <v>1818</v>
      </c>
      <c r="F135" s="19">
        <v>0</v>
      </c>
      <c r="G135" s="19">
        <v>0</v>
      </c>
      <c r="H135" s="19">
        <v>0</v>
      </c>
      <c r="I135" s="19">
        <v>750</v>
      </c>
      <c r="J135" s="19">
        <v>0</v>
      </c>
      <c r="K135" s="19">
        <f t="shared" si="0"/>
        <v>1068</v>
      </c>
      <c r="L135" s="19">
        <v>1334.6666666666702</v>
      </c>
      <c r="M135" s="19">
        <v>24</v>
      </c>
      <c r="N135" s="20">
        <f t="shared" si="17"/>
        <v>42.709333333333447</v>
      </c>
      <c r="P135" s="6">
        <v>2970</v>
      </c>
      <c r="Q135" s="7">
        <f t="shared" si="1"/>
        <v>2227500</v>
      </c>
      <c r="R135" s="7">
        <f t="shared" si="2"/>
        <v>3963960.0000000102</v>
      </c>
    </row>
    <row r="136" spans="1:18" ht="15.75" customHeight="1" x14ac:dyDescent="0.35">
      <c r="A136" s="4" t="s">
        <v>197</v>
      </c>
      <c r="B136" s="19" t="s">
        <v>19</v>
      </c>
      <c r="C136" s="19" t="s">
        <v>20</v>
      </c>
      <c r="D136" s="19">
        <v>10</v>
      </c>
      <c r="E136" s="19">
        <v>1281</v>
      </c>
      <c r="F136" s="19">
        <v>2047</v>
      </c>
      <c r="G136" s="19">
        <v>0</v>
      </c>
      <c r="H136" s="19">
        <v>0</v>
      </c>
      <c r="I136" s="19">
        <v>1105</v>
      </c>
      <c r="J136" s="19">
        <v>0</v>
      </c>
      <c r="K136" s="19">
        <f t="shared" si="0"/>
        <v>2223</v>
      </c>
      <c r="L136" s="19">
        <v>2008.1666666666702</v>
      </c>
      <c r="M136" s="19">
        <v>24</v>
      </c>
      <c r="N136" s="20">
        <f t="shared" si="17"/>
        <v>43.616289592760253</v>
      </c>
      <c r="P136" s="6">
        <v>2970</v>
      </c>
      <c r="Q136" s="7">
        <f t="shared" si="1"/>
        <v>3281850</v>
      </c>
      <c r="R136" s="7">
        <f t="shared" si="2"/>
        <v>5964255.0000000102</v>
      </c>
    </row>
    <row r="137" spans="1:18" ht="15.75" customHeight="1" x14ac:dyDescent="0.35">
      <c r="A137" s="4" t="s">
        <v>153</v>
      </c>
      <c r="B137" s="19" t="s">
        <v>19</v>
      </c>
      <c r="C137" s="19" t="s">
        <v>20</v>
      </c>
      <c r="D137" s="19">
        <v>10</v>
      </c>
      <c r="E137" s="19">
        <v>830</v>
      </c>
      <c r="F137" s="19">
        <v>0</v>
      </c>
      <c r="G137" s="19">
        <v>0</v>
      </c>
      <c r="H137" s="19">
        <v>0</v>
      </c>
      <c r="I137" s="19">
        <v>100</v>
      </c>
      <c r="J137" s="19">
        <v>0</v>
      </c>
      <c r="K137" s="19">
        <f t="shared" si="0"/>
        <v>730</v>
      </c>
      <c r="L137" s="19">
        <v>755</v>
      </c>
      <c r="M137" s="19">
        <v>24</v>
      </c>
      <c r="N137" s="20">
        <f t="shared" si="17"/>
        <v>181.2</v>
      </c>
      <c r="P137" s="6">
        <v>2607</v>
      </c>
      <c r="Q137" s="7">
        <f t="shared" si="1"/>
        <v>260700</v>
      </c>
      <c r="R137" s="7">
        <f t="shared" si="2"/>
        <v>1968285</v>
      </c>
    </row>
    <row r="138" spans="1:18" ht="15.75" customHeight="1" x14ac:dyDescent="0.35">
      <c r="A138" s="4" t="s">
        <v>154</v>
      </c>
      <c r="B138" s="19" t="s">
        <v>19</v>
      </c>
      <c r="C138" s="19" t="s">
        <v>20</v>
      </c>
      <c r="D138" s="19">
        <v>10</v>
      </c>
      <c r="E138" s="19">
        <v>1453</v>
      </c>
      <c r="F138" s="19">
        <v>2500</v>
      </c>
      <c r="G138" s="19">
        <v>0</v>
      </c>
      <c r="H138" s="19">
        <v>0</v>
      </c>
      <c r="I138" s="19">
        <v>2703</v>
      </c>
      <c r="J138" s="19">
        <v>0</v>
      </c>
      <c r="K138" s="19">
        <f t="shared" si="0"/>
        <v>1250</v>
      </c>
      <c r="L138" s="19">
        <v>807.88888888888903</v>
      </c>
      <c r="M138" s="19">
        <v>24</v>
      </c>
      <c r="N138" s="20">
        <f t="shared" si="17"/>
        <v>7.1732642742631647</v>
      </c>
      <c r="P138" s="6">
        <v>1928</v>
      </c>
      <c r="Q138" s="7">
        <f t="shared" si="1"/>
        <v>5211384</v>
      </c>
      <c r="R138" s="7">
        <f t="shared" si="2"/>
        <v>1557609.777777778</v>
      </c>
    </row>
    <row r="139" spans="1:18" ht="15.75" customHeight="1" x14ac:dyDescent="0.35">
      <c r="A139" s="4" t="s">
        <v>155</v>
      </c>
      <c r="B139" s="19" t="s">
        <v>19</v>
      </c>
      <c r="C139" s="19" t="s">
        <v>20</v>
      </c>
      <c r="D139" s="19">
        <v>10</v>
      </c>
      <c r="E139" s="19">
        <v>23035</v>
      </c>
      <c r="F139" s="19">
        <v>0</v>
      </c>
      <c r="G139" s="19">
        <v>0</v>
      </c>
      <c r="H139" s="19">
        <v>0</v>
      </c>
      <c r="I139" s="19">
        <v>11005</v>
      </c>
      <c r="J139" s="19">
        <v>210</v>
      </c>
      <c r="K139" s="19">
        <f t="shared" si="0"/>
        <v>11820</v>
      </c>
      <c r="L139" s="19">
        <v>15377.5</v>
      </c>
      <c r="M139" s="19">
        <v>24</v>
      </c>
      <c r="N139" s="20">
        <f t="shared" si="17"/>
        <v>32.907712884529644</v>
      </c>
      <c r="P139" s="6">
        <v>2129</v>
      </c>
      <c r="Q139" s="7">
        <f t="shared" si="1"/>
        <v>23876735</v>
      </c>
      <c r="R139" s="7">
        <f t="shared" si="2"/>
        <v>32738697.5</v>
      </c>
    </row>
    <row r="140" spans="1:18" ht="15.75" customHeight="1" x14ac:dyDescent="0.35">
      <c r="A140" s="4" t="s">
        <v>156</v>
      </c>
      <c r="B140" s="19" t="s">
        <v>19</v>
      </c>
      <c r="C140" s="19" t="s">
        <v>20</v>
      </c>
      <c r="D140" s="19">
        <v>10</v>
      </c>
      <c r="E140" s="19">
        <v>27457</v>
      </c>
      <c r="F140" s="19">
        <v>0</v>
      </c>
      <c r="G140" s="19">
        <v>0</v>
      </c>
      <c r="H140" s="19">
        <v>0</v>
      </c>
      <c r="I140" s="19">
        <v>1500</v>
      </c>
      <c r="J140" s="19">
        <v>0</v>
      </c>
      <c r="K140" s="19">
        <f t="shared" si="0"/>
        <v>25957</v>
      </c>
      <c r="L140" s="19">
        <v>25957</v>
      </c>
      <c r="M140" s="19">
        <v>24</v>
      </c>
      <c r="N140" s="20">
        <f t="shared" si="17"/>
        <v>415.31200000000001</v>
      </c>
      <c r="P140" s="6">
        <v>2177</v>
      </c>
      <c r="Q140" s="7">
        <f t="shared" si="1"/>
        <v>3265500</v>
      </c>
      <c r="R140" s="7">
        <f t="shared" si="2"/>
        <v>56508389</v>
      </c>
    </row>
    <row r="141" spans="1:18" ht="15.75" customHeight="1" x14ac:dyDescent="0.35">
      <c r="A141" s="4" t="s">
        <v>157</v>
      </c>
      <c r="B141" s="19" t="s">
        <v>19</v>
      </c>
      <c r="C141" s="19" t="s">
        <v>20</v>
      </c>
      <c r="D141" s="19">
        <v>10</v>
      </c>
      <c r="E141" s="19">
        <v>7175</v>
      </c>
      <c r="F141" s="19">
        <v>28725</v>
      </c>
      <c r="G141" s="19">
        <v>0</v>
      </c>
      <c r="H141" s="19">
        <v>0</v>
      </c>
      <c r="I141" s="19">
        <v>32725</v>
      </c>
      <c r="J141" s="19">
        <v>70</v>
      </c>
      <c r="K141" s="19">
        <f t="shared" si="0"/>
        <v>3105</v>
      </c>
      <c r="L141" s="19">
        <v>11276.8181818182</v>
      </c>
      <c r="M141" s="19">
        <v>24</v>
      </c>
      <c r="N141" s="20">
        <f t="shared" si="17"/>
        <v>8.2525883934635402</v>
      </c>
      <c r="P141" s="6">
        <v>2177</v>
      </c>
      <c r="Q141" s="7">
        <f t="shared" si="1"/>
        <v>71394715</v>
      </c>
      <c r="R141" s="7">
        <f t="shared" si="2"/>
        <v>24549633.181818221</v>
      </c>
    </row>
    <row r="142" spans="1:18" ht="15.75" customHeight="1" x14ac:dyDescent="0.35">
      <c r="A142" s="4" t="s">
        <v>158</v>
      </c>
      <c r="B142" s="19" t="s">
        <v>19</v>
      </c>
      <c r="C142" s="19" t="s">
        <v>20</v>
      </c>
      <c r="D142" s="19">
        <v>10</v>
      </c>
      <c r="E142" s="19">
        <v>12828</v>
      </c>
      <c r="F142" s="19">
        <v>12000</v>
      </c>
      <c r="G142" s="19">
        <v>0</v>
      </c>
      <c r="H142" s="19">
        <v>0</v>
      </c>
      <c r="I142" s="19">
        <v>13615</v>
      </c>
      <c r="J142" s="19">
        <v>0</v>
      </c>
      <c r="K142" s="19">
        <f t="shared" si="0"/>
        <v>11213</v>
      </c>
      <c r="L142" s="19">
        <v>11638</v>
      </c>
      <c r="M142" s="19">
        <v>24</v>
      </c>
      <c r="N142" s="20">
        <f t="shared" si="17"/>
        <v>20.515020198310687</v>
      </c>
      <c r="P142" s="6">
        <v>2177</v>
      </c>
      <c r="Q142" s="7">
        <f t="shared" si="1"/>
        <v>29639855</v>
      </c>
      <c r="R142" s="7">
        <f t="shared" si="2"/>
        <v>25335926</v>
      </c>
    </row>
    <row r="143" spans="1:18" ht="15.75" customHeight="1" x14ac:dyDescent="0.35">
      <c r="A143" s="4" t="s">
        <v>159</v>
      </c>
      <c r="B143" s="19" t="s">
        <v>19</v>
      </c>
      <c r="C143" s="19" t="s">
        <v>20</v>
      </c>
      <c r="D143" s="19">
        <v>10</v>
      </c>
      <c r="E143" s="19">
        <v>9961</v>
      </c>
      <c r="F143" s="19">
        <v>13295</v>
      </c>
      <c r="G143" s="19">
        <v>0</v>
      </c>
      <c r="H143" s="19">
        <v>0</v>
      </c>
      <c r="I143" s="19">
        <v>0</v>
      </c>
      <c r="J143" s="19">
        <v>18827</v>
      </c>
      <c r="K143" s="19">
        <f t="shared" si="0"/>
        <v>4429</v>
      </c>
      <c r="L143" s="19">
        <v>3605.6153846153802</v>
      </c>
      <c r="M143" s="19">
        <v>24</v>
      </c>
      <c r="N143" s="20">
        <f t="shared" si="17"/>
        <v>4.596312170328205</v>
      </c>
      <c r="P143" s="6">
        <v>1948</v>
      </c>
      <c r="Q143" s="7">
        <f t="shared" si="1"/>
        <v>36674996</v>
      </c>
      <c r="R143" s="7">
        <f t="shared" si="2"/>
        <v>7023738.7692307606</v>
      </c>
    </row>
    <row r="144" spans="1:18" ht="15.75" customHeight="1" x14ac:dyDescent="0.35">
      <c r="A144" s="4" t="s">
        <v>160</v>
      </c>
      <c r="B144" s="19" t="s">
        <v>19</v>
      </c>
      <c r="C144" s="19" t="s">
        <v>20</v>
      </c>
      <c r="D144" s="19">
        <v>10</v>
      </c>
      <c r="E144" s="19">
        <v>6113</v>
      </c>
      <c r="F144" s="19">
        <v>2000</v>
      </c>
      <c r="G144" s="19">
        <v>0</v>
      </c>
      <c r="H144" s="19">
        <v>0</v>
      </c>
      <c r="I144" s="19">
        <v>0</v>
      </c>
      <c r="J144" s="19">
        <v>0</v>
      </c>
      <c r="K144" s="19">
        <f t="shared" si="0"/>
        <v>8113</v>
      </c>
      <c r="L144" s="19">
        <v>8113</v>
      </c>
      <c r="M144" s="19">
        <v>24</v>
      </c>
      <c r="N144" s="20">
        <v>0</v>
      </c>
      <c r="P144" s="6">
        <v>1989</v>
      </c>
      <c r="Q144" s="7">
        <f t="shared" si="1"/>
        <v>0</v>
      </c>
      <c r="R144" s="7">
        <f t="shared" si="2"/>
        <v>16136757</v>
      </c>
    </row>
    <row r="145" spans="1:18" ht="15.75" customHeight="1" x14ac:dyDescent="0.35">
      <c r="A145" s="4" t="s">
        <v>161</v>
      </c>
      <c r="B145" s="19" t="s">
        <v>19</v>
      </c>
      <c r="C145" s="19" t="s">
        <v>20</v>
      </c>
      <c r="D145" s="19">
        <v>10</v>
      </c>
      <c r="E145" s="19">
        <v>17875</v>
      </c>
      <c r="F145" s="19">
        <v>0</v>
      </c>
      <c r="G145" s="19">
        <v>0</v>
      </c>
      <c r="H145" s="19">
        <v>0</v>
      </c>
      <c r="I145" s="19">
        <v>0</v>
      </c>
      <c r="J145" s="19">
        <v>1560</v>
      </c>
      <c r="K145" s="19">
        <f t="shared" si="0"/>
        <v>16315</v>
      </c>
      <c r="L145" s="19">
        <v>17065</v>
      </c>
      <c r="M145" s="19">
        <v>24</v>
      </c>
      <c r="N145" s="20">
        <f t="shared" ref="N145:N157" si="18">(L145/(I145+J145))*M145</f>
        <v>262.53846153846155</v>
      </c>
      <c r="P145" s="6">
        <v>2181</v>
      </c>
      <c r="Q145" s="7">
        <f t="shared" si="1"/>
        <v>3402360</v>
      </c>
      <c r="R145" s="7">
        <f t="shared" si="2"/>
        <v>37218765</v>
      </c>
    </row>
    <row r="146" spans="1:18" ht="15.75" customHeight="1" x14ac:dyDescent="0.35">
      <c r="A146" s="4" t="s">
        <v>179</v>
      </c>
      <c r="B146" s="19" t="s">
        <v>19</v>
      </c>
      <c r="C146" s="19" t="s">
        <v>20</v>
      </c>
      <c r="D146" s="19">
        <v>10</v>
      </c>
      <c r="E146" s="19">
        <v>12600</v>
      </c>
      <c r="F146" s="19">
        <v>100</v>
      </c>
      <c r="G146" s="19">
        <v>0</v>
      </c>
      <c r="H146" s="19">
        <v>0</v>
      </c>
      <c r="I146" s="19">
        <v>2500</v>
      </c>
      <c r="J146" s="19">
        <v>4150</v>
      </c>
      <c r="K146" s="19">
        <f t="shared" si="0"/>
        <v>6050</v>
      </c>
      <c r="L146" s="19">
        <v>7975</v>
      </c>
      <c r="M146" s="19">
        <v>24</v>
      </c>
      <c r="N146" s="20">
        <f t="shared" si="18"/>
        <v>28.781954887218046</v>
      </c>
      <c r="P146" s="6">
        <v>2181</v>
      </c>
      <c r="Q146" s="7">
        <f t="shared" si="1"/>
        <v>14503650</v>
      </c>
      <c r="R146" s="7">
        <f t="shared" si="2"/>
        <v>17393475</v>
      </c>
    </row>
    <row r="147" spans="1:18" ht="15.75" customHeight="1" x14ac:dyDescent="0.35">
      <c r="A147" s="4" t="s">
        <v>180</v>
      </c>
      <c r="B147" s="19" t="s">
        <v>19</v>
      </c>
      <c r="C147" s="19" t="s">
        <v>20</v>
      </c>
      <c r="D147" s="19">
        <v>10</v>
      </c>
      <c r="E147" s="19">
        <v>16420</v>
      </c>
      <c r="F147" s="19">
        <v>4000</v>
      </c>
      <c r="G147" s="19">
        <v>0</v>
      </c>
      <c r="H147" s="19">
        <v>0</v>
      </c>
      <c r="I147" s="19">
        <v>0</v>
      </c>
      <c r="J147" s="19">
        <v>4</v>
      </c>
      <c r="K147" s="19">
        <f t="shared" si="0"/>
        <v>20416</v>
      </c>
      <c r="L147" s="19">
        <v>19752</v>
      </c>
      <c r="M147" s="19">
        <v>24</v>
      </c>
      <c r="N147" s="20">
        <f t="shared" si="18"/>
        <v>118512</v>
      </c>
      <c r="P147" s="6">
        <v>2181</v>
      </c>
      <c r="Q147" s="7">
        <f t="shared" si="1"/>
        <v>8724</v>
      </c>
      <c r="R147" s="7">
        <f t="shared" si="2"/>
        <v>43079112</v>
      </c>
    </row>
    <row r="148" spans="1:18" ht="15.75" customHeight="1" x14ac:dyDescent="0.35">
      <c r="A148" s="4" t="s">
        <v>181</v>
      </c>
      <c r="B148" s="19" t="s">
        <v>22</v>
      </c>
      <c r="C148" s="19" t="s">
        <v>20</v>
      </c>
      <c r="D148" s="19">
        <v>10</v>
      </c>
      <c r="E148" s="19">
        <v>21350</v>
      </c>
      <c r="F148" s="19">
        <v>117750</v>
      </c>
      <c r="G148" s="19">
        <v>0</v>
      </c>
      <c r="H148" s="19">
        <v>0</v>
      </c>
      <c r="I148" s="19">
        <v>0</v>
      </c>
      <c r="J148" s="19">
        <v>125825</v>
      </c>
      <c r="K148" s="19">
        <f t="shared" si="0"/>
        <v>13275</v>
      </c>
      <c r="L148" s="19">
        <v>19454.761904761901</v>
      </c>
      <c r="M148" s="19">
        <v>24</v>
      </c>
      <c r="N148" s="20">
        <f t="shared" si="18"/>
        <v>3.7108228548721289</v>
      </c>
      <c r="P148" s="6">
        <v>2208</v>
      </c>
      <c r="Q148" s="7">
        <f t="shared" si="1"/>
        <v>277821600</v>
      </c>
      <c r="R148" s="7">
        <f t="shared" si="2"/>
        <v>42956114.285714276</v>
      </c>
    </row>
    <row r="149" spans="1:18" ht="15.75" customHeight="1" x14ac:dyDescent="0.35">
      <c r="A149" s="4" t="s">
        <v>182</v>
      </c>
      <c r="B149" s="19" t="s">
        <v>22</v>
      </c>
      <c r="C149" s="19" t="s">
        <v>20</v>
      </c>
      <c r="D149" s="19">
        <v>10</v>
      </c>
      <c r="E149" s="19">
        <v>7576</v>
      </c>
      <c r="F149" s="19">
        <v>20487</v>
      </c>
      <c r="G149" s="19">
        <v>0</v>
      </c>
      <c r="H149" s="19">
        <v>0</v>
      </c>
      <c r="I149" s="19">
        <v>0</v>
      </c>
      <c r="J149" s="19">
        <v>22812</v>
      </c>
      <c r="K149" s="19">
        <f t="shared" si="0"/>
        <v>5251</v>
      </c>
      <c r="L149" s="19">
        <v>9631.538461538461</v>
      </c>
      <c r="M149" s="19">
        <v>24</v>
      </c>
      <c r="N149" s="20">
        <f t="shared" si="18"/>
        <v>10.133128313033625</v>
      </c>
      <c r="P149" s="6">
        <v>2245</v>
      </c>
      <c r="Q149" s="7">
        <f t="shared" si="1"/>
        <v>51212940</v>
      </c>
      <c r="R149" s="7">
        <f t="shared" si="2"/>
        <v>21622803.846153844</v>
      </c>
    </row>
    <row r="150" spans="1:18" ht="15.75" customHeight="1" x14ac:dyDescent="0.35">
      <c r="A150" s="4" t="s">
        <v>164</v>
      </c>
      <c r="B150" s="19" t="s">
        <v>19</v>
      </c>
      <c r="C150" s="19" t="s">
        <v>20</v>
      </c>
      <c r="D150" s="19">
        <v>10</v>
      </c>
      <c r="E150" s="19">
        <v>40068</v>
      </c>
      <c r="F150" s="19">
        <v>39200</v>
      </c>
      <c r="G150" s="19">
        <v>0</v>
      </c>
      <c r="H150" s="19">
        <v>0</v>
      </c>
      <c r="I150" s="19">
        <v>50850</v>
      </c>
      <c r="J150" s="19">
        <v>13235</v>
      </c>
      <c r="K150" s="19">
        <f t="shared" si="0"/>
        <v>15183</v>
      </c>
      <c r="L150" s="19">
        <v>27681.913043478296</v>
      </c>
      <c r="M150" s="19">
        <v>24</v>
      </c>
      <c r="N150" s="20">
        <f t="shared" si="18"/>
        <v>10.366948787446034</v>
      </c>
      <c r="P150" s="6">
        <v>2355</v>
      </c>
      <c r="Q150" s="7">
        <f t="shared" si="1"/>
        <v>150920175</v>
      </c>
      <c r="R150" s="7">
        <f t="shared" si="2"/>
        <v>65190905.217391387</v>
      </c>
    </row>
    <row r="151" spans="1:18" ht="15.75" customHeight="1" x14ac:dyDescent="0.35">
      <c r="A151" s="4" t="s">
        <v>183</v>
      </c>
      <c r="B151" s="19" t="s">
        <v>19</v>
      </c>
      <c r="C151" s="19" t="s">
        <v>20</v>
      </c>
      <c r="D151" s="19">
        <v>10</v>
      </c>
      <c r="E151" s="19">
        <v>9932</v>
      </c>
      <c r="F151" s="19">
        <v>2575</v>
      </c>
      <c r="G151" s="19">
        <v>0</v>
      </c>
      <c r="H151" s="19">
        <v>0</v>
      </c>
      <c r="I151" s="19">
        <v>0</v>
      </c>
      <c r="J151" s="19">
        <v>5835</v>
      </c>
      <c r="K151" s="19">
        <f t="shared" si="0"/>
        <v>6672</v>
      </c>
      <c r="L151" s="19">
        <v>7803.6666666666697</v>
      </c>
      <c r="M151" s="19">
        <v>24</v>
      </c>
      <c r="N151" s="20">
        <f t="shared" si="18"/>
        <v>32.097343616109697</v>
      </c>
      <c r="P151" s="6">
        <v>2021</v>
      </c>
      <c r="Q151" s="7">
        <f t="shared" si="1"/>
        <v>11792535</v>
      </c>
      <c r="R151" s="7">
        <f t="shared" si="2"/>
        <v>15771210.33333334</v>
      </c>
    </row>
    <row r="152" spans="1:18" ht="15.75" customHeight="1" x14ac:dyDescent="0.35">
      <c r="A152" s="4" t="s">
        <v>184</v>
      </c>
      <c r="B152" s="19" t="s">
        <v>19</v>
      </c>
      <c r="C152" s="19" t="s">
        <v>20</v>
      </c>
      <c r="D152" s="19">
        <v>10</v>
      </c>
      <c r="E152" s="19">
        <v>5943</v>
      </c>
      <c r="F152" s="19">
        <v>9675</v>
      </c>
      <c r="G152" s="19">
        <v>0</v>
      </c>
      <c r="H152" s="19">
        <v>0</v>
      </c>
      <c r="I152" s="19">
        <v>0</v>
      </c>
      <c r="J152" s="19">
        <v>7775</v>
      </c>
      <c r="K152" s="19">
        <f t="shared" si="0"/>
        <v>7843</v>
      </c>
      <c r="L152" s="19">
        <v>9204.6666666666697</v>
      </c>
      <c r="M152" s="19">
        <v>24</v>
      </c>
      <c r="N152" s="20">
        <f t="shared" si="18"/>
        <v>28.413118971061103</v>
      </c>
      <c r="P152" s="6">
        <v>2021</v>
      </c>
      <c r="Q152" s="7">
        <f t="shared" si="1"/>
        <v>15713275</v>
      </c>
      <c r="R152" s="7">
        <f t="shared" si="2"/>
        <v>18602631.33333334</v>
      </c>
    </row>
    <row r="153" spans="1:18" ht="15.75" customHeight="1" x14ac:dyDescent="0.35">
      <c r="A153" s="4" t="s">
        <v>185</v>
      </c>
      <c r="B153" s="19" t="s">
        <v>19</v>
      </c>
      <c r="C153" s="19" t="s">
        <v>20</v>
      </c>
      <c r="D153" s="19">
        <v>10</v>
      </c>
      <c r="E153" s="19">
        <v>7139</v>
      </c>
      <c r="F153" s="19">
        <v>6000</v>
      </c>
      <c r="G153" s="19">
        <v>0</v>
      </c>
      <c r="H153" s="19">
        <v>0</v>
      </c>
      <c r="I153" s="19">
        <v>0</v>
      </c>
      <c r="J153" s="19">
        <v>2785</v>
      </c>
      <c r="K153" s="19">
        <f t="shared" si="0"/>
        <v>10354</v>
      </c>
      <c r="L153" s="19">
        <v>9629</v>
      </c>
      <c r="M153" s="19">
        <v>24</v>
      </c>
      <c r="N153" s="20">
        <f t="shared" si="18"/>
        <v>82.978815080789943</v>
      </c>
      <c r="P153" s="6">
        <v>2021</v>
      </c>
      <c r="Q153" s="7">
        <f t="shared" si="1"/>
        <v>5628485</v>
      </c>
      <c r="R153" s="7">
        <f t="shared" si="2"/>
        <v>19460209</v>
      </c>
    </row>
    <row r="154" spans="1:18" ht="15.75" customHeight="1" x14ac:dyDescent="0.35">
      <c r="A154" s="4" t="s">
        <v>186</v>
      </c>
      <c r="B154" s="19" t="s">
        <v>19</v>
      </c>
      <c r="C154" s="19" t="s">
        <v>20</v>
      </c>
      <c r="D154" s="19">
        <v>10</v>
      </c>
      <c r="E154" s="19">
        <v>4000</v>
      </c>
      <c r="F154" s="19">
        <v>14000</v>
      </c>
      <c r="G154" s="19">
        <v>0</v>
      </c>
      <c r="H154" s="19">
        <v>0</v>
      </c>
      <c r="I154" s="19">
        <v>15000</v>
      </c>
      <c r="J154" s="19">
        <v>0</v>
      </c>
      <c r="K154" s="19">
        <f t="shared" si="0"/>
        <v>3000</v>
      </c>
      <c r="L154" s="19">
        <v>4714.285714285711</v>
      </c>
      <c r="M154" s="19">
        <v>24</v>
      </c>
      <c r="N154" s="20">
        <f t="shared" si="18"/>
        <v>7.5428571428571374</v>
      </c>
      <c r="P154" s="6">
        <v>2846</v>
      </c>
      <c r="Q154" s="7">
        <f t="shared" si="1"/>
        <v>42690000</v>
      </c>
      <c r="R154" s="7">
        <f t="shared" si="2"/>
        <v>13416857.142857134</v>
      </c>
    </row>
    <row r="155" spans="1:18" ht="15.75" customHeight="1" x14ac:dyDescent="0.35">
      <c r="A155" s="4" t="s">
        <v>200</v>
      </c>
      <c r="B155" s="19" t="s">
        <v>19</v>
      </c>
      <c r="C155" s="19" t="s">
        <v>20</v>
      </c>
      <c r="D155" s="19">
        <v>10</v>
      </c>
      <c r="E155" s="19">
        <v>5765</v>
      </c>
      <c r="F155" s="19">
        <v>8118</v>
      </c>
      <c r="G155" s="19">
        <v>0</v>
      </c>
      <c r="H155" s="19">
        <v>0</v>
      </c>
      <c r="I155" s="19">
        <v>8940</v>
      </c>
      <c r="J155" s="19">
        <v>0</v>
      </c>
      <c r="K155" s="19">
        <f t="shared" si="0"/>
        <v>4943</v>
      </c>
      <c r="L155" s="19">
        <v>5061.3333333333303</v>
      </c>
      <c r="M155" s="19">
        <v>24</v>
      </c>
      <c r="N155" s="20">
        <f t="shared" si="18"/>
        <v>13.587472035794175</v>
      </c>
      <c r="P155" s="6">
        <v>7550</v>
      </c>
      <c r="Q155" s="7">
        <f t="shared" si="1"/>
        <v>67497000</v>
      </c>
      <c r="R155" s="7">
        <f t="shared" si="2"/>
        <v>38213066.666666642</v>
      </c>
    </row>
    <row r="156" spans="1:18" ht="15.75" customHeight="1" x14ac:dyDescent="0.35">
      <c r="A156" s="4" t="s">
        <v>201</v>
      </c>
      <c r="B156" s="19" t="s">
        <v>19</v>
      </c>
      <c r="C156" s="19" t="s">
        <v>20</v>
      </c>
      <c r="D156" s="19">
        <v>10</v>
      </c>
      <c r="E156" s="19">
        <v>2400</v>
      </c>
      <c r="F156" s="19">
        <v>3360</v>
      </c>
      <c r="G156" s="19">
        <v>0</v>
      </c>
      <c r="H156" s="19">
        <v>0</v>
      </c>
      <c r="I156" s="19">
        <v>3650</v>
      </c>
      <c r="J156" s="19">
        <v>0</v>
      </c>
      <c r="K156" s="19">
        <f t="shared" si="0"/>
        <v>2110</v>
      </c>
      <c r="L156" s="19">
        <v>3818.3333333333298</v>
      </c>
      <c r="M156" s="19">
        <v>24</v>
      </c>
      <c r="N156" s="20">
        <f t="shared" si="18"/>
        <v>25.10684931506847</v>
      </c>
      <c r="P156" s="6">
        <v>7550</v>
      </c>
      <c r="Q156" s="7">
        <f t="shared" si="1"/>
        <v>27557500</v>
      </c>
      <c r="R156" s="7">
        <f t="shared" si="2"/>
        <v>28828416.666666642</v>
      </c>
    </row>
    <row r="157" spans="1:18" ht="15.75" customHeight="1" x14ac:dyDescent="0.35">
      <c r="A157" s="4" t="s">
        <v>188</v>
      </c>
      <c r="B157" s="19" t="s">
        <v>19</v>
      </c>
      <c r="C157" s="19" t="s">
        <v>20</v>
      </c>
      <c r="D157" s="19">
        <v>10</v>
      </c>
      <c r="E157" s="19">
        <v>1200</v>
      </c>
      <c r="F157" s="19">
        <v>0</v>
      </c>
      <c r="G157" s="19">
        <v>0</v>
      </c>
      <c r="H157" s="19">
        <v>0</v>
      </c>
      <c r="I157" s="19">
        <v>1000</v>
      </c>
      <c r="J157" s="19">
        <v>0</v>
      </c>
      <c r="K157" s="19">
        <f t="shared" si="0"/>
        <v>200</v>
      </c>
      <c r="L157" s="19">
        <v>200</v>
      </c>
      <c r="M157" s="19">
        <v>24</v>
      </c>
      <c r="N157" s="20">
        <f t="shared" si="18"/>
        <v>4.8000000000000007</v>
      </c>
      <c r="P157" s="6">
        <v>2658</v>
      </c>
      <c r="Q157" s="7">
        <f t="shared" si="1"/>
        <v>2658000</v>
      </c>
      <c r="R157" s="7">
        <f t="shared" si="2"/>
        <v>531600</v>
      </c>
    </row>
    <row r="158" spans="1:18" ht="15.75" customHeight="1" x14ac:dyDescent="0.35">
      <c r="A158" s="4" t="s">
        <v>198</v>
      </c>
      <c r="B158" s="19" t="s">
        <v>19</v>
      </c>
      <c r="C158" s="19" t="s">
        <v>20</v>
      </c>
      <c r="D158" s="19">
        <v>10</v>
      </c>
      <c r="E158" s="19">
        <v>17109</v>
      </c>
      <c r="F158" s="19">
        <v>10067</v>
      </c>
      <c r="G158" s="19">
        <v>0</v>
      </c>
      <c r="H158" s="19">
        <v>0</v>
      </c>
      <c r="I158" s="19">
        <v>0</v>
      </c>
      <c r="J158" s="19">
        <v>0</v>
      </c>
      <c r="K158" s="19">
        <f t="shared" si="0"/>
        <v>27176</v>
      </c>
      <c r="L158" s="19">
        <v>25642.5</v>
      </c>
      <c r="M158" s="19">
        <v>24</v>
      </c>
      <c r="N158" s="20">
        <v>0</v>
      </c>
      <c r="P158" s="6">
        <v>2846</v>
      </c>
      <c r="Q158" s="7">
        <f t="shared" si="1"/>
        <v>0</v>
      </c>
      <c r="R158" s="7">
        <f t="shared" si="2"/>
        <v>72978555</v>
      </c>
    </row>
    <row r="159" spans="1:18" ht="15.75" customHeight="1" x14ac:dyDescent="0.35">
      <c r="A159" s="4" t="s">
        <v>202</v>
      </c>
      <c r="B159" s="19" t="s">
        <v>19</v>
      </c>
      <c r="C159" s="19" t="s">
        <v>20</v>
      </c>
      <c r="D159" s="19">
        <v>10</v>
      </c>
      <c r="E159" s="19">
        <v>1000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f t="shared" si="0"/>
        <v>1000</v>
      </c>
      <c r="L159" s="19">
        <v>0</v>
      </c>
      <c r="M159" s="19">
        <v>24</v>
      </c>
      <c r="N159" s="20">
        <v>0</v>
      </c>
      <c r="P159" s="6">
        <v>994</v>
      </c>
      <c r="Q159" s="7">
        <f t="shared" si="1"/>
        <v>0</v>
      </c>
      <c r="R159" s="7">
        <f t="shared" si="2"/>
        <v>0</v>
      </c>
    </row>
    <row r="160" spans="1:18" ht="16.5" customHeight="1" x14ac:dyDescent="0.35">
      <c r="A160" s="8" t="s">
        <v>165</v>
      </c>
      <c r="B160" s="8"/>
      <c r="C160" s="8"/>
      <c r="D160" s="8"/>
      <c r="E160" s="9">
        <f t="shared" ref="E160:L160" si="19">SUM(E2:E159)</f>
        <v>1463950</v>
      </c>
      <c r="F160" s="9">
        <f t="shared" si="19"/>
        <v>4811407</v>
      </c>
      <c r="G160" s="9">
        <f t="shared" si="19"/>
        <v>0</v>
      </c>
      <c r="H160" s="9">
        <f t="shared" si="19"/>
        <v>870</v>
      </c>
      <c r="I160" s="9">
        <f t="shared" si="19"/>
        <v>2892561</v>
      </c>
      <c r="J160" s="9">
        <f t="shared" si="19"/>
        <v>2009715</v>
      </c>
      <c r="K160" s="9">
        <f t="shared" si="19"/>
        <v>1373081</v>
      </c>
      <c r="L160" s="9">
        <f t="shared" si="19"/>
        <v>1600806.0239046516</v>
      </c>
      <c r="M160" s="9">
        <v>24</v>
      </c>
      <c r="N160" s="9">
        <f>(L160/(I160+J160))*M160</f>
        <v>7.8370423398665512</v>
      </c>
      <c r="P160" s="21"/>
      <c r="Q160" s="21">
        <f t="shared" ref="Q160:R160" si="20">SUM(Q2:Q159)</f>
        <v>10488994582</v>
      </c>
      <c r="R160" s="21">
        <f t="shared" si="20"/>
        <v>3807204018.8769665</v>
      </c>
    </row>
    <row r="161" spans="1:18" ht="15.75" customHeight="1" x14ac:dyDescent="0.35">
      <c r="A161" s="18"/>
      <c r="D161" s="19"/>
      <c r="P161" s="19"/>
      <c r="Q161" s="19"/>
      <c r="R161" s="19"/>
    </row>
    <row r="162" spans="1:18" ht="15.75" customHeight="1" x14ac:dyDescent="0.35">
      <c r="A162" s="18"/>
      <c r="D162" s="19"/>
      <c r="I162" s="27">
        <f>I160+J160</f>
        <v>4902276</v>
      </c>
      <c r="P162" s="12" t="s">
        <v>166</v>
      </c>
      <c r="Q162" s="23">
        <v>5.1999999999999998E-3</v>
      </c>
      <c r="R162" s="19"/>
    </row>
    <row r="163" spans="1:18" ht="15.75" customHeight="1" x14ac:dyDescent="0.35">
      <c r="A163" s="18"/>
      <c r="D163" s="19"/>
      <c r="P163" s="12" t="s">
        <v>167</v>
      </c>
      <c r="Q163" s="24">
        <f>(R160*Q162)/Q160</f>
        <v>1.8874507697939265E-3</v>
      </c>
      <c r="R163" s="19"/>
    </row>
    <row r="164" spans="1:18" ht="15.75" customHeight="1" x14ac:dyDescent="0.35">
      <c r="A164" s="18"/>
      <c r="D164" s="19"/>
      <c r="P164" s="12" t="s">
        <v>168</v>
      </c>
      <c r="Q164" s="24">
        <v>1.5100000000000001E-3</v>
      </c>
      <c r="R164" s="19"/>
    </row>
    <row r="165" spans="1:18" ht="15.75" customHeight="1" x14ac:dyDescent="0.35">
      <c r="A165" s="18"/>
      <c r="D165" s="19"/>
      <c r="P165" s="16" t="s">
        <v>169</v>
      </c>
      <c r="Q165" s="25">
        <f>(R160/Q160)*M159</f>
        <v>8.7113112452027384</v>
      </c>
      <c r="R165" s="19"/>
    </row>
    <row r="166" spans="1:18" ht="15.75" customHeight="1" x14ac:dyDescent="0.35">
      <c r="A166" s="18"/>
      <c r="P166" s="19"/>
      <c r="Q166" s="19"/>
      <c r="R166" s="19"/>
    </row>
    <row r="167" spans="1:18" ht="15.75" customHeight="1" x14ac:dyDescent="0.35">
      <c r="A167" s="18"/>
      <c r="P167" s="19"/>
      <c r="Q167" s="19"/>
      <c r="R167" s="19"/>
    </row>
    <row r="168" spans="1:18" ht="15.75" customHeight="1" x14ac:dyDescent="0.35">
      <c r="A168" s="18"/>
      <c r="P168" s="19"/>
      <c r="Q168" s="19"/>
      <c r="R168" s="19"/>
    </row>
    <row r="169" spans="1:18" ht="15.75" customHeight="1" x14ac:dyDescent="0.35">
      <c r="A169" s="18"/>
      <c r="P169" s="19"/>
      <c r="Q169" s="19"/>
      <c r="R169" s="19"/>
    </row>
    <row r="170" spans="1:18" ht="15.75" customHeight="1" x14ac:dyDescent="0.35">
      <c r="A170" s="18"/>
      <c r="P170" s="19"/>
      <c r="Q170" s="19"/>
      <c r="R170" s="19"/>
    </row>
    <row r="171" spans="1:18" ht="15.75" customHeight="1" x14ac:dyDescent="0.35">
      <c r="A171" s="18"/>
      <c r="P171" s="19"/>
      <c r="Q171" s="19"/>
      <c r="R171" s="19"/>
    </row>
    <row r="172" spans="1:18" ht="15.75" customHeight="1" x14ac:dyDescent="0.35">
      <c r="A172" s="18"/>
      <c r="P172" s="19"/>
      <c r="Q172" s="19"/>
      <c r="R172" s="19"/>
    </row>
    <row r="173" spans="1:18" ht="15.75" customHeight="1" x14ac:dyDescent="0.35">
      <c r="A173" s="18"/>
      <c r="P173" s="19"/>
      <c r="Q173" s="19"/>
      <c r="R173" s="19"/>
    </row>
    <row r="174" spans="1:18" ht="15.75" customHeight="1" x14ac:dyDescent="0.35">
      <c r="A174" s="18"/>
      <c r="P174" s="19"/>
      <c r="Q174" s="19"/>
      <c r="R174" s="19"/>
    </row>
    <row r="175" spans="1:18" ht="15.75" customHeight="1" x14ac:dyDescent="0.35">
      <c r="A175" s="18"/>
      <c r="P175" s="19"/>
      <c r="Q175" s="19"/>
      <c r="R175" s="19"/>
    </row>
    <row r="176" spans="1:18" ht="15.75" customHeight="1" x14ac:dyDescent="0.35">
      <c r="A176" s="18"/>
      <c r="P176" s="19"/>
      <c r="Q176" s="19"/>
      <c r="R176" s="19"/>
    </row>
    <row r="177" spans="1:18" ht="15.75" customHeight="1" x14ac:dyDescent="0.35">
      <c r="A177" s="18"/>
      <c r="P177" s="19"/>
      <c r="Q177" s="19"/>
      <c r="R177" s="19"/>
    </row>
    <row r="178" spans="1:18" ht="15.75" customHeight="1" x14ac:dyDescent="0.35">
      <c r="A178" s="18"/>
      <c r="P178" s="19"/>
      <c r="Q178" s="19"/>
      <c r="R178" s="19"/>
    </row>
    <row r="179" spans="1:18" ht="15.75" customHeight="1" x14ac:dyDescent="0.35">
      <c r="A179" s="18"/>
      <c r="P179" s="19"/>
      <c r="Q179" s="19"/>
      <c r="R179" s="19"/>
    </row>
    <row r="180" spans="1:18" ht="15.75" customHeight="1" x14ac:dyDescent="0.35">
      <c r="A180" s="18"/>
      <c r="P180" s="19"/>
      <c r="Q180" s="19"/>
      <c r="R180" s="19"/>
    </row>
    <row r="181" spans="1:18" ht="15.75" customHeight="1" x14ac:dyDescent="0.35">
      <c r="A181" s="18"/>
      <c r="P181" s="19"/>
      <c r="Q181" s="19"/>
      <c r="R181" s="19"/>
    </row>
    <row r="182" spans="1:18" ht="15.75" customHeight="1" x14ac:dyDescent="0.35">
      <c r="A182" s="18"/>
      <c r="P182" s="19"/>
      <c r="Q182" s="19"/>
      <c r="R182" s="19"/>
    </row>
    <row r="183" spans="1:18" ht="15.75" customHeight="1" x14ac:dyDescent="0.35">
      <c r="A183" s="18"/>
      <c r="P183" s="19"/>
      <c r="Q183" s="19"/>
      <c r="R183" s="19"/>
    </row>
    <row r="184" spans="1:18" ht="15.75" customHeight="1" x14ac:dyDescent="0.35">
      <c r="A184" s="18"/>
      <c r="P184" s="19"/>
      <c r="Q184" s="19"/>
      <c r="R184" s="19"/>
    </row>
    <row r="185" spans="1:18" ht="15.75" customHeight="1" x14ac:dyDescent="0.35">
      <c r="A185" s="18"/>
      <c r="P185" s="19"/>
      <c r="Q185" s="19"/>
      <c r="R185" s="19"/>
    </row>
    <row r="186" spans="1:18" ht="15.75" customHeight="1" x14ac:dyDescent="0.35">
      <c r="A186" s="18"/>
      <c r="P186" s="19"/>
      <c r="Q186" s="19"/>
      <c r="R186" s="19"/>
    </row>
    <row r="187" spans="1:18" ht="15.75" customHeight="1" x14ac:dyDescent="0.35">
      <c r="A187" s="18"/>
      <c r="P187" s="19"/>
      <c r="Q187" s="19"/>
      <c r="R187" s="19"/>
    </row>
    <row r="188" spans="1:18" ht="15.75" customHeight="1" x14ac:dyDescent="0.35">
      <c r="A188" s="18"/>
      <c r="P188" s="19"/>
      <c r="Q188" s="19"/>
      <c r="R188" s="19"/>
    </row>
    <row r="189" spans="1:18" ht="15.75" customHeight="1" x14ac:dyDescent="0.35">
      <c r="A189" s="18"/>
      <c r="P189" s="19"/>
      <c r="Q189" s="19"/>
      <c r="R189" s="19"/>
    </row>
    <row r="190" spans="1:18" ht="15.75" customHeight="1" x14ac:dyDescent="0.35">
      <c r="A190" s="18"/>
      <c r="P190" s="19"/>
      <c r="Q190" s="19"/>
      <c r="R190" s="19"/>
    </row>
    <row r="191" spans="1:18" ht="15.75" customHeight="1" x14ac:dyDescent="0.35">
      <c r="A191" s="18"/>
      <c r="P191" s="19"/>
      <c r="Q191" s="19"/>
      <c r="R191" s="19"/>
    </row>
    <row r="192" spans="1:18" ht="15.75" customHeight="1" x14ac:dyDescent="0.35">
      <c r="A192" s="18"/>
      <c r="P192" s="19"/>
      <c r="Q192" s="19"/>
      <c r="R192" s="19"/>
    </row>
    <row r="193" spans="1:18" ht="15.75" customHeight="1" x14ac:dyDescent="0.35">
      <c r="A193" s="18"/>
      <c r="P193" s="19"/>
      <c r="Q193" s="19"/>
      <c r="R193" s="19"/>
    </row>
    <row r="194" spans="1:18" ht="15.75" customHeight="1" x14ac:dyDescent="0.35">
      <c r="A194" s="18"/>
      <c r="P194" s="19"/>
      <c r="Q194" s="19"/>
      <c r="R194" s="19"/>
    </row>
    <row r="195" spans="1:18" ht="15.75" customHeight="1" x14ac:dyDescent="0.35">
      <c r="A195" s="18"/>
      <c r="P195" s="19"/>
      <c r="Q195" s="19"/>
      <c r="R195" s="19"/>
    </row>
    <row r="196" spans="1:18" ht="15.75" customHeight="1" x14ac:dyDescent="0.35">
      <c r="A196" s="18"/>
      <c r="P196" s="19"/>
      <c r="Q196" s="19"/>
      <c r="R196" s="19"/>
    </row>
    <row r="197" spans="1:18" ht="15.75" customHeight="1" x14ac:dyDescent="0.35">
      <c r="A197" s="18"/>
      <c r="P197" s="19"/>
      <c r="Q197" s="19"/>
      <c r="R197" s="19"/>
    </row>
    <row r="198" spans="1:18" ht="15.75" customHeight="1" x14ac:dyDescent="0.35">
      <c r="A198" s="18"/>
      <c r="P198" s="19"/>
      <c r="Q198" s="19"/>
      <c r="R198" s="19"/>
    </row>
    <row r="199" spans="1:18" ht="15.75" customHeight="1" x14ac:dyDescent="0.35">
      <c r="A199" s="18"/>
      <c r="P199" s="19"/>
      <c r="Q199" s="19"/>
      <c r="R199" s="19"/>
    </row>
    <row r="200" spans="1:18" ht="15.75" customHeight="1" x14ac:dyDescent="0.35">
      <c r="A200" s="18"/>
      <c r="P200" s="19"/>
      <c r="Q200" s="19"/>
      <c r="R200" s="19"/>
    </row>
    <row r="201" spans="1:18" ht="15.75" customHeight="1" x14ac:dyDescent="0.35">
      <c r="A201" s="18"/>
      <c r="P201" s="19"/>
      <c r="Q201" s="19"/>
      <c r="R201" s="19"/>
    </row>
    <row r="202" spans="1:18" ht="15.75" customHeight="1" x14ac:dyDescent="0.35">
      <c r="A202" s="18"/>
      <c r="P202" s="19"/>
      <c r="Q202" s="19"/>
      <c r="R202" s="19"/>
    </row>
    <row r="203" spans="1:18" ht="15.75" customHeight="1" x14ac:dyDescent="0.35">
      <c r="A203" s="18"/>
      <c r="P203" s="19"/>
      <c r="Q203" s="19"/>
      <c r="R203" s="19"/>
    </row>
    <row r="204" spans="1:18" ht="15.75" customHeight="1" x14ac:dyDescent="0.35">
      <c r="A204" s="18"/>
      <c r="P204" s="19"/>
      <c r="Q204" s="19"/>
      <c r="R204" s="19"/>
    </row>
    <row r="205" spans="1:18" ht="15.75" customHeight="1" x14ac:dyDescent="0.35">
      <c r="A205" s="18"/>
      <c r="P205" s="19"/>
      <c r="Q205" s="19"/>
      <c r="R205" s="19"/>
    </row>
    <row r="206" spans="1:18" ht="15.75" customHeight="1" x14ac:dyDescent="0.35">
      <c r="A206" s="18"/>
      <c r="P206" s="19"/>
      <c r="Q206" s="19"/>
      <c r="R206" s="19"/>
    </row>
    <row r="207" spans="1:18" ht="15.75" customHeight="1" x14ac:dyDescent="0.35">
      <c r="A207" s="18"/>
      <c r="P207" s="19"/>
      <c r="Q207" s="19"/>
      <c r="R207" s="19"/>
    </row>
    <row r="208" spans="1:18" ht="15.75" customHeight="1" x14ac:dyDescent="0.35">
      <c r="A208" s="18"/>
      <c r="P208" s="19"/>
      <c r="Q208" s="19"/>
      <c r="R208" s="19"/>
    </row>
    <row r="209" spans="1:18" ht="15.75" customHeight="1" x14ac:dyDescent="0.35">
      <c r="A209" s="18"/>
      <c r="P209" s="19"/>
      <c r="Q209" s="19"/>
      <c r="R209" s="19"/>
    </row>
    <row r="210" spans="1:18" ht="15.75" customHeight="1" x14ac:dyDescent="0.35">
      <c r="A210" s="18"/>
      <c r="P210" s="19"/>
      <c r="Q210" s="19"/>
      <c r="R210" s="19"/>
    </row>
    <row r="211" spans="1:18" ht="15.75" customHeight="1" x14ac:dyDescent="0.35">
      <c r="A211" s="18"/>
      <c r="P211" s="19"/>
      <c r="Q211" s="19"/>
      <c r="R211" s="19"/>
    </row>
    <row r="212" spans="1:18" ht="15.75" customHeight="1" x14ac:dyDescent="0.35">
      <c r="A212" s="18"/>
      <c r="P212" s="19"/>
      <c r="Q212" s="19"/>
      <c r="R212" s="19"/>
    </row>
    <row r="213" spans="1:18" ht="15.75" customHeight="1" x14ac:dyDescent="0.35">
      <c r="A213" s="18"/>
      <c r="P213" s="19"/>
      <c r="Q213" s="19"/>
      <c r="R213" s="19"/>
    </row>
    <row r="214" spans="1:18" ht="15.75" customHeight="1" x14ac:dyDescent="0.35">
      <c r="A214" s="18"/>
      <c r="P214" s="19"/>
      <c r="Q214" s="19"/>
      <c r="R214" s="19"/>
    </row>
    <row r="215" spans="1:18" ht="15.75" customHeight="1" x14ac:dyDescent="0.35">
      <c r="A215" s="18"/>
      <c r="P215" s="19"/>
      <c r="Q215" s="19"/>
      <c r="R215" s="19"/>
    </row>
    <row r="216" spans="1:18" ht="15.75" customHeight="1" x14ac:dyDescent="0.35">
      <c r="A216" s="18"/>
      <c r="P216" s="19"/>
      <c r="Q216" s="19"/>
      <c r="R216" s="19"/>
    </row>
    <row r="217" spans="1:18" ht="15.75" customHeight="1" x14ac:dyDescent="0.35">
      <c r="A217" s="18"/>
      <c r="P217" s="19"/>
      <c r="Q217" s="19"/>
      <c r="R217" s="19"/>
    </row>
    <row r="218" spans="1:18" ht="15.75" customHeight="1" x14ac:dyDescent="0.35">
      <c r="A218" s="18"/>
      <c r="P218" s="19"/>
      <c r="Q218" s="19"/>
      <c r="R218" s="19"/>
    </row>
    <row r="219" spans="1:18" ht="15.75" customHeight="1" x14ac:dyDescent="0.35">
      <c r="A219" s="18"/>
      <c r="P219" s="19"/>
      <c r="Q219" s="19"/>
      <c r="R219" s="19"/>
    </row>
    <row r="220" spans="1:18" ht="15.75" customHeight="1" x14ac:dyDescent="0.35">
      <c r="A220" s="18"/>
      <c r="P220" s="19"/>
      <c r="Q220" s="19"/>
      <c r="R220" s="19"/>
    </row>
    <row r="221" spans="1:18" ht="15.75" customHeight="1" x14ac:dyDescent="0.35">
      <c r="A221" s="18"/>
      <c r="P221" s="19"/>
      <c r="Q221" s="19"/>
      <c r="R221" s="19"/>
    </row>
    <row r="222" spans="1:18" ht="15.75" customHeight="1" x14ac:dyDescent="0.35">
      <c r="A222" s="18"/>
      <c r="P222" s="19"/>
      <c r="Q222" s="19"/>
      <c r="R222" s="19"/>
    </row>
    <row r="223" spans="1:18" ht="15.75" customHeight="1" x14ac:dyDescent="0.35">
      <c r="A223" s="18"/>
      <c r="P223" s="19"/>
      <c r="Q223" s="19"/>
      <c r="R223" s="19"/>
    </row>
    <row r="224" spans="1:18" ht="15.75" customHeight="1" x14ac:dyDescent="0.35">
      <c r="A224" s="18"/>
      <c r="P224" s="19"/>
      <c r="Q224" s="19"/>
      <c r="R224" s="19"/>
    </row>
    <row r="225" spans="1:18" ht="15.75" customHeight="1" x14ac:dyDescent="0.35">
      <c r="A225" s="18"/>
      <c r="P225" s="19"/>
      <c r="Q225" s="19"/>
      <c r="R225" s="19"/>
    </row>
    <row r="226" spans="1:18" ht="15.75" customHeight="1" x14ac:dyDescent="0.35">
      <c r="A226" s="18"/>
      <c r="P226" s="19"/>
      <c r="Q226" s="19"/>
      <c r="R226" s="19"/>
    </row>
    <row r="227" spans="1:18" ht="15.75" customHeight="1" x14ac:dyDescent="0.35">
      <c r="A227" s="18"/>
      <c r="P227" s="19"/>
      <c r="Q227" s="19"/>
      <c r="R227" s="19"/>
    </row>
    <row r="228" spans="1:18" ht="15.75" customHeight="1" x14ac:dyDescent="0.35">
      <c r="A228" s="18"/>
      <c r="P228" s="19"/>
      <c r="Q228" s="19"/>
      <c r="R228" s="19"/>
    </row>
    <row r="229" spans="1:18" ht="15.75" customHeight="1" x14ac:dyDescent="0.35">
      <c r="A229" s="18"/>
      <c r="P229" s="19"/>
      <c r="Q229" s="19"/>
      <c r="R229" s="19"/>
    </row>
    <row r="230" spans="1:18" ht="15.75" customHeight="1" x14ac:dyDescent="0.35">
      <c r="A230" s="18"/>
      <c r="P230" s="19"/>
      <c r="Q230" s="19"/>
      <c r="R230" s="19"/>
    </row>
    <row r="231" spans="1:18" ht="15.75" customHeight="1" x14ac:dyDescent="0.35">
      <c r="A231" s="18"/>
      <c r="P231" s="19"/>
      <c r="Q231" s="19"/>
      <c r="R231" s="19"/>
    </row>
    <row r="232" spans="1:18" ht="15.75" customHeight="1" x14ac:dyDescent="0.35">
      <c r="A232" s="18"/>
      <c r="P232" s="19"/>
      <c r="Q232" s="19"/>
      <c r="R232" s="19"/>
    </row>
    <row r="233" spans="1:18" ht="15.75" customHeight="1" x14ac:dyDescent="0.35">
      <c r="A233" s="18"/>
      <c r="P233" s="19"/>
      <c r="Q233" s="19"/>
      <c r="R233" s="19"/>
    </row>
    <row r="234" spans="1:18" ht="15.75" customHeight="1" x14ac:dyDescent="0.35">
      <c r="A234" s="18"/>
      <c r="P234" s="19"/>
      <c r="Q234" s="19"/>
      <c r="R234" s="19"/>
    </row>
    <row r="235" spans="1:18" ht="15.75" customHeight="1" x14ac:dyDescent="0.35">
      <c r="A235" s="18"/>
      <c r="P235" s="19"/>
      <c r="Q235" s="19"/>
      <c r="R235" s="19"/>
    </row>
    <row r="236" spans="1:18" ht="15.75" customHeight="1" x14ac:dyDescent="0.35">
      <c r="A236" s="18"/>
      <c r="P236" s="19"/>
      <c r="Q236" s="19"/>
      <c r="R236" s="19"/>
    </row>
    <row r="237" spans="1:18" ht="15.75" customHeight="1" x14ac:dyDescent="0.35">
      <c r="A237" s="18"/>
      <c r="P237" s="19"/>
      <c r="Q237" s="19"/>
      <c r="R237" s="19"/>
    </row>
    <row r="238" spans="1:18" ht="15.75" customHeight="1" x14ac:dyDescent="0.35">
      <c r="A238" s="18"/>
      <c r="P238" s="19"/>
      <c r="Q238" s="19"/>
      <c r="R238" s="19"/>
    </row>
    <row r="239" spans="1:18" ht="15.75" customHeight="1" x14ac:dyDescent="0.35">
      <c r="A239" s="18"/>
      <c r="P239" s="19"/>
      <c r="Q239" s="19"/>
      <c r="R239" s="19"/>
    </row>
    <row r="240" spans="1:18" ht="15.75" customHeight="1" x14ac:dyDescent="0.35">
      <c r="A240" s="18"/>
      <c r="P240" s="19"/>
      <c r="Q240" s="19"/>
      <c r="R240" s="19"/>
    </row>
    <row r="241" spans="1:18" ht="15.75" customHeight="1" x14ac:dyDescent="0.35">
      <c r="A241" s="18"/>
      <c r="P241" s="19"/>
      <c r="Q241" s="19"/>
      <c r="R241" s="19"/>
    </row>
    <row r="242" spans="1:18" ht="15.75" customHeight="1" x14ac:dyDescent="0.35">
      <c r="A242" s="18"/>
      <c r="P242" s="19"/>
      <c r="Q242" s="19"/>
      <c r="R242" s="19"/>
    </row>
    <row r="243" spans="1:18" ht="15.75" customHeight="1" x14ac:dyDescent="0.35">
      <c r="A243" s="18"/>
      <c r="P243" s="19"/>
      <c r="Q243" s="19"/>
      <c r="R243" s="19"/>
    </row>
    <row r="244" spans="1:18" ht="15.75" customHeight="1" x14ac:dyDescent="0.35">
      <c r="A244" s="18"/>
      <c r="P244" s="19"/>
      <c r="Q244" s="19"/>
      <c r="R244" s="19"/>
    </row>
    <row r="245" spans="1:18" ht="15.75" customHeight="1" x14ac:dyDescent="0.35">
      <c r="A245" s="18"/>
      <c r="P245" s="19"/>
      <c r="Q245" s="19"/>
      <c r="R245" s="19"/>
    </row>
    <row r="246" spans="1:18" ht="15.75" customHeight="1" x14ac:dyDescent="0.35">
      <c r="A246" s="18"/>
      <c r="P246" s="19"/>
      <c r="Q246" s="19"/>
      <c r="R246" s="19"/>
    </row>
    <row r="247" spans="1:18" ht="15.75" customHeight="1" x14ac:dyDescent="0.35">
      <c r="A247" s="18"/>
      <c r="P247" s="19"/>
      <c r="Q247" s="19"/>
      <c r="R247" s="19"/>
    </row>
    <row r="248" spans="1:18" ht="15.75" customHeight="1" x14ac:dyDescent="0.35">
      <c r="A248" s="18"/>
      <c r="P248" s="19"/>
      <c r="Q248" s="19"/>
      <c r="R248" s="19"/>
    </row>
    <row r="249" spans="1:18" ht="15.75" customHeight="1" x14ac:dyDescent="0.35">
      <c r="A249" s="18"/>
      <c r="P249" s="19"/>
      <c r="Q249" s="19"/>
      <c r="R249" s="19"/>
    </row>
    <row r="250" spans="1:18" ht="15.75" customHeight="1" x14ac:dyDescent="0.35">
      <c r="A250" s="18"/>
      <c r="P250" s="19"/>
      <c r="Q250" s="19"/>
      <c r="R250" s="19"/>
    </row>
    <row r="251" spans="1:18" ht="15.75" customHeight="1" x14ac:dyDescent="0.35">
      <c r="A251" s="18"/>
      <c r="P251" s="19"/>
      <c r="Q251" s="19"/>
      <c r="R251" s="19"/>
    </row>
    <row r="252" spans="1:18" ht="15.75" customHeight="1" x14ac:dyDescent="0.35">
      <c r="A252" s="18"/>
      <c r="P252" s="19"/>
      <c r="Q252" s="19"/>
      <c r="R252" s="19"/>
    </row>
    <row r="253" spans="1:18" ht="15.75" customHeight="1" x14ac:dyDescent="0.35">
      <c r="A253" s="18"/>
      <c r="P253" s="19"/>
      <c r="Q253" s="19"/>
      <c r="R253" s="19"/>
    </row>
    <row r="254" spans="1:18" ht="15.75" customHeight="1" x14ac:dyDescent="0.35">
      <c r="A254" s="18"/>
      <c r="P254" s="19"/>
      <c r="Q254" s="19"/>
      <c r="R254" s="19"/>
    </row>
    <row r="255" spans="1:18" ht="15.75" customHeight="1" x14ac:dyDescent="0.35">
      <c r="A255" s="18"/>
      <c r="P255" s="19"/>
      <c r="Q255" s="19"/>
      <c r="R255" s="19"/>
    </row>
    <row r="256" spans="1:18" ht="15.75" customHeight="1" x14ac:dyDescent="0.35">
      <c r="A256" s="18"/>
      <c r="P256" s="19"/>
      <c r="Q256" s="19"/>
      <c r="R256" s="19"/>
    </row>
    <row r="257" spans="1:18" ht="15.75" customHeight="1" x14ac:dyDescent="0.35">
      <c r="A257" s="18"/>
      <c r="P257" s="19"/>
      <c r="Q257" s="19"/>
      <c r="R257" s="19"/>
    </row>
    <row r="258" spans="1:18" ht="15.75" customHeight="1" x14ac:dyDescent="0.35">
      <c r="A258" s="18"/>
      <c r="P258" s="19"/>
      <c r="Q258" s="19"/>
      <c r="R258" s="19"/>
    </row>
    <row r="259" spans="1:18" ht="15.75" customHeight="1" x14ac:dyDescent="0.35">
      <c r="A259" s="18"/>
      <c r="P259" s="19"/>
      <c r="Q259" s="19"/>
      <c r="R259" s="19"/>
    </row>
    <row r="260" spans="1:18" ht="15.75" customHeight="1" x14ac:dyDescent="0.35">
      <c r="A260" s="18"/>
      <c r="P260" s="19"/>
      <c r="Q260" s="19"/>
      <c r="R260" s="19"/>
    </row>
    <row r="261" spans="1:18" ht="15.75" customHeight="1" x14ac:dyDescent="0.35">
      <c r="A261" s="18"/>
      <c r="P261" s="19"/>
      <c r="Q261" s="19"/>
      <c r="R261" s="19"/>
    </row>
    <row r="262" spans="1:18" ht="15.75" customHeight="1" x14ac:dyDescent="0.35">
      <c r="A262" s="18"/>
      <c r="P262" s="19"/>
      <c r="Q262" s="19"/>
      <c r="R262" s="19"/>
    </row>
    <row r="263" spans="1:18" ht="15.75" customHeight="1" x14ac:dyDescent="0.35">
      <c r="A263" s="18"/>
      <c r="P263" s="19"/>
      <c r="Q263" s="19"/>
      <c r="R263" s="19"/>
    </row>
    <row r="264" spans="1:18" ht="15.75" customHeight="1" x14ac:dyDescent="0.35">
      <c r="A264" s="18"/>
      <c r="P264" s="19"/>
      <c r="Q264" s="19"/>
      <c r="R264" s="19"/>
    </row>
    <row r="265" spans="1:18" ht="15.75" customHeight="1" x14ac:dyDescent="0.35">
      <c r="A265" s="18"/>
      <c r="P265" s="19"/>
      <c r="Q265" s="19"/>
      <c r="R265" s="19"/>
    </row>
    <row r="266" spans="1:18" ht="15.75" customHeight="1" x14ac:dyDescent="0.35">
      <c r="A266" s="18"/>
      <c r="P266" s="19"/>
      <c r="Q266" s="19"/>
      <c r="R266" s="19"/>
    </row>
    <row r="267" spans="1:18" ht="15.75" customHeight="1" x14ac:dyDescent="0.35">
      <c r="A267" s="18"/>
      <c r="P267" s="19"/>
      <c r="Q267" s="19"/>
      <c r="R267" s="19"/>
    </row>
    <row r="268" spans="1:18" ht="15.75" customHeight="1" x14ac:dyDescent="0.35">
      <c r="A268" s="18"/>
      <c r="P268" s="19"/>
      <c r="Q268" s="19"/>
      <c r="R268" s="19"/>
    </row>
    <row r="269" spans="1:18" ht="15.75" customHeight="1" x14ac:dyDescent="0.35">
      <c r="A269" s="18"/>
      <c r="P269" s="19"/>
      <c r="Q269" s="19"/>
      <c r="R269" s="19"/>
    </row>
    <row r="270" spans="1:18" ht="15.75" customHeight="1" x14ac:dyDescent="0.35">
      <c r="A270" s="18"/>
      <c r="P270" s="19"/>
      <c r="Q270" s="19"/>
      <c r="R270" s="19"/>
    </row>
    <row r="271" spans="1:18" ht="15.75" customHeight="1" x14ac:dyDescent="0.35">
      <c r="A271" s="18"/>
      <c r="P271" s="19"/>
      <c r="Q271" s="19"/>
      <c r="R271" s="19"/>
    </row>
    <row r="272" spans="1:18" ht="15.75" customHeight="1" x14ac:dyDescent="0.35">
      <c r="A272" s="18"/>
      <c r="P272" s="19"/>
      <c r="Q272" s="19"/>
      <c r="R272" s="19"/>
    </row>
    <row r="273" spans="1:18" ht="15.75" customHeight="1" x14ac:dyDescent="0.35">
      <c r="A273" s="18"/>
      <c r="P273" s="19"/>
      <c r="Q273" s="19"/>
      <c r="R273" s="19"/>
    </row>
    <row r="274" spans="1:18" ht="15.75" customHeight="1" x14ac:dyDescent="0.35">
      <c r="A274" s="18"/>
      <c r="P274" s="19"/>
      <c r="Q274" s="19"/>
      <c r="R274" s="19"/>
    </row>
    <row r="275" spans="1:18" ht="15.75" customHeight="1" x14ac:dyDescent="0.35">
      <c r="A275" s="18"/>
      <c r="P275" s="19"/>
      <c r="Q275" s="19"/>
      <c r="R275" s="19"/>
    </row>
    <row r="276" spans="1:18" ht="15.75" customHeight="1" x14ac:dyDescent="0.35">
      <c r="A276" s="18"/>
      <c r="P276" s="19"/>
      <c r="Q276" s="19"/>
      <c r="R276" s="19"/>
    </row>
    <row r="277" spans="1:18" ht="15.75" customHeight="1" x14ac:dyDescent="0.35">
      <c r="A277" s="18"/>
      <c r="P277" s="19"/>
      <c r="Q277" s="19"/>
      <c r="R277" s="19"/>
    </row>
    <row r="278" spans="1:18" ht="15.75" customHeight="1" x14ac:dyDescent="0.35">
      <c r="A278" s="18"/>
      <c r="P278" s="19"/>
      <c r="Q278" s="19"/>
      <c r="R278" s="19"/>
    </row>
    <row r="279" spans="1:18" ht="15.75" customHeight="1" x14ac:dyDescent="0.35">
      <c r="A279" s="18"/>
      <c r="P279" s="19"/>
      <c r="Q279" s="19"/>
      <c r="R279" s="19"/>
    </row>
    <row r="280" spans="1:18" ht="15.75" customHeight="1" x14ac:dyDescent="0.35">
      <c r="A280" s="18"/>
      <c r="P280" s="19"/>
      <c r="Q280" s="19"/>
      <c r="R280" s="19"/>
    </row>
    <row r="281" spans="1:18" ht="15.75" customHeight="1" x14ac:dyDescent="0.35">
      <c r="A281" s="18"/>
      <c r="P281" s="19"/>
      <c r="Q281" s="19"/>
      <c r="R281" s="19"/>
    </row>
    <row r="282" spans="1:18" ht="15.75" customHeight="1" x14ac:dyDescent="0.35">
      <c r="A282" s="18"/>
      <c r="P282" s="19"/>
      <c r="Q282" s="19"/>
      <c r="R282" s="19"/>
    </row>
    <row r="283" spans="1:18" ht="15.75" customHeight="1" x14ac:dyDescent="0.35">
      <c r="A283" s="18"/>
      <c r="P283" s="19"/>
      <c r="Q283" s="19"/>
      <c r="R283" s="19"/>
    </row>
    <row r="284" spans="1:18" ht="15.75" customHeight="1" x14ac:dyDescent="0.35">
      <c r="A284" s="18"/>
      <c r="P284" s="19"/>
      <c r="Q284" s="19"/>
      <c r="R284" s="19"/>
    </row>
    <row r="285" spans="1:18" ht="15.75" customHeight="1" x14ac:dyDescent="0.35">
      <c r="A285" s="18"/>
      <c r="P285" s="19"/>
      <c r="Q285" s="19"/>
      <c r="R285" s="19"/>
    </row>
    <row r="286" spans="1:18" ht="15.75" customHeight="1" x14ac:dyDescent="0.35">
      <c r="A286" s="18"/>
      <c r="P286" s="19"/>
      <c r="Q286" s="19"/>
      <c r="R286" s="19"/>
    </row>
    <row r="287" spans="1:18" ht="15.75" customHeight="1" x14ac:dyDescent="0.35">
      <c r="A287" s="18"/>
      <c r="P287" s="19"/>
      <c r="Q287" s="19"/>
      <c r="R287" s="19"/>
    </row>
    <row r="288" spans="1:18" ht="15.75" customHeight="1" x14ac:dyDescent="0.35">
      <c r="A288" s="18"/>
      <c r="P288" s="19"/>
      <c r="Q288" s="19"/>
      <c r="R288" s="19"/>
    </row>
    <row r="289" spans="1:18" ht="15.75" customHeight="1" x14ac:dyDescent="0.35">
      <c r="A289" s="18"/>
      <c r="P289" s="19"/>
      <c r="Q289" s="19"/>
      <c r="R289" s="19"/>
    </row>
    <row r="290" spans="1:18" ht="15.75" customHeight="1" x14ac:dyDescent="0.35">
      <c r="A290" s="18"/>
      <c r="P290" s="19"/>
      <c r="Q290" s="19"/>
      <c r="R290" s="19"/>
    </row>
    <row r="291" spans="1:18" ht="15.75" customHeight="1" x14ac:dyDescent="0.35">
      <c r="A291" s="18"/>
      <c r="P291" s="19"/>
      <c r="Q291" s="19"/>
      <c r="R291" s="19"/>
    </row>
    <row r="292" spans="1:18" ht="15.75" customHeight="1" x14ac:dyDescent="0.35">
      <c r="A292" s="18"/>
      <c r="P292" s="19"/>
      <c r="Q292" s="19"/>
      <c r="R292" s="19"/>
    </row>
    <row r="293" spans="1:18" ht="15.75" customHeight="1" x14ac:dyDescent="0.35">
      <c r="A293" s="18"/>
      <c r="P293" s="19"/>
      <c r="Q293" s="19"/>
      <c r="R293" s="19"/>
    </row>
    <row r="294" spans="1:18" ht="15.75" customHeight="1" x14ac:dyDescent="0.35">
      <c r="A294" s="18"/>
      <c r="P294" s="19"/>
      <c r="Q294" s="19"/>
      <c r="R294" s="19"/>
    </row>
    <row r="295" spans="1:18" ht="15.75" customHeight="1" x14ac:dyDescent="0.35">
      <c r="A295" s="18"/>
      <c r="P295" s="19"/>
      <c r="Q295" s="19"/>
      <c r="R295" s="19"/>
    </row>
    <row r="296" spans="1:18" ht="15.75" customHeight="1" x14ac:dyDescent="0.35">
      <c r="A296" s="18"/>
      <c r="P296" s="19"/>
      <c r="Q296" s="19"/>
      <c r="R296" s="19"/>
    </row>
    <row r="297" spans="1:18" ht="15.75" customHeight="1" x14ac:dyDescent="0.35">
      <c r="A297" s="18"/>
      <c r="P297" s="19"/>
      <c r="Q297" s="19"/>
      <c r="R297" s="19"/>
    </row>
    <row r="298" spans="1:18" ht="15.75" customHeight="1" x14ac:dyDescent="0.35">
      <c r="A298" s="18"/>
      <c r="P298" s="19"/>
      <c r="Q298" s="19"/>
      <c r="R298" s="19"/>
    </row>
    <row r="299" spans="1:18" ht="15.75" customHeight="1" x14ac:dyDescent="0.35">
      <c r="A299" s="18"/>
      <c r="P299" s="19"/>
      <c r="Q299" s="19"/>
      <c r="R299" s="19"/>
    </row>
    <row r="300" spans="1:18" ht="15.75" customHeight="1" x14ac:dyDescent="0.35">
      <c r="A300" s="18"/>
      <c r="P300" s="19"/>
      <c r="Q300" s="19"/>
      <c r="R300" s="19"/>
    </row>
    <row r="301" spans="1:18" ht="15.75" customHeight="1" x14ac:dyDescent="0.35">
      <c r="A301" s="18"/>
      <c r="P301" s="19"/>
      <c r="Q301" s="19"/>
      <c r="R301" s="19"/>
    </row>
    <row r="302" spans="1:18" ht="15.75" customHeight="1" x14ac:dyDescent="0.35">
      <c r="A302" s="18"/>
      <c r="P302" s="19"/>
      <c r="Q302" s="19"/>
      <c r="R302" s="19"/>
    </row>
    <row r="303" spans="1:18" ht="15.75" customHeight="1" x14ac:dyDescent="0.35">
      <c r="A303" s="18"/>
      <c r="P303" s="19"/>
      <c r="Q303" s="19"/>
      <c r="R303" s="19"/>
    </row>
    <row r="304" spans="1:18" ht="15.75" customHeight="1" x14ac:dyDescent="0.35">
      <c r="A304" s="18"/>
      <c r="P304" s="19"/>
      <c r="Q304" s="19"/>
      <c r="R304" s="19"/>
    </row>
    <row r="305" spans="1:18" ht="15.75" customHeight="1" x14ac:dyDescent="0.35">
      <c r="A305" s="18"/>
      <c r="P305" s="19"/>
      <c r="Q305" s="19"/>
      <c r="R305" s="19"/>
    </row>
    <row r="306" spans="1:18" ht="15.75" customHeight="1" x14ac:dyDescent="0.35">
      <c r="A306" s="18"/>
      <c r="P306" s="19"/>
      <c r="Q306" s="19"/>
      <c r="R306" s="19"/>
    </row>
    <row r="307" spans="1:18" ht="15.75" customHeight="1" x14ac:dyDescent="0.35">
      <c r="A307" s="18"/>
      <c r="P307" s="19"/>
      <c r="Q307" s="19"/>
      <c r="R307" s="19"/>
    </row>
    <row r="308" spans="1:18" ht="15.75" customHeight="1" x14ac:dyDescent="0.35">
      <c r="A308" s="18"/>
      <c r="P308" s="19"/>
      <c r="Q308" s="19"/>
      <c r="R308" s="19"/>
    </row>
    <row r="309" spans="1:18" ht="15.75" customHeight="1" x14ac:dyDescent="0.35">
      <c r="A309" s="18"/>
      <c r="P309" s="19"/>
      <c r="Q309" s="19"/>
      <c r="R309" s="19"/>
    </row>
    <row r="310" spans="1:18" ht="15.75" customHeight="1" x14ac:dyDescent="0.35">
      <c r="A310" s="18"/>
      <c r="P310" s="19"/>
      <c r="Q310" s="19"/>
      <c r="R310" s="19"/>
    </row>
    <row r="311" spans="1:18" ht="15.75" customHeight="1" x14ac:dyDescent="0.35">
      <c r="A311" s="18"/>
      <c r="P311" s="19"/>
      <c r="Q311" s="19"/>
      <c r="R311" s="19"/>
    </row>
    <row r="312" spans="1:18" ht="15.75" customHeight="1" x14ac:dyDescent="0.35">
      <c r="A312" s="18"/>
      <c r="P312" s="19"/>
      <c r="Q312" s="19"/>
      <c r="R312" s="19"/>
    </row>
    <row r="313" spans="1:18" ht="15.75" customHeight="1" x14ac:dyDescent="0.35">
      <c r="A313" s="18"/>
      <c r="P313" s="19"/>
      <c r="Q313" s="19"/>
      <c r="R313" s="19"/>
    </row>
    <row r="314" spans="1:18" ht="15.75" customHeight="1" x14ac:dyDescent="0.35">
      <c r="A314" s="18"/>
      <c r="P314" s="19"/>
      <c r="Q314" s="19"/>
      <c r="R314" s="19"/>
    </row>
    <row r="315" spans="1:18" ht="15.75" customHeight="1" x14ac:dyDescent="0.35">
      <c r="A315" s="18"/>
      <c r="P315" s="19"/>
      <c r="Q315" s="19"/>
      <c r="R315" s="19"/>
    </row>
    <row r="316" spans="1:18" ht="15.75" customHeight="1" x14ac:dyDescent="0.35">
      <c r="A316" s="18"/>
      <c r="P316" s="19"/>
      <c r="Q316" s="19"/>
      <c r="R316" s="19"/>
    </row>
    <row r="317" spans="1:18" ht="15.75" customHeight="1" x14ac:dyDescent="0.35">
      <c r="A317" s="18"/>
      <c r="P317" s="19"/>
      <c r="Q317" s="19"/>
      <c r="R317" s="19"/>
    </row>
    <row r="318" spans="1:18" ht="15.75" customHeight="1" x14ac:dyDescent="0.35">
      <c r="A318" s="18"/>
      <c r="P318" s="19"/>
      <c r="Q318" s="19"/>
      <c r="R318" s="19"/>
    </row>
    <row r="319" spans="1:18" ht="15.75" customHeight="1" x14ac:dyDescent="0.35">
      <c r="A319" s="18"/>
      <c r="P319" s="19"/>
      <c r="Q319" s="19"/>
      <c r="R319" s="19"/>
    </row>
    <row r="320" spans="1:18" ht="15.75" customHeight="1" x14ac:dyDescent="0.35">
      <c r="A320" s="18"/>
      <c r="P320" s="19"/>
      <c r="Q320" s="19"/>
      <c r="R320" s="19"/>
    </row>
    <row r="321" spans="1:18" ht="15.75" customHeight="1" x14ac:dyDescent="0.35">
      <c r="A321" s="18"/>
      <c r="P321" s="19"/>
      <c r="Q321" s="19"/>
      <c r="R321" s="19"/>
    </row>
    <row r="322" spans="1:18" ht="15.75" customHeight="1" x14ac:dyDescent="0.35">
      <c r="A322" s="18"/>
      <c r="P322" s="19"/>
      <c r="Q322" s="19"/>
      <c r="R322" s="19"/>
    </row>
    <row r="323" spans="1:18" ht="15.75" customHeight="1" x14ac:dyDescent="0.35">
      <c r="A323" s="18"/>
      <c r="P323" s="19"/>
      <c r="Q323" s="19"/>
      <c r="R323" s="19"/>
    </row>
    <row r="324" spans="1:18" ht="15.75" customHeight="1" x14ac:dyDescent="0.35">
      <c r="A324" s="18"/>
      <c r="P324" s="19"/>
      <c r="Q324" s="19"/>
      <c r="R324" s="19"/>
    </row>
    <row r="325" spans="1:18" ht="15.75" customHeight="1" x14ac:dyDescent="0.35">
      <c r="A325" s="18"/>
      <c r="P325" s="19"/>
      <c r="Q325" s="19"/>
      <c r="R325" s="19"/>
    </row>
    <row r="326" spans="1:18" ht="15.75" customHeight="1" x14ac:dyDescent="0.35">
      <c r="A326" s="18"/>
      <c r="P326" s="19"/>
      <c r="Q326" s="19"/>
      <c r="R326" s="19"/>
    </row>
    <row r="327" spans="1:18" ht="15.75" customHeight="1" x14ac:dyDescent="0.35">
      <c r="A327" s="18"/>
      <c r="P327" s="19"/>
      <c r="Q327" s="19"/>
      <c r="R327" s="19"/>
    </row>
    <row r="328" spans="1:18" ht="15.75" customHeight="1" x14ac:dyDescent="0.35">
      <c r="A328" s="18"/>
      <c r="P328" s="19"/>
      <c r="Q328" s="19"/>
      <c r="R328" s="19"/>
    </row>
    <row r="329" spans="1:18" ht="15.75" customHeight="1" x14ac:dyDescent="0.35">
      <c r="A329" s="18"/>
      <c r="P329" s="19"/>
      <c r="Q329" s="19"/>
      <c r="R329" s="19"/>
    </row>
    <row r="330" spans="1:18" ht="15.75" customHeight="1" x14ac:dyDescent="0.35">
      <c r="A330" s="18"/>
      <c r="P330" s="19"/>
      <c r="Q330" s="19"/>
      <c r="R330" s="19"/>
    </row>
    <row r="331" spans="1:18" ht="15.75" customHeight="1" x14ac:dyDescent="0.35">
      <c r="A331" s="18"/>
      <c r="P331" s="19"/>
      <c r="Q331" s="19"/>
      <c r="R331" s="19"/>
    </row>
    <row r="332" spans="1:18" ht="15.75" customHeight="1" x14ac:dyDescent="0.35">
      <c r="A332" s="18"/>
      <c r="P332" s="19"/>
      <c r="Q332" s="19"/>
      <c r="R332" s="19"/>
    </row>
    <row r="333" spans="1:18" ht="15.75" customHeight="1" x14ac:dyDescent="0.35">
      <c r="A333" s="18"/>
      <c r="P333" s="19"/>
      <c r="Q333" s="19"/>
      <c r="R333" s="19"/>
    </row>
    <row r="334" spans="1:18" ht="15.75" customHeight="1" x14ac:dyDescent="0.35">
      <c r="A334" s="18"/>
      <c r="P334" s="19"/>
      <c r="Q334" s="19"/>
      <c r="R334" s="19"/>
    </row>
    <row r="335" spans="1:18" ht="15.75" customHeight="1" x14ac:dyDescent="0.35">
      <c r="A335" s="18"/>
      <c r="P335" s="19"/>
      <c r="Q335" s="19"/>
      <c r="R335" s="19"/>
    </row>
    <row r="336" spans="1:18" ht="15.75" customHeight="1" x14ac:dyDescent="0.35">
      <c r="A336" s="18"/>
      <c r="P336" s="19"/>
      <c r="Q336" s="19"/>
      <c r="R336" s="19"/>
    </row>
    <row r="337" spans="1:18" ht="15.75" customHeight="1" x14ac:dyDescent="0.35">
      <c r="A337" s="18"/>
      <c r="P337" s="19"/>
      <c r="Q337" s="19"/>
      <c r="R337" s="19"/>
    </row>
    <row r="338" spans="1:18" ht="15.75" customHeight="1" x14ac:dyDescent="0.35">
      <c r="A338" s="18"/>
      <c r="P338" s="19"/>
      <c r="Q338" s="19"/>
      <c r="R338" s="19"/>
    </row>
    <row r="339" spans="1:18" ht="15.75" customHeight="1" x14ac:dyDescent="0.35">
      <c r="A339" s="18"/>
      <c r="P339" s="19"/>
      <c r="Q339" s="19"/>
      <c r="R339" s="19"/>
    </row>
    <row r="340" spans="1:18" ht="15.75" customHeight="1" x14ac:dyDescent="0.35">
      <c r="A340" s="18"/>
      <c r="P340" s="19"/>
      <c r="Q340" s="19"/>
      <c r="R340" s="19"/>
    </row>
    <row r="341" spans="1:18" ht="15.75" customHeight="1" x14ac:dyDescent="0.35">
      <c r="A341" s="18"/>
      <c r="P341" s="19"/>
      <c r="Q341" s="19"/>
      <c r="R341" s="19"/>
    </row>
    <row r="342" spans="1:18" ht="15.75" customHeight="1" x14ac:dyDescent="0.35">
      <c r="A342" s="18"/>
      <c r="P342" s="19"/>
      <c r="Q342" s="19"/>
      <c r="R342" s="19"/>
    </row>
    <row r="343" spans="1:18" ht="15.75" customHeight="1" x14ac:dyDescent="0.35">
      <c r="A343" s="18"/>
      <c r="P343" s="19"/>
      <c r="Q343" s="19"/>
      <c r="R343" s="19"/>
    </row>
    <row r="344" spans="1:18" ht="15.75" customHeight="1" x14ac:dyDescent="0.35">
      <c r="A344" s="18"/>
      <c r="P344" s="19"/>
      <c r="Q344" s="19"/>
      <c r="R344" s="19"/>
    </row>
    <row r="345" spans="1:18" ht="15.75" customHeight="1" x14ac:dyDescent="0.35">
      <c r="A345" s="18"/>
      <c r="P345" s="19"/>
      <c r="Q345" s="19"/>
      <c r="R345" s="19"/>
    </row>
    <row r="346" spans="1:18" ht="15.75" customHeight="1" x14ac:dyDescent="0.35">
      <c r="A346" s="18"/>
      <c r="P346" s="19"/>
      <c r="Q346" s="19"/>
      <c r="R346" s="19"/>
    </row>
    <row r="347" spans="1:18" ht="15.75" customHeight="1" x14ac:dyDescent="0.35">
      <c r="A347" s="18"/>
      <c r="P347" s="19"/>
      <c r="Q347" s="19"/>
      <c r="R347" s="19"/>
    </row>
    <row r="348" spans="1:18" ht="15.75" customHeight="1" x14ac:dyDescent="0.35">
      <c r="A348" s="18"/>
      <c r="P348" s="19"/>
      <c r="Q348" s="19"/>
      <c r="R348" s="19"/>
    </row>
    <row r="349" spans="1:18" ht="15.75" customHeight="1" x14ac:dyDescent="0.35">
      <c r="A349" s="18"/>
      <c r="P349" s="19"/>
      <c r="Q349" s="19"/>
      <c r="R349" s="19"/>
    </row>
    <row r="350" spans="1:18" ht="15.75" customHeight="1" x14ac:dyDescent="0.35">
      <c r="A350" s="18"/>
      <c r="P350" s="19"/>
      <c r="Q350" s="19"/>
      <c r="R350" s="19"/>
    </row>
    <row r="351" spans="1:18" ht="15.75" customHeight="1" x14ac:dyDescent="0.35">
      <c r="A351" s="18"/>
      <c r="P351" s="19"/>
      <c r="Q351" s="19"/>
      <c r="R351" s="19"/>
    </row>
    <row r="352" spans="1:18" ht="15.75" customHeight="1" x14ac:dyDescent="0.35">
      <c r="A352" s="18"/>
      <c r="P352" s="19"/>
      <c r="Q352" s="19"/>
      <c r="R352" s="19"/>
    </row>
    <row r="353" spans="1:18" ht="15.75" customHeight="1" x14ac:dyDescent="0.35">
      <c r="A353" s="18"/>
      <c r="P353" s="19"/>
      <c r="Q353" s="19"/>
      <c r="R353" s="19"/>
    </row>
    <row r="354" spans="1:18" ht="15.75" customHeight="1" x14ac:dyDescent="0.35">
      <c r="A354" s="18"/>
      <c r="P354" s="19"/>
      <c r="Q354" s="19"/>
      <c r="R354" s="19"/>
    </row>
    <row r="355" spans="1:18" ht="15.75" customHeight="1" x14ac:dyDescent="0.35">
      <c r="A355" s="18"/>
      <c r="P355" s="19"/>
      <c r="Q355" s="19"/>
      <c r="R355" s="19"/>
    </row>
    <row r="356" spans="1:18" ht="15.75" customHeight="1" x14ac:dyDescent="0.35">
      <c r="A356" s="18"/>
      <c r="P356" s="19"/>
      <c r="Q356" s="19"/>
      <c r="R356" s="19"/>
    </row>
    <row r="357" spans="1:18" ht="15.75" customHeight="1" x14ac:dyDescent="0.35">
      <c r="A357" s="18"/>
      <c r="P357" s="19"/>
      <c r="Q357" s="19"/>
      <c r="R357" s="19"/>
    </row>
    <row r="358" spans="1:18" ht="15.75" customHeight="1" x14ac:dyDescent="0.35">
      <c r="A358" s="18"/>
      <c r="P358" s="19"/>
      <c r="Q358" s="19"/>
      <c r="R358" s="19"/>
    </row>
    <row r="359" spans="1:18" ht="15.75" customHeight="1" x14ac:dyDescent="0.35">
      <c r="A359" s="18"/>
      <c r="P359" s="19"/>
      <c r="Q359" s="19"/>
      <c r="R359" s="19"/>
    </row>
    <row r="360" spans="1:18" ht="15.75" customHeight="1" x14ac:dyDescent="0.35">
      <c r="A360" s="18"/>
      <c r="P360" s="19"/>
      <c r="Q360" s="19"/>
      <c r="R360" s="19"/>
    </row>
    <row r="361" spans="1:18" ht="15.75" customHeight="1" x14ac:dyDescent="0.35">
      <c r="A361" s="18"/>
      <c r="P361" s="19"/>
      <c r="Q361" s="19"/>
      <c r="R361" s="19"/>
    </row>
    <row r="362" spans="1:18" ht="15.75" customHeight="1" x14ac:dyDescent="0.35">
      <c r="A362" s="18"/>
      <c r="P362" s="19"/>
      <c r="Q362" s="19"/>
      <c r="R362" s="19"/>
    </row>
    <row r="363" spans="1:18" ht="15.75" customHeight="1" x14ac:dyDescent="0.35">
      <c r="A363" s="18"/>
      <c r="P363" s="19"/>
      <c r="Q363" s="19"/>
      <c r="R363" s="19"/>
    </row>
    <row r="364" spans="1:18" ht="15.75" customHeight="1" x14ac:dyDescent="0.35">
      <c r="A364" s="18"/>
      <c r="P364" s="19"/>
      <c r="Q364" s="19"/>
      <c r="R364" s="19"/>
    </row>
    <row r="365" spans="1:18" ht="15.75" customHeight="1" x14ac:dyDescent="0.35">
      <c r="A365" s="18"/>
      <c r="P365" s="19"/>
      <c r="Q365" s="19"/>
      <c r="R365" s="19"/>
    </row>
    <row r="366" spans="1:18" ht="15.75" customHeight="1" x14ac:dyDescent="0.35">
      <c r="A366" s="18"/>
      <c r="P366" s="19"/>
      <c r="Q366" s="19"/>
      <c r="R366" s="19"/>
    </row>
    <row r="367" spans="1:18" ht="15.75" customHeight="1" x14ac:dyDescent="0.35">
      <c r="A367" s="18"/>
      <c r="P367" s="19"/>
      <c r="Q367" s="19"/>
      <c r="R367" s="19"/>
    </row>
    <row r="368" spans="1:18" ht="15.75" customHeight="1" x14ac:dyDescent="0.35">
      <c r="A368" s="18"/>
      <c r="P368" s="19"/>
      <c r="Q368" s="19"/>
      <c r="R368" s="19"/>
    </row>
    <row r="369" spans="1:18" ht="15.75" customHeight="1" x14ac:dyDescent="0.35">
      <c r="A369" s="18"/>
      <c r="P369" s="19"/>
      <c r="Q369" s="19"/>
      <c r="R369" s="19"/>
    </row>
    <row r="370" spans="1:18" ht="15.75" customHeight="1" x14ac:dyDescent="0.35">
      <c r="A370" s="18"/>
      <c r="P370" s="19"/>
      <c r="Q370" s="19"/>
      <c r="R370" s="19"/>
    </row>
    <row r="371" spans="1:18" ht="15.75" customHeight="1" x14ac:dyDescent="0.35">
      <c r="A371" s="18"/>
      <c r="P371" s="19"/>
      <c r="Q371" s="19"/>
      <c r="R371" s="19"/>
    </row>
    <row r="372" spans="1:18" ht="15.75" customHeight="1" x14ac:dyDescent="0.35">
      <c r="A372" s="18"/>
      <c r="P372" s="19"/>
      <c r="Q372" s="19"/>
      <c r="R372" s="19"/>
    </row>
    <row r="373" spans="1:18" ht="15.75" customHeight="1" x14ac:dyDescent="0.35">
      <c r="A373" s="18"/>
      <c r="P373" s="19"/>
      <c r="Q373" s="19"/>
      <c r="R373" s="19"/>
    </row>
    <row r="374" spans="1:18" ht="15.75" customHeight="1" x14ac:dyDescent="0.35">
      <c r="A374" s="18"/>
      <c r="P374" s="19"/>
      <c r="Q374" s="19"/>
      <c r="R374" s="19"/>
    </row>
    <row r="375" spans="1:18" ht="15.75" customHeight="1" x14ac:dyDescent="0.35">
      <c r="A375" s="18"/>
      <c r="P375" s="19"/>
      <c r="Q375" s="19"/>
      <c r="R375" s="19"/>
    </row>
    <row r="376" spans="1:18" ht="15.75" customHeight="1" x14ac:dyDescent="0.35">
      <c r="A376" s="18"/>
      <c r="P376" s="19"/>
      <c r="Q376" s="19"/>
      <c r="R376" s="19"/>
    </row>
    <row r="377" spans="1:18" ht="15.75" customHeight="1" x14ac:dyDescent="0.35">
      <c r="A377" s="18"/>
      <c r="P377" s="19"/>
      <c r="Q377" s="19"/>
      <c r="R377" s="19"/>
    </row>
    <row r="378" spans="1:18" ht="15.75" customHeight="1" x14ac:dyDescent="0.35">
      <c r="A378" s="18"/>
      <c r="P378" s="19"/>
      <c r="Q378" s="19"/>
      <c r="R378" s="19"/>
    </row>
    <row r="379" spans="1:18" ht="15.75" customHeight="1" x14ac:dyDescent="0.35">
      <c r="A379" s="18"/>
      <c r="P379" s="19"/>
      <c r="Q379" s="19"/>
      <c r="R379" s="19"/>
    </row>
    <row r="380" spans="1:18" ht="15.75" customHeight="1" x14ac:dyDescent="0.35">
      <c r="A380" s="18"/>
      <c r="P380" s="19"/>
      <c r="Q380" s="19"/>
      <c r="R380" s="19"/>
    </row>
    <row r="381" spans="1:18" ht="15.75" customHeight="1" x14ac:dyDescent="0.35">
      <c r="A381" s="18"/>
      <c r="P381" s="19"/>
      <c r="Q381" s="19"/>
      <c r="R381" s="19"/>
    </row>
    <row r="382" spans="1:18" ht="15.75" customHeight="1" x14ac:dyDescent="0.35">
      <c r="A382" s="18"/>
      <c r="P382" s="19"/>
      <c r="Q382" s="19"/>
      <c r="R382" s="19"/>
    </row>
    <row r="383" spans="1:18" ht="15.75" customHeight="1" x14ac:dyDescent="0.35">
      <c r="A383" s="18"/>
      <c r="P383" s="19"/>
      <c r="Q383" s="19"/>
      <c r="R383" s="19"/>
    </row>
    <row r="384" spans="1:18" ht="15.75" customHeight="1" x14ac:dyDescent="0.35">
      <c r="A384" s="18"/>
      <c r="P384" s="19"/>
      <c r="Q384" s="19"/>
      <c r="R384" s="19"/>
    </row>
    <row r="385" spans="1:18" ht="15.75" customHeight="1" x14ac:dyDescent="0.35">
      <c r="A385" s="18"/>
      <c r="P385" s="19"/>
      <c r="Q385" s="19"/>
      <c r="R385" s="19"/>
    </row>
    <row r="386" spans="1:18" ht="15.75" customHeight="1" x14ac:dyDescent="0.35">
      <c r="A386" s="18"/>
      <c r="P386" s="19"/>
      <c r="Q386" s="19"/>
      <c r="R386" s="19"/>
    </row>
    <row r="387" spans="1:18" ht="15.75" customHeight="1" x14ac:dyDescent="0.35">
      <c r="A387" s="18"/>
      <c r="P387" s="19"/>
      <c r="Q387" s="19"/>
      <c r="R387" s="19"/>
    </row>
    <row r="388" spans="1:18" ht="15.75" customHeight="1" x14ac:dyDescent="0.35">
      <c r="A388" s="18"/>
      <c r="P388" s="19"/>
      <c r="Q388" s="19"/>
      <c r="R388" s="19"/>
    </row>
    <row r="389" spans="1:18" ht="15.75" customHeight="1" x14ac:dyDescent="0.35">
      <c r="A389" s="18"/>
      <c r="P389" s="19"/>
      <c r="Q389" s="19"/>
      <c r="R389" s="19"/>
    </row>
    <row r="390" spans="1:18" ht="15.75" customHeight="1" x14ac:dyDescent="0.35">
      <c r="A390" s="18"/>
      <c r="P390" s="19"/>
      <c r="Q390" s="19"/>
      <c r="R390" s="19"/>
    </row>
    <row r="391" spans="1:18" ht="15.75" customHeight="1" x14ac:dyDescent="0.35">
      <c r="A391" s="18"/>
      <c r="P391" s="19"/>
      <c r="Q391" s="19"/>
      <c r="R391" s="19"/>
    </row>
    <row r="392" spans="1:18" ht="15.75" customHeight="1" x14ac:dyDescent="0.35">
      <c r="A392" s="18"/>
      <c r="P392" s="19"/>
      <c r="Q392" s="19"/>
      <c r="R392" s="19"/>
    </row>
    <row r="393" spans="1:18" ht="15.75" customHeight="1" x14ac:dyDescent="0.35">
      <c r="A393" s="18"/>
      <c r="P393" s="19"/>
      <c r="Q393" s="19"/>
      <c r="R393" s="19"/>
    </row>
    <row r="394" spans="1:18" ht="15.75" customHeight="1" x14ac:dyDescent="0.35">
      <c r="A394" s="18"/>
      <c r="P394" s="19"/>
      <c r="Q394" s="19"/>
      <c r="R394" s="19"/>
    </row>
    <row r="395" spans="1:18" ht="15.75" customHeight="1" x14ac:dyDescent="0.35">
      <c r="A395" s="18"/>
      <c r="P395" s="19"/>
      <c r="Q395" s="19"/>
      <c r="R395" s="19"/>
    </row>
    <row r="396" spans="1:18" ht="15.75" customHeight="1" x14ac:dyDescent="0.35">
      <c r="A396" s="18"/>
      <c r="P396" s="19"/>
      <c r="Q396" s="19"/>
      <c r="R396" s="19"/>
    </row>
    <row r="397" spans="1:18" ht="15.75" customHeight="1" x14ac:dyDescent="0.35">
      <c r="A397" s="18"/>
      <c r="P397" s="19"/>
      <c r="Q397" s="19"/>
      <c r="R397" s="19"/>
    </row>
    <row r="398" spans="1:18" ht="15.75" customHeight="1" x14ac:dyDescent="0.35">
      <c r="A398" s="18"/>
      <c r="P398" s="19"/>
      <c r="Q398" s="19"/>
      <c r="R398" s="19"/>
    </row>
    <row r="399" spans="1:18" ht="15.75" customHeight="1" x14ac:dyDescent="0.35">
      <c r="A399" s="18"/>
      <c r="P399" s="19"/>
      <c r="Q399" s="19"/>
      <c r="R399" s="19"/>
    </row>
    <row r="400" spans="1:18" ht="15.75" customHeight="1" x14ac:dyDescent="0.35">
      <c r="A400" s="18"/>
      <c r="P400" s="19"/>
      <c r="Q400" s="19"/>
      <c r="R400" s="19"/>
    </row>
    <row r="401" spans="1:18" ht="15.75" customHeight="1" x14ac:dyDescent="0.35">
      <c r="A401" s="18"/>
      <c r="P401" s="19"/>
      <c r="Q401" s="19"/>
      <c r="R401" s="19"/>
    </row>
    <row r="402" spans="1:18" ht="15.75" customHeight="1" x14ac:dyDescent="0.35">
      <c r="A402" s="18"/>
      <c r="P402" s="19"/>
      <c r="Q402" s="19"/>
      <c r="R402" s="19"/>
    </row>
    <row r="403" spans="1:18" ht="15.75" customHeight="1" x14ac:dyDescent="0.35">
      <c r="A403" s="18"/>
      <c r="P403" s="19"/>
      <c r="Q403" s="19"/>
      <c r="R403" s="19"/>
    </row>
    <row r="404" spans="1:18" ht="15.75" customHeight="1" x14ac:dyDescent="0.35">
      <c r="A404" s="18"/>
      <c r="P404" s="19"/>
      <c r="Q404" s="19"/>
      <c r="R404" s="19"/>
    </row>
    <row r="405" spans="1:18" ht="15.75" customHeight="1" x14ac:dyDescent="0.35">
      <c r="A405" s="18"/>
      <c r="P405" s="19"/>
      <c r="Q405" s="19"/>
      <c r="R405" s="19"/>
    </row>
    <row r="406" spans="1:18" ht="15.75" customHeight="1" x14ac:dyDescent="0.35">
      <c r="A406" s="18"/>
      <c r="P406" s="19"/>
      <c r="Q406" s="19"/>
      <c r="R406" s="19"/>
    </row>
    <row r="407" spans="1:18" ht="15.75" customHeight="1" x14ac:dyDescent="0.35">
      <c r="A407" s="18"/>
      <c r="P407" s="19"/>
      <c r="Q407" s="19"/>
      <c r="R407" s="19"/>
    </row>
    <row r="408" spans="1:18" ht="15.75" customHeight="1" x14ac:dyDescent="0.35">
      <c r="A408" s="18"/>
      <c r="P408" s="19"/>
      <c r="Q408" s="19"/>
      <c r="R408" s="19"/>
    </row>
    <row r="409" spans="1:18" ht="15.75" customHeight="1" x14ac:dyDescent="0.35">
      <c r="A409" s="18"/>
      <c r="P409" s="19"/>
      <c r="Q409" s="19"/>
      <c r="R409" s="19"/>
    </row>
    <row r="410" spans="1:18" ht="15.75" customHeight="1" x14ac:dyDescent="0.35">
      <c r="A410" s="18"/>
      <c r="P410" s="19"/>
      <c r="Q410" s="19"/>
      <c r="R410" s="19"/>
    </row>
    <row r="411" spans="1:18" ht="15.75" customHeight="1" x14ac:dyDescent="0.35">
      <c r="A411" s="18"/>
      <c r="P411" s="19"/>
      <c r="Q411" s="19"/>
      <c r="R411" s="19"/>
    </row>
    <row r="412" spans="1:18" ht="15.75" customHeight="1" x14ac:dyDescent="0.35">
      <c r="A412" s="18"/>
      <c r="P412" s="19"/>
      <c r="Q412" s="19"/>
      <c r="R412" s="19"/>
    </row>
    <row r="413" spans="1:18" ht="15.75" customHeight="1" x14ac:dyDescent="0.35">
      <c r="A413" s="18"/>
      <c r="P413" s="19"/>
      <c r="Q413" s="19"/>
      <c r="R413" s="19"/>
    </row>
    <row r="414" spans="1:18" ht="15.75" customHeight="1" x14ac:dyDescent="0.35">
      <c r="A414" s="18"/>
      <c r="P414" s="19"/>
      <c r="Q414" s="19"/>
      <c r="R414" s="19"/>
    </row>
    <row r="415" spans="1:18" ht="15.75" customHeight="1" x14ac:dyDescent="0.35">
      <c r="A415" s="18"/>
      <c r="P415" s="19"/>
      <c r="Q415" s="19"/>
      <c r="R415" s="19"/>
    </row>
    <row r="416" spans="1:18" ht="15.75" customHeight="1" x14ac:dyDescent="0.35">
      <c r="A416" s="18"/>
      <c r="P416" s="19"/>
      <c r="Q416" s="19"/>
      <c r="R416" s="19"/>
    </row>
    <row r="417" spans="1:18" ht="15.75" customHeight="1" x14ac:dyDescent="0.35">
      <c r="A417" s="18"/>
      <c r="P417" s="19"/>
      <c r="Q417" s="19"/>
      <c r="R417" s="19"/>
    </row>
    <row r="418" spans="1:18" ht="15.75" customHeight="1" x14ac:dyDescent="0.35">
      <c r="A418" s="18"/>
      <c r="P418" s="19"/>
      <c r="Q418" s="19"/>
      <c r="R418" s="19"/>
    </row>
    <row r="419" spans="1:18" ht="15.75" customHeight="1" x14ac:dyDescent="0.35">
      <c r="A419" s="18"/>
      <c r="P419" s="19"/>
      <c r="Q419" s="19"/>
      <c r="R419" s="19"/>
    </row>
    <row r="420" spans="1:18" ht="15.75" customHeight="1" x14ac:dyDescent="0.35">
      <c r="A420" s="18"/>
      <c r="P420" s="19"/>
      <c r="Q420" s="19"/>
      <c r="R420" s="19"/>
    </row>
    <row r="421" spans="1:18" ht="15.75" customHeight="1" x14ac:dyDescent="0.35">
      <c r="A421" s="18"/>
      <c r="P421" s="19"/>
      <c r="Q421" s="19"/>
      <c r="R421" s="19"/>
    </row>
    <row r="422" spans="1:18" ht="15.75" customHeight="1" x14ac:dyDescent="0.35">
      <c r="A422" s="18"/>
      <c r="P422" s="19"/>
      <c r="Q422" s="19"/>
      <c r="R422" s="19"/>
    </row>
    <row r="423" spans="1:18" ht="15.75" customHeight="1" x14ac:dyDescent="0.35">
      <c r="A423" s="18"/>
      <c r="P423" s="19"/>
      <c r="Q423" s="19"/>
      <c r="R423" s="19"/>
    </row>
    <row r="424" spans="1:18" ht="15.75" customHeight="1" x14ac:dyDescent="0.35">
      <c r="A424" s="18"/>
      <c r="P424" s="19"/>
      <c r="Q424" s="19"/>
      <c r="R424" s="19"/>
    </row>
    <row r="425" spans="1:18" ht="15.75" customHeight="1" x14ac:dyDescent="0.35">
      <c r="A425" s="18"/>
      <c r="P425" s="19"/>
      <c r="Q425" s="19"/>
      <c r="R425" s="19"/>
    </row>
    <row r="426" spans="1:18" ht="15.75" customHeight="1" x14ac:dyDescent="0.35">
      <c r="A426" s="18"/>
      <c r="P426" s="19"/>
      <c r="Q426" s="19"/>
      <c r="R426" s="19"/>
    </row>
    <row r="427" spans="1:18" ht="15.75" customHeight="1" x14ac:dyDescent="0.35">
      <c r="A427" s="18"/>
      <c r="P427" s="19"/>
      <c r="Q427" s="19"/>
      <c r="R427" s="19"/>
    </row>
    <row r="428" spans="1:18" ht="15.75" customHeight="1" x14ac:dyDescent="0.35">
      <c r="A428" s="18"/>
      <c r="P428" s="19"/>
      <c r="Q428" s="19"/>
      <c r="R428" s="19"/>
    </row>
    <row r="429" spans="1:18" ht="15.75" customHeight="1" x14ac:dyDescent="0.35">
      <c r="A429" s="18"/>
      <c r="P429" s="19"/>
      <c r="Q429" s="19"/>
      <c r="R429" s="19"/>
    </row>
    <row r="430" spans="1:18" ht="15.75" customHeight="1" x14ac:dyDescent="0.35">
      <c r="A430" s="18"/>
      <c r="P430" s="19"/>
      <c r="Q430" s="19"/>
      <c r="R430" s="19"/>
    </row>
    <row r="431" spans="1:18" ht="15.75" customHeight="1" x14ac:dyDescent="0.35">
      <c r="A431" s="18"/>
      <c r="P431" s="19"/>
      <c r="Q431" s="19"/>
      <c r="R431" s="19"/>
    </row>
    <row r="432" spans="1:18" ht="15.75" customHeight="1" x14ac:dyDescent="0.35">
      <c r="A432" s="18"/>
      <c r="P432" s="19"/>
      <c r="Q432" s="19"/>
      <c r="R432" s="19"/>
    </row>
    <row r="433" spans="1:18" ht="15.75" customHeight="1" x14ac:dyDescent="0.35">
      <c r="A433" s="18"/>
      <c r="P433" s="19"/>
      <c r="Q433" s="19"/>
      <c r="R433" s="19"/>
    </row>
    <row r="434" spans="1:18" ht="15.75" customHeight="1" x14ac:dyDescent="0.35">
      <c r="A434" s="18"/>
      <c r="P434" s="19"/>
      <c r="Q434" s="19"/>
      <c r="R434" s="19"/>
    </row>
    <row r="435" spans="1:18" ht="15.75" customHeight="1" x14ac:dyDescent="0.35">
      <c r="A435" s="18"/>
      <c r="P435" s="19"/>
      <c r="Q435" s="19"/>
      <c r="R435" s="19"/>
    </row>
    <row r="436" spans="1:18" ht="15.75" customHeight="1" x14ac:dyDescent="0.35">
      <c r="A436" s="18"/>
      <c r="P436" s="19"/>
      <c r="Q436" s="19"/>
      <c r="R436" s="19"/>
    </row>
    <row r="437" spans="1:18" ht="15.75" customHeight="1" x14ac:dyDescent="0.35">
      <c r="A437" s="18"/>
      <c r="P437" s="19"/>
      <c r="Q437" s="19"/>
      <c r="R437" s="19"/>
    </row>
    <row r="438" spans="1:18" ht="15.75" customHeight="1" x14ac:dyDescent="0.35">
      <c r="A438" s="18"/>
      <c r="P438" s="19"/>
      <c r="Q438" s="19"/>
      <c r="R438" s="19"/>
    </row>
    <row r="439" spans="1:18" ht="15.75" customHeight="1" x14ac:dyDescent="0.35">
      <c r="A439" s="18"/>
      <c r="P439" s="19"/>
      <c r="Q439" s="19"/>
      <c r="R439" s="19"/>
    </row>
    <row r="440" spans="1:18" ht="15.75" customHeight="1" x14ac:dyDescent="0.35">
      <c r="A440" s="18"/>
      <c r="P440" s="19"/>
      <c r="Q440" s="19"/>
      <c r="R440" s="19"/>
    </row>
    <row r="441" spans="1:18" ht="15.75" customHeight="1" x14ac:dyDescent="0.35">
      <c r="A441" s="18"/>
      <c r="P441" s="19"/>
      <c r="Q441" s="19"/>
      <c r="R441" s="19"/>
    </row>
    <row r="442" spans="1:18" ht="15.75" customHeight="1" x14ac:dyDescent="0.35">
      <c r="A442" s="18"/>
      <c r="P442" s="19"/>
      <c r="Q442" s="19"/>
      <c r="R442" s="19"/>
    </row>
    <row r="443" spans="1:18" ht="15.75" customHeight="1" x14ac:dyDescent="0.35">
      <c r="A443" s="18"/>
      <c r="P443" s="19"/>
      <c r="Q443" s="19"/>
      <c r="R443" s="19"/>
    </row>
    <row r="444" spans="1:18" ht="15.75" customHeight="1" x14ac:dyDescent="0.35">
      <c r="A444" s="18"/>
      <c r="P444" s="19"/>
      <c r="Q444" s="19"/>
      <c r="R444" s="19"/>
    </row>
    <row r="445" spans="1:18" ht="15.75" customHeight="1" x14ac:dyDescent="0.35">
      <c r="A445" s="18"/>
      <c r="P445" s="19"/>
      <c r="Q445" s="19"/>
      <c r="R445" s="19"/>
    </row>
    <row r="446" spans="1:18" ht="15.75" customHeight="1" x14ac:dyDescent="0.35">
      <c r="A446" s="18"/>
      <c r="P446" s="19"/>
      <c r="Q446" s="19"/>
      <c r="R446" s="19"/>
    </row>
    <row r="447" spans="1:18" ht="15.75" customHeight="1" x14ac:dyDescent="0.35">
      <c r="A447" s="18"/>
      <c r="P447" s="19"/>
      <c r="Q447" s="19"/>
      <c r="R447" s="19"/>
    </row>
    <row r="448" spans="1:18" ht="15.75" customHeight="1" x14ac:dyDescent="0.35">
      <c r="A448" s="18"/>
      <c r="P448" s="19"/>
      <c r="Q448" s="19"/>
      <c r="R448" s="19"/>
    </row>
    <row r="449" spans="1:18" ht="15.75" customHeight="1" x14ac:dyDescent="0.35">
      <c r="A449" s="18"/>
      <c r="P449" s="19"/>
      <c r="Q449" s="19"/>
      <c r="R449" s="19"/>
    </row>
    <row r="450" spans="1:18" ht="15.75" customHeight="1" x14ac:dyDescent="0.35">
      <c r="A450" s="18"/>
      <c r="P450" s="19"/>
      <c r="Q450" s="19"/>
      <c r="R450" s="19"/>
    </row>
    <row r="451" spans="1:18" ht="15.75" customHeight="1" x14ac:dyDescent="0.35">
      <c r="A451" s="18"/>
      <c r="P451" s="19"/>
      <c r="Q451" s="19"/>
      <c r="R451" s="19"/>
    </row>
    <row r="452" spans="1:18" ht="15.75" customHeight="1" x14ac:dyDescent="0.35">
      <c r="A452" s="18"/>
      <c r="P452" s="19"/>
      <c r="Q452" s="19"/>
      <c r="R452" s="19"/>
    </row>
    <row r="453" spans="1:18" ht="15.75" customHeight="1" x14ac:dyDescent="0.35">
      <c r="A453" s="18"/>
      <c r="P453" s="19"/>
      <c r="Q453" s="19"/>
      <c r="R453" s="19"/>
    </row>
    <row r="454" spans="1:18" ht="15.75" customHeight="1" x14ac:dyDescent="0.35">
      <c r="A454" s="18"/>
      <c r="P454" s="19"/>
      <c r="Q454" s="19"/>
      <c r="R454" s="19"/>
    </row>
    <row r="455" spans="1:18" ht="15.75" customHeight="1" x14ac:dyDescent="0.35">
      <c r="A455" s="18"/>
      <c r="P455" s="19"/>
      <c r="Q455" s="19"/>
      <c r="R455" s="19"/>
    </row>
    <row r="456" spans="1:18" ht="15.75" customHeight="1" x14ac:dyDescent="0.35">
      <c r="A456" s="18"/>
      <c r="P456" s="19"/>
      <c r="Q456" s="19"/>
      <c r="R456" s="19"/>
    </row>
    <row r="457" spans="1:18" ht="15.75" customHeight="1" x14ac:dyDescent="0.35">
      <c r="A457" s="18"/>
      <c r="P457" s="19"/>
      <c r="Q457" s="19"/>
      <c r="R457" s="19"/>
    </row>
    <row r="458" spans="1:18" ht="15.75" customHeight="1" x14ac:dyDescent="0.35">
      <c r="A458" s="18"/>
      <c r="P458" s="19"/>
      <c r="Q458" s="19"/>
      <c r="R458" s="19"/>
    </row>
    <row r="459" spans="1:18" ht="15.75" customHeight="1" x14ac:dyDescent="0.35">
      <c r="A459" s="18"/>
      <c r="P459" s="19"/>
      <c r="Q459" s="19"/>
      <c r="R459" s="19"/>
    </row>
    <row r="460" spans="1:18" ht="15.75" customHeight="1" x14ac:dyDescent="0.35">
      <c r="A460" s="18"/>
      <c r="P460" s="19"/>
      <c r="Q460" s="19"/>
      <c r="R460" s="19"/>
    </row>
    <row r="461" spans="1:18" ht="15.75" customHeight="1" x14ac:dyDescent="0.35">
      <c r="A461" s="18"/>
      <c r="P461" s="19"/>
      <c r="Q461" s="19"/>
      <c r="R461" s="19"/>
    </row>
    <row r="462" spans="1:18" ht="15.75" customHeight="1" x14ac:dyDescent="0.35">
      <c r="A462" s="18"/>
      <c r="P462" s="19"/>
      <c r="Q462" s="19"/>
      <c r="R462" s="19"/>
    </row>
    <row r="463" spans="1:18" ht="15.75" customHeight="1" x14ac:dyDescent="0.35">
      <c r="A463" s="18"/>
      <c r="P463" s="19"/>
      <c r="Q463" s="19"/>
      <c r="R463" s="19"/>
    </row>
    <row r="464" spans="1:18" ht="15.75" customHeight="1" x14ac:dyDescent="0.35">
      <c r="A464" s="18"/>
      <c r="P464" s="19"/>
      <c r="Q464" s="19"/>
      <c r="R464" s="19"/>
    </row>
    <row r="465" spans="1:18" ht="15.75" customHeight="1" x14ac:dyDescent="0.35">
      <c r="A465" s="18"/>
      <c r="P465" s="19"/>
      <c r="Q465" s="19"/>
      <c r="R465" s="19"/>
    </row>
    <row r="466" spans="1:18" ht="15.75" customHeight="1" x14ac:dyDescent="0.35">
      <c r="A466" s="18"/>
      <c r="P466" s="19"/>
      <c r="Q466" s="19"/>
      <c r="R466" s="19"/>
    </row>
    <row r="467" spans="1:18" ht="15.75" customHeight="1" x14ac:dyDescent="0.35">
      <c r="A467" s="18"/>
      <c r="P467" s="19"/>
      <c r="Q467" s="19"/>
      <c r="R467" s="19"/>
    </row>
    <row r="468" spans="1:18" ht="15.75" customHeight="1" x14ac:dyDescent="0.35">
      <c r="A468" s="18"/>
      <c r="P468" s="19"/>
      <c r="Q468" s="19"/>
      <c r="R468" s="19"/>
    </row>
    <row r="469" spans="1:18" ht="15.75" customHeight="1" x14ac:dyDescent="0.35">
      <c r="A469" s="18"/>
      <c r="P469" s="19"/>
      <c r="Q469" s="19"/>
      <c r="R469" s="19"/>
    </row>
    <row r="470" spans="1:18" ht="15.75" customHeight="1" x14ac:dyDescent="0.35">
      <c r="A470" s="18"/>
      <c r="P470" s="19"/>
      <c r="Q470" s="19"/>
      <c r="R470" s="19"/>
    </row>
    <row r="471" spans="1:18" ht="15.75" customHeight="1" x14ac:dyDescent="0.35">
      <c r="A471" s="18"/>
      <c r="P471" s="19"/>
      <c r="Q471" s="19"/>
      <c r="R471" s="19"/>
    </row>
    <row r="472" spans="1:18" ht="15.75" customHeight="1" x14ac:dyDescent="0.35">
      <c r="A472" s="18"/>
      <c r="P472" s="19"/>
      <c r="Q472" s="19"/>
      <c r="R472" s="19"/>
    </row>
    <row r="473" spans="1:18" ht="15.75" customHeight="1" x14ac:dyDescent="0.35">
      <c r="A473" s="18"/>
      <c r="P473" s="19"/>
      <c r="Q473" s="19"/>
      <c r="R473" s="19"/>
    </row>
    <row r="474" spans="1:18" ht="15.75" customHeight="1" x14ac:dyDescent="0.35">
      <c r="A474" s="18"/>
      <c r="P474" s="19"/>
      <c r="Q474" s="19"/>
      <c r="R474" s="19"/>
    </row>
    <row r="475" spans="1:18" ht="15.75" customHeight="1" x14ac:dyDescent="0.35">
      <c r="A475" s="18"/>
      <c r="P475" s="19"/>
      <c r="Q475" s="19"/>
      <c r="R475" s="19"/>
    </row>
    <row r="476" spans="1:18" ht="15.75" customHeight="1" x14ac:dyDescent="0.35">
      <c r="A476" s="18"/>
      <c r="P476" s="19"/>
      <c r="Q476" s="19"/>
      <c r="R476" s="19"/>
    </row>
    <row r="477" spans="1:18" ht="15.75" customHeight="1" x14ac:dyDescent="0.35">
      <c r="A477" s="18"/>
      <c r="P477" s="19"/>
      <c r="Q477" s="19"/>
      <c r="R477" s="19"/>
    </row>
    <row r="478" spans="1:18" ht="15.75" customHeight="1" x14ac:dyDescent="0.35">
      <c r="A478" s="18"/>
      <c r="P478" s="19"/>
      <c r="Q478" s="19"/>
      <c r="R478" s="19"/>
    </row>
    <row r="479" spans="1:18" ht="15.75" customHeight="1" x14ac:dyDescent="0.35">
      <c r="A479" s="18"/>
      <c r="P479" s="19"/>
      <c r="Q479" s="19"/>
      <c r="R479" s="19"/>
    </row>
    <row r="480" spans="1:18" ht="15.75" customHeight="1" x14ac:dyDescent="0.35">
      <c r="A480" s="18"/>
      <c r="P480" s="19"/>
      <c r="Q480" s="19"/>
      <c r="R480" s="19"/>
    </row>
    <row r="481" spans="1:18" ht="15.75" customHeight="1" x14ac:dyDescent="0.35">
      <c r="A481" s="18"/>
      <c r="P481" s="19"/>
      <c r="Q481" s="19"/>
      <c r="R481" s="19"/>
    </row>
    <row r="482" spans="1:18" ht="15.75" customHeight="1" x14ac:dyDescent="0.35">
      <c r="A482" s="18"/>
      <c r="P482" s="19"/>
      <c r="Q482" s="19"/>
      <c r="R482" s="19"/>
    </row>
    <row r="483" spans="1:18" ht="15.75" customHeight="1" x14ac:dyDescent="0.35">
      <c r="A483" s="18"/>
      <c r="P483" s="19"/>
      <c r="Q483" s="19"/>
      <c r="R483" s="19"/>
    </row>
    <row r="484" spans="1:18" ht="15.75" customHeight="1" x14ac:dyDescent="0.35">
      <c r="A484" s="18"/>
      <c r="P484" s="19"/>
      <c r="Q484" s="19"/>
      <c r="R484" s="19"/>
    </row>
    <row r="485" spans="1:18" ht="15.75" customHeight="1" x14ac:dyDescent="0.35">
      <c r="A485" s="18"/>
      <c r="P485" s="19"/>
      <c r="Q485" s="19"/>
      <c r="R485" s="19"/>
    </row>
    <row r="486" spans="1:18" ht="15.75" customHeight="1" x14ac:dyDescent="0.35">
      <c r="A486" s="18"/>
      <c r="P486" s="19"/>
      <c r="Q486" s="19"/>
      <c r="R486" s="19"/>
    </row>
    <row r="487" spans="1:18" ht="15.75" customHeight="1" x14ac:dyDescent="0.35">
      <c r="A487" s="18"/>
      <c r="P487" s="19"/>
      <c r="Q487" s="19"/>
      <c r="R487" s="19"/>
    </row>
    <row r="488" spans="1:18" ht="15.75" customHeight="1" x14ac:dyDescent="0.35">
      <c r="A488" s="18"/>
      <c r="P488" s="19"/>
      <c r="Q488" s="19"/>
      <c r="R488" s="19"/>
    </row>
    <row r="489" spans="1:18" ht="15.75" customHeight="1" x14ac:dyDescent="0.35">
      <c r="A489" s="18"/>
      <c r="P489" s="19"/>
      <c r="Q489" s="19"/>
      <c r="R489" s="19"/>
    </row>
    <row r="490" spans="1:18" ht="15.75" customHeight="1" x14ac:dyDescent="0.35">
      <c r="A490" s="18"/>
      <c r="P490" s="19"/>
      <c r="Q490" s="19"/>
      <c r="R490" s="19"/>
    </row>
    <row r="491" spans="1:18" ht="15.75" customHeight="1" x14ac:dyDescent="0.35">
      <c r="A491" s="18"/>
      <c r="P491" s="19"/>
      <c r="Q491" s="19"/>
      <c r="R491" s="19"/>
    </row>
    <row r="492" spans="1:18" ht="15.75" customHeight="1" x14ac:dyDescent="0.35">
      <c r="A492" s="18"/>
      <c r="P492" s="19"/>
      <c r="Q492" s="19"/>
      <c r="R492" s="19"/>
    </row>
    <row r="493" spans="1:18" ht="15.75" customHeight="1" x14ac:dyDescent="0.35">
      <c r="A493" s="18"/>
      <c r="P493" s="19"/>
      <c r="Q493" s="19"/>
      <c r="R493" s="19"/>
    </row>
    <row r="494" spans="1:18" ht="15.75" customHeight="1" x14ac:dyDescent="0.35">
      <c r="A494" s="18"/>
      <c r="P494" s="19"/>
      <c r="Q494" s="19"/>
      <c r="R494" s="19"/>
    </row>
    <row r="495" spans="1:18" ht="15.75" customHeight="1" x14ac:dyDescent="0.35">
      <c r="A495" s="18"/>
      <c r="P495" s="19"/>
      <c r="Q495" s="19"/>
      <c r="R495" s="19"/>
    </row>
    <row r="496" spans="1:18" ht="15.75" customHeight="1" x14ac:dyDescent="0.35">
      <c r="A496" s="18"/>
      <c r="P496" s="19"/>
      <c r="Q496" s="19"/>
      <c r="R496" s="19"/>
    </row>
    <row r="497" spans="1:18" ht="15.75" customHeight="1" x14ac:dyDescent="0.35">
      <c r="A497" s="18"/>
      <c r="P497" s="19"/>
      <c r="Q497" s="19"/>
      <c r="R497" s="19"/>
    </row>
    <row r="498" spans="1:18" ht="15.75" customHeight="1" x14ac:dyDescent="0.35">
      <c r="A498" s="18"/>
      <c r="P498" s="19"/>
      <c r="Q498" s="19"/>
      <c r="R498" s="19"/>
    </row>
    <row r="499" spans="1:18" ht="15.75" customHeight="1" x14ac:dyDescent="0.35">
      <c r="A499" s="18"/>
      <c r="P499" s="19"/>
      <c r="Q499" s="19"/>
      <c r="R499" s="19"/>
    </row>
    <row r="500" spans="1:18" ht="15.75" customHeight="1" x14ac:dyDescent="0.35">
      <c r="A500" s="18"/>
      <c r="P500" s="19"/>
      <c r="Q500" s="19"/>
      <c r="R500" s="19"/>
    </row>
    <row r="501" spans="1:18" ht="15.75" customHeight="1" x14ac:dyDescent="0.35">
      <c r="A501" s="18"/>
      <c r="P501" s="19"/>
      <c r="Q501" s="19"/>
      <c r="R501" s="19"/>
    </row>
    <row r="502" spans="1:18" ht="15.75" customHeight="1" x14ac:dyDescent="0.35">
      <c r="A502" s="18"/>
      <c r="P502" s="19"/>
      <c r="Q502" s="19"/>
      <c r="R502" s="19"/>
    </row>
    <row r="503" spans="1:18" ht="15.75" customHeight="1" x14ac:dyDescent="0.35">
      <c r="A503" s="18"/>
      <c r="P503" s="19"/>
      <c r="Q503" s="19"/>
      <c r="R503" s="19"/>
    </row>
    <row r="504" spans="1:18" ht="15.75" customHeight="1" x14ac:dyDescent="0.35">
      <c r="A504" s="18"/>
      <c r="P504" s="19"/>
      <c r="Q504" s="19"/>
      <c r="R504" s="19"/>
    </row>
    <row r="505" spans="1:18" ht="15.75" customHeight="1" x14ac:dyDescent="0.35">
      <c r="A505" s="18"/>
      <c r="P505" s="19"/>
      <c r="Q505" s="19"/>
      <c r="R505" s="19"/>
    </row>
    <row r="506" spans="1:18" ht="15.75" customHeight="1" x14ac:dyDescent="0.35">
      <c r="A506" s="18"/>
      <c r="P506" s="19"/>
      <c r="Q506" s="19"/>
      <c r="R506" s="19"/>
    </row>
    <row r="507" spans="1:18" ht="15.75" customHeight="1" x14ac:dyDescent="0.35">
      <c r="A507" s="18"/>
      <c r="P507" s="19"/>
      <c r="Q507" s="19"/>
      <c r="R507" s="19"/>
    </row>
    <row r="508" spans="1:18" ht="15.75" customHeight="1" x14ac:dyDescent="0.35">
      <c r="A508" s="18"/>
      <c r="P508" s="19"/>
      <c r="Q508" s="19"/>
      <c r="R508" s="19"/>
    </row>
    <row r="509" spans="1:18" ht="15.75" customHeight="1" x14ac:dyDescent="0.35">
      <c r="A509" s="18"/>
      <c r="P509" s="19"/>
      <c r="Q509" s="19"/>
      <c r="R509" s="19"/>
    </row>
    <row r="510" spans="1:18" ht="15.75" customHeight="1" x14ac:dyDescent="0.35">
      <c r="A510" s="18"/>
      <c r="P510" s="19"/>
      <c r="Q510" s="19"/>
      <c r="R510" s="19"/>
    </row>
    <row r="511" spans="1:18" ht="15.75" customHeight="1" x14ac:dyDescent="0.35">
      <c r="A511" s="18"/>
      <c r="P511" s="19"/>
      <c r="Q511" s="19"/>
      <c r="R511" s="19"/>
    </row>
    <row r="512" spans="1:18" ht="15.75" customHeight="1" x14ac:dyDescent="0.35">
      <c r="A512" s="18"/>
      <c r="P512" s="19"/>
      <c r="Q512" s="19"/>
      <c r="R512" s="19"/>
    </row>
    <row r="513" spans="1:18" ht="15.75" customHeight="1" x14ac:dyDescent="0.35">
      <c r="A513" s="18"/>
      <c r="P513" s="19"/>
      <c r="Q513" s="19"/>
      <c r="R513" s="19"/>
    </row>
    <row r="514" spans="1:18" ht="15.75" customHeight="1" x14ac:dyDescent="0.35">
      <c r="A514" s="18"/>
      <c r="P514" s="19"/>
      <c r="Q514" s="19"/>
      <c r="R514" s="19"/>
    </row>
    <row r="515" spans="1:18" ht="15.75" customHeight="1" x14ac:dyDescent="0.35">
      <c r="A515" s="18"/>
      <c r="P515" s="19"/>
      <c r="Q515" s="19"/>
      <c r="R515" s="19"/>
    </row>
    <row r="516" spans="1:18" ht="15.75" customHeight="1" x14ac:dyDescent="0.35">
      <c r="A516" s="18"/>
      <c r="P516" s="19"/>
      <c r="Q516" s="19"/>
      <c r="R516" s="19"/>
    </row>
    <row r="517" spans="1:18" ht="15.75" customHeight="1" x14ac:dyDescent="0.35">
      <c r="A517" s="18"/>
      <c r="P517" s="19"/>
      <c r="Q517" s="19"/>
      <c r="R517" s="19"/>
    </row>
    <row r="518" spans="1:18" ht="15.75" customHeight="1" x14ac:dyDescent="0.35">
      <c r="A518" s="18"/>
      <c r="P518" s="19"/>
      <c r="Q518" s="19"/>
      <c r="R518" s="19"/>
    </row>
    <row r="519" spans="1:18" ht="15.75" customHeight="1" x14ac:dyDescent="0.35">
      <c r="A519" s="18"/>
      <c r="P519" s="19"/>
      <c r="Q519" s="19"/>
      <c r="R519" s="19"/>
    </row>
    <row r="520" spans="1:18" ht="15.75" customHeight="1" x14ac:dyDescent="0.35">
      <c r="A520" s="18"/>
      <c r="P520" s="19"/>
      <c r="Q520" s="19"/>
      <c r="R520" s="19"/>
    </row>
    <row r="521" spans="1:18" ht="15.75" customHeight="1" x14ac:dyDescent="0.35">
      <c r="A521" s="18"/>
      <c r="P521" s="19"/>
      <c r="Q521" s="19"/>
      <c r="R521" s="19"/>
    </row>
    <row r="522" spans="1:18" ht="15.75" customHeight="1" x14ac:dyDescent="0.35">
      <c r="A522" s="18"/>
      <c r="P522" s="19"/>
      <c r="Q522" s="19"/>
      <c r="R522" s="19"/>
    </row>
    <row r="523" spans="1:18" ht="15.75" customHeight="1" x14ac:dyDescent="0.35">
      <c r="A523" s="18"/>
      <c r="P523" s="19"/>
      <c r="Q523" s="19"/>
      <c r="R523" s="19"/>
    </row>
    <row r="524" spans="1:18" ht="15.75" customHeight="1" x14ac:dyDescent="0.35">
      <c r="A524" s="18"/>
      <c r="P524" s="19"/>
      <c r="Q524" s="19"/>
      <c r="R524" s="19"/>
    </row>
    <row r="525" spans="1:18" ht="15.75" customHeight="1" x14ac:dyDescent="0.35">
      <c r="A525" s="18"/>
      <c r="P525" s="19"/>
      <c r="Q525" s="19"/>
      <c r="R525" s="19"/>
    </row>
    <row r="526" spans="1:18" ht="15.75" customHeight="1" x14ac:dyDescent="0.35">
      <c r="A526" s="18"/>
      <c r="P526" s="19"/>
      <c r="Q526" s="19"/>
      <c r="R526" s="19"/>
    </row>
    <row r="527" spans="1:18" ht="15.75" customHeight="1" x14ac:dyDescent="0.35">
      <c r="A527" s="18"/>
      <c r="P527" s="19"/>
      <c r="Q527" s="19"/>
      <c r="R527" s="19"/>
    </row>
    <row r="528" spans="1:18" ht="15.75" customHeight="1" x14ac:dyDescent="0.35">
      <c r="A528" s="18"/>
      <c r="P528" s="19"/>
      <c r="Q528" s="19"/>
      <c r="R528" s="19"/>
    </row>
    <row r="529" spans="1:18" ht="15.75" customHeight="1" x14ac:dyDescent="0.35">
      <c r="A529" s="18"/>
      <c r="P529" s="19"/>
      <c r="Q529" s="19"/>
      <c r="R529" s="19"/>
    </row>
    <row r="530" spans="1:18" ht="15.75" customHeight="1" x14ac:dyDescent="0.35">
      <c r="A530" s="18"/>
      <c r="P530" s="19"/>
      <c r="Q530" s="19"/>
      <c r="R530" s="19"/>
    </row>
    <row r="531" spans="1:18" ht="15.75" customHeight="1" x14ac:dyDescent="0.35">
      <c r="A531" s="18"/>
      <c r="P531" s="19"/>
      <c r="Q531" s="19"/>
      <c r="R531" s="19"/>
    </row>
    <row r="532" spans="1:18" ht="15.75" customHeight="1" x14ac:dyDescent="0.35">
      <c r="A532" s="18"/>
      <c r="P532" s="19"/>
      <c r="Q532" s="19"/>
      <c r="R532" s="19"/>
    </row>
    <row r="533" spans="1:18" ht="15.75" customHeight="1" x14ac:dyDescent="0.35">
      <c r="A533" s="18"/>
      <c r="P533" s="19"/>
      <c r="Q533" s="19"/>
      <c r="R533" s="19"/>
    </row>
    <row r="534" spans="1:18" ht="15.75" customHeight="1" x14ac:dyDescent="0.35">
      <c r="A534" s="18"/>
      <c r="P534" s="19"/>
      <c r="Q534" s="19"/>
      <c r="R534" s="19"/>
    </row>
    <row r="535" spans="1:18" ht="15.75" customHeight="1" x14ac:dyDescent="0.35">
      <c r="A535" s="18"/>
      <c r="P535" s="19"/>
      <c r="Q535" s="19"/>
      <c r="R535" s="19"/>
    </row>
    <row r="536" spans="1:18" ht="15.75" customHeight="1" x14ac:dyDescent="0.35">
      <c r="A536" s="18"/>
      <c r="P536" s="19"/>
      <c r="Q536" s="19"/>
      <c r="R536" s="19"/>
    </row>
    <row r="537" spans="1:18" ht="15.75" customHeight="1" x14ac:dyDescent="0.35">
      <c r="A537" s="18"/>
      <c r="P537" s="19"/>
      <c r="Q537" s="19"/>
      <c r="R537" s="19"/>
    </row>
    <row r="538" spans="1:18" ht="15.75" customHeight="1" x14ac:dyDescent="0.35">
      <c r="A538" s="18"/>
      <c r="P538" s="19"/>
      <c r="Q538" s="19"/>
      <c r="R538" s="19"/>
    </row>
    <row r="539" spans="1:18" ht="15.75" customHeight="1" x14ac:dyDescent="0.35">
      <c r="A539" s="18"/>
      <c r="P539" s="19"/>
      <c r="Q539" s="19"/>
      <c r="R539" s="19"/>
    </row>
    <row r="540" spans="1:18" ht="15.75" customHeight="1" x14ac:dyDescent="0.35">
      <c r="A540" s="18"/>
      <c r="P540" s="19"/>
      <c r="Q540" s="19"/>
      <c r="R540" s="19"/>
    </row>
    <row r="541" spans="1:18" ht="15.75" customHeight="1" x14ac:dyDescent="0.35">
      <c r="A541" s="18"/>
      <c r="P541" s="19"/>
      <c r="Q541" s="19"/>
      <c r="R541" s="19"/>
    </row>
    <row r="542" spans="1:18" ht="15.75" customHeight="1" x14ac:dyDescent="0.35">
      <c r="A542" s="18"/>
      <c r="P542" s="19"/>
      <c r="Q542" s="19"/>
      <c r="R542" s="19"/>
    </row>
    <row r="543" spans="1:18" ht="15.75" customHeight="1" x14ac:dyDescent="0.35">
      <c r="A543" s="18"/>
      <c r="P543" s="19"/>
      <c r="Q543" s="19"/>
      <c r="R543" s="19"/>
    </row>
    <row r="544" spans="1:18" ht="15.75" customHeight="1" x14ac:dyDescent="0.35">
      <c r="A544" s="18"/>
      <c r="P544" s="19"/>
      <c r="Q544" s="19"/>
      <c r="R544" s="19"/>
    </row>
    <row r="545" spans="1:18" ht="15.75" customHeight="1" x14ac:dyDescent="0.35">
      <c r="A545" s="18"/>
      <c r="P545" s="19"/>
      <c r="Q545" s="19"/>
      <c r="R545" s="19"/>
    </row>
    <row r="546" spans="1:18" ht="15.75" customHeight="1" x14ac:dyDescent="0.35">
      <c r="A546" s="18"/>
      <c r="P546" s="19"/>
      <c r="Q546" s="19"/>
      <c r="R546" s="19"/>
    </row>
    <row r="547" spans="1:18" ht="15.75" customHeight="1" x14ac:dyDescent="0.35">
      <c r="A547" s="18"/>
      <c r="P547" s="19"/>
      <c r="Q547" s="19"/>
      <c r="R547" s="19"/>
    </row>
    <row r="548" spans="1:18" ht="15.75" customHeight="1" x14ac:dyDescent="0.35">
      <c r="A548" s="18"/>
      <c r="P548" s="19"/>
      <c r="Q548" s="19"/>
      <c r="R548" s="19"/>
    </row>
    <row r="549" spans="1:18" ht="15.75" customHeight="1" x14ac:dyDescent="0.35">
      <c r="A549" s="18"/>
      <c r="P549" s="19"/>
      <c r="Q549" s="19"/>
      <c r="R549" s="19"/>
    </row>
    <row r="550" spans="1:18" ht="15.75" customHeight="1" x14ac:dyDescent="0.35">
      <c r="A550" s="18"/>
      <c r="P550" s="19"/>
      <c r="Q550" s="19"/>
      <c r="R550" s="19"/>
    </row>
    <row r="551" spans="1:18" ht="15.75" customHeight="1" x14ac:dyDescent="0.35">
      <c r="A551" s="18"/>
      <c r="P551" s="19"/>
      <c r="Q551" s="19"/>
      <c r="R551" s="19"/>
    </row>
    <row r="552" spans="1:18" ht="15.75" customHeight="1" x14ac:dyDescent="0.35">
      <c r="A552" s="18"/>
      <c r="P552" s="19"/>
      <c r="Q552" s="19"/>
      <c r="R552" s="19"/>
    </row>
    <row r="553" spans="1:18" ht="15.75" customHeight="1" x14ac:dyDescent="0.35">
      <c r="A553" s="18"/>
      <c r="P553" s="19"/>
      <c r="Q553" s="19"/>
      <c r="R553" s="19"/>
    </row>
    <row r="554" spans="1:18" ht="15.75" customHeight="1" x14ac:dyDescent="0.35">
      <c r="A554" s="18"/>
      <c r="P554" s="19"/>
      <c r="Q554" s="19"/>
      <c r="R554" s="19"/>
    </row>
    <row r="555" spans="1:18" ht="15.75" customHeight="1" x14ac:dyDescent="0.35">
      <c r="A555" s="18"/>
      <c r="P555" s="19"/>
      <c r="Q555" s="19"/>
      <c r="R555" s="19"/>
    </row>
    <row r="556" spans="1:18" ht="15.75" customHeight="1" x14ac:dyDescent="0.35">
      <c r="A556" s="18"/>
      <c r="P556" s="19"/>
      <c r="Q556" s="19"/>
      <c r="R556" s="19"/>
    </row>
    <row r="557" spans="1:18" ht="15.75" customHeight="1" x14ac:dyDescent="0.35">
      <c r="A557" s="18"/>
      <c r="P557" s="19"/>
      <c r="Q557" s="19"/>
      <c r="R557" s="19"/>
    </row>
    <row r="558" spans="1:18" ht="15.75" customHeight="1" x14ac:dyDescent="0.35">
      <c r="A558" s="18"/>
      <c r="P558" s="19"/>
      <c r="Q558" s="19"/>
      <c r="R558" s="19"/>
    </row>
    <row r="559" spans="1:18" ht="15.75" customHeight="1" x14ac:dyDescent="0.35">
      <c r="A559" s="18"/>
      <c r="P559" s="19"/>
      <c r="Q559" s="19"/>
      <c r="R559" s="19"/>
    </row>
    <row r="560" spans="1:18" ht="15.75" customHeight="1" x14ac:dyDescent="0.35">
      <c r="A560" s="18"/>
      <c r="P560" s="19"/>
      <c r="Q560" s="19"/>
      <c r="R560" s="19"/>
    </row>
    <row r="561" spans="1:18" ht="15.75" customHeight="1" x14ac:dyDescent="0.35">
      <c r="A561" s="18"/>
      <c r="P561" s="19"/>
      <c r="Q561" s="19"/>
      <c r="R561" s="19"/>
    </row>
    <row r="562" spans="1:18" ht="15.75" customHeight="1" x14ac:dyDescent="0.35">
      <c r="A562" s="18"/>
      <c r="P562" s="19"/>
      <c r="Q562" s="19"/>
      <c r="R562" s="19"/>
    </row>
    <row r="563" spans="1:18" ht="15.75" customHeight="1" x14ac:dyDescent="0.35">
      <c r="A563" s="18"/>
      <c r="P563" s="19"/>
      <c r="Q563" s="19"/>
      <c r="R563" s="19"/>
    </row>
    <row r="564" spans="1:18" ht="15.75" customHeight="1" x14ac:dyDescent="0.35">
      <c r="A564" s="18"/>
      <c r="P564" s="19"/>
      <c r="Q564" s="19"/>
      <c r="R564" s="19"/>
    </row>
    <row r="565" spans="1:18" ht="15.75" customHeight="1" x14ac:dyDescent="0.35">
      <c r="A565" s="18"/>
      <c r="P565" s="19"/>
      <c r="Q565" s="19"/>
      <c r="R565" s="19"/>
    </row>
    <row r="566" spans="1:18" ht="15.75" customHeight="1" x14ac:dyDescent="0.35">
      <c r="A566" s="18"/>
      <c r="P566" s="19"/>
      <c r="Q566" s="19"/>
      <c r="R566" s="19"/>
    </row>
    <row r="567" spans="1:18" ht="15.75" customHeight="1" x14ac:dyDescent="0.35">
      <c r="A567" s="18"/>
      <c r="P567" s="19"/>
      <c r="Q567" s="19"/>
      <c r="R567" s="19"/>
    </row>
    <row r="568" spans="1:18" ht="15.75" customHeight="1" x14ac:dyDescent="0.35">
      <c r="A568" s="18"/>
      <c r="P568" s="19"/>
      <c r="Q568" s="19"/>
      <c r="R568" s="19"/>
    </row>
    <row r="569" spans="1:18" ht="15.75" customHeight="1" x14ac:dyDescent="0.35">
      <c r="A569" s="18"/>
      <c r="P569" s="19"/>
      <c r="Q569" s="19"/>
      <c r="R569" s="19"/>
    </row>
    <row r="570" spans="1:18" ht="15.75" customHeight="1" x14ac:dyDescent="0.35">
      <c r="A570" s="18"/>
      <c r="P570" s="19"/>
      <c r="Q570" s="19"/>
      <c r="R570" s="19"/>
    </row>
    <row r="571" spans="1:18" ht="15.75" customHeight="1" x14ac:dyDescent="0.35">
      <c r="A571" s="18"/>
      <c r="P571" s="19"/>
      <c r="Q571" s="19"/>
      <c r="R571" s="19"/>
    </row>
    <row r="572" spans="1:18" ht="15.75" customHeight="1" x14ac:dyDescent="0.35">
      <c r="A572" s="18"/>
      <c r="P572" s="19"/>
      <c r="Q572" s="19"/>
      <c r="R572" s="19"/>
    </row>
    <row r="573" spans="1:18" ht="15.75" customHeight="1" x14ac:dyDescent="0.35">
      <c r="A573" s="18"/>
      <c r="P573" s="19"/>
      <c r="Q573" s="19"/>
      <c r="R573" s="19"/>
    </row>
    <row r="574" spans="1:18" ht="15.75" customHeight="1" x14ac:dyDescent="0.35">
      <c r="A574" s="18"/>
      <c r="P574" s="19"/>
      <c r="Q574" s="19"/>
      <c r="R574" s="19"/>
    </row>
    <row r="575" spans="1:18" ht="15.75" customHeight="1" x14ac:dyDescent="0.35">
      <c r="A575" s="18"/>
      <c r="P575" s="19"/>
      <c r="Q575" s="19"/>
      <c r="R575" s="19"/>
    </row>
    <row r="576" spans="1:18" ht="15.75" customHeight="1" x14ac:dyDescent="0.35">
      <c r="A576" s="18"/>
      <c r="P576" s="19"/>
      <c r="Q576" s="19"/>
      <c r="R576" s="19"/>
    </row>
    <row r="577" spans="1:18" ht="15.75" customHeight="1" x14ac:dyDescent="0.35">
      <c r="A577" s="18"/>
      <c r="P577" s="19"/>
      <c r="Q577" s="19"/>
      <c r="R577" s="19"/>
    </row>
    <row r="578" spans="1:18" ht="15.75" customHeight="1" x14ac:dyDescent="0.35">
      <c r="A578" s="18"/>
      <c r="P578" s="19"/>
      <c r="Q578" s="19"/>
      <c r="R578" s="19"/>
    </row>
    <row r="579" spans="1:18" ht="15.75" customHeight="1" x14ac:dyDescent="0.35">
      <c r="A579" s="18"/>
      <c r="P579" s="19"/>
      <c r="Q579" s="19"/>
      <c r="R579" s="19"/>
    </row>
    <row r="580" spans="1:18" ht="15.75" customHeight="1" x14ac:dyDescent="0.35">
      <c r="A580" s="18"/>
      <c r="P580" s="19"/>
      <c r="Q580" s="19"/>
      <c r="R580" s="19"/>
    </row>
    <row r="581" spans="1:18" ht="15.75" customHeight="1" x14ac:dyDescent="0.35">
      <c r="A581" s="18"/>
      <c r="P581" s="19"/>
      <c r="Q581" s="19"/>
      <c r="R581" s="19"/>
    </row>
    <row r="582" spans="1:18" ht="15.75" customHeight="1" x14ac:dyDescent="0.35">
      <c r="A582" s="18"/>
      <c r="P582" s="19"/>
      <c r="Q582" s="19"/>
      <c r="R582" s="19"/>
    </row>
    <row r="583" spans="1:18" ht="15.75" customHeight="1" x14ac:dyDescent="0.35">
      <c r="A583" s="18"/>
      <c r="P583" s="19"/>
      <c r="Q583" s="19"/>
      <c r="R583" s="19"/>
    </row>
    <row r="584" spans="1:18" ht="15.75" customHeight="1" x14ac:dyDescent="0.35">
      <c r="A584" s="18"/>
      <c r="P584" s="19"/>
      <c r="Q584" s="19"/>
      <c r="R584" s="19"/>
    </row>
    <row r="585" spans="1:18" ht="15.75" customHeight="1" x14ac:dyDescent="0.35">
      <c r="A585" s="18"/>
      <c r="P585" s="19"/>
      <c r="Q585" s="19"/>
      <c r="R585" s="19"/>
    </row>
    <row r="586" spans="1:18" ht="15.75" customHeight="1" x14ac:dyDescent="0.35">
      <c r="A586" s="18"/>
      <c r="P586" s="19"/>
      <c r="Q586" s="19"/>
      <c r="R586" s="19"/>
    </row>
    <row r="587" spans="1:18" ht="15.75" customHeight="1" x14ac:dyDescent="0.35">
      <c r="A587" s="18"/>
      <c r="P587" s="19"/>
      <c r="Q587" s="19"/>
      <c r="R587" s="19"/>
    </row>
    <row r="588" spans="1:18" ht="15.75" customHeight="1" x14ac:dyDescent="0.35">
      <c r="A588" s="18"/>
      <c r="P588" s="19"/>
      <c r="Q588" s="19"/>
      <c r="R588" s="19"/>
    </row>
    <row r="589" spans="1:18" ht="15.75" customHeight="1" x14ac:dyDescent="0.35">
      <c r="A589" s="18"/>
      <c r="P589" s="19"/>
      <c r="Q589" s="19"/>
      <c r="R589" s="19"/>
    </row>
    <row r="590" spans="1:18" ht="15.75" customHeight="1" x14ac:dyDescent="0.35">
      <c r="A590" s="18"/>
      <c r="P590" s="19"/>
      <c r="Q590" s="19"/>
      <c r="R590" s="19"/>
    </row>
    <row r="591" spans="1:18" ht="15.75" customHeight="1" x14ac:dyDescent="0.35">
      <c r="A591" s="18"/>
      <c r="P591" s="19"/>
      <c r="Q591" s="19"/>
      <c r="R591" s="19"/>
    </row>
    <row r="592" spans="1:18" ht="15.75" customHeight="1" x14ac:dyDescent="0.35">
      <c r="A592" s="18"/>
      <c r="P592" s="19"/>
      <c r="Q592" s="19"/>
      <c r="R592" s="19"/>
    </row>
    <row r="593" spans="1:18" ht="15.75" customHeight="1" x14ac:dyDescent="0.35">
      <c r="A593" s="18"/>
      <c r="P593" s="19"/>
      <c r="Q593" s="19"/>
      <c r="R593" s="19"/>
    </row>
    <row r="594" spans="1:18" ht="15.75" customHeight="1" x14ac:dyDescent="0.35">
      <c r="A594" s="18"/>
      <c r="P594" s="19"/>
      <c r="Q594" s="19"/>
      <c r="R594" s="19"/>
    </row>
    <row r="595" spans="1:18" ht="15.75" customHeight="1" x14ac:dyDescent="0.35">
      <c r="A595" s="18"/>
      <c r="P595" s="19"/>
      <c r="Q595" s="19"/>
      <c r="R595" s="19"/>
    </row>
    <row r="596" spans="1:18" ht="15.75" customHeight="1" x14ac:dyDescent="0.35">
      <c r="A596" s="18"/>
      <c r="P596" s="19"/>
      <c r="Q596" s="19"/>
      <c r="R596" s="19"/>
    </row>
    <row r="597" spans="1:18" ht="15.75" customHeight="1" x14ac:dyDescent="0.35">
      <c r="A597" s="18"/>
      <c r="P597" s="19"/>
      <c r="Q597" s="19"/>
      <c r="R597" s="19"/>
    </row>
    <row r="598" spans="1:18" ht="15.75" customHeight="1" x14ac:dyDescent="0.35">
      <c r="A598" s="18"/>
      <c r="P598" s="19"/>
      <c r="Q598" s="19"/>
      <c r="R598" s="19"/>
    </row>
    <row r="599" spans="1:18" ht="15.75" customHeight="1" x14ac:dyDescent="0.35">
      <c r="A599" s="18"/>
      <c r="P599" s="19"/>
      <c r="Q599" s="19"/>
      <c r="R599" s="19"/>
    </row>
    <row r="600" spans="1:18" ht="15.75" customHeight="1" x14ac:dyDescent="0.35">
      <c r="A600" s="18"/>
      <c r="P600" s="19"/>
      <c r="Q600" s="19"/>
      <c r="R600" s="19"/>
    </row>
    <row r="601" spans="1:18" ht="15.75" customHeight="1" x14ac:dyDescent="0.35">
      <c r="A601" s="18"/>
      <c r="P601" s="19"/>
      <c r="Q601" s="19"/>
      <c r="R601" s="19"/>
    </row>
    <row r="602" spans="1:18" ht="15.75" customHeight="1" x14ac:dyDescent="0.35">
      <c r="A602" s="18"/>
      <c r="P602" s="19"/>
      <c r="Q602" s="19"/>
      <c r="R602" s="19"/>
    </row>
    <row r="603" spans="1:18" ht="15.75" customHeight="1" x14ac:dyDescent="0.35">
      <c r="A603" s="18"/>
      <c r="P603" s="19"/>
      <c r="Q603" s="19"/>
      <c r="R603" s="19"/>
    </row>
    <row r="604" spans="1:18" ht="15.75" customHeight="1" x14ac:dyDescent="0.35">
      <c r="A604" s="18"/>
      <c r="P604" s="19"/>
      <c r="Q604" s="19"/>
      <c r="R604" s="19"/>
    </row>
    <row r="605" spans="1:18" ht="15.75" customHeight="1" x14ac:dyDescent="0.35">
      <c r="A605" s="18"/>
      <c r="P605" s="19"/>
      <c r="Q605" s="19"/>
      <c r="R605" s="19"/>
    </row>
    <row r="606" spans="1:18" ht="15.75" customHeight="1" x14ac:dyDescent="0.35">
      <c r="A606" s="18"/>
      <c r="P606" s="19"/>
      <c r="Q606" s="19"/>
      <c r="R606" s="19"/>
    </row>
    <row r="607" spans="1:18" ht="15.75" customHeight="1" x14ac:dyDescent="0.35">
      <c r="A607" s="18"/>
      <c r="P607" s="19"/>
      <c r="Q607" s="19"/>
      <c r="R607" s="19"/>
    </row>
    <row r="608" spans="1:18" ht="15.75" customHeight="1" x14ac:dyDescent="0.35">
      <c r="A608" s="18"/>
      <c r="P608" s="19"/>
      <c r="Q608" s="19"/>
      <c r="R608" s="19"/>
    </row>
    <row r="609" spans="1:18" ht="15.75" customHeight="1" x14ac:dyDescent="0.35">
      <c r="A609" s="18"/>
      <c r="P609" s="19"/>
      <c r="Q609" s="19"/>
      <c r="R609" s="19"/>
    </row>
    <row r="610" spans="1:18" ht="15.75" customHeight="1" x14ac:dyDescent="0.35">
      <c r="A610" s="18"/>
      <c r="P610" s="19"/>
      <c r="Q610" s="19"/>
      <c r="R610" s="19"/>
    </row>
    <row r="611" spans="1:18" ht="15.75" customHeight="1" x14ac:dyDescent="0.35">
      <c r="A611" s="18"/>
      <c r="P611" s="19"/>
      <c r="Q611" s="19"/>
      <c r="R611" s="19"/>
    </row>
    <row r="612" spans="1:18" ht="15.75" customHeight="1" x14ac:dyDescent="0.35">
      <c r="A612" s="18"/>
      <c r="P612" s="19"/>
      <c r="Q612" s="19"/>
      <c r="R612" s="19"/>
    </row>
    <row r="613" spans="1:18" ht="15.75" customHeight="1" x14ac:dyDescent="0.35">
      <c r="A613" s="18"/>
      <c r="P613" s="19"/>
      <c r="Q613" s="19"/>
      <c r="R613" s="19"/>
    </row>
    <row r="614" spans="1:18" ht="15.75" customHeight="1" x14ac:dyDescent="0.35">
      <c r="A614" s="18"/>
      <c r="P614" s="19"/>
      <c r="Q614" s="19"/>
      <c r="R614" s="19"/>
    </row>
    <row r="615" spans="1:18" ht="15.75" customHeight="1" x14ac:dyDescent="0.35">
      <c r="A615" s="18"/>
      <c r="P615" s="19"/>
      <c r="Q615" s="19"/>
      <c r="R615" s="19"/>
    </row>
    <row r="616" spans="1:18" ht="15.75" customHeight="1" x14ac:dyDescent="0.35">
      <c r="A616" s="18"/>
      <c r="P616" s="19"/>
      <c r="Q616" s="19"/>
      <c r="R616" s="19"/>
    </row>
    <row r="617" spans="1:18" ht="15.75" customHeight="1" x14ac:dyDescent="0.35">
      <c r="A617" s="18"/>
      <c r="P617" s="19"/>
      <c r="Q617" s="19"/>
      <c r="R617" s="19"/>
    </row>
    <row r="618" spans="1:18" ht="15.75" customHeight="1" x14ac:dyDescent="0.35">
      <c r="A618" s="18"/>
      <c r="P618" s="19"/>
      <c r="Q618" s="19"/>
      <c r="R618" s="19"/>
    </row>
    <row r="619" spans="1:18" ht="15.75" customHeight="1" x14ac:dyDescent="0.35">
      <c r="A619" s="18"/>
      <c r="P619" s="19"/>
      <c r="Q619" s="19"/>
      <c r="R619" s="19"/>
    </row>
    <row r="620" spans="1:18" ht="15.75" customHeight="1" x14ac:dyDescent="0.35">
      <c r="A620" s="18"/>
      <c r="P620" s="19"/>
      <c r="Q620" s="19"/>
      <c r="R620" s="19"/>
    </row>
    <row r="621" spans="1:18" ht="15.75" customHeight="1" x14ac:dyDescent="0.35">
      <c r="A621" s="18"/>
      <c r="P621" s="19"/>
      <c r="Q621" s="19"/>
      <c r="R621" s="19"/>
    </row>
    <row r="622" spans="1:18" ht="15.75" customHeight="1" x14ac:dyDescent="0.35">
      <c r="A622" s="18"/>
      <c r="P622" s="19"/>
      <c r="Q622" s="19"/>
      <c r="R622" s="19"/>
    </row>
    <row r="623" spans="1:18" ht="15.75" customHeight="1" x14ac:dyDescent="0.35">
      <c r="A623" s="18"/>
      <c r="P623" s="19"/>
      <c r="Q623" s="19"/>
      <c r="R623" s="19"/>
    </row>
    <row r="624" spans="1:18" ht="15.75" customHeight="1" x14ac:dyDescent="0.35">
      <c r="A624" s="18"/>
      <c r="P624" s="19"/>
      <c r="Q624" s="19"/>
      <c r="R624" s="19"/>
    </row>
    <row r="625" spans="1:18" ht="15.75" customHeight="1" x14ac:dyDescent="0.35">
      <c r="A625" s="18"/>
      <c r="P625" s="19"/>
      <c r="Q625" s="19"/>
      <c r="R625" s="19"/>
    </row>
    <row r="626" spans="1:18" ht="15.75" customHeight="1" x14ac:dyDescent="0.35">
      <c r="A626" s="18"/>
      <c r="P626" s="19"/>
      <c r="Q626" s="19"/>
      <c r="R626" s="19"/>
    </row>
    <row r="627" spans="1:18" ht="15.75" customHeight="1" x14ac:dyDescent="0.35">
      <c r="A627" s="18"/>
      <c r="P627" s="19"/>
      <c r="Q627" s="19"/>
      <c r="R627" s="19"/>
    </row>
    <row r="628" spans="1:18" ht="15.75" customHeight="1" x14ac:dyDescent="0.35">
      <c r="A628" s="18"/>
      <c r="P628" s="19"/>
      <c r="Q628" s="19"/>
      <c r="R628" s="19"/>
    </row>
    <row r="629" spans="1:18" ht="15.75" customHeight="1" x14ac:dyDescent="0.35">
      <c r="A629" s="18"/>
      <c r="P629" s="19"/>
      <c r="Q629" s="19"/>
      <c r="R629" s="19"/>
    </row>
    <row r="630" spans="1:18" ht="15.75" customHeight="1" x14ac:dyDescent="0.35">
      <c r="A630" s="18"/>
      <c r="P630" s="19"/>
      <c r="Q630" s="19"/>
      <c r="R630" s="19"/>
    </row>
    <row r="631" spans="1:18" ht="15.75" customHeight="1" x14ac:dyDescent="0.35">
      <c r="A631" s="18"/>
      <c r="P631" s="19"/>
      <c r="Q631" s="19"/>
      <c r="R631" s="19"/>
    </row>
    <row r="632" spans="1:18" ht="15.75" customHeight="1" x14ac:dyDescent="0.35">
      <c r="A632" s="18"/>
      <c r="P632" s="19"/>
      <c r="Q632" s="19"/>
      <c r="R632" s="19"/>
    </row>
    <row r="633" spans="1:18" ht="15.75" customHeight="1" x14ac:dyDescent="0.35">
      <c r="A633" s="18"/>
      <c r="P633" s="19"/>
      <c r="Q633" s="19"/>
      <c r="R633" s="19"/>
    </row>
    <row r="634" spans="1:18" ht="15.75" customHeight="1" x14ac:dyDescent="0.35">
      <c r="A634" s="18"/>
      <c r="P634" s="19"/>
      <c r="Q634" s="19"/>
      <c r="R634" s="19"/>
    </row>
    <row r="635" spans="1:18" ht="15.75" customHeight="1" x14ac:dyDescent="0.35">
      <c r="A635" s="18"/>
      <c r="P635" s="19"/>
      <c r="Q635" s="19"/>
      <c r="R635" s="19"/>
    </row>
    <row r="636" spans="1:18" ht="15.75" customHeight="1" x14ac:dyDescent="0.35">
      <c r="A636" s="18"/>
      <c r="P636" s="19"/>
      <c r="Q636" s="19"/>
      <c r="R636" s="19"/>
    </row>
    <row r="637" spans="1:18" ht="15.75" customHeight="1" x14ac:dyDescent="0.35">
      <c r="A637" s="18"/>
      <c r="P637" s="19"/>
      <c r="Q637" s="19"/>
      <c r="R637" s="19"/>
    </row>
    <row r="638" spans="1:18" ht="15.75" customHeight="1" x14ac:dyDescent="0.35">
      <c r="A638" s="18"/>
      <c r="P638" s="19"/>
      <c r="Q638" s="19"/>
      <c r="R638" s="19"/>
    </row>
    <row r="639" spans="1:18" ht="15.75" customHeight="1" x14ac:dyDescent="0.35">
      <c r="A639" s="18"/>
      <c r="P639" s="19"/>
      <c r="Q639" s="19"/>
      <c r="R639" s="19"/>
    </row>
    <row r="640" spans="1:18" ht="15.75" customHeight="1" x14ac:dyDescent="0.35">
      <c r="A640" s="18"/>
      <c r="P640" s="19"/>
      <c r="Q640" s="19"/>
      <c r="R640" s="19"/>
    </row>
    <row r="641" spans="1:18" ht="15.75" customHeight="1" x14ac:dyDescent="0.35">
      <c r="A641" s="18"/>
      <c r="P641" s="19"/>
      <c r="Q641" s="19"/>
      <c r="R641" s="19"/>
    </row>
    <row r="642" spans="1:18" ht="15.75" customHeight="1" x14ac:dyDescent="0.35">
      <c r="A642" s="18"/>
      <c r="P642" s="19"/>
      <c r="Q642" s="19"/>
      <c r="R642" s="19"/>
    </row>
    <row r="643" spans="1:18" ht="15.75" customHeight="1" x14ac:dyDescent="0.35">
      <c r="A643" s="18"/>
      <c r="P643" s="19"/>
      <c r="Q643" s="19"/>
      <c r="R643" s="19"/>
    </row>
    <row r="644" spans="1:18" ht="15.75" customHeight="1" x14ac:dyDescent="0.35">
      <c r="A644" s="18"/>
      <c r="P644" s="19"/>
      <c r="Q644" s="19"/>
      <c r="R644" s="19"/>
    </row>
    <row r="645" spans="1:18" ht="15.75" customHeight="1" x14ac:dyDescent="0.35">
      <c r="A645" s="18"/>
      <c r="P645" s="19"/>
      <c r="Q645" s="19"/>
      <c r="R645" s="19"/>
    </row>
    <row r="646" spans="1:18" ht="15.75" customHeight="1" x14ac:dyDescent="0.35">
      <c r="A646" s="18"/>
      <c r="P646" s="19"/>
      <c r="Q646" s="19"/>
      <c r="R646" s="19"/>
    </row>
    <row r="647" spans="1:18" ht="15.75" customHeight="1" x14ac:dyDescent="0.35">
      <c r="A647" s="18"/>
      <c r="P647" s="19"/>
      <c r="Q647" s="19"/>
      <c r="R647" s="19"/>
    </row>
    <row r="648" spans="1:18" ht="15.75" customHeight="1" x14ac:dyDescent="0.35">
      <c r="A648" s="18"/>
      <c r="P648" s="19"/>
      <c r="Q648" s="19"/>
      <c r="R648" s="19"/>
    </row>
    <row r="649" spans="1:18" ht="15.75" customHeight="1" x14ac:dyDescent="0.35">
      <c r="A649" s="18"/>
      <c r="P649" s="19"/>
      <c r="Q649" s="19"/>
      <c r="R649" s="19"/>
    </row>
    <row r="650" spans="1:18" ht="15.75" customHeight="1" x14ac:dyDescent="0.35">
      <c r="A650" s="18"/>
      <c r="P650" s="19"/>
      <c r="Q650" s="19"/>
      <c r="R650" s="19"/>
    </row>
    <row r="651" spans="1:18" ht="15.75" customHeight="1" x14ac:dyDescent="0.35">
      <c r="A651" s="18"/>
      <c r="P651" s="19"/>
      <c r="Q651" s="19"/>
      <c r="R651" s="19"/>
    </row>
    <row r="652" spans="1:18" ht="15.75" customHeight="1" x14ac:dyDescent="0.35">
      <c r="A652" s="18"/>
      <c r="P652" s="19"/>
      <c r="Q652" s="19"/>
      <c r="R652" s="19"/>
    </row>
    <row r="653" spans="1:18" ht="15.75" customHeight="1" x14ac:dyDescent="0.35">
      <c r="A653" s="18"/>
      <c r="P653" s="19"/>
      <c r="Q653" s="19"/>
      <c r="R653" s="19"/>
    </row>
    <row r="654" spans="1:18" ht="15.75" customHeight="1" x14ac:dyDescent="0.35">
      <c r="A654" s="18"/>
      <c r="P654" s="19"/>
      <c r="Q654" s="19"/>
      <c r="R654" s="19"/>
    </row>
    <row r="655" spans="1:18" ht="15.75" customHeight="1" x14ac:dyDescent="0.35">
      <c r="A655" s="18"/>
      <c r="P655" s="19"/>
      <c r="Q655" s="19"/>
      <c r="R655" s="19"/>
    </row>
    <row r="656" spans="1:18" ht="15.75" customHeight="1" x14ac:dyDescent="0.35">
      <c r="A656" s="18"/>
      <c r="P656" s="19"/>
      <c r="Q656" s="19"/>
      <c r="R656" s="19"/>
    </row>
    <row r="657" spans="1:18" ht="15.75" customHeight="1" x14ac:dyDescent="0.35">
      <c r="A657" s="18"/>
      <c r="P657" s="19"/>
      <c r="Q657" s="19"/>
      <c r="R657" s="19"/>
    </row>
    <row r="658" spans="1:18" ht="15.75" customHeight="1" x14ac:dyDescent="0.35">
      <c r="A658" s="18"/>
      <c r="P658" s="19"/>
      <c r="Q658" s="19"/>
      <c r="R658" s="19"/>
    </row>
    <row r="659" spans="1:18" ht="15.75" customHeight="1" x14ac:dyDescent="0.35">
      <c r="A659" s="18"/>
      <c r="P659" s="19"/>
      <c r="Q659" s="19"/>
      <c r="R659" s="19"/>
    </row>
    <row r="660" spans="1:18" ht="15.75" customHeight="1" x14ac:dyDescent="0.35">
      <c r="A660" s="18"/>
      <c r="P660" s="19"/>
      <c r="Q660" s="19"/>
      <c r="R660" s="19"/>
    </row>
    <row r="661" spans="1:18" ht="15.75" customHeight="1" x14ac:dyDescent="0.35">
      <c r="A661" s="18"/>
      <c r="P661" s="19"/>
      <c r="Q661" s="19"/>
      <c r="R661" s="19"/>
    </row>
    <row r="662" spans="1:18" ht="15.75" customHeight="1" x14ac:dyDescent="0.35">
      <c r="A662" s="18"/>
      <c r="P662" s="19"/>
      <c r="Q662" s="19"/>
      <c r="R662" s="19"/>
    </row>
    <row r="663" spans="1:18" ht="15.75" customHeight="1" x14ac:dyDescent="0.35">
      <c r="A663" s="18"/>
      <c r="P663" s="19"/>
      <c r="Q663" s="19"/>
      <c r="R663" s="19"/>
    </row>
    <row r="664" spans="1:18" ht="15.75" customHeight="1" x14ac:dyDescent="0.35">
      <c r="A664" s="18"/>
      <c r="P664" s="19"/>
      <c r="Q664" s="19"/>
      <c r="R664" s="19"/>
    </row>
    <row r="665" spans="1:18" ht="15.75" customHeight="1" x14ac:dyDescent="0.35">
      <c r="A665" s="18"/>
      <c r="P665" s="19"/>
      <c r="Q665" s="19"/>
      <c r="R665" s="19"/>
    </row>
    <row r="666" spans="1:18" ht="15.75" customHeight="1" x14ac:dyDescent="0.35">
      <c r="A666" s="18"/>
      <c r="P666" s="19"/>
      <c r="Q666" s="19"/>
      <c r="R666" s="19"/>
    </row>
    <row r="667" spans="1:18" ht="15.75" customHeight="1" x14ac:dyDescent="0.35">
      <c r="A667" s="18"/>
      <c r="P667" s="19"/>
      <c r="Q667" s="19"/>
      <c r="R667" s="19"/>
    </row>
    <row r="668" spans="1:18" ht="15.75" customHeight="1" x14ac:dyDescent="0.35">
      <c r="A668" s="18"/>
      <c r="P668" s="19"/>
      <c r="Q668" s="19"/>
      <c r="R668" s="19"/>
    </row>
    <row r="669" spans="1:18" ht="15.75" customHeight="1" x14ac:dyDescent="0.35">
      <c r="A669" s="18"/>
      <c r="P669" s="19"/>
      <c r="Q669" s="19"/>
      <c r="R669" s="19"/>
    </row>
    <row r="670" spans="1:18" ht="15.75" customHeight="1" x14ac:dyDescent="0.35">
      <c r="A670" s="18"/>
      <c r="P670" s="19"/>
      <c r="Q670" s="19"/>
      <c r="R670" s="19"/>
    </row>
    <row r="671" spans="1:18" ht="15.75" customHeight="1" x14ac:dyDescent="0.35">
      <c r="A671" s="18"/>
      <c r="P671" s="19"/>
      <c r="Q671" s="19"/>
      <c r="R671" s="19"/>
    </row>
    <row r="672" spans="1:18" ht="15.75" customHeight="1" x14ac:dyDescent="0.35">
      <c r="A672" s="18"/>
      <c r="P672" s="19"/>
      <c r="Q672" s="19"/>
      <c r="R672" s="19"/>
    </row>
    <row r="673" spans="1:18" ht="15.75" customHeight="1" x14ac:dyDescent="0.35">
      <c r="A673" s="18"/>
      <c r="P673" s="19"/>
      <c r="Q673" s="19"/>
      <c r="R673" s="19"/>
    </row>
    <row r="674" spans="1:18" ht="15.75" customHeight="1" x14ac:dyDescent="0.35">
      <c r="A674" s="18"/>
      <c r="P674" s="19"/>
      <c r="Q674" s="19"/>
      <c r="R674" s="19"/>
    </row>
    <row r="675" spans="1:18" ht="15.75" customHeight="1" x14ac:dyDescent="0.35">
      <c r="A675" s="18"/>
      <c r="P675" s="19"/>
      <c r="Q675" s="19"/>
      <c r="R675" s="19"/>
    </row>
    <row r="676" spans="1:18" ht="15.75" customHeight="1" x14ac:dyDescent="0.35">
      <c r="A676" s="18"/>
      <c r="P676" s="19"/>
      <c r="Q676" s="19"/>
      <c r="R676" s="19"/>
    </row>
    <row r="677" spans="1:18" ht="15.75" customHeight="1" x14ac:dyDescent="0.35">
      <c r="A677" s="18"/>
      <c r="P677" s="19"/>
      <c r="Q677" s="19"/>
      <c r="R677" s="19"/>
    </row>
    <row r="678" spans="1:18" ht="15.75" customHeight="1" x14ac:dyDescent="0.35">
      <c r="A678" s="18"/>
      <c r="P678" s="19"/>
      <c r="Q678" s="19"/>
      <c r="R678" s="19"/>
    </row>
    <row r="679" spans="1:18" ht="15.75" customHeight="1" x14ac:dyDescent="0.35">
      <c r="A679" s="18"/>
      <c r="P679" s="19"/>
      <c r="Q679" s="19"/>
      <c r="R679" s="19"/>
    </row>
    <row r="680" spans="1:18" ht="15.75" customHeight="1" x14ac:dyDescent="0.35">
      <c r="A680" s="18"/>
      <c r="P680" s="19"/>
      <c r="Q680" s="19"/>
      <c r="R680" s="19"/>
    </row>
    <row r="681" spans="1:18" ht="15.75" customHeight="1" x14ac:dyDescent="0.35">
      <c r="A681" s="18"/>
      <c r="P681" s="19"/>
      <c r="Q681" s="19"/>
      <c r="R681" s="19"/>
    </row>
    <row r="682" spans="1:18" ht="15.75" customHeight="1" x14ac:dyDescent="0.35">
      <c r="A682" s="18"/>
      <c r="P682" s="19"/>
      <c r="Q682" s="19"/>
      <c r="R682" s="19"/>
    </row>
    <row r="683" spans="1:18" ht="15.75" customHeight="1" x14ac:dyDescent="0.35">
      <c r="A683" s="18"/>
      <c r="P683" s="19"/>
      <c r="Q683" s="19"/>
      <c r="R683" s="19"/>
    </row>
    <row r="684" spans="1:18" ht="15.75" customHeight="1" x14ac:dyDescent="0.35">
      <c r="A684" s="18"/>
      <c r="P684" s="19"/>
      <c r="Q684" s="19"/>
      <c r="R684" s="19"/>
    </row>
    <row r="685" spans="1:18" ht="15.75" customHeight="1" x14ac:dyDescent="0.35">
      <c r="A685" s="18"/>
      <c r="P685" s="19"/>
      <c r="Q685" s="19"/>
      <c r="R685" s="19"/>
    </row>
    <row r="686" spans="1:18" ht="15.75" customHeight="1" x14ac:dyDescent="0.35">
      <c r="A686" s="18"/>
      <c r="P686" s="19"/>
      <c r="Q686" s="19"/>
      <c r="R686" s="19"/>
    </row>
    <row r="687" spans="1:18" ht="15.75" customHeight="1" x14ac:dyDescent="0.35">
      <c r="A687" s="18"/>
      <c r="P687" s="19"/>
      <c r="Q687" s="19"/>
      <c r="R687" s="19"/>
    </row>
    <row r="688" spans="1:18" ht="15.75" customHeight="1" x14ac:dyDescent="0.35">
      <c r="A688" s="18"/>
      <c r="P688" s="19"/>
      <c r="Q688" s="19"/>
      <c r="R688" s="19"/>
    </row>
    <row r="689" spans="1:18" ht="15.75" customHeight="1" x14ac:dyDescent="0.35">
      <c r="A689" s="18"/>
      <c r="P689" s="19"/>
      <c r="Q689" s="19"/>
      <c r="R689" s="19"/>
    </row>
    <row r="690" spans="1:18" ht="15.75" customHeight="1" x14ac:dyDescent="0.35">
      <c r="A690" s="18"/>
      <c r="P690" s="19"/>
      <c r="Q690" s="19"/>
      <c r="R690" s="19"/>
    </row>
    <row r="691" spans="1:18" ht="15.75" customHeight="1" x14ac:dyDescent="0.35">
      <c r="A691" s="18"/>
      <c r="P691" s="19"/>
      <c r="Q691" s="19"/>
      <c r="R691" s="19"/>
    </row>
    <row r="692" spans="1:18" ht="15.75" customHeight="1" x14ac:dyDescent="0.35">
      <c r="A692" s="18"/>
      <c r="P692" s="19"/>
      <c r="Q692" s="19"/>
      <c r="R692" s="19"/>
    </row>
    <row r="693" spans="1:18" ht="15.75" customHeight="1" x14ac:dyDescent="0.35">
      <c r="A693" s="18"/>
      <c r="P693" s="19"/>
      <c r="Q693" s="19"/>
      <c r="R693" s="19"/>
    </row>
    <row r="694" spans="1:18" ht="15.75" customHeight="1" x14ac:dyDescent="0.35">
      <c r="A694" s="18"/>
      <c r="P694" s="19"/>
      <c r="Q694" s="19"/>
      <c r="R694" s="19"/>
    </row>
    <row r="695" spans="1:18" ht="15.75" customHeight="1" x14ac:dyDescent="0.35">
      <c r="A695" s="18"/>
      <c r="P695" s="19"/>
      <c r="Q695" s="19"/>
      <c r="R695" s="19"/>
    </row>
    <row r="696" spans="1:18" ht="15.75" customHeight="1" x14ac:dyDescent="0.35">
      <c r="A696" s="18"/>
      <c r="P696" s="19"/>
      <c r="Q696" s="19"/>
      <c r="R696" s="19"/>
    </row>
    <row r="697" spans="1:18" ht="15.75" customHeight="1" x14ac:dyDescent="0.35">
      <c r="A697" s="18"/>
      <c r="P697" s="19"/>
      <c r="Q697" s="19"/>
      <c r="R697" s="19"/>
    </row>
    <row r="698" spans="1:18" ht="15.75" customHeight="1" x14ac:dyDescent="0.35">
      <c r="A698" s="18"/>
      <c r="P698" s="19"/>
      <c r="Q698" s="19"/>
      <c r="R698" s="19"/>
    </row>
    <row r="699" spans="1:18" ht="15.75" customHeight="1" x14ac:dyDescent="0.35">
      <c r="A699" s="18"/>
      <c r="P699" s="19"/>
      <c r="Q699" s="19"/>
      <c r="R699" s="19"/>
    </row>
    <row r="700" spans="1:18" ht="15.75" customHeight="1" x14ac:dyDescent="0.35">
      <c r="A700" s="18"/>
      <c r="P700" s="19"/>
      <c r="Q700" s="19"/>
      <c r="R700" s="19"/>
    </row>
    <row r="701" spans="1:18" ht="15.75" customHeight="1" x14ac:dyDescent="0.35">
      <c r="A701" s="18"/>
      <c r="P701" s="19"/>
      <c r="Q701" s="19"/>
      <c r="R701" s="19"/>
    </row>
    <row r="702" spans="1:18" ht="15.75" customHeight="1" x14ac:dyDescent="0.35">
      <c r="A702" s="18"/>
      <c r="P702" s="19"/>
      <c r="Q702" s="19"/>
      <c r="R702" s="19"/>
    </row>
    <row r="703" spans="1:18" ht="15.75" customHeight="1" x14ac:dyDescent="0.35">
      <c r="A703" s="18"/>
      <c r="P703" s="19"/>
      <c r="Q703" s="19"/>
      <c r="R703" s="19"/>
    </row>
    <row r="704" spans="1:18" ht="15.75" customHeight="1" x14ac:dyDescent="0.35">
      <c r="A704" s="18"/>
      <c r="P704" s="19"/>
      <c r="Q704" s="19"/>
      <c r="R704" s="19"/>
    </row>
    <row r="705" spans="1:18" ht="15.75" customHeight="1" x14ac:dyDescent="0.35">
      <c r="A705" s="18"/>
      <c r="P705" s="19"/>
      <c r="Q705" s="19"/>
      <c r="R705" s="19"/>
    </row>
    <row r="706" spans="1:18" ht="15.75" customHeight="1" x14ac:dyDescent="0.35">
      <c r="A706" s="18"/>
      <c r="P706" s="19"/>
      <c r="Q706" s="19"/>
      <c r="R706" s="19"/>
    </row>
    <row r="707" spans="1:18" ht="15.75" customHeight="1" x14ac:dyDescent="0.35">
      <c r="A707" s="18"/>
      <c r="P707" s="19"/>
      <c r="Q707" s="19"/>
      <c r="R707" s="19"/>
    </row>
    <row r="708" spans="1:18" ht="15.75" customHeight="1" x14ac:dyDescent="0.35">
      <c r="A708" s="18"/>
      <c r="P708" s="19"/>
      <c r="Q708" s="19"/>
      <c r="R708" s="19"/>
    </row>
    <row r="709" spans="1:18" ht="15.75" customHeight="1" x14ac:dyDescent="0.35">
      <c r="A709" s="18"/>
      <c r="P709" s="19"/>
      <c r="Q709" s="19"/>
      <c r="R709" s="19"/>
    </row>
    <row r="710" spans="1:18" ht="15.75" customHeight="1" x14ac:dyDescent="0.35">
      <c r="A710" s="18"/>
      <c r="P710" s="19"/>
      <c r="Q710" s="19"/>
      <c r="R710" s="19"/>
    </row>
    <row r="711" spans="1:18" ht="15.75" customHeight="1" x14ac:dyDescent="0.35">
      <c r="A711" s="18"/>
      <c r="P711" s="19"/>
      <c r="Q711" s="19"/>
      <c r="R711" s="19"/>
    </row>
    <row r="712" spans="1:18" ht="15.75" customHeight="1" x14ac:dyDescent="0.35">
      <c r="A712" s="18"/>
      <c r="P712" s="19"/>
      <c r="Q712" s="19"/>
      <c r="R712" s="19"/>
    </row>
    <row r="713" spans="1:18" ht="15.75" customHeight="1" x14ac:dyDescent="0.35">
      <c r="A713" s="18"/>
      <c r="P713" s="19"/>
      <c r="Q713" s="19"/>
      <c r="R713" s="19"/>
    </row>
    <row r="714" spans="1:18" ht="15.75" customHeight="1" x14ac:dyDescent="0.35">
      <c r="A714" s="18"/>
      <c r="P714" s="19"/>
      <c r="Q714" s="19"/>
      <c r="R714" s="19"/>
    </row>
    <row r="715" spans="1:18" ht="15.75" customHeight="1" x14ac:dyDescent="0.35">
      <c r="A715" s="18"/>
      <c r="P715" s="19"/>
      <c r="Q715" s="19"/>
      <c r="R715" s="19"/>
    </row>
    <row r="716" spans="1:18" ht="15.75" customHeight="1" x14ac:dyDescent="0.35">
      <c r="A716" s="18"/>
      <c r="P716" s="19"/>
      <c r="Q716" s="19"/>
      <c r="R716" s="19"/>
    </row>
    <row r="717" spans="1:18" ht="15.75" customHeight="1" x14ac:dyDescent="0.35">
      <c r="A717" s="18"/>
      <c r="P717" s="19"/>
      <c r="Q717" s="19"/>
      <c r="R717" s="19"/>
    </row>
    <row r="718" spans="1:18" ht="15.75" customHeight="1" x14ac:dyDescent="0.35">
      <c r="A718" s="18"/>
      <c r="P718" s="19"/>
      <c r="Q718" s="19"/>
      <c r="R718" s="19"/>
    </row>
    <row r="719" spans="1:18" ht="15.75" customHeight="1" x14ac:dyDescent="0.35">
      <c r="A719" s="18"/>
      <c r="P719" s="19"/>
      <c r="Q719" s="19"/>
      <c r="R719" s="19"/>
    </row>
    <row r="720" spans="1:18" ht="15.75" customHeight="1" x14ac:dyDescent="0.35">
      <c r="A720" s="18"/>
      <c r="P720" s="19"/>
      <c r="Q720" s="19"/>
      <c r="R720" s="19"/>
    </row>
    <row r="721" spans="1:18" ht="15.75" customHeight="1" x14ac:dyDescent="0.35">
      <c r="A721" s="18"/>
      <c r="P721" s="19"/>
      <c r="Q721" s="19"/>
      <c r="R721" s="19"/>
    </row>
    <row r="722" spans="1:18" ht="15.75" customHeight="1" x14ac:dyDescent="0.35">
      <c r="A722" s="18"/>
      <c r="P722" s="19"/>
      <c r="Q722" s="19"/>
      <c r="R722" s="19"/>
    </row>
    <row r="723" spans="1:18" ht="15.75" customHeight="1" x14ac:dyDescent="0.35">
      <c r="A723" s="18"/>
      <c r="P723" s="19"/>
      <c r="Q723" s="19"/>
      <c r="R723" s="19"/>
    </row>
    <row r="724" spans="1:18" ht="15.75" customHeight="1" x14ac:dyDescent="0.35">
      <c r="A724" s="18"/>
      <c r="P724" s="19"/>
      <c r="Q724" s="19"/>
      <c r="R724" s="19"/>
    </row>
    <row r="725" spans="1:18" ht="15.75" customHeight="1" x14ac:dyDescent="0.35">
      <c r="A725" s="18"/>
      <c r="P725" s="19"/>
      <c r="Q725" s="19"/>
      <c r="R725" s="19"/>
    </row>
    <row r="726" spans="1:18" ht="15.75" customHeight="1" x14ac:dyDescent="0.35">
      <c r="A726" s="18"/>
      <c r="P726" s="19"/>
      <c r="Q726" s="19"/>
      <c r="R726" s="19"/>
    </row>
    <row r="727" spans="1:18" ht="15.75" customHeight="1" x14ac:dyDescent="0.35">
      <c r="A727" s="18"/>
      <c r="P727" s="19"/>
      <c r="Q727" s="19"/>
      <c r="R727" s="19"/>
    </row>
    <row r="728" spans="1:18" ht="15.75" customHeight="1" x14ac:dyDescent="0.35">
      <c r="A728" s="18"/>
      <c r="P728" s="19"/>
      <c r="Q728" s="19"/>
      <c r="R728" s="19"/>
    </row>
    <row r="729" spans="1:18" ht="15.75" customHeight="1" x14ac:dyDescent="0.35">
      <c r="A729" s="18"/>
      <c r="P729" s="19"/>
      <c r="Q729" s="19"/>
      <c r="R729" s="19"/>
    </row>
    <row r="730" spans="1:18" ht="15.75" customHeight="1" x14ac:dyDescent="0.35">
      <c r="A730" s="18"/>
      <c r="P730" s="19"/>
      <c r="Q730" s="19"/>
      <c r="R730" s="19"/>
    </row>
    <row r="731" spans="1:18" ht="15.75" customHeight="1" x14ac:dyDescent="0.35">
      <c r="A731" s="18"/>
      <c r="P731" s="19"/>
      <c r="Q731" s="19"/>
      <c r="R731" s="19"/>
    </row>
    <row r="732" spans="1:18" ht="15.75" customHeight="1" x14ac:dyDescent="0.35">
      <c r="A732" s="18"/>
      <c r="P732" s="19"/>
      <c r="Q732" s="19"/>
      <c r="R732" s="19"/>
    </row>
    <row r="733" spans="1:18" ht="15.75" customHeight="1" x14ac:dyDescent="0.35">
      <c r="A733" s="18"/>
      <c r="P733" s="19"/>
      <c r="Q733" s="19"/>
      <c r="R733" s="19"/>
    </row>
    <row r="734" spans="1:18" ht="15.75" customHeight="1" x14ac:dyDescent="0.35">
      <c r="A734" s="18"/>
      <c r="P734" s="19"/>
      <c r="Q734" s="19"/>
      <c r="R734" s="19"/>
    </row>
    <row r="735" spans="1:18" ht="15.75" customHeight="1" x14ac:dyDescent="0.35">
      <c r="A735" s="18"/>
      <c r="P735" s="19"/>
      <c r="Q735" s="19"/>
      <c r="R735" s="19"/>
    </row>
    <row r="736" spans="1:18" ht="15.75" customHeight="1" x14ac:dyDescent="0.35">
      <c r="A736" s="18"/>
      <c r="P736" s="19"/>
      <c r="Q736" s="19"/>
      <c r="R736" s="19"/>
    </row>
    <row r="737" spans="1:18" ht="15.75" customHeight="1" x14ac:dyDescent="0.35">
      <c r="A737" s="18"/>
      <c r="P737" s="19"/>
      <c r="Q737" s="19"/>
      <c r="R737" s="19"/>
    </row>
    <row r="738" spans="1:18" ht="15.75" customHeight="1" x14ac:dyDescent="0.35">
      <c r="A738" s="18"/>
      <c r="P738" s="19"/>
      <c r="Q738" s="19"/>
      <c r="R738" s="19"/>
    </row>
    <row r="739" spans="1:18" ht="15.75" customHeight="1" x14ac:dyDescent="0.35">
      <c r="A739" s="18"/>
      <c r="P739" s="19"/>
      <c r="Q739" s="19"/>
      <c r="R739" s="19"/>
    </row>
    <row r="740" spans="1:18" ht="15.75" customHeight="1" x14ac:dyDescent="0.35">
      <c r="A740" s="18"/>
      <c r="P740" s="19"/>
      <c r="Q740" s="19"/>
      <c r="R740" s="19"/>
    </row>
    <row r="741" spans="1:18" ht="15.75" customHeight="1" x14ac:dyDescent="0.35">
      <c r="A741" s="18"/>
      <c r="P741" s="19"/>
      <c r="Q741" s="19"/>
      <c r="R741" s="19"/>
    </row>
    <row r="742" spans="1:18" ht="15.75" customHeight="1" x14ac:dyDescent="0.35">
      <c r="A742" s="18"/>
      <c r="P742" s="19"/>
      <c r="Q742" s="19"/>
      <c r="R742" s="19"/>
    </row>
    <row r="743" spans="1:18" ht="15.75" customHeight="1" x14ac:dyDescent="0.35">
      <c r="A743" s="18"/>
      <c r="P743" s="19"/>
      <c r="Q743" s="19"/>
      <c r="R743" s="19"/>
    </row>
    <row r="744" spans="1:18" ht="15.75" customHeight="1" x14ac:dyDescent="0.35">
      <c r="A744" s="18"/>
      <c r="P744" s="19"/>
      <c r="Q744" s="19"/>
      <c r="R744" s="19"/>
    </row>
    <row r="745" spans="1:18" ht="15.75" customHeight="1" x14ac:dyDescent="0.35">
      <c r="A745" s="18"/>
      <c r="P745" s="19"/>
      <c r="Q745" s="19"/>
      <c r="R745" s="19"/>
    </row>
    <row r="746" spans="1:18" ht="15.75" customHeight="1" x14ac:dyDescent="0.35">
      <c r="A746" s="18"/>
      <c r="P746" s="19"/>
      <c r="Q746" s="19"/>
      <c r="R746" s="19"/>
    </row>
    <row r="747" spans="1:18" ht="15.75" customHeight="1" x14ac:dyDescent="0.35">
      <c r="A747" s="18"/>
      <c r="P747" s="19"/>
      <c r="Q747" s="19"/>
      <c r="R747" s="19"/>
    </row>
    <row r="748" spans="1:18" ht="15.75" customHeight="1" x14ac:dyDescent="0.35">
      <c r="A748" s="18"/>
      <c r="P748" s="19"/>
      <c r="Q748" s="19"/>
      <c r="R748" s="19"/>
    </row>
    <row r="749" spans="1:18" ht="15.75" customHeight="1" x14ac:dyDescent="0.35">
      <c r="A749" s="18"/>
      <c r="P749" s="19"/>
      <c r="Q749" s="19"/>
      <c r="R749" s="19"/>
    </row>
    <row r="750" spans="1:18" ht="15.75" customHeight="1" x14ac:dyDescent="0.35">
      <c r="A750" s="18"/>
      <c r="P750" s="19"/>
      <c r="Q750" s="19"/>
      <c r="R750" s="19"/>
    </row>
    <row r="751" spans="1:18" ht="15.75" customHeight="1" x14ac:dyDescent="0.35">
      <c r="A751" s="18"/>
      <c r="P751" s="19"/>
      <c r="Q751" s="19"/>
      <c r="R751" s="19"/>
    </row>
    <row r="752" spans="1:18" ht="15.75" customHeight="1" x14ac:dyDescent="0.35">
      <c r="A752" s="18"/>
      <c r="P752" s="19"/>
      <c r="Q752" s="19"/>
      <c r="R752" s="19"/>
    </row>
    <row r="753" spans="1:18" ht="15.75" customHeight="1" x14ac:dyDescent="0.35">
      <c r="A753" s="18"/>
      <c r="P753" s="19"/>
      <c r="Q753" s="19"/>
      <c r="R753" s="19"/>
    </row>
    <row r="754" spans="1:18" ht="15.75" customHeight="1" x14ac:dyDescent="0.35">
      <c r="A754" s="18"/>
      <c r="P754" s="19"/>
      <c r="Q754" s="19"/>
      <c r="R754" s="19"/>
    </row>
    <row r="755" spans="1:18" ht="15.75" customHeight="1" x14ac:dyDescent="0.35">
      <c r="A755" s="18"/>
      <c r="P755" s="19"/>
      <c r="Q755" s="19"/>
      <c r="R755" s="19"/>
    </row>
    <row r="756" spans="1:18" ht="15.75" customHeight="1" x14ac:dyDescent="0.35">
      <c r="A756" s="18"/>
      <c r="P756" s="19"/>
      <c r="Q756" s="19"/>
      <c r="R756" s="19"/>
    </row>
    <row r="757" spans="1:18" ht="15.75" customHeight="1" x14ac:dyDescent="0.35">
      <c r="A757" s="18"/>
      <c r="P757" s="19"/>
      <c r="Q757" s="19"/>
      <c r="R757" s="19"/>
    </row>
    <row r="758" spans="1:18" ht="15.75" customHeight="1" x14ac:dyDescent="0.35">
      <c r="A758" s="18"/>
      <c r="P758" s="19"/>
      <c r="Q758" s="19"/>
      <c r="R758" s="19"/>
    </row>
    <row r="759" spans="1:18" ht="15.75" customHeight="1" x14ac:dyDescent="0.35">
      <c r="A759" s="18"/>
      <c r="P759" s="19"/>
      <c r="Q759" s="19"/>
      <c r="R759" s="19"/>
    </row>
    <row r="760" spans="1:18" ht="15.75" customHeight="1" x14ac:dyDescent="0.35">
      <c r="A760" s="18"/>
      <c r="P760" s="19"/>
      <c r="Q760" s="19"/>
      <c r="R760" s="19"/>
    </row>
    <row r="761" spans="1:18" ht="15.75" customHeight="1" x14ac:dyDescent="0.35">
      <c r="A761" s="18"/>
      <c r="P761" s="19"/>
      <c r="Q761" s="19"/>
      <c r="R761" s="19"/>
    </row>
    <row r="762" spans="1:18" ht="15.75" customHeight="1" x14ac:dyDescent="0.35">
      <c r="A762" s="18"/>
      <c r="P762" s="19"/>
      <c r="Q762" s="19"/>
      <c r="R762" s="19"/>
    </row>
    <row r="763" spans="1:18" ht="15.75" customHeight="1" x14ac:dyDescent="0.35">
      <c r="A763" s="18"/>
      <c r="P763" s="19"/>
      <c r="Q763" s="19"/>
      <c r="R763" s="19"/>
    </row>
    <row r="764" spans="1:18" ht="15.75" customHeight="1" x14ac:dyDescent="0.35">
      <c r="A764" s="18"/>
      <c r="P764" s="19"/>
      <c r="Q764" s="19"/>
      <c r="R764" s="19"/>
    </row>
    <row r="765" spans="1:18" ht="15.75" customHeight="1" x14ac:dyDescent="0.35">
      <c r="A765" s="18"/>
      <c r="P765" s="19"/>
      <c r="Q765" s="19"/>
      <c r="R765" s="19"/>
    </row>
    <row r="766" spans="1:18" ht="15.75" customHeight="1" x14ac:dyDescent="0.35">
      <c r="A766" s="18"/>
      <c r="P766" s="19"/>
      <c r="Q766" s="19"/>
      <c r="R766" s="19"/>
    </row>
    <row r="767" spans="1:18" ht="15.75" customHeight="1" x14ac:dyDescent="0.35">
      <c r="A767" s="18"/>
      <c r="P767" s="19"/>
      <c r="Q767" s="19"/>
      <c r="R767" s="19"/>
    </row>
    <row r="768" spans="1:18" ht="15.75" customHeight="1" x14ac:dyDescent="0.35">
      <c r="A768" s="18"/>
      <c r="P768" s="19"/>
      <c r="Q768" s="19"/>
      <c r="R768" s="19"/>
    </row>
    <row r="769" spans="1:18" ht="15.75" customHeight="1" x14ac:dyDescent="0.35">
      <c r="A769" s="18"/>
      <c r="P769" s="19"/>
      <c r="Q769" s="19"/>
      <c r="R769" s="19"/>
    </row>
    <row r="770" spans="1:18" ht="15.75" customHeight="1" x14ac:dyDescent="0.35">
      <c r="A770" s="18"/>
      <c r="P770" s="19"/>
      <c r="Q770" s="19"/>
      <c r="R770" s="19"/>
    </row>
    <row r="771" spans="1:18" ht="15.75" customHeight="1" x14ac:dyDescent="0.35">
      <c r="A771" s="18"/>
      <c r="P771" s="19"/>
      <c r="Q771" s="19"/>
      <c r="R771" s="19"/>
    </row>
    <row r="772" spans="1:18" ht="15.75" customHeight="1" x14ac:dyDescent="0.35">
      <c r="A772" s="18"/>
      <c r="P772" s="19"/>
      <c r="Q772" s="19"/>
      <c r="R772" s="19"/>
    </row>
    <row r="773" spans="1:18" ht="15.75" customHeight="1" x14ac:dyDescent="0.35">
      <c r="A773" s="18"/>
      <c r="P773" s="19"/>
      <c r="Q773" s="19"/>
      <c r="R773" s="19"/>
    </row>
    <row r="774" spans="1:18" ht="15.75" customHeight="1" x14ac:dyDescent="0.35">
      <c r="A774" s="18"/>
      <c r="P774" s="19"/>
      <c r="Q774" s="19"/>
      <c r="R774" s="19"/>
    </row>
    <row r="775" spans="1:18" ht="15.75" customHeight="1" x14ac:dyDescent="0.35">
      <c r="A775" s="18"/>
      <c r="P775" s="19"/>
      <c r="Q775" s="19"/>
      <c r="R775" s="19"/>
    </row>
    <row r="776" spans="1:18" ht="15.75" customHeight="1" x14ac:dyDescent="0.35">
      <c r="A776" s="18"/>
      <c r="P776" s="19"/>
      <c r="Q776" s="19"/>
      <c r="R776" s="19"/>
    </row>
    <row r="777" spans="1:18" ht="15.75" customHeight="1" x14ac:dyDescent="0.35">
      <c r="A777" s="18"/>
      <c r="P777" s="19"/>
      <c r="Q777" s="19"/>
      <c r="R777" s="19"/>
    </row>
    <row r="778" spans="1:18" ht="15.75" customHeight="1" x14ac:dyDescent="0.35">
      <c r="A778" s="18"/>
      <c r="P778" s="19"/>
      <c r="Q778" s="19"/>
      <c r="R778" s="19"/>
    </row>
    <row r="779" spans="1:18" ht="15.75" customHeight="1" x14ac:dyDescent="0.35">
      <c r="A779" s="18"/>
      <c r="P779" s="19"/>
      <c r="Q779" s="19"/>
      <c r="R779" s="19"/>
    </row>
    <row r="780" spans="1:18" ht="15.75" customHeight="1" x14ac:dyDescent="0.35">
      <c r="A780" s="18"/>
      <c r="P780" s="19"/>
      <c r="Q780" s="19"/>
      <c r="R780" s="19"/>
    </row>
    <row r="781" spans="1:18" ht="15.75" customHeight="1" x14ac:dyDescent="0.35">
      <c r="A781" s="18"/>
      <c r="P781" s="19"/>
      <c r="Q781" s="19"/>
      <c r="R781" s="19"/>
    </row>
    <row r="782" spans="1:18" ht="15.75" customHeight="1" x14ac:dyDescent="0.35">
      <c r="A782" s="18"/>
      <c r="P782" s="19"/>
      <c r="Q782" s="19"/>
      <c r="R782" s="19"/>
    </row>
    <row r="783" spans="1:18" ht="15.75" customHeight="1" x14ac:dyDescent="0.35">
      <c r="A783" s="18"/>
      <c r="P783" s="19"/>
      <c r="Q783" s="19"/>
      <c r="R783" s="19"/>
    </row>
    <row r="784" spans="1:18" ht="15.75" customHeight="1" x14ac:dyDescent="0.35">
      <c r="A784" s="18"/>
      <c r="P784" s="19"/>
      <c r="Q784" s="19"/>
      <c r="R784" s="19"/>
    </row>
    <row r="785" spans="1:18" ht="15.75" customHeight="1" x14ac:dyDescent="0.35">
      <c r="A785" s="18"/>
      <c r="P785" s="19"/>
      <c r="Q785" s="19"/>
      <c r="R785" s="19"/>
    </row>
    <row r="786" spans="1:18" ht="15.75" customHeight="1" x14ac:dyDescent="0.35">
      <c r="A786" s="18"/>
      <c r="P786" s="19"/>
      <c r="Q786" s="19"/>
      <c r="R786" s="19"/>
    </row>
    <row r="787" spans="1:18" ht="15.75" customHeight="1" x14ac:dyDescent="0.35">
      <c r="A787" s="18"/>
      <c r="P787" s="19"/>
      <c r="Q787" s="19"/>
      <c r="R787" s="19"/>
    </row>
    <row r="788" spans="1:18" ht="15.75" customHeight="1" x14ac:dyDescent="0.35">
      <c r="A788" s="18"/>
      <c r="P788" s="19"/>
      <c r="Q788" s="19"/>
      <c r="R788" s="19"/>
    </row>
    <row r="789" spans="1:18" ht="15.75" customHeight="1" x14ac:dyDescent="0.35">
      <c r="A789" s="18"/>
      <c r="P789" s="19"/>
      <c r="Q789" s="19"/>
      <c r="R789" s="19"/>
    </row>
    <row r="790" spans="1:18" ht="15.75" customHeight="1" x14ac:dyDescent="0.35">
      <c r="A790" s="18"/>
      <c r="P790" s="19"/>
      <c r="Q790" s="19"/>
      <c r="R790" s="19"/>
    </row>
    <row r="791" spans="1:18" ht="15.75" customHeight="1" x14ac:dyDescent="0.35">
      <c r="A791" s="18"/>
      <c r="P791" s="19"/>
      <c r="Q791" s="19"/>
      <c r="R791" s="19"/>
    </row>
    <row r="792" spans="1:18" ht="15.75" customHeight="1" x14ac:dyDescent="0.35">
      <c r="A792" s="18"/>
      <c r="P792" s="19"/>
      <c r="Q792" s="19"/>
      <c r="R792" s="19"/>
    </row>
    <row r="793" spans="1:18" ht="15.75" customHeight="1" x14ac:dyDescent="0.35">
      <c r="A793" s="18"/>
      <c r="P793" s="19"/>
      <c r="Q793" s="19"/>
      <c r="R793" s="19"/>
    </row>
    <row r="794" spans="1:18" ht="15.75" customHeight="1" x14ac:dyDescent="0.35">
      <c r="A794" s="18"/>
      <c r="P794" s="19"/>
      <c r="Q794" s="19"/>
      <c r="R794" s="19"/>
    </row>
    <row r="795" spans="1:18" ht="15.75" customHeight="1" x14ac:dyDescent="0.35">
      <c r="A795" s="18"/>
      <c r="P795" s="19"/>
      <c r="Q795" s="19"/>
      <c r="R795" s="19"/>
    </row>
    <row r="796" spans="1:18" ht="15.75" customHeight="1" x14ac:dyDescent="0.35">
      <c r="A796" s="18"/>
      <c r="P796" s="19"/>
      <c r="Q796" s="19"/>
      <c r="R796" s="19"/>
    </row>
    <row r="797" spans="1:18" ht="15.75" customHeight="1" x14ac:dyDescent="0.35">
      <c r="A797" s="18"/>
      <c r="P797" s="19"/>
      <c r="Q797" s="19"/>
      <c r="R797" s="19"/>
    </row>
    <row r="798" spans="1:18" ht="15.75" customHeight="1" x14ac:dyDescent="0.35">
      <c r="A798" s="18"/>
      <c r="P798" s="19"/>
      <c r="Q798" s="19"/>
      <c r="R798" s="19"/>
    </row>
    <row r="799" spans="1:18" ht="15.75" customHeight="1" x14ac:dyDescent="0.35">
      <c r="A799" s="18"/>
      <c r="P799" s="19"/>
      <c r="Q799" s="19"/>
      <c r="R799" s="19"/>
    </row>
    <row r="800" spans="1:18" ht="15.75" customHeight="1" x14ac:dyDescent="0.35">
      <c r="A800" s="18"/>
      <c r="P800" s="19"/>
      <c r="Q800" s="19"/>
      <c r="R800" s="19"/>
    </row>
    <row r="801" spans="1:18" ht="15.75" customHeight="1" x14ac:dyDescent="0.35">
      <c r="A801" s="18"/>
      <c r="P801" s="19"/>
      <c r="Q801" s="19"/>
      <c r="R801" s="19"/>
    </row>
    <row r="802" spans="1:18" ht="15.75" customHeight="1" x14ac:dyDescent="0.35">
      <c r="A802" s="18"/>
      <c r="P802" s="19"/>
      <c r="Q802" s="19"/>
      <c r="R802" s="19"/>
    </row>
    <row r="803" spans="1:18" ht="15.75" customHeight="1" x14ac:dyDescent="0.35">
      <c r="A803" s="18"/>
      <c r="P803" s="19"/>
      <c r="Q803" s="19"/>
      <c r="R803" s="19"/>
    </row>
    <row r="804" spans="1:18" ht="15.75" customHeight="1" x14ac:dyDescent="0.35">
      <c r="A804" s="18"/>
      <c r="P804" s="19"/>
      <c r="Q804" s="19"/>
      <c r="R804" s="19"/>
    </row>
    <row r="805" spans="1:18" ht="15.75" customHeight="1" x14ac:dyDescent="0.35">
      <c r="A805" s="18"/>
      <c r="P805" s="19"/>
      <c r="Q805" s="19"/>
      <c r="R805" s="19"/>
    </row>
    <row r="806" spans="1:18" ht="15.75" customHeight="1" x14ac:dyDescent="0.35">
      <c r="A806" s="18"/>
      <c r="P806" s="19"/>
      <c r="Q806" s="19"/>
      <c r="R806" s="19"/>
    </row>
    <row r="807" spans="1:18" ht="15.75" customHeight="1" x14ac:dyDescent="0.35">
      <c r="A807" s="18"/>
      <c r="P807" s="19"/>
      <c r="Q807" s="19"/>
      <c r="R807" s="19"/>
    </row>
    <row r="808" spans="1:18" ht="15.75" customHeight="1" x14ac:dyDescent="0.35">
      <c r="A808" s="18"/>
      <c r="P808" s="19"/>
      <c r="Q808" s="19"/>
      <c r="R808" s="19"/>
    </row>
    <row r="809" spans="1:18" ht="15.75" customHeight="1" x14ac:dyDescent="0.35">
      <c r="A809" s="18"/>
      <c r="P809" s="19"/>
      <c r="Q809" s="19"/>
      <c r="R809" s="19"/>
    </row>
    <row r="810" spans="1:18" ht="15.75" customHeight="1" x14ac:dyDescent="0.35">
      <c r="A810" s="18"/>
      <c r="P810" s="19"/>
      <c r="Q810" s="19"/>
      <c r="R810" s="19"/>
    </row>
    <row r="811" spans="1:18" ht="15.75" customHeight="1" x14ac:dyDescent="0.35">
      <c r="A811" s="18"/>
      <c r="P811" s="19"/>
      <c r="Q811" s="19"/>
      <c r="R811" s="19"/>
    </row>
    <row r="812" spans="1:18" ht="15.75" customHeight="1" x14ac:dyDescent="0.35">
      <c r="A812" s="18"/>
      <c r="P812" s="19"/>
      <c r="Q812" s="19"/>
      <c r="R812" s="19"/>
    </row>
    <row r="813" spans="1:18" ht="15.75" customHeight="1" x14ac:dyDescent="0.35">
      <c r="A813" s="18"/>
      <c r="P813" s="19"/>
      <c r="Q813" s="19"/>
      <c r="R813" s="19"/>
    </row>
    <row r="814" spans="1:18" ht="15.75" customHeight="1" x14ac:dyDescent="0.35">
      <c r="A814" s="18"/>
      <c r="P814" s="19"/>
      <c r="Q814" s="19"/>
      <c r="R814" s="19"/>
    </row>
    <row r="815" spans="1:18" ht="15.75" customHeight="1" x14ac:dyDescent="0.35">
      <c r="A815" s="18"/>
      <c r="P815" s="19"/>
      <c r="Q815" s="19"/>
      <c r="R815" s="19"/>
    </row>
    <row r="816" spans="1:18" ht="15.75" customHeight="1" x14ac:dyDescent="0.35">
      <c r="A816" s="18"/>
      <c r="P816" s="19"/>
      <c r="Q816" s="19"/>
      <c r="R816" s="19"/>
    </row>
    <row r="817" spans="1:18" ht="15.75" customHeight="1" x14ac:dyDescent="0.35">
      <c r="A817" s="18"/>
      <c r="P817" s="19"/>
      <c r="Q817" s="19"/>
      <c r="R817" s="19"/>
    </row>
    <row r="818" spans="1:18" ht="15.75" customHeight="1" x14ac:dyDescent="0.35">
      <c r="A818" s="18"/>
      <c r="P818" s="19"/>
      <c r="Q818" s="19"/>
      <c r="R818" s="19"/>
    </row>
    <row r="819" spans="1:18" ht="15.75" customHeight="1" x14ac:dyDescent="0.35">
      <c r="A819" s="18"/>
      <c r="P819" s="19"/>
      <c r="Q819" s="19"/>
      <c r="R819" s="19"/>
    </row>
    <row r="820" spans="1:18" ht="15.75" customHeight="1" x14ac:dyDescent="0.35">
      <c r="A820" s="18"/>
      <c r="P820" s="19"/>
      <c r="Q820" s="19"/>
      <c r="R820" s="19"/>
    </row>
    <row r="821" spans="1:18" ht="15.75" customHeight="1" x14ac:dyDescent="0.35">
      <c r="A821" s="18"/>
      <c r="P821" s="19"/>
      <c r="Q821" s="19"/>
      <c r="R821" s="19"/>
    </row>
    <row r="822" spans="1:18" ht="15.75" customHeight="1" x14ac:dyDescent="0.35">
      <c r="A822" s="18"/>
      <c r="P822" s="19"/>
      <c r="Q822" s="19"/>
      <c r="R822" s="19"/>
    </row>
    <row r="823" spans="1:18" ht="15.75" customHeight="1" x14ac:dyDescent="0.35">
      <c r="A823" s="18"/>
      <c r="P823" s="19"/>
      <c r="Q823" s="19"/>
      <c r="R823" s="19"/>
    </row>
    <row r="824" spans="1:18" ht="15.75" customHeight="1" x14ac:dyDescent="0.35">
      <c r="A824" s="18"/>
      <c r="P824" s="19"/>
      <c r="Q824" s="19"/>
      <c r="R824" s="19"/>
    </row>
    <row r="825" spans="1:18" ht="15.75" customHeight="1" x14ac:dyDescent="0.35">
      <c r="A825" s="18"/>
      <c r="P825" s="19"/>
      <c r="Q825" s="19"/>
      <c r="R825" s="19"/>
    </row>
    <row r="826" spans="1:18" ht="15.75" customHeight="1" x14ac:dyDescent="0.35">
      <c r="A826" s="18"/>
      <c r="P826" s="19"/>
      <c r="Q826" s="19"/>
      <c r="R826" s="19"/>
    </row>
    <row r="827" spans="1:18" ht="15.75" customHeight="1" x14ac:dyDescent="0.35">
      <c r="A827" s="18"/>
      <c r="P827" s="19"/>
      <c r="Q827" s="19"/>
      <c r="R827" s="19"/>
    </row>
    <row r="828" spans="1:18" ht="15.75" customHeight="1" x14ac:dyDescent="0.35">
      <c r="A828" s="18"/>
      <c r="P828" s="19"/>
      <c r="Q828" s="19"/>
      <c r="R828" s="19"/>
    </row>
    <row r="829" spans="1:18" ht="15.75" customHeight="1" x14ac:dyDescent="0.35">
      <c r="A829" s="18"/>
      <c r="P829" s="19"/>
      <c r="Q829" s="19"/>
      <c r="R829" s="19"/>
    </row>
    <row r="830" spans="1:18" ht="15.75" customHeight="1" x14ac:dyDescent="0.35">
      <c r="A830" s="18"/>
      <c r="P830" s="19"/>
      <c r="Q830" s="19"/>
      <c r="R830" s="19"/>
    </row>
    <row r="831" spans="1:18" ht="15.75" customHeight="1" x14ac:dyDescent="0.35">
      <c r="A831" s="18"/>
      <c r="P831" s="19"/>
      <c r="Q831" s="19"/>
      <c r="R831" s="19"/>
    </row>
    <row r="832" spans="1:18" ht="15.75" customHeight="1" x14ac:dyDescent="0.35">
      <c r="A832" s="18"/>
      <c r="P832" s="19"/>
      <c r="Q832" s="19"/>
      <c r="R832" s="19"/>
    </row>
    <row r="833" spans="1:18" ht="15.75" customHeight="1" x14ac:dyDescent="0.35">
      <c r="A833" s="18"/>
      <c r="P833" s="19"/>
      <c r="Q833" s="19"/>
      <c r="R833" s="19"/>
    </row>
    <row r="834" spans="1:18" ht="15.75" customHeight="1" x14ac:dyDescent="0.35">
      <c r="A834" s="18"/>
      <c r="P834" s="19"/>
      <c r="Q834" s="19"/>
      <c r="R834" s="19"/>
    </row>
    <row r="835" spans="1:18" ht="15.75" customHeight="1" x14ac:dyDescent="0.35">
      <c r="A835" s="18"/>
      <c r="P835" s="19"/>
      <c r="Q835" s="19"/>
      <c r="R835" s="19"/>
    </row>
    <row r="836" spans="1:18" ht="15.75" customHeight="1" x14ac:dyDescent="0.35">
      <c r="A836" s="18"/>
      <c r="P836" s="19"/>
      <c r="Q836" s="19"/>
      <c r="R836" s="19"/>
    </row>
    <row r="837" spans="1:18" ht="15.75" customHeight="1" x14ac:dyDescent="0.35">
      <c r="A837" s="18"/>
      <c r="P837" s="19"/>
      <c r="Q837" s="19"/>
      <c r="R837" s="19"/>
    </row>
    <row r="838" spans="1:18" ht="15.75" customHeight="1" x14ac:dyDescent="0.35">
      <c r="A838" s="18"/>
      <c r="P838" s="19"/>
      <c r="Q838" s="19"/>
      <c r="R838" s="19"/>
    </row>
    <row r="839" spans="1:18" ht="15.75" customHeight="1" x14ac:dyDescent="0.35">
      <c r="A839" s="18"/>
      <c r="P839" s="19"/>
      <c r="Q839" s="19"/>
      <c r="R839" s="19"/>
    </row>
    <row r="840" spans="1:18" ht="15.75" customHeight="1" x14ac:dyDescent="0.35">
      <c r="A840" s="18"/>
      <c r="P840" s="19"/>
      <c r="Q840" s="19"/>
      <c r="R840" s="19"/>
    </row>
    <row r="841" spans="1:18" ht="15.75" customHeight="1" x14ac:dyDescent="0.35">
      <c r="A841" s="18"/>
      <c r="P841" s="19"/>
      <c r="Q841" s="19"/>
      <c r="R841" s="19"/>
    </row>
    <row r="842" spans="1:18" ht="15.75" customHeight="1" x14ac:dyDescent="0.35">
      <c r="A842" s="18"/>
      <c r="P842" s="19"/>
      <c r="Q842" s="19"/>
      <c r="R842" s="19"/>
    </row>
    <row r="843" spans="1:18" ht="15.75" customHeight="1" x14ac:dyDescent="0.35">
      <c r="A843" s="18"/>
      <c r="P843" s="19"/>
      <c r="Q843" s="19"/>
      <c r="R843" s="19"/>
    </row>
    <row r="844" spans="1:18" ht="15.75" customHeight="1" x14ac:dyDescent="0.35">
      <c r="A844" s="18"/>
      <c r="P844" s="19"/>
      <c r="Q844" s="19"/>
      <c r="R844" s="19"/>
    </row>
    <row r="845" spans="1:18" ht="15.75" customHeight="1" x14ac:dyDescent="0.35">
      <c r="A845" s="18"/>
      <c r="P845" s="19"/>
      <c r="Q845" s="19"/>
      <c r="R845" s="19"/>
    </row>
    <row r="846" spans="1:18" ht="15.75" customHeight="1" x14ac:dyDescent="0.35">
      <c r="A846" s="18"/>
      <c r="P846" s="19"/>
      <c r="Q846" s="19"/>
      <c r="R846" s="19"/>
    </row>
    <row r="847" spans="1:18" ht="15.75" customHeight="1" x14ac:dyDescent="0.35">
      <c r="A847" s="18"/>
      <c r="P847" s="19"/>
      <c r="Q847" s="19"/>
      <c r="R847" s="19"/>
    </row>
    <row r="848" spans="1:18" ht="15.75" customHeight="1" x14ac:dyDescent="0.35">
      <c r="A848" s="18"/>
      <c r="P848" s="19"/>
      <c r="Q848" s="19"/>
      <c r="R848" s="19"/>
    </row>
    <row r="849" spans="1:18" ht="15.75" customHeight="1" x14ac:dyDescent="0.35">
      <c r="A849" s="18"/>
      <c r="P849" s="19"/>
      <c r="Q849" s="19"/>
      <c r="R849" s="19"/>
    </row>
    <row r="850" spans="1:18" ht="15.75" customHeight="1" x14ac:dyDescent="0.35">
      <c r="A850" s="18"/>
      <c r="P850" s="19"/>
      <c r="Q850" s="19"/>
      <c r="R850" s="19"/>
    </row>
    <row r="851" spans="1:18" ht="15.75" customHeight="1" x14ac:dyDescent="0.35">
      <c r="A851" s="18"/>
      <c r="P851" s="19"/>
      <c r="Q851" s="19"/>
      <c r="R851" s="19"/>
    </row>
    <row r="852" spans="1:18" ht="15.75" customHeight="1" x14ac:dyDescent="0.35">
      <c r="A852" s="18"/>
      <c r="P852" s="19"/>
      <c r="Q852" s="19"/>
      <c r="R852" s="19"/>
    </row>
    <row r="853" spans="1:18" ht="15.75" customHeight="1" x14ac:dyDescent="0.35">
      <c r="A853" s="18"/>
      <c r="P853" s="19"/>
      <c r="Q853" s="19"/>
      <c r="R853" s="19"/>
    </row>
    <row r="854" spans="1:18" ht="15.75" customHeight="1" x14ac:dyDescent="0.35">
      <c r="A854" s="18"/>
      <c r="P854" s="19"/>
      <c r="Q854" s="19"/>
      <c r="R854" s="19"/>
    </row>
    <row r="855" spans="1:18" ht="15.75" customHeight="1" x14ac:dyDescent="0.35">
      <c r="A855" s="18"/>
      <c r="P855" s="19"/>
      <c r="Q855" s="19"/>
      <c r="R855" s="19"/>
    </row>
    <row r="856" spans="1:18" ht="15.75" customHeight="1" x14ac:dyDescent="0.35">
      <c r="A856" s="18"/>
      <c r="P856" s="19"/>
      <c r="Q856" s="19"/>
      <c r="R856" s="19"/>
    </row>
    <row r="857" spans="1:18" ht="15.75" customHeight="1" x14ac:dyDescent="0.35">
      <c r="A857" s="18"/>
      <c r="P857" s="19"/>
      <c r="Q857" s="19"/>
      <c r="R857" s="19"/>
    </row>
    <row r="858" spans="1:18" ht="15.75" customHeight="1" x14ac:dyDescent="0.35">
      <c r="A858" s="18"/>
      <c r="P858" s="19"/>
      <c r="Q858" s="19"/>
      <c r="R858" s="19"/>
    </row>
    <row r="859" spans="1:18" ht="15.75" customHeight="1" x14ac:dyDescent="0.35">
      <c r="A859" s="18"/>
      <c r="P859" s="19"/>
      <c r="Q859" s="19"/>
      <c r="R859" s="19"/>
    </row>
    <row r="860" spans="1:18" ht="15.75" customHeight="1" x14ac:dyDescent="0.35">
      <c r="A860" s="18"/>
      <c r="P860" s="19"/>
      <c r="Q860" s="19"/>
      <c r="R860" s="19"/>
    </row>
    <row r="861" spans="1:18" ht="15.75" customHeight="1" x14ac:dyDescent="0.35">
      <c r="A861" s="18"/>
      <c r="P861" s="19"/>
      <c r="Q861" s="19"/>
      <c r="R861" s="19"/>
    </row>
    <row r="862" spans="1:18" ht="15.75" customHeight="1" x14ac:dyDescent="0.35">
      <c r="A862" s="18"/>
      <c r="P862" s="19"/>
      <c r="Q862" s="19"/>
      <c r="R862" s="19"/>
    </row>
    <row r="863" spans="1:18" ht="15.75" customHeight="1" x14ac:dyDescent="0.35">
      <c r="A863" s="18"/>
      <c r="P863" s="19"/>
      <c r="Q863" s="19"/>
      <c r="R863" s="19"/>
    </row>
    <row r="864" spans="1:18" ht="15.75" customHeight="1" x14ac:dyDescent="0.35">
      <c r="A864" s="18"/>
      <c r="P864" s="19"/>
      <c r="Q864" s="19"/>
      <c r="R864" s="19"/>
    </row>
    <row r="865" spans="1:18" ht="15.75" customHeight="1" x14ac:dyDescent="0.35">
      <c r="A865" s="18"/>
      <c r="P865" s="19"/>
      <c r="Q865" s="19"/>
      <c r="R865" s="19"/>
    </row>
    <row r="866" spans="1:18" ht="15.75" customHeight="1" x14ac:dyDescent="0.35">
      <c r="A866" s="18"/>
      <c r="P866" s="19"/>
      <c r="Q866" s="19"/>
      <c r="R866" s="19"/>
    </row>
    <row r="867" spans="1:18" ht="15.75" customHeight="1" x14ac:dyDescent="0.35">
      <c r="A867" s="18"/>
      <c r="P867" s="19"/>
      <c r="Q867" s="19"/>
      <c r="R867" s="19"/>
    </row>
    <row r="868" spans="1:18" ht="15.75" customHeight="1" x14ac:dyDescent="0.35">
      <c r="A868" s="18"/>
      <c r="P868" s="19"/>
      <c r="Q868" s="19"/>
      <c r="R868" s="19"/>
    </row>
    <row r="869" spans="1:18" ht="15.75" customHeight="1" x14ac:dyDescent="0.35">
      <c r="A869" s="18"/>
      <c r="P869" s="19"/>
      <c r="Q869" s="19"/>
      <c r="R869" s="19"/>
    </row>
    <row r="870" spans="1:18" ht="15.75" customHeight="1" x14ac:dyDescent="0.35">
      <c r="A870" s="18"/>
      <c r="P870" s="19"/>
      <c r="Q870" s="19"/>
      <c r="R870" s="19"/>
    </row>
    <row r="871" spans="1:18" ht="15.75" customHeight="1" x14ac:dyDescent="0.35">
      <c r="A871" s="18"/>
      <c r="P871" s="19"/>
      <c r="Q871" s="19"/>
      <c r="R871" s="19"/>
    </row>
    <row r="872" spans="1:18" ht="15.75" customHeight="1" x14ac:dyDescent="0.35">
      <c r="A872" s="18"/>
      <c r="P872" s="19"/>
      <c r="Q872" s="19"/>
      <c r="R872" s="19"/>
    </row>
    <row r="873" spans="1:18" ht="15.75" customHeight="1" x14ac:dyDescent="0.35">
      <c r="A873" s="18"/>
      <c r="P873" s="19"/>
      <c r="Q873" s="19"/>
      <c r="R873" s="19"/>
    </row>
    <row r="874" spans="1:18" ht="15.75" customHeight="1" x14ac:dyDescent="0.35">
      <c r="A874" s="18"/>
      <c r="P874" s="19"/>
      <c r="Q874" s="19"/>
      <c r="R874" s="19"/>
    </row>
    <row r="875" spans="1:18" ht="15.75" customHeight="1" x14ac:dyDescent="0.35">
      <c r="A875" s="18"/>
      <c r="P875" s="19"/>
      <c r="Q875" s="19"/>
      <c r="R875" s="19"/>
    </row>
    <row r="876" spans="1:18" ht="15.75" customHeight="1" x14ac:dyDescent="0.35">
      <c r="A876" s="18"/>
      <c r="P876" s="19"/>
      <c r="Q876" s="19"/>
      <c r="R876" s="19"/>
    </row>
    <row r="877" spans="1:18" ht="15.75" customHeight="1" x14ac:dyDescent="0.35">
      <c r="A877" s="18"/>
      <c r="P877" s="19"/>
      <c r="Q877" s="19"/>
      <c r="R877" s="19"/>
    </row>
    <row r="878" spans="1:18" ht="15.75" customHeight="1" x14ac:dyDescent="0.35">
      <c r="A878" s="18"/>
      <c r="P878" s="19"/>
      <c r="Q878" s="19"/>
      <c r="R878" s="19"/>
    </row>
    <row r="879" spans="1:18" ht="15.75" customHeight="1" x14ac:dyDescent="0.35">
      <c r="A879" s="18"/>
      <c r="P879" s="19"/>
      <c r="Q879" s="19"/>
      <c r="R879" s="19"/>
    </row>
    <row r="880" spans="1:18" ht="15.75" customHeight="1" x14ac:dyDescent="0.35">
      <c r="A880" s="18"/>
      <c r="P880" s="19"/>
      <c r="Q880" s="19"/>
      <c r="R880" s="19"/>
    </row>
    <row r="881" spans="1:18" ht="15.75" customHeight="1" x14ac:dyDescent="0.35">
      <c r="A881" s="18"/>
      <c r="P881" s="19"/>
      <c r="Q881" s="19"/>
      <c r="R881" s="19"/>
    </row>
    <row r="882" spans="1:18" ht="15.75" customHeight="1" x14ac:dyDescent="0.35">
      <c r="A882" s="18"/>
      <c r="P882" s="19"/>
      <c r="Q882" s="19"/>
      <c r="R882" s="19"/>
    </row>
    <row r="883" spans="1:18" ht="15.75" customHeight="1" x14ac:dyDescent="0.35">
      <c r="A883" s="18"/>
      <c r="P883" s="19"/>
      <c r="Q883" s="19"/>
      <c r="R883" s="19"/>
    </row>
    <row r="884" spans="1:18" ht="15.75" customHeight="1" x14ac:dyDescent="0.35">
      <c r="A884" s="18"/>
      <c r="P884" s="19"/>
      <c r="Q884" s="19"/>
      <c r="R884" s="19"/>
    </row>
    <row r="885" spans="1:18" ht="15.75" customHeight="1" x14ac:dyDescent="0.35">
      <c r="A885" s="18"/>
      <c r="P885" s="19"/>
      <c r="Q885" s="19"/>
      <c r="R885" s="19"/>
    </row>
    <row r="886" spans="1:18" ht="15.75" customHeight="1" x14ac:dyDescent="0.35">
      <c r="A886" s="18"/>
      <c r="P886" s="19"/>
      <c r="Q886" s="19"/>
      <c r="R886" s="19"/>
    </row>
    <row r="887" spans="1:18" ht="15.75" customHeight="1" x14ac:dyDescent="0.35">
      <c r="A887" s="18"/>
      <c r="P887" s="19"/>
      <c r="Q887" s="19"/>
      <c r="R887" s="19"/>
    </row>
    <row r="888" spans="1:18" ht="15.75" customHeight="1" x14ac:dyDescent="0.35">
      <c r="A888" s="18"/>
      <c r="P888" s="19"/>
      <c r="Q888" s="19"/>
      <c r="R888" s="19"/>
    </row>
    <row r="889" spans="1:18" ht="15.75" customHeight="1" x14ac:dyDescent="0.35">
      <c r="A889" s="18"/>
      <c r="P889" s="19"/>
      <c r="Q889" s="19"/>
      <c r="R889" s="19"/>
    </row>
    <row r="890" spans="1:18" ht="15.75" customHeight="1" x14ac:dyDescent="0.35">
      <c r="A890" s="18"/>
      <c r="P890" s="19"/>
      <c r="Q890" s="19"/>
      <c r="R890" s="19"/>
    </row>
    <row r="891" spans="1:18" ht="15.75" customHeight="1" x14ac:dyDescent="0.35">
      <c r="A891" s="18"/>
      <c r="P891" s="19"/>
      <c r="Q891" s="19"/>
      <c r="R891" s="19"/>
    </row>
    <row r="892" spans="1:18" ht="15.75" customHeight="1" x14ac:dyDescent="0.35">
      <c r="A892" s="18"/>
      <c r="P892" s="19"/>
      <c r="Q892" s="19"/>
      <c r="R892" s="19"/>
    </row>
    <row r="893" spans="1:18" ht="15.75" customHeight="1" x14ac:dyDescent="0.35">
      <c r="A893" s="18"/>
      <c r="P893" s="19"/>
      <c r="Q893" s="19"/>
      <c r="R893" s="19"/>
    </row>
    <row r="894" spans="1:18" ht="15.75" customHeight="1" x14ac:dyDescent="0.35">
      <c r="A894" s="18"/>
      <c r="P894" s="19"/>
      <c r="Q894" s="19"/>
      <c r="R894" s="19"/>
    </row>
    <row r="895" spans="1:18" ht="15.75" customHeight="1" x14ac:dyDescent="0.35">
      <c r="A895" s="18"/>
      <c r="P895" s="19"/>
      <c r="Q895" s="19"/>
      <c r="R895" s="19"/>
    </row>
    <row r="896" spans="1:18" ht="15.75" customHeight="1" x14ac:dyDescent="0.35">
      <c r="A896" s="18"/>
      <c r="P896" s="19"/>
      <c r="Q896" s="19"/>
      <c r="R896" s="19"/>
    </row>
    <row r="897" spans="1:18" ht="15.75" customHeight="1" x14ac:dyDescent="0.35">
      <c r="A897" s="18"/>
      <c r="P897" s="19"/>
      <c r="Q897" s="19"/>
      <c r="R897" s="19"/>
    </row>
    <row r="898" spans="1:18" ht="15.75" customHeight="1" x14ac:dyDescent="0.35">
      <c r="A898" s="18"/>
      <c r="P898" s="19"/>
      <c r="Q898" s="19"/>
      <c r="R898" s="19"/>
    </row>
    <row r="899" spans="1:18" ht="15.75" customHeight="1" x14ac:dyDescent="0.35">
      <c r="A899" s="18"/>
      <c r="P899" s="19"/>
      <c r="Q899" s="19"/>
      <c r="R899" s="19"/>
    </row>
    <row r="900" spans="1:18" ht="15.75" customHeight="1" x14ac:dyDescent="0.35">
      <c r="A900" s="18"/>
      <c r="P900" s="19"/>
      <c r="Q900" s="19"/>
      <c r="R900" s="19"/>
    </row>
    <row r="901" spans="1:18" ht="15.75" customHeight="1" x14ac:dyDescent="0.35">
      <c r="A901" s="18"/>
      <c r="P901" s="19"/>
      <c r="Q901" s="19"/>
      <c r="R901" s="19"/>
    </row>
    <row r="902" spans="1:18" ht="15.75" customHeight="1" x14ac:dyDescent="0.35">
      <c r="A902" s="18"/>
      <c r="P902" s="19"/>
      <c r="Q902" s="19"/>
      <c r="R902" s="19"/>
    </row>
    <row r="903" spans="1:18" ht="15.75" customHeight="1" x14ac:dyDescent="0.35">
      <c r="A903" s="18"/>
      <c r="P903" s="19"/>
      <c r="Q903" s="19"/>
      <c r="R903" s="19"/>
    </row>
    <row r="904" spans="1:18" ht="15.75" customHeight="1" x14ac:dyDescent="0.35">
      <c r="A904" s="18"/>
      <c r="P904" s="19"/>
      <c r="Q904" s="19"/>
      <c r="R904" s="19"/>
    </row>
    <row r="905" spans="1:18" ht="15.75" customHeight="1" x14ac:dyDescent="0.35">
      <c r="A905" s="18"/>
      <c r="P905" s="19"/>
      <c r="Q905" s="19"/>
      <c r="R905" s="19"/>
    </row>
    <row r="906" spans="1:18" ht="15.75" customHeight="1" x14ac:dyDescent="0.35">
      <c r="A906" s="18"/>
      <c r="P906" s="19"/>
      <c r="Q906" s="19"/>
      <c r="R906" s="19"/>
    </row>
    <row r="907" spans="1:18" ht="15.75" customHeight="1" x14ac:dyDescent="0.35">
      <c r="A907" s="18"/>
      <c r="P907" s="19"/>
      <c r="Q907" s="19"/>
      <c r="R907" s="19"/>
    </row>
    <row r="908" spans="1:18" ht="15.75" customHeight="1" x14ac:dyDescent="0.35">
      <c r="A908" s="18"/>
      <c r="P908" s="19"/>
      <c r="Q908" s="19"/>
      <c r="R908" s="19"/>
    </row>
    <row r="909" spans="1:18" ht="15.75" customHeight="1" x14ac:dyDescent="0.35">
      <c r="A909" s="18"/>
      <c r="P909" s="19"/>
      <c r="Q909" s="19"/>
      <c r="R909" s="19"/>
    </row>
    <row r="910" spans="1:18" ht="15.75" customHeight="1" x14ac:dyDescent="0.35">
      <c r="A910" s="18"/>
      <c r="P910" s="19"/>
      <c r="Q910" s="19"/>
      <c r="R910" s="19"/>
    </row>
    <row r="911" spans="1:18" ht="15.75" customHeight="1" x14ac:dyDescent="0.35">
      <c r="A911" s="18"/>
      <c r="P911" s="19"/>
      <c r="Q911" s="19"/>
      <c r="R911" s="19"/>
    </row>
    <row r="912" spans="1:18" ht="15.75" customHeight="1" x14ac:dyDescent="0.35">
      <c r="A912" s="18"/>
      <c r="P912" s="19"/>
      <c r="Q912" s="19"/>
      <c r="R912" s="19"/>
    </row>
    <row r="913" spans="1:18" ht="15.75" customHeight="1" x14ac:dyDescent="0.35">
      <c r="A913" s="18"/>
      <c r="P913" s="19"/>
      <c r="Q913" s="19"/>
      <c r="R913" s="19"/>
    </row>
    <row r="914" spans="1:18" ht="15.75" customHeight="1" x14ac:dyDescent="0.35">
      <c r="A914" s="18"/>
      <c r="P914" s="19"/>
      <c r="Q914" s="19"/>
      <c r="R914" s="19"/>
    </row>
    <row r="915" spans="1:18" ht="15.75" customHeight="1" x14ac:dyDescent="0.35">
      <c r="A915" s="18"/>
      <c r="P915" s="19"/>
      <c r="Q915" s="19"/>
      <c r="R915" s="19"/>
    </row>
    <row r="916" spans="1:18" ht="15.75" customHeight="1" x14ac:dyDescent="0.35">
      <c r="A916" s="18"/>
      <c r="P916" s="19"/>
      <c r="Q916" s="19"/>
      <c r="R916" s="19"/>
    </row>
    <row r="917" spans="1:18" ht="15.75" customHeight="1" x14ac:dyDescent="0.35">
      <c r="A917" s="18"/>
      <c r="P917" s="19"/>
      <c r="Q917" s="19"/>
      <c r="R917" s="19"/>
    </row>
    <row r="918" spans="1:18" ht="15.75" customHeight="1" x14ac:dyDescent="0.35">
      <c r="A918" s="18"/>
      <c r="P918" s="19"/>
      <c r="Q918" s="19"/>
      <c r="R918" s="19"/>
    </row>
    <row r="919" spans="1:18" ht="15.75" customHeight="1" x14ac:dyDescent="0.35">
      <c r="A919" s="18"/>
      <c r="P919" s="19"/>
      <c r="Q919" s="19"/>
      <c r="R919" s="19"/>
    </row>
    <row r="920" spans="1:18" ht="15.75" customHeight="1" x14ac:dyDescent="0.35">
      <c r="A920" s="18"/>
      <c r="P920" s="19"/>
      <c r="Q920" s="19"/>
      <c r="R920" s="19"/>
    </row>
    <row r="921" spans="1:18" ht="15.75" customHeight="1" x14ac:dyDescent="0.35">
      <c r="A921" s="18"/>
      <c r="P921" s="19"/>
      <c r="Q921" s="19"/>
      <c r="R921" s="19"/>
    </row>
    <row r="922" spans="1:18" ht="15.75" customHeight="1" x14ac:dyDescent="0.35">
      <c r="A922" s="18"/>
      <c r="P922" s="19"/>
      <c r="Q922" s="19"/>
      <c r="R922" s="19"/>
    </row>
    <row r="923" spans="1:18" ht="15.75" customHeight="1" x14ac:dyDescent="0.35">
      <c r="A923" s="18"/>
      <c r="P923" s="19"/>
      <c r="Q923" s="19"/>
      <c r="R923" s="19"/>
    </row>
    <row r="924" spans="1:18" ht="15.75" customHeight="1" x14ac:dyDescent="0.35">
      <c r="A924" s="18"/>
      <c r="P924" s="19"/>
      <c r="Q924" s="19"/>
      <c r="R924" s="19"/>
    </row>
    <row r="925" spans="1:18" ht="15.75" customHeight="1" x14ac:dyDescent="0.35">
      <c r="A925" s="18"/>
      <c r="P925" s="19"/>
      <c r="Q925" s="19"/>
      <c r="R925" s="19"/>
    </row>
    <row r="926" spans="1:18" ht="15.75" customHeight="1" x14ac:dyDescent="0.35">
      <c r="A926" s="18"/>
      <c r="P926" s="19"/>
      <c r="Q926" s="19"/>
      <c r="R926" s="19"/>
    </row>
    <row r="927" spans="1:18" ht="15.75" customHeight="1" x14ac:dyDescent="0.35">
      <c r="A927" s="18"/>
      <c r="P927" s="19"/>
      <c r="Q927" s="19"/>
      <c r="R927" s="19"/>
    </row>
    <row r="928" spans="1:18" ht="15.75" customHeight="1" x14ac:dyDescent="0.35">
      <c r="A928" s="18"/>
      <c r="P928" s="19"/>
      <c r="Q928" s="19"/>
      <c r="R928" s="19"/>
    </row>
    <row r="929" spans="1:18" ht="15.75" customHeight="1" x14ac:dyDescent="0.35">
      <c r="A929" s="18"/>
      <c r="P929" s="19"/>
      <c r="Q929" s="19"/>
      <c r="R929" s="19"/>
    </row>
    <row r="930" spans="1:18" ht="15.75" customHeight="1" x14ac:dyDescent="0.35">
      <c r="A930" s="18"/>
      <c r="P930" s="19"/>
      <c r="Q930" s="19"/>
      <c r="R930" s="19"/>
    </row>
    <row r="931" spans="1:18" ht="15.75" customHeight="1" x14ac:dyDescent="0.35">
      <c r="A931" s="18"/>
      <c r="P931" s="19"/>
      <c r="Q931" s="19"/>
      <c r="R931" s="19"/>
    </row>
    <row r="932" spans="1:18" ht="15.75" customHeight="1" x14ac:dyDescent="0.35">
      <c r="A932" s="18"/>
      <c r="P932" s="19"/>
      <c r="Q932" s="19"/>
      <c r="R932" s="19"/>
    </row>
    <row r="933" spans="1:18" ht="15.75" customHeight="1" x14ac:dyDescent="0.35">
      <c r="A933" s="18"/>
      <c r="P933" s="19"/>
      <c r="Q933" s="19"/>
      <c r="R933" s="19"/>
    </row>
    <row r="934" spans="1:18" ht="15.75" customHeight="1" x14ac:dyDescent="0.35">
      <c r="A934" s="18"/>
      <c r="P934" s="19"/>
      <c r="Q934" s="19"/>
      <c r="R934" s="19"/>
    </row>
    <row r="935" spans="1:18" ht="15.75" customHeight="1" x14ac:dyDescent="0.35">
      <c r="A935" s="18"/>
      <c r="P935" s="19"/>
      <c r="Q935" s="19"/>
      <c r="R935" s="19"/>
    </row>
    <row r="936" spans="1:18" ht="15.75" customHeight="1" x14ac:dyDescent="0.35">
      <c r="A936" s="18"/>
      <c r="P936" s="19"/>
      <c r="Q936" s="19"/>
      <c r="R936" s="19"/>
    </row>
    <row r="937" spans="1:18" ht="15.75" customHeight="1" x14ac:dyDescent="0.35">
      <c r="A937" s="18"/>
      <c r="P937" s="19"/>
      <c r="Q937" s="19"/>
      <c r="R937" s="19"/>
    </row>
    <row r="938" spans="1:18" ht="15.75" customHeight="1" x14ac:dyDescent="0.35">
      <c r="A938" s="18"/>
      <c r="P938" s="19"/>
      <c r="Q938" s="19"/>
      <c r="R938" s="19"/>
    </row>
    <row r="939" spans="1:18" ht="15.75" customHeight="1" x14ac:dyDescent="0.35">
      <c r="A939" s="18"/>
      <c r="P939" s="19"/>
      <c r="Q939" s="19"/>
      <c r="R939" s="19"/>
    </row>
    <row r="940" spans="1:18" ht="15.75" customHeight="1" x14ac:dyDescent="0.35">
      <c r="A940" s="18"/>
      <c r="P940" s="19"/>
      <c r="Q940" s="19"/>
      <c r="R940" s="19"/>
    </row>
    <row r="941" spans="1:18" ht="15.75" customHeight="1" x14ac:dyDescent="0.35">
      <c r="A941" s="18"/>
      <c r="P941" s="19"/>
      <c r="Q941" s="19"/>
      <c r="R941" s="19"/>
    </row>
    <row r="942" spans="1:18" ht="15.75" customHeight="1" x14ac:dyDescent="0.35">
      <c r="A942" s="18"/>
      <c r="P942" s="19"/>
      <c r="Q942" s="19"/>
      <c r="R942" s="19"/>
    </row>
    <row r="943" spans="1:18" ht="15.75" customHeight="1" x14ac:dyDescent="0.35">
      <c r="A943" s="18"/>
      <c r="P943" s="19"/>
      <c r="Q943" s="19"/>
      <c r="R943" s="19"/>
    </row>
    <row r="944" spans="1:18" ht="15.75" customHeight="1" x14ac:dyDescent="0.35">
      <c r="A944" s="18"/>
      <c r="P944" s="19"/>
      <c r="Q944" s="19"/>
      <c r="R944" s="19"/>
    </row>
    <row r="945" spans="1:18" ht="15.75" customHeight="1" x14ac:dyDescent="0.35">
      <c r="A945" s="18"/>
      <c r="P945" s="19"/>
      <c r="Q945" s="19"/>
      <c r="R945" s="19"/>
    </row>
    <row r="946" spans="1:18" ht="15.75" customHeight="1" x14ac:dyDescent="0.35">
      <c r="A946" s="18"/>
      <c r="P946" s="19"/>
      <c r="Q946" s="19"/>
      <c r="R946" s="19"/>
    </row>
    <row r="947" spans="1:18" ht="15.75" customHeight="1" x14ac:dyDescent="0.35">
      <c r="A947" s="18"/>
      <c r="P947" s="19"/>
      <c r="Q947" s="19"/>
      <c r="R947" s="19"/>
    </row>
    <row r="948" spans="1:18" ht="15.75" customHeight="1" x14ac:dyDescent="0.35">
      <c r="A948" s="18"/>
      <c r="P948" s="19"/>
      <c r="Q948" s="19"/>
      <c r="R948" s="19"/>
    </row>
    <row r="949" spans="1:18" ht="15.75" customHeight="1" x14ac:dyDescent="0.35">
      <c r="A949" s="18"/>
      <c r="P949" s="19"/>
      <c r="Q949" s="19"/>
      <c r="R949" s="19"/>
    </row>
    <row r="950" spans="1:18" ht="15.75" customHeight="1" x14ac:dyDescent="0.35">
      <c r="A950" s="18"/>
      <c r="P950" s="19"/>
      <c r="Q950" s="19"/>
      <c r="R950" s="19"/>
    </row>
    <row r="951" spans="1:18" ht="15.75" customHeight="1" x14ac:dyDescent="0.35">
      <c r="A951" s="18"/>
      <c r="P951" s="19"/>
      <c r="Q951" s="19"/>
      <c r="R951" s="19"/>
    </row>
    <row r="952" spans="1:18" ht="15.75" customHeight="1" x14ac:dyDescent="0.35">
      <c r="A952" s="18"/>
      <c r="P952" s="19"/>
      <c r="Q952" s="19"/>
      <c r="R952" s="19"/>
    </row>
    <row r="953" spans="1:18" ht="15.75" customHeight="1" x14ac:dyDescent="0.35">
      <c r="A953" s="18"/>
      <c r="P953" s="19"/>
      <c r="Q953" s="19"/>
      <c r="R953" s="19"/>
    </row>
    <row r="954" spans="1:18" ht="15.75" customHeight="1" x14ac:dyDescent="0.35">
      <c r="A954" s="18"/>
      <c r="P954" s="19"/>
      <c r="Q954" s="19"/>
      <c r="R954" s="19"/>
    </row>
    <row r="955" spans="1:18" ht="15.75" customHeight="1" x14ac:dyDescent="0.35">
      <c r="A955" s="18"/>
      <c r="P955" s="19"/>
      <c r="Q955" s="19"/>
      <c r="R955" s="19"/>
    </row>
    <row r="956" spans="1:18" ht="15.75" customHeight="1" x14ac:dyDescent="0.35">
      <c r="A956" s="18"/>
      <c r="P956" s="19"/>
      <c r="Q956" s="19"/>
      <c r="R956" s="19"/>
    </row>
    <row r="957" spans="1:18" ht="15.75" customHeight="1" x14ac:dyDescent="0.35">
      <c r="A957" s="18"/>
      <c r="P957" s="19"/>
      <c r="Q957" s="19"/>
      <c r="R957" s="19"/>
    </row>
    <row r="958" spans="1:18" ht="15.75" customHeight="1" x14ac:dyDescent="0.35">
      <c r="A958" s="18"/>
      <c r="P958" s="19"/>
      <c r="Q958" s="19"/>
      <c r="R958" s="19"/>
    </row>
    <row r="959" spans="1:18" ht="15.75" customHeight="1" x14ac:dyDescent="0.35">
      <c r="A959" s="18"/>
      <c r="P959" s="19"/>
      <c r="Q959" s="19"/>
      <c r="R959" s="19"/>
    </row>
    <row r="960" spans="1:18" ht="15.75" customHeight="1" x14ac:dyDescent="0.35">
      <c r="A960" s="18"/>
      <c r="P960" s="19"/>
      <c r="Q960" s="19"/>
      <c r="R960" s="19"/>
    </row>
    <row r="961" spans="1:18" ht="15.75" customHeight="1" x14ac:dyDescent="0.35">
      <c r="A961" s="18"/>
      <c r="P961" s="19"/>
      <c r="Q961" s="19"/>
      <c r="R961" s="19"/>
    </row>
    <row r="962" spans="1:18" ht="15.75" customHeight="1" x14ac:dyDescent="0.35">
      <c r="A962" s="18"/>
      <c r="P962" s="19"/>
      <c r="Q962" s="19"/>
      <c r="R962" s="19"/>
    </row>
    <row r="963" spans="1:18" ht="15.75" customHeight="1" x14ac:dyDescent="0.35">
      <c r="A963" s="18"/>
      <c r="P963" s="19"/>
      <c r="Q963" s="19"/>
      <c r="R963" s="19"/>
    </row>
    <row r="964" spans="1:18" ht="15.75" customHeight="1" x14ac:dyDescent="0.35">
      <c r="A964" s="18"/>
      <c r="P964" s="19"/>
      <c r="Q964" s="19"/>
      <c r="R964" s="19"/>
    </row>
    <row r="965" spans="1:18" ht="15.75" customHeight="1" x14ac:dyDescent="0.35">
      <c r="A965" s="18"/>
      <c r="P965" s="19"/>
      <c r="Q965" s="19"/>
      <c r="R965" s="19"/>
    </row>
    <row r="966" spans="1:18" ht="15.75" customHeight="1" x14ac:dyDescent="0.35">
      <c r="A966" s="18"/>
      <c r="P966" s="19"/>
      <c r="Q966" s="19"/>
      <c r="R966" s="19"/>
    </row>
    <row r="967" spans="1:18" ht="15.75" customHeight="1" x14ac:dyDescent="0.35">
      <c r="A967" s="18"/>
      <c r="P967" s="19"/>
      <c r="Q967" s="19"/>
      <c r="R967" s="19"/>
    </row>
    <row r="968" spans="1:18" ht="15.75" customHeight="1" x14ac:dyDescent="0.35">
      <c r="A968" s="18"/>
      <c r="P968" s="19"/>
      <c r="Q968" s="19"/>
      <c r="R968" s="19"/>
    </row>
    <row r="969" spans="1:18" ht="15.75" customHeight="1" x14ac:dyDescent="0.35">
      <c r="A969" s="18"/>
      <c r="P969" s="19"/>
      <c r="Q969" s="19"/>
      <c r="R969" s="19"/>
    </row>
    <row r="970" spans="1:18" ht="15.75" customHeight="1" x14ac:dyDescent="0.35">
      <c r="A970" s="18"/>
      <c r="P970" s="19"/>
      <c r="Q970" s="19"/>
      <c r="R970" s="19"/>
    </row>
    <row r="971" spans="1:18" ht="15.75" customHeight="1" x14ac:dyDescent="0.35">
      <c r="A971" s="18"/>
      <c r="P971" s="19"/>
      <c r="Q971" s="19"/>
      <c r="R971" s="19"/>
    </row>
    <row r="972" spans="1:18" ht="15.75" customHeight="1" x14ac:dyDescent="0.35">
      <c r="A972" s="18"/>
      <c r="P972" s="19"/>
      <c r="Q972" s="19"/>
      <c r="R972" s="19"/>
    </row>
    <row r="973" spans="1:18" ht="15.75" customHeight="1" x14ac:dyDescent="0.35">
      <c r="A973" s="18"/>
      <c r="P973" s="19"/>
      <c r="Q973" s="19"/>
      <c r="R973" s="19"/>
    </row>
    <row r="974" spans="1:18" ht="15.75" customHeight="1" x14ac:dyDescent="0.35">
      <c r="A974" s="18"/>
      <c r="P974" s="19"/>
      <c r="Q974" s="19"/>
      <c r="R974" s="19"/>
    </row>
    <row r="975" spans="1:18" ht="15.75" customHeight="1" x14ac:dyDescent="0.35">
      <c r="A975" s="18"/>
      <c r="P975" s="19"/>
      <c r="Q975" s="19"/>
      <c r="R975" s="19"/>
    </row>
    <row r="976" spans="1:18" ht="15.75" customHeight="1" x14ac:dyDescent="0.35">
      <c r="A976" s="18"/>
      <c r="P976" s="19"/>
      <c r="Q976" s="19"/>
      <c r="R976" s="19"/>
    </row>
    <row r="977" spans="1:18" ht="15.75" customHeight="1" x14ac:dyDescent="0.35">
      <c r="A977" s="18"/>
      <c r="P977" s="19"/>
      <c r="Q977" s="19"/>
      <c r="R977" s="19"/>
    </row>
    <row r="978" spans="1:18" ht="15.75" customHeight="1" x14ac:dyDescent="0.35">
      <c r="A978" s="18"/>
      <c r="P978" s="19"/>
      <c r="Q978" s="19"/>
      <c r="R978" s="19"/>
    </row>
    <row r="979" spans="1:18" ht="15.75" customHeight="1" x14ac:dyDescent="0.35">
      <c r="A979" s="18"/>
      <c r="P979" s="19"/>
      <c r="Q979" s="19"/>
      <c r="R979" s="19"/>
    </row>
    <row r="980" spans="1:18" ht="15.75" customHeight="1" x14ac:dyDescent="0.35">
      <c r="A980" s="18"/>
      <c r="P980" s="19"/>
      <c r="Q980" s="19"/>
      <c r="R980" s="19"/>
    </row>
    <row r="981" spans="1:18" ht="15.75" customHeight="1" x14ac:dyDescent="0.35">
      <c r="A981" s="18"/>
      <c r="P981" s="19"/>
      <c r="Q981" s="19"/>
      <c r="R981" s="19"/>
    </row>
    <row r="982" spans="1:18" ht="15.75" customHeight="1" x14ac:dyDescent="0.35">
      <c r="A982" s="18"/>
      <c r="P982" s="19"/>
      <c r="Q982" s="19"/>
      <c r="R982" s="19"/>
    </row>
    <row r="983" spans="1:18" ht="15.75" customHeight="1" x14ac:dyDescent="0.35">
      <c r="A983" s="18"/>
      <c r="P983" s="19"/>
      <c r="Q983" s="19"/>
      <c r="R983" s="19"/>
    </row>
    <row r="984" spans="1:18" ht="15.75" customHeight="1" x14ac:dyDescent="0.35">
      <c r="A984" s="18"/>
      <c r="P984" s="19"/>
      <c r="Q984" s="19"/>
      <c r="R984" s="19"/>
    </row>
    <row r="985" spans="1:18" ht="15.75" customHeight="1" x14ac:dyDescent="0.35">
      <c r="A985" s="18"/>
      <c r="P985" s="19"/>
      <c r="Q985" s="19"/>
      <c r="R985" s="19"/>
    </row>
    <row r="986" spans="1:18" ht="15.75" customHeight="1" x14ac:dyDescent="0.35">
      <c r="A986" s="18"/>
      <c r="P986" s="19"/>
      <c r="Q986" s="19"/>
      <c r="R986" s="19"/>
    </row>
    <row r="987" spans="1:18" ht="15.75" customHeight="1" x14ac:dyDescent="0.35">
      <c r="A987" s="18"/>
      <c r="P987" s="19"/>
      <c r="Q987" s="19"/>
      <c r="R987" s="19"/>
    </row>
    <row r="988" spans="1:18" ht="15.75" customHeight="1" x14ac:dyDescent="0.35">
      <c r="A988" s="18"/>
      <c r="P988" s="19"/>
      <c r="Q988" s="19"/>
      <c r="R988" s="19"/>
    </row>
    <row r="989" spans="1:18" ht="15.75" customHeight="1" x14ac:dyDescent="0.35">
      <c r="A989" s="18"/>
      <c r="P989" s="19"/>
      <c r="Q989" s="19"/>
      <c r="R989" s="19"/>
    </row>
    <row r="990" spans="1:18" ht="15.75" customHeight="1" x14ac:dyDescent="0.35">
      <c r="A990" s="18"/>
      <c r="P990" s="19"/>
      <c r="Q990" s="19"/>
      <c r="R990" s="19"/>
    </row>
    <row r="991" spans="1:18" ht="15.75" customHeight="1" x14ac:dyDescent="0.35">
      <c r="A991" s="18"/>
      <c r="P991" s="19"/>
      <c r="Q991" s="19"/>
      <c r="R991" s="19"/>
    </row>
    <row r="992" spans="1:18" ht="15.75" customHeight="1" x14ac:dyDescent="0.35">
      <c r="A992" s="18"/>
      <c r="P992" s="19"/>
      <c r="Q992" s="19"/>
      <c r="R992" s="19"/>
    </row>
    <row r="993" spans="1:18" ht="15.75" customHeight="1" x14ac:dyDescent="0.35">
      <c r="A993" s="18"/>
      <c r="P993" s="19"/>
      <c r="Q993" s="19"/>
      <c r="R993" s="19"/>
    </row>
    <row r="994" spans="1:18" ht="15.75" customHeight="1" x14ac:dyDescent="0.35">
      <c r="A994" s="18"/>
      <c r="P994" s="19"/>
      <c r="Q994" s="19"/>
      <c r="R994" s="19"/>
    </row>
    <row r="995" spans="1:18" ht="15.75" customHeight="1" x14ac:dyDescent="0.35">
      <c r="A995" s="18"/>
      <c r="P995" s="19"/>
      <c r="Q995" s="19"/>
      <c r="R995" s="19"/>
    </row>
    <row r="996" spans="1:18" ht="15.75" customHeight="1" x14ac:dyDescent="0.35">
      <c r="A996" s="18"/>
      <c r="P996" s="19"/>
      <c r="Q996" s="19"/>
      <c r="R996" s="19"/>
    </row>
    <row r="997" spans="1:18" ht="15.75" customHeight="1" x14ac:dyDescent="0.35">
      <c r="A997" s="18"/>
      <c r="P997" s="19"/>
      <c r="Q997" s="19"/>
      <c r="R997" s="19"/>
    </row>
    <row r="998" spans="1:18" ht="15.75" customHeight="1" x14ac:dyDescent="0.35">
      <c r="A998" s="18"/>
      <c r="P998" s="19"/>
      <c r="Q998" s="19"/>
      <c r="R998" s="19"/>
    </row>
    <row r="999" spans="1:18" ht="15.75" customHeight="1" x14ac:dyDescent="0.35">
      <c r="A999" s="18"/>
      <c r="P999" s="19"/>
      <c r="Q999" s="19"/>
      <c r="R999" s="19"/>
    </row>
    <row r="1000" spans="1:18" ht="15.75" customHeight="1" x14ac:dyDescent="0.35">
      <c r="A1000" s="18"/>
      <c r="P1000" s="19"/>
      <c r="Q1000" s="19"/>
      <c r="R1000" s="19"/>
    </row>
  </sheetData>
  <autoFilter ref="A1:R169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.453125" customWidth="1"/>
    <col min="2" max="2" width="12.7265625" customWidth="1"/>
    <col min="3" max="3" width="8.54296875" customWidth="1"/>
    <col min="4" max="4" width="9.54296875" customWidth="1"/>
    <col min="5" max="5" width="10.81640625" customWidth="1"/>
    <col min="6" max="6" width="12.08984375" customWidth="1"/>
    <col min="7" max="13" width="13.26953125" customWidth="1"/>
    <col min="14" max="14" width="7.26953125" customWidth="1"/>
    <col min="15" max="15" width="8.7265625" customWidth="1"/>
    <col min="16" max="17" width="18.08984375" customWidth="1"/>
    <col min="18" max="18" width="17" customWidth="1"/>
    <col min="19" max="27" width="8.7265625" customWidth="1"/>
  </cols>
  <sheetData>
    <row r="1" spans="1:2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8"/>
      <c r="P1" s="3" t="s">
        <v>15</v>
      </c>
      <c r="Q1" s="1" t="s">
        <v>16</v>
      </c>
      <c r="R1" s="1" t="s">
        <v>17</v>
      </c>
      <c r="S1" s="18"/>
      <c r="T1" s="18"/>
      <c r="U1" s="18"/>
      <c r="V1" s="18"/>
      <c r="W1" s="18"/>
      <c r="X1" s="18"/>
      <c r="Y1" s="18"/>
      <c r="Z1" s="18"/>
      <c r="AA1" s="18"/>
    </row>
    <row r="2" spans="1:27" ht="14.5" x14ac:dyDescent="0.35">
      <c r="A2" s="4" t="s">
        <v>18</v>
      </c>
      <c r="B2" s="19" t="s">
        <v>19</v>
      </c>
      <c r="C2" s="19" t="s">
        <v>20</v>
      </c>
      <c r="D2" s="19">
        <v>10</v>
      </c>
      <c r="E2" s="19">
        <v>2410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2410</v>
      </c>
      <c r="L2" s="19">
        <f t="shared" ref="L2:L159" si="0">(E2+F2+G2)-(I2+J2)</f>
        <v>2410</v>
      </c>
      <c r="M2" s="19">
        <v>27</v>
      </c>
      <c r="N2" s="20">
        <v>0</v>
      </c>
      <c r="O2" s="18"/>
      <c r="P2" s="6">
        <v>2129</v>
      </c>
      <c r="Q2" s="7">
        <f t="shared" ref="Q2:Q159" si="1">P2*(I2+J2)</f>
        <v>0</v>
      </c>
      <c r="R2" s="7">
        <f t="shared" ref="R2:R159" si="2">P2*L2</f>
        <v>5130890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 ht="14.5" x14ac:dyDescent="0.35">
      <c r="A3" s="4" t="s">
        <v>21</v>
      </c>
      <c r="B3" s="19" t="s">
        <v>22</v>
      </c>
      <c r="C3" s="19" t="s">
        <v>20</v>
      </c>
      <c r="D3" s="19">
        <v>10</v>
      </c>
      <c r="E3" s="19">
        <v>34556</v>
      </c>
      <c r="F3" s="19">
        <v>521100</v>
      </c>
      <c r="G3" s="19">
        <v>0</v>
      </c>
      <c r="H3" s="19">
        <v>0</v>
      </c>
      <c r="I3" s="19">
        <v>548028</v>
      </c>
      <c r="J3" s="19">
        <v>25</v>
      </c>
      <c r="K3" s="19">
        <v>7603</v>
      </c>
      <c r="L3" s="19">
        <f t="shared" si="0"/>
        <v>7603</v>
      </c>
      <c r="M3" s="19">
        <v>27</v>
      </c>
      <c r="N3" s="20">
        <f t="shared" ref="N3:N12" si="3">(L3/(I3+J3))*M3</f>
        <v>0.37456413886978085</v>
      </c>
      <c r="O3" s="18"/>
      <c r="P3" s="6">
        <v>2129</v>
      </c>
      <c r="Q3" s="7">
        <f t="shared" si="1"/>
        <v>1166804837</v>
      </c>
      <c r="R3" s="7">
        <f t="shared" si="2"/>
        <v>16186787</v>
      </c>
      <c r="S3" s="18"/>
      <c r="T3" s="18"/>
      <c r="U3" s="18"/>
      <c r="V3" s="18"/>
      <c r="W3" s="18"/>
      <c r="X3" s="18"/>
      <c r="Y3" s="18"/>
      <c r="Z3" s="18"/>
      <c r="AA3" s="18"/>
    </row>
    <row r="4" spans="1:27" ht="14.5" x14ac:dyDescent="0.35">
      <c r="A4" s="4" t="s">
        <v>23</v>
      </c>
      <c r="B4" s="19" t="s">
        <v>19</v>
      </c>
      <c r="C4" s="19" t="s">
        <v>20</v>
      </c>
      <c r="D4" s="19">
        <v>10</v>
      </c>
      <c r="E4" s="19">
        <v>11376</v>
      </c>
      <c r="F4" s="19">
        <v>16800</v>
      </c>
      <c r="G4" s="19">
        <v>0</v>
      </c>
      <c r="H4" s="19">
        <v>0</v>
      </c>
      <c r="I4" s="19">
        <v>24951</v>
      </c>
      <c r="J4" s="19">
        <v>0</v>
      </c>
      <c r="K4" s="19">
        <v>3225</v>
      </c>
      <c r="L4" s="19">
        <f t="shared" si="0"/>
        <v>3225</v>
      </c>
      <c r="M4" s="19">
        <v>27</v>
      </c>
      <c r="N4" s="20">
        <f t="shared" si="3"/>
        <v>3.4898400865696768</v>
      </c>
      <c r="O4" s="18"/>
      <c r="P4" s="6">
        <v>2129</v>
      </c>
      <c r="Q4" s="7">
        <f t="shared" si="1"/>
        <v>53120679</v>
      </c>
      <c r="R4" s="7">
        <f t="shared" si="2"/>
        <v>6866025</v>
      </c>
      <c r="S4" s="18"/>
      <c r="T4" s="18"/>
      <c r="U4" s="18"/>
      <c r="V4" s="18"/>
      <c r="W4" s="18"/>
      <c r="X4" s="18"/>
      <c r="Y4" s="18"/>
      <c r="Z4" s="18"/>
      <c r="AA4" s="18"/>
    </row>
    <row r="5" spans="1:27" ht="14.5" x14ac:dyDescent="0.35">
      <c r="A5" s="4" t="s">
        <v>24</v>
      </c>
      <c r="B5" s="19" t="s">
        <v>19</v>
      </c>
      <c r="C5" s="19" t="s">
        <v>20</v>
      </c>
      <c r="D5" s="19">
        <v>10</v>
      </c>
      <c r="E5" s="19">
        <v>1170</v>
      </c>
      <c r="F5" s="19">
        <v>1028</v>
      </c>
      <c r="G5" s="19">
        <v>0</v>
      </c>
      <c r="H5" s="19">
        <v>0</v>
      </c>
      <c r="I5" s="19">
        <v>725</v>
      </c>
      <c r="J5" s="19">
        <v>0</v>
      </c>
      <c r="K5" s="19">
        <v>1473</v>
      </c>
      <c r="L5" s="19">
        <f t="shared" si="0"/>
        <v>1473</v>
      </c>
      <c r="M5" s="19">
        <v>27</v>
      </c>
      <c r="N5" s="20">
        <f t="shared" si="3"/>
        <v>54.856551724137937</v>
      </c>
      <c r="O5" s="18"/>
      <c r="P5" s="6">
        <v>2131</v>
      </c>
      <c r="Q5" s="7">
        <f t="shared" si="1"/>
        <v>1544975</v>
      </c>
      <c r="R5" s="7">
        <f t="shared" si="2"/>
        <v>3138963</v>
      </c>
      <c r="S5" s="18"/>
      <c r="T5" s="18"/>
      <c r="U5" s="18"/>
      <c r="V5" s="18"/>
      <c r="W5" s="18"/>
      <c r="X5" s="18"/>
      <c r="Y5" s="18"/>
      <c r="Z5" s="18"/>
      <c r="AA5" s="18"/>
    </row>
    <row r="6" spans="1:27" ht="14.5" x14ac:dyDescent="0.35">
      <c r="A6" s="4" t="s">
        <v>25</v>
      </c>
      <c r="B6" s="19" t="s">
        <v>19</v>
      </c>
      <c r="C6" s="19" t="s">
        <v>20</v>
      </c>
      <c r="D6" s="19">
        <v>10</v>
      </c>
      <c r="E6" s="19">
        <v>7775</v>
      </c>
      <c r="F6" s="19">
        <v>6000</v>
      </c>
      <c r="G6" s="19">
        <v>0</v>
      </c>
      <c r="H6" s="19">
        <v>0</v>
      </c>
      <c r="I6" s="19">
        <v>7125</v>
      </c>
      <c r="J6" s="19">
        <v>0</v>
      </c>
      <c r="K6" s="19">
        <v>6650</v>
      </c>
      <c r="L6" s="19">
        <f t="shared" si="0"/>
        <v>6650</v>
      </c>
      <c r="M6" s="19">
        <v>27</v>
      </c>
      <c r="N6" s="20">
        <f t="shared" si="3"/>
        <v>25.2</v>
      </c>
      <c r="O6" s="18"/>
      <c r="P6" s="6">
        <v>2131</v>
      </c>
      <c r="Q6" s="7">
        <f t="shared" si="1"/>
        <v>15183375</v>
      </c>
      <c r="R6" s="7">
        <f t="shared" si="2"/>
        <v>14171150</v>
      </c>
      <c r="S6" s="18"/>
      <c r="T6" s="18"/>
      <c r="U6" s="18"/>
      <c r="V6" s="18"/>
      <c r="W6" s="18"/>
      <c r="X6" s="18"/>
      <c r="Y6" s="18"/>
      <c r="Z6" s="18"/>
      <c r="AA6" s="18"/>
    </row>
    <row r="7" spans="1:27" ht="14.5" x14ac:dyDescent="0.35">
      <c r="A7" s="4" t="s">
        <v>26</v>
      </c>
      <c r="B7" s="19" t="s">
        <v>22</v>
      </c>
      <c r="C7" s="19" t="s">
        <v>20</v>
      </c>
      <c r="D7" s="19">
        <v>10</v>
      </c>
      <c r="E7" s="19">
        <v>29986</v>
      </c>
      <c r="F7" s="19">
        <v>218900</v>
      </c>
      <c r="G7" s="19">
        <v>0</v>
      </c>
      <c r="H7" s="19">
        <v>0</v>
      </c>
      <c r="I7" s="19">
        <v>240065</v>
      </c>
      <c r="J7" s="19">
        <v>200</v>
      </c>
      <c r="K7" s="19">
        <v>8621</v>
      </c>
      <c r="L7" s="19">
        <f t="shared" si="0"/>
        <v>8621</v>
      </c>
      <c r="M7" s="19">
        <v>27</v>
      </c>
      <c r="N7" s="20">
        <f t="shared" si="3"/>
        <v>0.96879279129294738</v>
      </c>
      <c r="P7" s="6">
        <v>1910</v>
      </c>
      <c r="Q7" s="7">
        <f t="shared" si="1"/>
        <v>458906150</v>
      </c>
      <c r="R7" s="7">
        <f t="shared" si="2"/>
        <v>16466110</v>
      </c>
    </row>
    <row r="8" spans="1:27" ht="14.5" x14ac:dyDescent="0.35">
      <c r="A8" s="4" t="s">
        <v>170</v>
      </c>
      <c r="B8" s="19" t="s">
        <v>22</v>
      </c>
      <c r="C8" s="19" t="s">
        <v>20</v>
      </c>
      <c r="D8" s="19">
        <v>10</v>
      </c>
      <c r="E8" s="19">
        <v>21500</v>
      </c>
      <c r="F8" s="19">
        <v>117525</v>
      </c>
      <c r="G8" s="19">
        <v>0</v>
      </c>
      <c r="H8" s="19">
        <v>0</v>
      </c>
      <c r="I8" s="19">
        <v>137650</v>
      </c>
      <c r="J8" s="19">
        <v>0</v>
      </c>
      <c r="K8" s="19">
        <v>1375</v>
      </c>
      <c r="L8" s="19">
        <f t="shared" si="0"/>
        <v>1375</v>
      </c>
      <c r="M8" s="19">
        <v>27</v>
      </c>
      <c r="N8" s="20">
        <f t="shared" si="3"/>
        <v>0.26970577551761715</v>
      </c>
      <c r="P8" s="6">
        <v>1910</v>
      </c>
      <c r="Q8" s="7">
        <f t="shared" si="1"/>
        <v>262911500</v>
      </c>
      <c r="R8" s="7">
        <f t="shared" si="2"/>
        <v>2626250</v>
      </c>
    </row>
    <row r="9" spans="1:27" ht="14.5" x14ac:dyDescent="0.35">
      <c r="A9" s="4" t="s">
        <v>27</v>
      </c>
      <c r="B9" s="19" t="s">
        <v>22</v>
      </c>
      <c r="C9" s="19" t="s">
        <v>20</v>
      </c>
      <c r="D9" s="19">
        <v>10</v>
      </c>
      <c r="E9" s="19">
        <v>56190</v>
      </c>
      <c r="F9" s="19">
        <v>14531</v>
      </c>
      <c r="G9" s="19">
        <v>0</v>
      </c>
      <c r="H9" s="19">
        <v>0</v>
      </c>
      <c r="I9" s="19">
        <v>36125</v>
      </c>
      <c r="J9" s="19">
        <v>0</v>
      </c>
      <c r="K9" s="19">
        <v>34596</v>
      </c>
      <c r="L9" s="19">
        <f t="shared" si="0"/>
        <v>34596</v>
      </c>
      <c r="M9" s="19">
        <v>27</v>
      </c>
      <c r="N9" s="20">
        <f t="shared" si="3"/>
        <v>25.857217993079583</v>
      </c>
      <c r="P9" s="6">
        <v>2217</v>
      </c>
      <c r="Q9" s="7">
        <f t="shared" si="1"/>
        <v>80089125</v>
      </c>
      <c r="R9" s="7">
        <f t="shared" si="2"/>
        <v>76699332</v>
      </c>
    </row>
    <row r="10" spans="1:27" ht="14.5" x14ac:dyDescent="0.35">
      <c r="A10" s="4" t="s">
        <v>28</v>
      </c>
      <c r="B10" s="19" t="s">
        <v>19</v>
      </c>
      <c r="C10" s="19" t="s">
        <v>20</v>
      </c>
      <c r="D10" s="19">
        <v>10</v>
      </c>
      <c r="E10" s="19">
        <v>1551</v>
      </c>
      <c r="F10" s="19">
        <v>17021</v>
      </c>
      <c r="G10" s="19">
        <v>0</v>
      </c>
      <c r="H10" s="19">
        <v>0</v>
      </c>
      <c r="I10" s="19">
        <v>15379</v>
      </c>
      <c r="J10" s="19">
        <v>0</v>
      </c>
      <c r="K10" s="19">
        <v>3193</v>
      </c>
      <c r="L10" s="19">
        <f t="shared" si="0"/>
        <v>3193</v>
      </c>
      <c r="M10" s="19">
        <v>27</v>
      </c>
      <c r="N10" s="20">
        <f t="shared" si="3"/>
        <v>5.6057611028025232</v>
      </c>
      <c r="P10" s="6">
        <v>2131</v>
      </c>
      <c r="Q10" s="7">
        <f t="shared" si="1"/>
        <v>32772649</v>
      </c>
      <c r="R10" s="7">
        <f t="shared" si="2"/>
        <v>6804283</v>
      </c>
    </row>
    <row r="11" spans="1:27" ht="14.5" x14ac:dyDescent="0.35">
      <c r="A11" s="4" t="s">
        <v>29</v>
      </c>
      <c r="B11" s="19" t="s">
        <v>19</v>
      </c>
      <c r="C11" s="19" t="s">
        <v>20</v>
      </c>
      <c r="D11" s="19">
        <v>10</v>
      </c>
      <c r="E11" s="19">
        <v>2301</v>
      </c>
      <c r="F11" s="19">
        <v>0</v>
      </c>
      <c r="G11" s="19">
        <v>0</v>
      </c>
      <c r="H11" s="19">
        <v>0</v>
      </c>
      <c r="I11" s="19">
        <v>806</v>
      </c>
      <c r="J11" s="19">
        <v>0</v>
      </c>
      <c r="K11" s="19">
        <v>1495</v>
      </c>
      <c r="L11" s="19">
        <f t="shared" si="0"/>
        <v>1495</v>
      </c>
      <c r="M11" s="19">
        <v>27</v>
      </c>
      <c r="N11" s="20">
        <f t="shared" si="3"/>
        <v>50.08064516129032</v>
      </c>
      <c r="P11" s="6">
        <v>2131</v>
      </c>
      <c r="Q11" s="7">
        <f t="shared" si="1"/>
        <v>1717586</v>
      </c>
      <c r="R11" s="7">
        <f t="shared" si="2"/>
        <v>3185845</v>
      </c>
    </row>
    <row r="12" spans="1:27" ht="14.5" x14ac:dyDescent="0.35">
      <c r="A12" s="4" t="s">
        <v>30</v>
      </c>
      <c r="B12" s="19" t="s">
        <v>22</v>
      </c>
      <c r="C12" s="19" t="s">
        <v>20</v>
      </c>
      <c r="D12" s="19">
        <v>10</v>
      </c>
      <c r="E12" s="19">
        <v>31750</v>
      </c>
      <c r="F12" s="19">
        <v>389375</v>
      </c>
      <c r="G12" s="19">
        <v>0</v>
      </c>
      <c r="H12" s="19">
        <v>0</v>
      </c>
      <c r="I12" s="19">
        <v>379189</v>
      </c>
      <c r="J12" s="19">
        <v>0</v>
      </c>
      <c r="K12" s="19">
        <v>41936</v>
      </c>
      <c r="L12" s="19">
        <f t="shared" si="0"/>
        <v>41936</v>
      </c>
      <c r="M12" s="19">
        <v>27</v>
      </c>
      <c r="N12" s="20">
        <f t="shared" si="3"/>
        <v>2.986035987330856</v>
      </c>
      <c r="P12" s="6">
        <v>1691</v>
      </c>
      <c r="Q12" s="7">
        <f t="shared" si="1"/>
        <v>641208599</v>
      </c>
      <c r="R12" s="7">
        <f t="shared" si="2"/>
        <v>70913776</v>
      </c>
    </row>
    <row r="13" spans="1:27" ht="14.5" x14ac:dyDescent="0.35">
      <c r="A13" s="4" t="s">
        <v>31</v>
      </c>
      <c r="B13" s="19" t="s">
        <v>19</v>
      </c>
      <c r="C13" s="19" t="s">
        <v>20</v>
      </c>
      <c r="D13" s="19">
        <v>10</v>
      </c>
      <c r="E13" s="19">
        <v>3780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3780</v>
      </c>
      <c r="L13" s="19">
        <f t="shared" si="0"/>
        <v>3780</v>
      </c>
      <c r="M13" s="19">
        <v>27</v>
      </c>
      <c r="N13" s="20">
        <v>0</v>
      </c>
      <c r="P13" s="6">
        <v>1694</v>
      </c>
      <c r="Q13" s="7">
        <f t="shared" si="1"/>
        <v>0</v>
      </c>
      <c r="R13" s="7">
        <f t="shared" si="2"/>
        <v>6403320</v>
      </c>
    </row>
    <row r="14" spans="1:27" ht="14.5" x14ac:dyDescent="0.35">
      <c r="A14" s="4" t="s">
        <v>33</v>
      </c>
      <c r="B14" s="19" t="s">
        <v>22</v>
      </c>
      <c r="C14" s="19" t="s">
        <v>20</v>
      </c>
      <c r="D14" s="19">
        <v>10</v>
      </c>
      <c r="E14" s="19">
        <v>7585</v>
      </c>
      <c r="F14" s="19">
        <v>45925</v>
      </c>
      <c r="G14" s="19">
        <v>0</v>
      </c>
      <c r="H14" s="19">
        <v>0</v>
      </c>
      <c r="I14" s="19">
        <v>53510</v>
      </c>
      <c r="J14" s="19">
        <v>0</v>
      </c>
      <c r="K14" s="19">
        <v>0</v>
      </c>
      <c r="L14" s="19">
        <f t="shared" si="0"/>
        <v>0</v>
      </c>
      <c r="M14" s="19">
        <v>27</v>
      </c>
      <c r="N14" s="20">
        <f t="shared" ref="N14:N20" si="4">(L14/(I14+J14))*M14</f>
        <v>0</v>
      </c>
      <c r="P14" s="6">
        <v>1890</v>
      </c>
      <c r="Q14" s="7">
        <f t="shared" si="1"/>
        <v>101133900</v>
      </c>
      <c r="R14" s="7">
        <f t="shared" si="2"/>
        <v>0</v>
      </c>
    </row>
    <row r="15" spans="1:27" ht="14.5" x14ac:dyDescent="0.35">
      <c r="A15" s="4" t="s">
        <v>34</v>
      </c>
      <c r="B15" s="19" t="s">
        <v>22</v>
      </c>
      <c r="C15" s="19" t="s">
        <v>20</v>
      </c>
      <c r="D15" s="19">
        <v>10</v>
      </c>
      <c r="E15" s="19">
        <v>12911</v>
      </c>
      <c r="F15" s="19">
        <v>334550</v>
      </c>
      <c r="G15" s="19">
        <v>0</v>
      </c>
      <c r="H15" s="19">
        <v>0</v>
      </c>
      <c r="I15" s="19">
        <v>339800</v>
      </c>
      <c r="J15" s="19">
        <v>0</v>
      </c>
      <c r="K15" s="19">
        <v>7661</v>
      </c>
      <c r="L15" s="19">
        <f t="shared" si="0"/>
        <v>7661</v>
      </c>
      <c r="M15" s="19">
        <v>27</v>
      </c>
      <c r="N15" s="20">
        <f t="shared" si="4"/>
        <v>0.60873160682754568</v>
      </c>
      <c r="P15" s="6">
        <v>2216</v>
      </c>
      <c r="Q15" s="7">
        <f t="shared" si="1"/>
        <v>752996800</v>
      </c>
      <c r="R15" s="7">
        <f t="shared" si="2"/>
        <v>16976776</v>
      </c>
    </row>
    <row r="16" spans="1:27" ht="14.5" x14ac:dyDescent="0.35">
      <c r="A16" s="4" t="s">
        <v>35</v>
      </c>
      <c r="B16" s="19" t="s">
        <v>19</v>
      </c>
      <c r="C16" s="19" t="s">
        <v>20</v>
      </c>
      <c r="D16" s="19">
        <v>10</v>
      </c>
      <c r="E16" s="19">
        <v>53464</v>
      </c>
      <c r="F16" s="19">
        <v>227775</v>
      </c>
      <c r="G16" s="19">
        <v>0</v>
      </c>
      <c r="H16" s="19">
        <v>0</v>
      </c>
      <c r="I16" s="19">
        <v>0</v>
      </c>
      <c r="J16" s="19">
        <v>273775</v>
      </c>
      <c r="K16" s="19">
        <v>7464</v>
      </c>
      <c r="L16" s="19">
        <f t="shared" si="0"/>
        <v>7464</v>
      </c>
      <c r="M16" s="19">
        <v>27</v>
      </c>
      <c r="N16" s="20">
        <f t="shared" si="4"/>
        <v>0.73610811798009312</v>
      </c>
      <c r="P16" s="6">
        <v>2846</v>
      </c>
      <c r="Q16" s="7">
        <f t="shared" si="1"/>
        <v>779163650</v>
      </c>
      <c r="R16" s="7">
        <f t="shared" si="2"/>
        <v>21242544</v>
      </c>
    </row>
    <row r="17" spans="1:18" ht="14.5" x14ac:dyDescent="0.35">
      <c r="A17" s="4" t="s">
        <v>36</v>
      </c>
      <c r="B17" s="19" t="s">
        <v>22</v>
      </c>
      <c r="C17" s="19" t="s">
        <v>20</v>
      </c>
      <c r="D17" s="19">
        <v>10</v>
      </c>
      <c r="E17" s="19">
        <v>10353</v>
      </c>
      <c r="F17" s="19">
        <v>171250</v>
      </c>
      <c r="G17" s="19">
        <v>0</v>
      </c>
      <c r="H17" s="19">
        <v>0</v>
      </c>
      <c r="I17" s="19">
        <v>177400</v>
      </c>
      <c r="J17" s="19">
        <v>125</v>
      </c>
      <c r="K17" s="19">
        <v>4078</v>
      </c>
      <c r="L17" s="19">
        <f t="shared" si="0"/>
        <v>4078</v>
      </c>
      <c r="M17" s="19">
        <v>27</v>
      </c>
      <c r="N17" s="20">
        <f t="shared" si="4"/>
        <v>0.6202281368821293</v>
      </c>
      <c r="P17" s="6">
        <v>2129</v>
      </c>
      <c r="Q17" s="7">
        <f t="shared" si="1"/>
        <v>377950725</v>
      </c>
      <c r="R17" s="7">
        <f t="shared" si="2"/>
        <v>8682062</v>
      </c>
    </row>
    <row r="18" spans="1:18" ht="14.5" x14ac:dyDescent="0.35">
      <c r="A18" s="4" t="s">
        <v>37</v>
      </c>
      <c r="B18" s="19" t="s">
        <v>19</v>
      </c>
      <c r="C18" s="19" t="s">
        <v>20</v>
      </c>
      <c r="D18" s="19">
        <v>10</v>
      </c>
      <c r="E18" s="19">
        <v>3650</v>
      </c>
      <c r="F18" s="19">
        <v>1050</v>
      </c>
      <c r="G18" s="19">
        <v>0</v>
      </c>
      <c r="H18" s="19">
        <v>0</v>
      </c>
      <c r="I18" s="19">
        <v>2125</v>
      </c>
      <c r="J18" s="19">
        <v>0</v>
      </c>
      <c r="K18" s="19">
        <v>2575</v>
      </c>
      <c r="L18" s="19">
        <f t="shared" si="0"/>
        <v>2575</v>
      </c>
      <c r="M18" s="19">
        <v>27</v>
      </c>
      <c r="N18" s="20">
        <f t="shared" si="4"/>
        <v>32.71764705882353</v>
      </c>
      <c r="P18" s="6">
        <v>2129</v>
      </c>
      <c r="Q18" s="7">
        <f t="shared" si="1"/>
        <v>4524125</v>
      </c>
      <c r="R18" s="7">
        <f t="shared" si="2"/>
        <v>5482175</v>
      </c>
    </row>
    <row r="19" spans="1:18" ht="14.5" x14ac:dyDescent="0.35">
      <c r="A19" s="4" t="s">
        <v>38</v>
      </c>
      <c r="B19" s="19" t="s">
        <v>22</v>
      </c>
      <c r="C19" s="19" t="s">
        <v>20</v>
      </c>
      <c r="D19" s="19">
        <v>10</v>
      </c>
      <c r="E19" s="19">
        <v>35524</v>
      </c>
      <c r="F19" s="19">
        <v>196991</v>
      </c>
      <c r="G19" s="19">
        <v>0</v>
      </c>
      <c r="H19" s="19">
        <v>0</v>
      </c>
      <c r="I19" s="19">
        <v>0</v>
      </c>
      <c r="J19" s="19">
        <v>224391</v>
      </c>
      <c r="K19" s="19">
        <v>8124</v>
      </c>
      <c r="L19" s="19">
        <f t="shared" si="0"/>
        <v>8124</v>
      </c>
      <c r="M19" s="19">
        <v>27</v>
      </c>
      <c r="N19" s="20">
        <f t="shared" si="4"/>
        <v>0.97752583659772452</v>
      </c>
      <c r="P19" s="6">
        <v>2263</v>
      </c>
      <c r="Q19" s="7">
        <f t="shared" si="1"/>
        <v>507796833</v>
      </c>
      <c r="R19" s="7">
        <f t="shared" si="2"/>
        <v>18384612</v>
      </c>
    </row>
    <row r="20" spans="1:18" ht="14.5" x14ac:dyDescent="0.35">
      <c r="A20" s="4" t="s">
        <v>39</v>
      </c>
      <c r="B20" s="19" t="s">
        <v>19</v>
      </c>
      <c r="C20" s="19" t="s">
        <v>20</v>
      </c>
      <c r="D20" s="19">
        <v>10</v>
      </c>
      <c r="E20" s="19">
        <v>31544</v>
      </c>
      <c r="F20" s="19">
        <v>40624</v>
      </c>
      <c r="G20" s="19">
        <v>0</v>
      </c>
      <c r="H20" s="19">
        <v>0</v>
      </c>
      <c r="I20" s="19">
        <v>0</v>
      </c>
      <c r="J20" s="19">
        <v>38269</v>
      </c>
      <c r="K20" s="19">
        <v>33899</v>
      </c>
      <c r="L20" s="19">
        <f t="shared" si="0"/>
        <v>33899</v>
      </c>
      <c r="M20" s="19">
        <v>27</v>
      </c>
      <c r="N20" s="20">
        <f t="shared" si="4"/>
        <v>23.916825629099272</v>
      </c>
      <c r="P20" s="6">
        <v>2263</v>
      </c>
      <c r="Q20" s="7">
        <f t="shared" si="1"/>
        <v>86602747</v>
      </c>
      <c r="R20" s="7">
        <f t="shared" si="2"/>
        <v>76713437</v>
      </c>
    </row>
    <row r="21" spans="1:18" ht="15.75" customHeight="1" x14ac:dyDescent="0.35">
      <c r="A21" s="4" t="s">
        <v>40</v>
      </c>
      <c r="B21" s="19" t="s">
        <v>19</v>
      </c>
      <c r="C21" s="19" t="s">
        <v>20</v>
      </c>
      <c r="D21" s="19">
        <v>10</v>
      </c>
      <c r="E21" s="19">
        <v>1996</v>
      </c>
      <c r="F21" s="19">
        <v>3000</v>
      </c>
      <c r="G21" s="19">
        <v>0</v>
      </c>
      <c r="H21" s="19">
        <v>0</v>
      </c>
      <c r="I21" s="19">
        <v>0</v>
      </c>
      <c r="J21" s="19">
        <v>0</v>
      </c>
      <c r="K21" s="19">
        <v>4996</v>
      </c>
      <c r="L21" s="19">
        <f t="shared" si="0"/>
        <v>4996</v>
      </c>
      <c r="M21" s="19">
        <v>27</v>
      </c>
      <c r="N21" s="20">
        <v>0</v>
      </c>
      <c r="P21" s="6">
        <v>2732</v>
      </c>
      <c r="Q21" s="7">
        <f t="shared" si="1"/>
        <v>0</v>
      </c>
      <c r="R21" s="7">
        <f t="shared" si="2"/>
        <v>13649072</v>
      </c>
    </row>
    <row r="22" spans="1:18" ht="15.75" customHeight="1" x14ac:dyDescent="0.35">
      <c r="A22" s="4" t="s">
        <v>41</v>
      </c>
      <c r="B22" s="19" t="s">
        <v>19</v>
      </c>
      <c r="C22" s="19" t="s">
        <v>20</v>
      </c>
      <c r="D22" s="19">
        <v>10</v>
      </c>
      <c r="E22" s="19">
        <v>20880</v>
      </c>
      <c r="F22" s="19">
        <v>0</v>
      </c>
      <c r="G22" s="19">
        <v>0</v>
      </c>
      <c r="H22" s="19">
        <v>0</v>
      </c>
      <c r="I22" s="19">
        <v>0</v>
      </c>
      <c r="J22" s="19">
        <v>16496</v>
      </c>
      <c r="K22" s="19">
        <v>4384</v>
      </c>
      <c r="L22" s="19">
        <f t="shared" si="0"/>
        <v>4384</v>
      </c>
      <c r="M22" s="19">
        <v>27</v>
      </c>
      <c r="N22" s="20">
        <f>(L22/(I22+J22))*M22</f>
        <v>7.1755577109602333</v>
      </c>
      <c r="P22" s="6">
        <v>2962</v>
      </c>
      <c r="Q22" s="7">
        <f t="shared" si="1"/>
        <v>48861152</v>
      </c>
      <c r="R22" s="7">
        <f t="shared" si="2"/>
        <v>12985408</v>
      </c>
    </row>
    <row r="23" spans="1:18" ht="15.75" customHeight="1" x14ac:dyDescent="0.35">
      <c r="A23" s="4" t="s">
        <v>42</v>
      </c>
      <c r="B23" s="19" t="s">
        <v>19</v>
      </c>
      <c r="C23" s="19" t="s">
        <v>20</v>
      </c>
      <c r="D23" s="19">
        <v>10</v>
      </c>
      <c r="E23" s="19">
        <v>124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124</v>
      </c>
      <c r="L23" s="19">
        <f t="shared" si="0"/>
        <v>124</v>
      </c>
      <c r="M23" s="19">
        <v>27</v>
      </c>
      <c r="N23" s="20">
        <v>0</v>
      </c>
      <c r="P23" s="6">
        <v>2263</v>
      </c>
      <c r="Q23" s="7">
        <f t="shared" si="1"/>
        <v>0</v>
      </c>
      <c r="R23" s="7">
        <f t="shared" si="2"/>
        <v>280612</v>
      </c>
    </row>
    <row r="24" spans="1:18" ht="15.75" customHeight="1" x14ac:dyDescent="0.35">
      <c r="A24" s="4" t="s">
        <v>43</v>
      </c>
      <c r="B24" s="19" t="s">
        <v>19</v>
      </c>
      <c r="C24" s="19" t="s">
        <v>20</v>
      </c>
      <c r="D24" s="19">
        <v>10</v>
      </c>
      <c r="E24" s="19">
        <v>770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770</v>
      </c>
      <c r="L24" s="19">
        <f t="shared" si="0"/>
        <v>770</v>
      </c>
      <c r="M24" s="19">
        <v>27</v>
      </c>
      <c r="N24" s="20">
        <v>0</v>
      </c>
      <c r="P24" s="6">
        <v>2263</v>
      </c>
      <c r="Q24" s="7">
        <f t="shared" si="1"/>
        <v>0</v>
      </c>
      <c r="R24" s="7">
        <f t="shared" si="2"/>
        <v>1742510</v>
      </c>
    </row>
    <row r="25" spans="1:18" ht="15.75" customHeight="1" x14ac:dyDescent="0.35">
      <c r="A25" s="4" t="s">
        <v>44</v>
      </c>
      <c r="B25" s="19" t="s">
        <v>19</v>
      </c>
      <c r="C25" s="19" t="s">
        <v>20</v>
      </c>
      <c r="D25" s="19">
        <v>10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f t="shared" si="0"/>
        <v>0</v>
      </c>
      <c r="M25" s="19">
        <v>27</v>
      </c>
      <c r="N25" s="20">
        <v>0</v>
      </c>
      <c r="P25" s="6">
        <v>2268</v>
      </c>
      <c r="Q25" s="7">
        <f t="shared" si="1"/>
        <v>0</v>
      </c>
      <c r="R25" s="7">
        <f t="shared" si="2"/>
        <v>0</v>
      </c>
    </row>
    <row r="26" spans="1:18" ht="15.75" customHeight="1" x14ac:dyDescent="0.35">
      <c r="A26" s="4" t="s">
        <v>171</v>
      </c>
      <c r="B26" s="19" t="s">
        <v>22</v>
      </c>
      <c r="C26" s="19" t="s">
        <v>20</v>
      </c>
      <c r="D26" s="19">
        <v>10</v>
      </c>
      <c r="E26" s="19">
        <v>12505</v>
      </c>
      <c r="F26" s="19">
        <v>75000</v>
      </c>
      <c r="G26" s="19">
        <v>0</v>
      </c>
      <c r="H26" s="19">
        <v>0</v>
      </c>
      <c r="I26" s="19">
        <v>82500</v>
      </c>
      <c r="J26" s="19">
        <v>0</v>
      </c>
      <c r="K26" s="19">
        <v>5005</v>
      </c>
      <c r="L26" s="19">
        <f t="shared" si="0"/>
        <v>5005</v>
      </c>
      <c r="M26" s="19">
        <v>27</v>
      </c>
      <c r="N26" s="20">
        <f t="shared" ref="N26:N29" si="5">(L26/(I26+J26))*M26</f>
        <v>1.6380000000000001</v>
      </c>
      <c r="P26" s="6">
        <v>2268</v>
      </c>
      <c r="Q26" s="7">
        <f t="shared" si="1"/>
        <v>187110000</v>
      </c>
      <c r="R26" s="7">
        <f t="shared" si="2"/>
        <v>11351340</v>
      </c>
    </row>
    <row r="27" spans="1:18" ht="15.75" customHeight="1" x14ac:dyDescent="0.35">
      <c r="A27" s="4" t="s">
        <v>45</v>
      </c>
      <c r="B27" s="19" t="s">
        <v>19</v>
      </c>
      <c r="C27" s="19" t="s">
        <v>20</v>
      </c>
      <c r="D27" s="19">
        <v>10</v>
      </c>
      <c r="E27" s="19">
        <v>2492</v>
      </c>
      <c r="F27" s="19">
        <v>3150</v>
      </c>
      <c r="G27" s="19">
        <v>0</v>
      </c>
      <c r="H27" s="19">
        <v>0</v>
      </c>
      <c r="I27" s="19">
        <v>4250</v>
      </c>
      <c r="J27" s="19">
        <v>150</v>
      </c>
      <c r="K27" s="19">
        <v>1242</v>
      </c>
      <c r="L27" s="19">
        <f t="shared" si="0"/>
        <v>1242</v>
      </c>
      <c r="M27" s="19">
        <v>27</v>
      </c>
      <c r="N27" s="20">
        <f t="shared" si="5"/>
        <v>7.621363636363637</v>
      </c>
      <c r="P27" s="6">
        <v>1956</v>
      </c>
      <c r="Q27" s="7">
        <f t="shared" si="1"/>
        <v>8606400</v>
      </c>
      <c r="R27" s="7">
        <f t="shared" si="2"/>
        <v>2429352</v>
      </c>
    </row>
    <row r="28" spans="1:18" ht="15.75" customHeight="1" x14ac:dyDescent="0.35">
      <c r="A28" s="4" t="s">
        <v>46</v>
      </c>
      <c r="B28" s="19" t="s">
        <v>22</v>
      </c>
      <c r="C28" s="19" t="s">
        <v>20</v>
      </c>
      <c r="D28" s="19">
        <v>10</v>
      </c>
      <c r="E28" s="19">
        <v>33385</v>
      </c>
      <c r="F28" s="19">
        <v>294000</v>
      </c>
      <c r="G28" s="19">
        <v>0</v>
      </c>
      <c r="H28" s="19">
        <v>0</v>
      </c>
      <c r="I28" s="19">
        <v>0</v>
      </c>
      <c r="J28" s="19">
        <v>316925</v>
      </c>
      <c r="K28" s="19">
        <v>10460</v>
      </c>
      <c r="L28" s="19">
        <f t="shared" si="0"/>
        <v>10460</v>
      </c>
      <c r="M28" s="19">
        <v>27</v>
      </c>
      <c r="N28" s="20">
        <f t="shared" si="5"/>
        <v>0.89112566064526311</v>
      </c>
      <c r="P28" s="6">
        <v>2031</v>
      </c>
      <c r="Q28" s="7">
        <f t="shared" si="1"/>
        <v>643674675</v>
      </c>
      <c r="R28" s="7">
        <f t="shared" si="2"/>
        <v>21244260</v>
      </c>
    </row>
    <row r="29" spans="1:18" ht="15.75" customHeight="1" x14ac:dyDescent="0.35">
      <c r="A29" s="4" t="s">
        <v>48</v>
      </c>
      <c r="B29" s="19" t="s">
        <v>19</v>
      </c>
      <c r="C29" s="19" t="s">
        <v>20</v>
      </c>
      <c r="D29" s="19">
        <v>10</v>
      </c>
      <c r="E29" s="19">
        <v>2883</v>
      </c>
      <c r="F29" s="19">
        <v>0</v>
      </c>
      <c r="G29" s="19">
        <v>0</v>
      </c>
      <c r="H29" s="19">
        <v>0</v>
      </c>
      <c r="I29" s="19">
        <v>1350</v>
      </c>
      <c r="J29" s="19">
        <v>0</v>
      </c>
      <c r="K29" s="19">
        <v>1533</v>
      </c>
      <c r="L29" s="19">
        <f t="shared" si="0"/>
        <v>1533</v>
      </c>
      <c r="M29" s="19">
        <v>27</v>
      </c>
      <c r="N29" s="20">
        <f t="shared" si="5"/>
        <v>30.660000000000004</v>
      </c>
      <c r="P29" s="6">
        <v>2179</v>
      </c>
      <c r="Q29" s="7">
        <f t="shared" si="1"/>
        <v>2941650</v>
      </c>
      <c r="R29" s="7">
        <f t="shared" si="2"/>
        <v>3340407</v>
      </c>
    </row>
    <row r="30" spans="1:18" ht="15.75" customHeight="1" x14ac:dyDescent="0.35">
      <c r="A30" s="4" t="s">
        <v>49</v>
      </c>
      <c r="B30" s="19" t="s">
        <v>19</v>
      </c>
      <c r="C30" s="19" t="s">
        <v>20</v>
      </c>
      <c r="D30" s="19">
        <v>10</v>
      </c>
      <c r="E30" s="19">
        <v>1495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1495</v>
      </c>
      <c r="L30" s="19">
        <f t="shared" si="0"/>
        <v>1495</v>
      </c>
      <c r="M30" s="19">
        <v>27</v>
      </c>
      <c r="N30" s="20">
        <v>0</v>
      </c>
      <c r="P30" s="6">
        <v>2179</v>
      </c>
      <c r="Q30" s="7">
        <f t="shared" si="1"/>
        <v>0</v>
      </c>
      <c r="R30" s="7">
        <f t="shared" si="2"/>
        <v>3257605</v>
      </c>
    </row>
    <row r="31" spans="1:18" ht="15.75" customHeight="1" x14ac:dyDescent="0.35">
      <c r="A31" s="4" t="s">
        <v>47</v>
      </c>
      <c r="B31" s="19" t="s">
        <v>19</v>
      </c>
      <c r="C31" s="19" t="s">
        <v>20</v>
      </c>
      <c r="D31" s="19">
        <v>10</v>
      </c>
      <c r="E31" s="19">
        <v>2065</v>
      </c>
      <c r="F31" s="19">
        <v>0</v>
      </c>
      <c r="G31" s="19">
        <v>0</v>
      </c>
      <c r="H31" s="19">
        <v>0</v>
      </c>
      <c r="I31" s="19">
        <v>50</v>
      </c>
      <c r="J31" s="19">
        <v>0</v>
      </c>
      <c r="K31" s="19">
        <v>2015</v>
      </c>
      <c r="L31" s="19">
        <f t="shared" si="0"/>
        <v>2015</v>
      </c>
      <c r="M31" s="19">
        <v>27</v>
      </c>
      <c r="N31" s="20">
        <f t="shared" ref="N31:N34" si="6">(L31/(I31+J31))*M31</f>
        <v>1088.0999999999999</v>
      </c>
      <c r="P31" s="6">
        <v>2179</v>
      </c>
      <c r="Q31" s="7">
        <f t="shared" si="1"/>
        <v>108950</v>
      </c>
      <c r="R31" s="7">
        <f t="shared" si="2"/>
        <v>4390685</v>
      </c>
    </row>
    <row r="32" spans="1:18" ht="15.75" customHeight="1" x14ac:dyDescent="0.35">
      <c r="A32" s="4" t="s">
        <v>50</v>
      </c>
      <c r="B32" s="19" t="s">
        <v>22</v>
      </c>
      <c r="C32" s="19" t="s">
        <v>20</v>
      </c>
      <c r="D32" s="19">
        <v>10</v>
      </c>
      <c r="E32" s="19">
        <v>5878</v>
      </c>
      <c r="F32" s="19">
        <v>77025</v>
      </c>
      <c r="G32" s="19">
        <v>0</v>
      </c>
      <c r="H32" s="19">
        <v>0</v>
      </c>
      <c r="I32" s="19">
        <v>82025</v>
      </c>
      <c r="J32" s="19">
        <v>0</v>
      </c>
      <c r="K32" s="19">
        <v>878</v>
      </c>
      <c r="L32" s="19">
        <f t="shared" si="0"/>
        <v>878</v>
      </c>
      <c r="M32" s="19">
        <v>27</v>
      </c>
      <c r="N32" s="20">
        <f t="shared" si="6"/>
        <v>0.28900944833892106</v>
      </c>
      <c r="P32" s="6">
        <v>2179</v>
      </c>
      <c r="Q32" s="7">
        <f t="shared" si="1"/>
        <v>178732475</v>
      </c>
      <c r="R32" s="7">
        <f t="shared" si="2"/>
        <v>1913162</v>
      </c>
    </row>
    <row r="33" spans="1:18" ht="15.75" customHeight="1" x14ac:dyDescent="0.35">
      <c r="A33" s="4" t="s">
        <v>172</v>
      </c>
      <c r="B33" s="19" t="s">
        <v>19</v>
      </c>
      <c r="C33" s="19" t="s">
        <v>20</v>
      </c>
      <c r="D33" s="19">
        <v>10</v>
      </c>
      <c r="E33" s="19">
        <v>775</v>
      </c>
      <c r="F33" s="19">
        <v>0</v>
      </c>
      <c r="G33" s="19">
        <v>0</v>
      </c>
      <c r="H33" s="19">
        <v>0</v>
      </c>
      <c r="I33" s="19">
        <v>100</v>
      </c>
      <c r="J33" s="19">
        <v>0</v>
      </c>
      <c r="K33" s="19">
        <v>675</v>
      </c>
      <c r="L33" s="19">
        <f t="shared" si="0"/>
        <v>675</v>
      </c>
      <c r="M33" s="19">
        <v>27</v>
      </c>
      <c r="N33" s="20">
        <f t="shared" si="6"/>
        <v>182.25</v>
      </c>
      <c r="P33" s="6">
        <v>3145</v>
      </c>
      <c r="Q33" s="7">
        <f t="shared" si="1"/>
        <v>314500</v>
      </c>
      <c r="R33" s="7">
        <f t="shared" si="2"/>
        <v>2122875</v>
      </c>
    </row>
    <row r="34" spans="1:18" ht="15.75" customHeight="1" x14ac:dyDescent="0.35">
      <c r="A34" s="4" t="s">
        <v>51</v>
      </c>
      <c r="B34" s="19" t="s">
        <v>19</v>
      </c>
      <c r="C34" s="19" t="s">
        <v>20</v>
      </c>
      <c r="D34" s="19">
        <v>10</v>
      </c>
      <c r="E34" s="19">
        <v>28483</v>
      </c>
      <c r="F34" s="19">
        <v>4080</v>
      </c>
      <c r="G34" s="19">
        <v>0</v>
      </c>
      <c r="H34" s="19">
        <v>0</v>
      </c>
      <c r="I34" s="19">
        <v>14500</v>
      </c>
      <c r="J34" s="19">
        <v>0</v>
      </c>
      <c r="K34" s="19">
        <v>18063</v>
      </c>
      <c r="L34" s="19">
        <f t="shared" si="0"/>
        <v>18063</v>
      </c>
      <c r="M34" s="19">
        <v>27</v>
      </c>
      <c r="N34" s="20">
        <f t="shared" si="6"/>
        <v>33.634551724137928</v>
      </c>
      <c r="P34" s="6">
        <v>2179</v>
      </c>
      <c r="Q34" s="7">
        <f t="shared" si="1"/>
        <v>31595500</v>
      </c>
      <c r="R34" s="7">
        <f t="shared" si="2"/>
        <v>39359277</v>
      </c>
    </row>
    <row r="35" spans="1:18" ht="15.75" customHeight="1" x14ac:dyDescent="0.35">
      <c r="A35" s="4" t="s">
        <v>52</v>
      </c>
      <c r="B35" s="19" t="s">
        <v>19</v>
      </c>
      <c r="C35" s="19" t="s">
        <v>20</v>
      </c>
      <c r="D35" s="19">
        <v>10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f t="shared" si="0"/>
        <v>0</v>
      </c>
      <c r="M35" s="19">
        <v>27</v>
      </c>
      <c r="N35" s="20">
        <v>0</v>
      </c>
      <c r="P35" s="6">
        <v>2268</v>
      </c>
      <c r="Q35" s="7">
        <f t="shared" si="1"/>
        <v>0</v>
      </c>
      <c r="R35" s="7">
        <f t="shared" si="2"/>
        <v>0</v>
      </c>
    </row>
    <row r="36" spans="1:18" ht="15.75" customHeight="1" x14ac:dyDescent="0.35">
      <c r="A36" s="4" t="s">
        <v>173</v>
      </c>
      <c r="B36" s="19" t="s">
        <v>19</v>
      </c>
      <c r="C36" s="19" t="s">
        <v>20</v>
      </c>
      <c r="D36" s="19">
        <v>10</v>
      </c>
      <c r="E36" s="19">
        <v>13750</v>
      </c>
      <c r="F36" s="19">
        <v>6750</v>
      </c>
      <c r="G36" s="19">
        <v>0</v>
      </c>
      <c r="H36" s="19">
        <v>0</v>
      </c>
      <c r="I36" s="19">
        <v>13750</v>
      </c>
      <c r="J36" s="19">
        <v>0</v>
      </c>
      <c r="K36" s="19">
        <v>6750</v>
      </c>
      <c r="L36" s="19">
        <f t="shared" si="0"/>
        <v>6750</v>
      </c>
      <c r="M36" s="19">
        <v>27</v>
      </c>
      <c r="N36" s="20">
        <f>(L36/(I36+J36))*M36</f>
        <v>13.254545454545454</v>
      </c>
      <c r="P36" s="6">
        <v>2268</v>
      </c>
      <c r="Q36" s="7">
        <f t="shared" si="1"/>
        <v>31185000</v>
      </c>
      <c r="R36" s="7">
        <f t="shared" si="2"/>
        <v>15309000</v>
      </c>
    </row>
    <row r="37" spans="1:18" ht="15.75" customHeight="1" x14ac:dyDescent="0.35">
      <c r="A37" s="4" t="s">
        <v>53</v>
      </c>
      <c r="B37" s="19" t="s">
        <v>19</v>
      </c>
      <c r="C37" s="19" t="s">
        <v>20</v>
      </c>
      <c r="D37" s="19">
        <v>10</v>
      </c>
      <c r="E37" s="19">
        <v>71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71</v>
      </c>
      <c r="L37" s="19">
        <f t="shared" si="0"/>
        <v>71</v>
      </c>
      <c r="M37" s="19">
        <v>27</v>
      </c>
      <c r="N37" s="20">
        <v>0</v>
      </c>
      <c r="P37" s="6">
        <v>1956</v>
      </c>
      <c r="Q37" s="7">
        <f t="shared" si="1"/>
        <v>0</v>
      </c>
      <c r="R37" s="7">
        <f t="shared" si="2"/>
        <v>138876</v>
      </c>
    </row>
    <row r="38" spans="1:18" ht="15.75" customHeight="1" x14ac:dyDescent="0.35">
      <c r="A38" s="4" t="s">
        <v>54</v>
      </c>
      <c r="B38" s="19" t="s">
        <v>19</v>
      </c>
      <c r="C38" s="19" t="s">
        <v>20</v>
      </c>
      <c r="D38" s="19">
        <v>10</v>
      </c>
      <c r="E38" s="19">
        <v>85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85</v>
      </c>
      <c r="L38" s="19">
        <f t="shared" si="0"/>
        <v>85</v>
      </c>
      <c r="M38" s="19">
        <v>27</v>
      </c>
      <c r="N38" s="20">
        <v>0</v>
      </c>
      <c r="P38" s="6">
        <v>2218</v>
      </c>
      <c r="Q38" s="7">
        <f t="shared" si="1"/>
        <v>0</v>
      </c>
      <c r="R38" s="7">
        <f t="shared" si="2"/>
        <v>188530</v>
      </c>
    </row>
    <row r="39" spans="1:18" ht="15.75" customHeight="1" x14ac:dyDescent="0.35">
      <c r="A39" s="4" t="s">
        <v>174</v>
      </c>
      <c r="B39" s="19" t="s">
        <v>19</v>
      </c>
      <c r="C39" s="19" t="s">
        <v>20</v>
      </c>
      <c r="D39" s="19">
        <v>10</v>
      </c>
      <c r="E39" s="19">
        <v>7650</v>
      </c>
      <c r="F39" s="19">
        <v>12625</v>
      </c>
      <c r="G39" s="19">
        <v>0</v>
      </c>
      <c r="H39" s="19">
        <v>0</v>
      </c>
      <c r="I39" s="19">
        <v>11625</v>
      </c>
      <c r="J39" s="19">
        <v>0</v>
      </c>
      <c r="K39" s="19">
        <v>8650</v>
      </c>
      <c r="L39" s="19">
        <f t="shared" si="0"/>
        <v>8650</v>
      </c>
      <c r="M39" s="19">
        <v>27</v>
      </c>
      <c r="N39" s="20">
        <f>(L39/(I39+J39))*M39</f>
        <v>20.090322580645164</v>
      </c>
      <c r="P39" s="6">
        <v>2218</v>
      </c>
      <c r="Q39" s="7">
        <f t="shared" si="1"/>
        <v>25784250</v>
      </c>
      <c r="R39" s="7">
        <f t="shared" si="2"/>
        <v>19185700</v>
      </c>
    </row>
    <row r="40" spans="1:18" ht="15.75" customHeight="1" x14ac:dyDescent="0.35">
      <c r="A40" s="4" t="s">
        <v>55</v>
      </c>
      <c r="B40" s="19" t="s">
        <v>19</v>
      </c>
      <c r="C40" s="19" t="s">
        <v>20</v>
      </c>
      <c r="D40" s="19">
        <v>10</v>
      </c>
      <c r="E40" s="19">
        <v>88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88</v>
      </c>
      <c r="L40" s="19">
        <f t="shared" si="0"/>
        <v>88</v>
      </c>
      <c r="M40" s="19">
        <v>27</v>
      </c>
      <c r="N40" s="20">
        <v>0</v>
      </c>
      <c r="P40" s="6">
        <v>2218</v>
      </c>
      <c r="Q40" s="7">
        <f t="shared" si="1"/>
        <v>0</v>
      </c>
      <c r="R40" s="7">
        <f t="shared" si="2"/>
        <v>195184</v>
      </c>
    </row>
    <row r="41" spans="1:18" ht="15.75" customHeight="1" x14ac:dyDescent="0.35">
      <c r="A41" s="4" t="s">
        <v>57</v>
      </c>
      <c r="B41" s="19" t="s">
        <v>22</v>
      </c>
      <c r="C41" s="19" t="s">
        <v>20</v>
      </c>
      <c r="D41" s="19">
        <v>10</v>
      </c>
      <c r="E41" s="19">
        <v>19101</v>
      </c>
      <c r="F41" s="19">
        <v>131064</v>
      </c>
      <c r="G41" s="19">
        <v>0</v>
      </c>
      <c r="H41" s="19">
        <v>0</v>
      </c>
      <c r="I41" s="19">
        <v>114439</v>
      </c>
      <c r="J41" s="19">
        <v>27925</v>
      </c>
      <c r="K41" s="19">
        <v>7801</v>
      </c>
      <c r="L41" s="19">
        <f t="shared" si="0"/>
        <v>7801</v>
      </c>
      <c r="M41" s="19">
        <v>27</v>
      </c>
      <c r="N41" s="20">
        <f t="shared" ref="N41:N45" si="7">(L41/(I41+J41))*M41</f>
        <v>1.4794962209547358</v>
      </c>
      <c r="P41" s="6">
        <v>2245</v>
      </c>
      <c r="Q41" s="7">
        <f t="shared" si="1"/>
        <v>319607180</v>
      </c>
      <c r="R41" s="7">
        <f t="shared" si="2"/>
        <v>17513245</v>
      </c>
    </row>
    <row r="42" spans="1:18" ht="15.75" customHeight="1" x14ac:dyDescent="0.35">
      <c r="A42" s="4" t="s">
        <v>58</v>
      </c>
      <c r="B42" s="19" t="s">
        <v>22</v>
      </c>
      <c r="C42" s="19" t="s">
        <v>20</v>
      </c>
      <c r="D42" s="19">
        <v>10</v>
      </c>
      <c r="E42" s="19">
        <v>21114</v>
      </c>
      <c r="F42" s="19">
        <v>86439</v>
      </c>
      <c r="G42" s="19">
        <v>0</v>
      </c>
      <c r="H42" s="19">
        <v>0</v>
      </c>
      <c r="I42" s="19">
        <v>0</v>
      </c>
      <c r="J42" s="19">
        <v>94823</v>
      </c>
      <c r="K42" s="19">
        <v>12730</v>
      </c>
      <c r="L42" s="19">
        <f t="shared" si="0"/>
        <v>12730</v>
      </c>
      <c r="M42" s="19">
        <v>27</v>
      </c>
      <c r="N42" s="20">
        <f t="shared" si="7"/>
        <v>3.6247534880777872</v>
      </c>
      <c r="P42" s="6">
        <v>1419</v>
      </c>
      <c r="Q42" s="7">
        <f t="shared" si="1"/>
        <v>134553837</v>
      </c>
      <c r="R42" s="7">
        <f t="shared" si="2"/>
        <v>18063870</v>
      </c>
    </row>
    <row r="43" spans="1:18" ht="15.75" customHeight="1" x14ac:dyDescent="0.35">
      <c r="A43" s="4" t="s">
        <v>59</v>
      </c>
      <c r="B43" s="19" t="s">
        <v>19</v>
      </c>
      <c r="C43" s="19" t="s">
        <v>20</v>
      </c>
      <c r="D43" s="19">
        <v>10</v>
      </c>
      <c r="E43" s="19">
        <v>995</v>
      </c>
      <c r="F43" s="19">
        <v>3725</v>
      </c>
      <c r="G43" s="19">
        <v>0</v>
      </c>
      <c r="H43" s="19">
        <v>0</v>
      </c>
      <c r="I43" s="19">
        <v>0</v>
      </c>
      <c r="J43" s="19">
        <v>1050</v>
      </c>
      <c r="K43" s="19">
        <v>3670</v>
      </c>
      <c r="L43" s="19">
        <f t="shared" si="0"/>
        <v>3670</v>
      </c>
      <c r="M43" s="19">
        <v>27</v>
      </c>
      <c r="N43" s="20">
        <f t="shared" si="7"/>
        <v>94.371428571428567</v>
      </c>
      <c r="P43" s="6">
        <v>2765</v>
      </c>
      <c r="Q43" s="7">
        <f t="shared" si="1"/>
        <v>2903250</v>
      </c>
      <c r="R43" s="7">
        <f t="shared" si="2"/>
        <v>10147550</v>
      </c>
    </row>
    <row r="44" spans="1:18" ht="15.75" customHeight="1" x14ac:dyDescent="0.35">
      <c r="A44" s="4" t="s">
        <v>60</v>
      </c>
      <c r="B44" s="19" t="s">
        <v>19</v>
      </c>
      <c r="C44" s="19" t="s">
        <v>20</v>
      </c>
      <c r="D44" s="19">
        <v>10</v>
      </c>
      <c r="E44" s="19">
        <v>9970</v>
      </c>
      <c r="F44" s="19">
        <v>20195</v>
      </c>
      <c r="G44" s="19">
        <v>0</v>
      </c>
      <c r="H44" s="19">
        <v>0</v>
      </c>
      <c r="I44" s="19">
        <v>0</v>
      </c>
      <c r="J44" s="19">
        <v>21305</v>
      </c>
      <c r="K44" s="19">
        <v>8860</v>
      </c>
      <c r="L44" s="19">
        <f t="shared" si="0"/>
        <v>8860</v>
      </c>
      <c r="M44" s="19">
        <v>27</v>
      </c>
      <c r="N44" s="20">
        <f t="shared" si="7"/>
        <v>11.228350152546351</v>
      </c>
      <c r="P44" s="6">
        <v>4592</v>
      </c>
      <c r="Q44" s="7">
        <f t="shared" si="1"/>
        <v>97832560</v>
      </c>
      <c r="R44" s="7">
        <f t="shared" si="2"/>
        <v>40685120</v>
      </c>
    </row>
    <row r="45" spans="1:18" ht="15.75" customHeight="1" x14ac:dyDescent="0.35">
      <c r="A45" s="4" t="s">
        <v>61</v>
      </c>
      <c r="B45" s="19" t="s">
        <v>19</v>
      </c>
      <c r="C45" s="19" t="s">
        <v>20</v>
      </c>
      <c r="D45" s="19">
        <v>10</v>
      </c>
      <c r="E45" s="19">
        <v>27631</v>
      </c>
      <c r="F45" s="19">
        <v>29725</v>
      </c>
      <c r="G45" s="19">
        <v>0</v>
      </c>
      <c r="H45" s="19">
        <v>0</v>
      </c>
      <c r="I45" s="19">
        <v>0</v>
      </c>
      <c r="J45" s="19">
        <v>51021</v>
      </c>
      <c r="K45" s="19">
        <v>6335</v>
      </c>
      <c r="L45" s="19">
        <f t="shared" si="0"/>
        <v>6335</v>
      </c>
      <c r="M45" s="19">
        <v>27</v>
      </c>
      <c r="N45" s="20">
        <f t="shared" si="7"/>
        <v>3.3524431116599045</v>
      </c>
      <c r="P45" s="6">
        <v>2297</v>
      </c>
      <c r="Q45" s="7">
        <f t="shared" si="1"/>
        <v>117195237</v>
      </c>
      <c r="R45" s="7">
        <f t="shared" si="2"/>
        <v>14551495</v>
      </c>
    </row>
    <row r="46" spans="1:18" ht="15.75" customHeight="1" x14ac:dyDescent="0.35">
      <c r="A46" s="4" t="s">
        <v>62</v>
      </c>
      <c r="B46" s="19" t="s">
        <v>19</v>
      </c>
      <c r="C46" s="19" t="s">
        <v>20</v>
      </c>
      <c r="D46" s="19">
        <v>10</v>
      </c>
      <c r="E46" s="19">
        <v>1029</v>
      </c>
      <c r="F46" s="19">
        <v>2087</v>
      </c>
      <c r="G46" s="19">
        <v>0</v>
      </c>
      <c r="H46" s="19">
        <v>0</v>
      </c>
      <c r="I46" s="19">
        <v>0</v>
      </c>
      <c r="J46" s="19">
        <v>0</v>
      </c>
      <c r="K46" s="19">
        <v>3116</v>
      </c>
      <c r="L46" s="19">
        <f t="shared" si="0"/>
        <v>3116</v>
      </c>
      <c r="M46" s="19">
        <v>27</v>
      </c>
      <c r="N46" s="20">
        <v>0</v>
      </c>
      <c r="P46" s="6">
        <v>2616</v>
      </c>
      <c r="Q46" s="7">
        <f t="shared" si="1"/>
        <v>0</v>
      </c>
      <c r="R46" s="7">
        <f t="shared" si="2"/>
        <v>8151456</v>
      </c>
    </row>
    <row r="47" spans="1:18" ht="15.75" customHeight="1" x14ac:dyDescent="0.35">
      <c r="A47" s="4" t="s">
        <v>63</v>
      </c>
      <c r="B47" s="19" t="s">
        <v>19</v>
      </c>
      <c r="C47" s="19" t="s">
        <v>20</v>
      </c>
      <c r="D47" s="19">
        <v>10</v>
      </c>
      <c r="E47" s="19">
        <v>5650</v>
      </c>
      <c r="F47" s="19">
        <v>0</v>
      </c>
      <c r="G47" s="19">
        <v>0</v>
      </c>
      <c r="H47" s="19">
        <v>0</v>
      </c>
      <c r="I47" s="19">
        <v>0</v>
      </c>
      <c r="J47" s="19">
        <v>775</v>
      </c>
      <c r="K47" s="19">
        <v>4875</v>
      </c>
      <c r="L47" s="19">
        <f t="shared" si="0"/>
        <v>4875</v>
      </c>
      <c r="M47" s="19">
        <v>27</v>
      </c>
      <c r="N47" s="20">
        <f t="shared" ref="N47:N49" si="8">(L47/(I47+J47))*M47</f>
        <v>169.83870967741936</v>
      </c>
      <c r="P47" s="6">
        <v>2616</v>
      </c>
      <c r="Q47" s="7">
        <f t="shared" si="1"/>
        <v>2027400</v>
      </c>
      <c r="R47" s="7">
        <f t="shared" si="2"/>
        <v>12753000</v>
      </c>
    </row>
    <row r="48" spans="1:18" ht="15.75" customHeight="1" x14ac:dyDescent="0.35">
      <c r="A48" s="4" t="s">
        <v>64</v>
      </c>
      <c r="B48" s="19" t="s">
        <v>19</v>
      </c>
      <c r="C48" s="19" t="s">
        <v>20</v>
      </c>
      <c r="D48" s="19">
        <v>10</v>
      </c>
      <c r="E48" s="19">
        <v>34689</v>
      </c>
      <c r="F48" s="19">
        <v>9500</v>
      </c>
      <c r="G48" s="19">
        <v>0</v>
      </c>
      <c r="H48" s="19">
        <v>0</v>
      </c>
      <c r="I48" s="19">
        <v>0</v>
      </c>
      <c r="J48" s="19">
        <v>44150</v>
      </c>
      <c r="K48" s="19">
        <v>39</v>
      </c>
      <c r="L48" s="19">
        <f t="shared" si="0"/>
        <v>39</v>
      </c>
      <c r="M48" s="19">
        <v>27</v>
      </c>
      <c r="N48" s="20">
        <f t="shared" si="8"/>
        <v>2.3850509626274066E-2</v>
      </c>
      <c r="P48" s="6">
        <v>1968</v>
      </c>
      <c r="Q48" s="7">
        <f t="shared" si="1"/>
        <v>86887200</v>
      </c>
      <c r="R48" s="7">
        <f t="shared" si="2"/>
        <v>76752</v>
      </c>
    </row>
    <row r="49" spans="1:18" ht="15.75" customHeight="1" x14ac:dyDescent="0.35">
      <c r="A49" s="4" t="s">
        <v>66</v>
      </c>
      <c r="B49" s="19" t="s">
        <v>19</v>
      </c>
      <c r="C49" s="19" t="s">
        <v>20</v>
      </c>
      <c r="D49" s="19">
        <v>10</v>
      </c>
      <c r="E49" s="19">
        <v>17192</v>
      </c>
      <c r="F49" s="19">
        <v>148750</v>
      </c>
      <c r="G49" s="19">
        <v>0</v>
      </c>
      <c r="H49" s="19">
        <v>0</v>
      </c>
      <c r="I49" s="19">
        <v>0</v>
      </c>
      <c r="J49" s="19">
        <v>161380</v>
      </c>
      <c r="K49" s="19">
        <v>4562</v>
      </c>
      <c r="L49" s="19">
        <f t="shared" si="0"/>
        <v>4562</v>
      </c>
      <c r="M49" s="19">
        <v>27</v>
      </c>
      <c r="N49" s="20">
        <f t="shared" si="8"/>
        <v>0.76325443053662168</v>
      </c>
      <c r="P49" s="6">
        <v>2503</v>
      </c>
      <c r="Q49" s="7">
        <f t="shared" si="1"/>
        <v>403934140</v>
      </c>
      <c r="R49" s="7">
        <f t="shared" si="2"/>
        <v>11418686</v>
      </c>
    </row>
    <row r="50" spans="1:18" ht="15.75" customHeight="1" x14ac:dyDescent="0.35">
      <c r="A50" s="4" t="s">
        <v>67</v>
      </c>
      <c r="B50" s="19" t="s">
        <v>19</v>
      </c>
      <c r="C50" s="19" t="s">
        <v>20</v>
      </c>
      <c r="D50" s="19">
        <v>10</v>
      </c>
      <c r="E50" s="19">
        <v>311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311</v>
      </c>
      <c r="L50" s="19">
        <f t="shared" si="0"/>
        <v>311</v>
      </c>
      <c r="M50" s="19">
        <v>27</v>
      </c>
      <c r="N50" s="20">
        <v>0</v>
      </c>
      <c r="P50" s="6">
        <v>2103</v>
      </c>
      <c r="Q50" s="7">
        <f t="shared" si="1"/>
        <v>0</v>
      </c>
      <c r="R50" s="7">
        <f t="shared" si="2"/>
        <v>654033</v>
      </c>
    </row>
    <row r="51" spans="1:18" ht="15.75" customHeight="1" x14ac:dyDescent="0.35">
      <c r="A51" s="4" t="s">
        <v>68</v>
      </c>
      <c r="B51" s="19" t="s">
        <v>19</v>
      </c>
      <c r="C51" s="19" t="s">
        <v>20</v>
      </c>
      <c r="D51" s="19">
        <v>10</v>
      </c>
      <c r="E51" s="19">
        <v>4596</v>
      </c>
      <c r="F51" s="19">
        <v>29025</v>
      </c>
      <c r="G51" s="19">
        <v>0</v>
      </c>
      <c r="H51" s="19">
        <v>0</v>
      </c>
      <c r="I51" s="19">
        <v>0</v>
      </c>
      <c r="J51" s="19">
        <v>18375</v>
      </c>
      <c r="K51" s="19">
        <v>15246</v>
      </c>
      <c r="L51" s="19">
        <f t="shared" si="0"/>
        <v>15246</v>
      </c>
      <c r="M51" s="19">
        <v>27</v>
      </c>
      <c r="N51" s="20">
        <f t="shared" ref="N51:N54" si="9">(L51/(I51+J51))*M51</f>
        <v>22.402285714285714</v>
      </c>
      <c r="P51" s="6">
        <v>2802</v>
      </c>
      <c r="Q51" s="7">
        <f t="shared" si="1"/>
        <v>51486750</v>
      </c>
      <c r="R51" s="7">
        <f t="shared" si="2"/>
        <v>42719292</v>
      </c>
    </row>
    <row r="52" spans="1:18" ht="15.75" customHeight="1" x14ac:dyDescent="0.35">
      <c r="A52" s="4" t="s">
        <v>194</v>
      </c>
      <c r="B52" s="19" t="s">
        <v>19</v>
      </c>
      <c r="C52" s="19" t="s">
        <v>20</v>
      </c>
      <c r="D52" s="19">
        <v>10</v>
      </c>
      <c r="E52" s="19">
        <v>7210</v>
      </c>
      <c r="F52" s="19">
        <v>2040</v>
      </c>
      <c r="G52" s="19">
        <v>0</v>
      </c>
      <c r="H52" s="19">
        <v>0</v>
      </c>
      <c r="I52" s="19">
        <v>0</v>
      </c>
      <c r="J52" s="19">
        <v>8050</v>
      </c>
      <c r="K52" s="19">
        <v>1200</v>
      </c>
      <c r="L52" s="19">
        <f t="shared" si="0"/>
        <v>1200</v>
      </c>
      <c r="M52" s="19">
        <v>27</v>
      </c>
      <c r="N52" s="20">
        <f t="shared" si="9"/>
        <v>4.0248447204968949</v>
      </c>
      <c r="P52" s="6">
        <v>2103</v>
      </c>
      <c r="Q52" s="7">
        <f t="shared" si="1"/>
        <v>16929150</v>
      </c>
      <c r="R52" s="7">
        <f t="shared" si="2"/>
        <v>2523600</v>
      </c>
    </row>
    <row r="53" spans="1:18" ht="15.75" customHeight="1" x14ac:dyDescent="0.35">
      <c r="A53" s="4" t="s">
        <v>69</v>
      </c>
      <c r="B53" s="19" t="s">
        <v>19</v>
      </c>
      <c r="C53" s="19" t="s">
        <v>20</v>
      </c>
      <c r="D53" s="19">
        <v>10</v>
      </c>
      <c r="E53" s="19">
        <v>33299</v>
      </c>
      <c r="F53" s="19">
        <v>123750</v>
      </c>
      <c r="G53" s="19">
        <v>0</v>
      </c>
      <c r="H53" s="19">
        <v>0</v>
      </c>
      <c r="I53" s="19">
        <v>150000</v>
      </c>
      <c r="J53" s="19">
        <v>0</v>
      </c>
      <c r="K53" s="19">
        <v>7049</v>
      </c>
      <c r="L53" s="19">
        <f t="shared" si="0"/>
        <v>7049</v>
      </c>
      <c r="M53" s="19">
        <v>27</v>
      </c>
      <c r="N53" s="20">
        <f t="shared" si="9"/>
        <v>1.2688199999999998</v>
      </c>
      <c r="P53" s="6">
        <v>2126</v>
      </c>
      <c r="Q53" s="7">
        <f t="shared" si="1"/>
        <v>318900000</v>
      </c>
      <c r="R53" s="7">
        <f t="shared" si="2"/>
        <v>14986174</v>
      </c>
    </row>
    <row r="54" spans="1:18" ht="15.75" customHeight="1" x14ac:dyDescent="0.35">
      <c r="A54" s="4" t="s">
        <v>70</v>
      </c>
      <c r="B54" s="19" t="s">
        <v>22</v>
      </c>
      <c r="C54" s="19" t="s">
        <v>20</v>
      </c>
      <c r="D54" s="19">
        <v>10</v>
      </c>
      <c r="E54" s="19">
        <v>18255</v>
      </c>
      <c r="F54" s="19">
        <v>20425</v>
      </c>
      <c r="G54" s="19">
        <v>0</v>
      </c>
      <c r="H54" s="19">
        <v>0</v>
      </c>
      <c r="I54" s="19">
        <v>11850</v>
      </c>
      <c r="J54" s="19">
        <v>7000</v>
      </c>
      <c r="K54" s="19">
        <v>19830</v>
      </c>
      <c r="L54" s="19">
        <f t="shared" si="0"/>
        <v>19830</v>
      </c>
      <c r="M54" s="19">
        <v>27</v>
      </c>
      <c r="N54" s="20">
        <f t="shared" si="9"/>
        <v>28.403713527851462</v>
      </c>
      <c r="P54" s="6">
        <v>2846</v>
      </c>
      <c r="Q54" s="7">
        <f t="shared" si="1"/>
        <v>53647100</v>
      </c>
      <c r="R54" s="7">
        <f t="shared" si="2"/>
        <v>56436180</v>
      </c>
    </row>
    <row r="55" spans="1:18" ht="15.75" customHeight="1" x14ac:dyDescent="0.35">
      <c r="A55" s="4" t="s">
        <v>189</v>
      </c>
      <c r="B55" s="19" t="s">
        <v>19</v>
      </c>
      <c r="C55" s="19" t="s">
        <v>20</v>
      </c>
      <c r="D55" s="19">
        <v>10</v>
      </c>
      <c r="E55" s="19">
        <v>1870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1870</v>
      </c>
      <c r="L55" s="19">
        <f t="shared" si="0"/>
        <v>1870</v>
      </c>
      <c r="M55" s="19">
        <v>27</v>
      </c>
      <c r="N55" s="20">
        <v>0</v>
      </c>
      <c r="P55" s="6">
        <v>2514</v>
      </c>
      <c r="Q55" s="7">
        <f t="shared" si="1"/>
        <v>0</v>
      </c>
      <c r="R55" s="7">
        <f t="shared" si="2"/>
        <v>4701180</v>
      </c>
    </row>
    <row r="56" spans="1:18" ht="15.75" customHeight="1" x14ac:dyDescent="0.35">
      <c r="A56" s="4" t="s">
        <v>72</v>
      </c>
      <c r="B56" s="19" t="s">
        <v>19</v>
      </c>
      <c r="C56" s="19" t="s">
        <v>20</v>
      </c>
      <c r="D56" s="19">
        <v>10</v>
      </c>
      <c r="E56" s="19">
        <v>413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413</v>
      </c>
      <c r="L56" s="19">
        <f t="shared" si="0"/>
        <v>413</v>
      </c>
      <c r="M56" s="19">
        <v>27</v>
      </c>
      <c r="N56" s="20">
        <v>0</v>
      </c>
      <c r="P56" s="6">
        <v>1956</v>
      </c>
      <c r="Q56" s="7">
        <f t="shared" si="1"/>
        <v>0</v>
      </c>
      <c r="R56" s="7">
        <f t="shared" si="2"/>
        <v>807828</v>
      </c>
    </row>
    <row r="57" spans="1:18" ht="15.75" customHeight="1" x14ac:dyDescent="0.35">
      <c r="A57" s="4" t="s">
        <v>199</v>
      </c>
      <c r="B57" s="19" t="s">
        <v>19</v>
      </c>
      <c r="C57" s="19" t="s">
        <v>20</v>
      </c>
      <c r="D57" s="19">
        <v>10</v>
      </c>
      <c r="E57" s="19">
        <v>5900</v>
      </c>
      <c r="F57" s="19">
        <v>19100</v>
      </c>
      <c r="G57" s="19">
        <v>0</v>
      </c>
      <c r="H57" s="19">
        <v>0</v>
      </c>
      <c r="I57" s="19">
        <v>0</v>
      </c>
      <c r="J57" s="19">
        <v>0</v>
      </c>
      <c r="K57" s="19">
        <v>25000</v>
      </c>
      <c r="L57" s="19">
        <f t="shared" si="0"/>
        <v>25000</v>
      </c>
      <c r="M57" s="19">
        <v>27</v>
      </c>
      <c r="N57" s="20">
        <v>0</v>
      </c>
      <c r="P57" s="6">
        <v>2514</v>
      </c>
      <c r="Q57" s="7">
        <f t="shared" si="1"/>
        <v>0</v>
      </c>
      <c r="R57" s="7">
        <f t="shared" si="2"/>
        <v>62850000</v>
      </c>
    </row>
    <row r="58" spans="1:18" ht="15.75" customHeight="1" x14ac:dyDescent="0.35">
      <c r="A58" s="4" t="s">
        <v>73</v>
      </c>
      <c r="B58" s="19" t="s">
        <v>19</v>
      </c>
      <c r="C58" s="19" t="s">
        <v>20</v>
      </c>
      <c r="D58" s="19">
        <v>10</v>
      </c>
      <c r="E58" s="19">
        <v>8048</v>
      </c>
      <c r="F58" s="19">
        <v>1836</v>
      </c>
      <c r="G58" s="19">
        <v>0</v>
      </c>
      <c r="H58" s="19">
        <v>0</v>
      </c>
      <c r="I58" s="19">
        <v>0</v>
      </c>
      <c r="J58" s="19">
        <v>9736</v>
      </c>
      <c r="K58" s="19">
        <v>148</v>
      </c>
      <c r="L58" s="19">
        <f t="shared" si="0"/>
        <v>148</v>
      </c>
      <c r="M58" s="19">
        <v>27</v>
      </c>
      <c r="N58" s="20">
        <f t="shared" ref="N58:N64" si="10">(L58/(I58+J58))*M58</f>
        <v>0.41043549712407562</v>
      </c>
      <c r="P58" s="6">
        <v>3391</v>
      </c>
      <c r="Q58" s="7">
        <f t="shared" si="1"/>
        <v>33014776</v>
      </c>
      <c r="R58" s="7">
        <f t="shared" si="2"/>
        <v>501868</v>
      </c>
    </row>
    <row r="59" spans="1:18" ht="15.75" customHeight="1" x14ac:dyDescent="0.35">
      <c r="A59" s="4" t="s">
        <v>74</v>
      </c>
      <c r="B59" s="19" t="s">
        <v>19</v>
      </c>
      <c r="C59" s="19" t="s">
        <v>20</v>
      </c>
      <c r="D59" s="19">
        <v>10</v>
      </c>
      <c r="E59" s="19">
        <v>27088</v>
      </c>
      <c r="F59" s="19">
        <v>5200</v>
      </c>
      <c r="G59" s="19">
        <v>0</v>
      </c>
      <c r="H59" s="19">
        <v>0</v>
      </c>
      <c r="I59" s="19">
        <v>0</v>
      </c>
      <c r="J59" s="19">
        <v>10590</v>
      </c>
      <c r="K59" s="19">
        <v>21698</v>
      </c>
      <c r="L59" s="19">
        <f t="shared" si="0"/>
        <v>21698</v>
      </c>
      <c r="M59" s="19">
        <v>27</v>
      </c>
      <c r="N59" s="20">
        <f t="shared" si="10"/>
        <v>55.320679886685546</v>
      </c>
      <c r="P59" s="6">
        <v>3549</v>
      </c>
      <c r="Q59" s="7">
        <f t="shared" si="1"/>
        <v>37583910</v>
      </c>
      <c r="R59" s="7">
        <f t="shared" si="2"/>
        <v>77006202</v>
      </c>
    </row>
    <row r="60" spans="1:18" ht="15.75" customHeight="1" x14ac:dyDescent="0.35">
      <c r="A60" s="4" t="s">
        <v>75</v>
      </c>
      <c r="B60" s="19" t="s">
        <v>19</v>
      </c>
      <c r="C60" s="19" t="s">
        <v>20</v>
      </c>
      <c r="D60" s="19">
        <v>10</v>
      </c>
      <c r="E60" s="19">
        <v>23216</v>
      </c>
      <c r="F60" s="19">
        <v>13068</v>
      </c>
      <c r="G60" s="19">
        <v>0</v>
      </c>
      <c r="H60" s="19">
        <v>0</v>
      </c>
      <c r="I60" s="19">
        <v>35202</v>
      </c>
      <c r="J60" s="19">
        <v>0</v>
      </c>
      <c r="K60" s="19">
        <v>1082</v>
      </c>
      <c r="L60" s="19">
        <f t="shared" si="0"/>
        <v>1082</v>
      </c>
      <c r="M60" s="19">
        <v>27</v>
      </c>
      <c r="N60" s="20">
        <f t="shared" si="10"/>
        <v>0.82989602863473666</v>
      </c>
      <c r="P60" s="6">
        <v>2129</v>
      </c>
      <c r="Q60" s="7">
        <f t="shared" si="1"/>
        <v>74945058</v>
      </c>
      <c r="R60" s="7">
        <f t="shared" si="2"/>
        <v>2303578</v>
      </c>
    </row>
    <row r="61" spans="1:18" ht="15.75" customHeight="1" x14ac:dyDescent="0.35">
      <c r="A61" s="4" t="s">
        <v>76</v>
      </c>
      <c r="B61" s="19" t="s">
        <v>19</v>
      </c>
      <c r="C61" s="19" t="s">
        <v>20</v>
      </c>
      <c r="D61" s="19">
        <v>10</v>
      </c>
      <c r="E61" s="19">
        <v>7332</v>
      </c>
      <c r="F61" s="19">
        <v>13058</v>
      </c>
      <c r="G61" s="19">
        <v>0</v>
      </c>
      <c r="H61" s="19">
        <v>0</v>
      </c>
      <c r="I61" s="19">
        <v>14950</v>
      </c>
      <c r="J61" s="19">
        <v>0</v>
      </c>
      <c r="K61" s="19">
        <v>5440</v>
      </c>
      <c r="L61" s="19">
        <f t="shared" si="0"/>
        <v>5440</v>
      </c>
      <c r="M61" s="19">
        <v>27</v>
      </c>
      <c r="N61" s="20">
        <f t="shared" si="10"/>
        <v>9.8247491638795985</v>
      </c>
      <c r="P61" s="6">
        <v>2129</v>
      </c>
      <c r="Q61" s="7">
        <f t="shared" si="1"/>
        <v>31828550</v>
      </c>
      <c r="R61" s="7">
        <f t="shared" si="2"/>
        <v>11581760</v>
      </c>
    </row>
    <row r="62" spans="1:18" ht="15.75" customHeight="1" x14ac:dyDescent="0.35">
      <c r="A62" s="4" t="s">
        <v>77</v>
      </c>
      <c r="B62" s="19" t="s">
        <v>19</v>
      </c>
      <c r="C62" s="19" t="s">
        <v>20</v>
      </c>
      <c r="D62" s="19">
        <v>10</v>
      </c>
      <c r="E62" s="19">
        <v>744</v>
      </c>
      <c r="F62" s="19">
        <v>0</v>
      </c>
      <c r="G62" s="19">
        <v>0</v>
      </c>
      <c r="H62" s="19">
        <v>0</v>
      </c>
      <c r="I62" s="19">
        <v>275</v>
      </c>
      <c r="J62" s="19">
        <v>0</v>
      </c>
      <c r="K62" s="19">
        <v>469</v>
      </c>
      <c r="L62" s="19">
        <f t="shared" si="0"/>
        <v>469</v>
      </c>
      <c r="M62" s="19">
        <v>27</v>
      </c>
      <c r="N62" s="20">
        <f t="shared" si="10"/>
        <v>46.047272727272727</v>
      </c>
      <c r="P62" s="6">
        <v>2131</v>
      </c>
      <c r="Q62" s="7">
        <f t="shared" si="1"/>
        <v>586025</v>
      </c>
      <c r="R62" s="7">
        <f t="shared" si="2"/>
        <v>999439</v>
      </c>
    </row>
    <row r="63" spans="1:18" ht="15.75" customHeight="1" x14ac:dyDescent="0.35">
      <c r="A63" s="4" t="s">
        <v>78</v>
      </c>
      <c r="B63" s="19" t="s">
        <v>19</v>
      </c>
      <c r="C63" s="19" t="s">
        <v>20</v>
      </c>
      <c r="D63" s="19">
        <v>10</v>
      </c>
      <c r="E63" s="19">
        <v>2651</v>
      </c>
      <c r="F63" s="19">
        <v>4200</v>
      </c>
      <c r="G63" s="19">
        <v>0</v>
      </c>
      <c r="H63" s="19">
        <v>0</v>
      </c>
      <c r="I63" s="19">
        <v>5130</v>
      </c>
      <c r="J63" s="19">
        <v>0</v>
      </c>
      <c r="K63" s="19">
        <v>1721</v>
      </c>
      <c r="L63" s="19">
        <f t="shared" si="0"/>
        <v>1721</v>
      </c>
      <c r="M63" s="19">
        <v>27</v>
      </c>
      <c r="N63" s="20">
        <f t="shared" si="10"/>
        <v>9.0578947368421048</v>
      </c>
      <c r="P63" s="6">
        <v>2131</v>
      </c>
      <c r="Q63" s="7">
        <f t="shared" si="1"/>
        <v>10932030</v>
      </c>
      <c r="R63" s="7">
        <f t="shared" si="2"/>
        <v>3667451</v>
      </c>
    </row>
    <row r="64" spans="1:18" ht="15.75" customHeight="1" x14ac:dyDescent="0.35">
      <c r="A64" s="4" t="s">
        <v>79</v>
      </c>
      <c r="B64" s="19" t="s">
        <v>19</v>
      </c>
      <c r="C64" s="19" t="s">
        <v>20</v>
      </c>
      <c r="D64" s="19">
        <v>10</v>
      </c>
      <c r="E64" s="19">
        <v>44177</v>
      </c>
      <c r="F64" s="19">
        <v>8400</v>
      </c>
      <c r="G64" s="19">
        <v>0</v>
      </c>
      <c r="H64" s="19">
        <v>0</v>
      </c>
      <c r="I64" s="19">
        <v>38250</v>
      </c>
      <c r="J64" s="19">
        <v>0</v>
      </c>
      <c r="K64" s="19">
        <v>14327</v>
      </c>
      <c r="L64" s="19">
        <f t="shared" si="0"/>
        <v>14327</v>
      </c>
      <c r="M64" s="19">
        <v>27</v>
      </c>
      <c r="N64" s="20">
        <f t="shared" si="10"/>
        <v>10.113176470588234</v>
      </c>
      <c r="P64" s="6">
        <v>2245</v>
      </c>
      <c r="Q64" s="7">
        <f t="shared" si="1"/>
        <v>85871250</v>
      </c>
      <c r="R64" s="7">
        <f t="shared" si="2"/>
        <v>32164115</v>
      </c>
    </row>
    <row r="65" spans="1:18" ht="15.75" customHeight="1" x14ac:dyDescent="0.35">
      <c r="A65" s="4" t="s">
        <v>80</v>
      </c>
      <c r="B65" s="19" t="s">
        <v>19</v>
      </c>
      <c r="C65" s="19" t="s">
        <v>20</v>
      </c>
      <c r="D65" s="19">
        <v>10</v>
      </c>
      <c r="E65" s="19">
        <v>873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873</v>
      </c>
      <c r="L65" s="19">
        <f t="shared" si="0"/>
        <v>873</v>
      </c>
      <c r="M65" s="19">
        <v>27</v>
      </c>
      <c r="N65" s="20">
        <v>0</v>
      </c>
      <c r="P65" s="6">
        <v>2121</v>
      </c>
      <c r="Q65" s="7">
        <f t="shared" si="1"/>
        <v>0</v>
      </c>
      <c r="R65" s="7">
        <f t="shared" si="2"/>
        <v>1851633</v>
      </c>
    </row>
    <row r="66" spans="1:18" ht="15.75" customHeight="1" x14ac:dyDescent="0.35">
      <c r="A66" s="4" t="s">
        <v>195</v>
      </c>
      <c r="B66" s="19" t="s">
        <v>19</v>
      </c>
      <c r="C66" s="19" t="s">
        <v>20</v>
      </c>
      <c r="D66" s="19">
        <v>10</v>
      </c>
      <c r="E66" s="19">
        <v>33825</v>
      </c>
      <c r="F66" s="19">
        <v>32543</v>
      </c>
      <c r="G66" s="19">
        <v>0</v>
      </c>
      <c r="H66" s="19">
        <v>0</v>
      </c>
      <c r="I66" s="19">
        <v>48375</v>
      </c>
      <c r="J66" s="19">
        <v>0</v>
      </c>
      <c r="K66" s="19">
        <v>17993</v>
      </c>
      <c r="L66" s="19">
        <f t="shared" si="0"/>
        <v>17993</v>
      </c>
      <c r="M66" s="19">
        <v>27</v>
      </c>
      <c r="N66" s="20">
        <f t="shared" ref="N66:N69" si="11">(L66/(I66+J66))*M66</f>
        <v>10.04260465116279</v>
      </c>
      <c r="P66" s="6">
        <v>2121</v>
      </c>
      <c r="Q66" s="7">
        <f t="shared" si="1"/>
        <v>102603375</v>
      </c>
      <c r="R66" s="7">
        <f t="shared" si="2"/>
        <v>38163153</v>
      </c>
    </row>
    <row r="67" spans="1:18" ht="15.75" customHeight="1" x14ac:dyDescent="0.35">
      <c r="A67" s="4" t="s">
        <v>196</v>
      </c>
      <c r="B67" s="19" t="s">
        <v>19</v>
      </c>
      <c r="C67" s="19" t="s">
        <v>20</v>
      </c>
      <c r="D67" s="19">
        <v>10</v>
      </c>
      <c r="E67" s="19">
        <v>2125</v>
      </c>
      <c r="F67" s="19">
        <v>1025</v>
      </c>
      <c r="G67" s="19">
        <v>0</v>
      </c>
      <c r="H67" s="19">
        <v>0</v>
      </c>
      <c r="I67" s="19">
        <v>500</v>
      </c>
      <c r="J67" s="19">
        <v>0</v>
      </c>
      <c r="K67" s="19">
        <v>2650</v>
      </c>
      <c r="L67" s="19">
        <f t="shared" si="0"/>
        <v>2650</v>
      </c>
      <c r="M67" s="19">
        <v>27</v>
      </c>
      <c r="N67" s="20">
        <f t="shared" si="11"/>
        <v>143.1</v>
      </c>
      <c r="P67" s="6">
        <v>2121</v>
      </c>
      <c r="Q67" s="7">
        <f t="shared" si="1"/>
        <v>1060500</v>
      </c>
      <c r="R67" s="7">
        <f t="shared" si="2"/>
        <v>5620650</v>
      </c>
    </row>
    <row r="68" spans="1:18" ht="15.75" customHeight="1" x14ac:dyDescent="0.35">
      <c r="A68" s="4" t="s">
        <v>82</v>
      </c>
      <c r="B68" s="19" t="s">
        <v>19</v>
      </c>
      <c r="C68" s="19" t="s">
        <v>20</v>
      </c>
      <c r="D68" s="19">
        <v>10</v>
      </c>
      <c r="E68" s="19">
        <v>3930</v>
      </c>
      <c r="F68" s="19">
        <v>1575</v>
      </c>
      <c r="G68" s="19">
        <v>0</v>
      </c>
      <c r="H68" s="19">
        <v>0</v>
      </c>
      <c r="I68" s="19">
        <v>0</v>
      </c>
      <c r="J68" s="19">
        <v>2310</v>
      </c>
      <c r="K68" s="19">
        <v>3195</v>
      </c>
      <c r="L68" s="19">
        <f t="shared" si="0"/>
        <v>3195</v>
      </c>
      <c r="M68" s="19">
        <v>27</v>
      </c>
      <c r="N68" s="20">
        <f t="shared" si="11"/>
        <v>37.344155844155843</v>
      </c>
      <c r="P68" s="6">
        <v>4592</v>
      </c>
      <c r="Q68" s="7">
        <f t="shared" si="1"/>
        <v>10607520</v>
      </c>
      <c r="R68" s="7">
        <f t="shared" si="2"/>
        <v>14671440</v>
      </c>
    </row>
    <row r="69" spans="1:18" ht="15.75" customHeight="1" x14ac:dyDescent="0.35">
      <c r="A69" s="4" t="s">
        <v>83</v>
      </c>
      <c r="B69" s="19" t="s">
        <v>19</v>
      </c>
      <c r="C69" s="19" t="s">
        <v>20</v>
      </c>
      <c r="D69" s="19">
        <v>10</v>
      </c>
      <c r="E69" s="19">
        <v>11794</v>
      </c>
      <c r="F69" s="19">
        <v>7143</v>
      </c>
      <c r="G69" s="19">
        <v>0</v>
      </c>
      <c r="H69" s="19">
        <v>0</v>
      </c>
      <c r="I69" s="19">
        <v>0</v>
      </c>
      <c r="J69" s="19">
        <v>15683</v>
      </c>
      <c r="K69" s="19">
        <v>3254</v>
      </c>
      <c r="L69" s="19">
        <f t="shared" si="0"/>
        <v>3254</v>
      </c>
      <c r="M69" s="19">
        <v>27</v>
      </c>
      <c r="N69" s="20">
        <f t="shared" si="11"/>
        <v>5.6021169419116239</v>
      </c>
      <c r="P69" s="6">
        <v>2297</v>
      </c>
      <c r="Q69" s="7">
        <f t="shared" si="1"/>
        <v>36023851</v>
      </c>
      <c r="R69" s="7">
        <f t="shared" si="2"/>
        <v>7474438</v>
      </c>
    </row>
    <row r="70" spans="1:18" ht="15.75" customHeight="1" x14ac:dyDescent="0.35">
      <c r="A70" s="4" t="s">
        <v>84</v>
      </c>
      <c r="B70" s="19" t="s">
        <v>19</v>
      </c>
      <c r="C70" s="19" t="s">
        <v>20</v>
      </c>
      <c r="D70" s="19">
        <v>10</v>
      </c>
      <c r="E70" s="19">
        <v>3600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3600</v>
      </c>
      <c r="L70" s="19">
        <f t="shared" si="0"/>
        <v>3600</v>
      </c>
      <c r="M70" s="19">
        <v>27</v>
      </c>
      <c r="N70" s="20">
        <v>0</v>
      </c>
      <c r="P70" s="6">
        <v>4592</v>
      </c>
      <c r="Q70" s="7">
        <f t="shared" si="1"/>
        <v>0</v>
      </c>
      <c r="R70" s="7">
        <f t="shared" si="2"/>
        <v>16531200</v>
      </c>
    </row>
    <row r="71" spans="1:18" ht="15.75" customHeight="1" x14ac:dyDescent="0.35">
      <c r="A71" s="4" t="s">
        <v>85</v>
      </c>
      <c r="B71" s="19" t="s">
        <v>22</v>
      </c>
      <c r="C71" s="19" t="s">
        <v>20</v>
      </c>
      <c r="D71" s="19">
        <v>10</v>
      </c>
      <c r="E71" s="19">
        <v>27741</v>
      </c>
      <c r="F71" s="19">
        <v>121534</v>
      </c>
      <c r="G71" s="19">
        <v>0</v>
      </c>
      <c r="H71" s="19">
        <v>0</v>
      </c>
      <c r="I71" s="19">
        <v>0</v>
      </c>
      <c r="J71" s="19">
        <v>126225</v>
      </c>
      <c r="K71" s="19">
        <v>23050</v>
      </c>
      <c r="L71" s="19">
        <f t="shared" si="0"/>
        <v>23050</v>
      </c>
      <c r="M71" s="19">
        <v>27</v>
      </c>
      <c r="N71" s="20">
        <f>(L71/(I71+J71))*M71</f>
        <v>4.9304812834224601</v>
      </c>
      <c r="P71" s="6">
        <v>1419</v>
      </c>
      <c r="Q71" s="7">
        <f t="shared" si="1"/>
        <v>179113275</v>
      </c>
      <c r="R71" s="7">
        <f t="shared" si="2"/>
        <v>32707950</v>
      </c>
    </row>
    <row r="72" spans="1:18" ht="15.75" customHeight="1" x14ac:dyDescent="0.35">
      <c r="A72" s="4" t="s">
        <v>86</v>
      </c>
      <c r="B72" s="19" t="s">
        <v>19</v>
      </c>
      <c r="C72" s="19" t="s">
        <v>20</v>
      </c>
      <c r="D72" s="19">
        <v>10</v>
      </c>
      <c r="E72" s="19">
        <v>2292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2292</v>
      </c>
      <c r="L72" s="19">
        <f t="shared" si="0"/>
        <v>2292</v>
      </c>
      <c r="M72" s="19">
        <v>27</v>
      </c>
      <c r="N72" s="20">
        <v>0</v>
      </c>
      <c r="P72" s="6">
        <v>4592</v>
      </c>
      <c r="Q72" s="7">
        <f t="shared" si="1"/>
        <v>0</v>
      </c>
      <c r="R72" s="7">
        <f t="shared" si="2"/>
        <v>10524864</v>
      </c>
    </row>
    <row r="73" spans="1:18" ht="15.75" customHeight="1" x14ac:dyDescent="0.35">
      <c r="A73" s="4" t="s">
        <v>190</v>
      </c>
      <c r="B73" s="19" t="s">
        <v>19</v>
      </c>
      <c r="C73" s="19" t="s">
        <v>20</v>
      </c>
      <c r="D73" s="19">
        <v>10</v>
      </c>
      <c r="E73" s="19">
        <v>1500</v>
      </c>
      <c r="F73" s="19">
        <v>1000</v>
      </c>
      <c r="G73" s="19">
        <v>0</v>
      </c>
      <c r="H73" s="19">
        <v>0</v>
      </c>
      <c r="I73" s="19">
        <v>0</v>
      </c>
      <c r="J73" s="19">
        <v>1500</v>
      </c>
      <c r="K73" s="19">
        <v>1000</v>
      </c>
      <c r="L73" s="19">
        <f t="shared" si="0"/>
        <v>1000</v>
      </c>
      <c r="M73" s="19">
        <v>27</v>
      </c>
      <c r="N73" s="20">
        <f t="shared" ref="N73:N78" si="12">(L73/(I73+J73))*M73</f>
        <v>18</v>
      </c>
      <c r="P73" s="6">
        <v>2103</v>
      </c>
      <c r="Q73" s="7">
        <f t="shared" si="1"/>
        <v>3154500</v>
      </c>
      <c r="R73" s="7">
        <f t="shared" si="2"/>
        <v>2103000</v>
      </c>
    </row>
    <row r="74" spans="1:18" ht="15.75" customHeight="1" x14ac:dyDescent="0.35">
      <c r="A74" s="4" t="s">
        <v>88</v>
      </c>
      <c r="B74" s="19" t="s">
        <v>19</v>
      </c>
      <c r="C74" s="19" t="s">
        <v>20</v>
      </c>
      <c r="D74" s="19">
        <v>10</v>
      </c>
      <c r="E74" s="19">
        <v>11395</v>
      </c>
      <c r="F74" s="19">
        <v>1525</v>
      </c>
      <c r="G74" s="19">
        <v>0</v>
      </c>
      <c r="H74" s="19">
        <v>0</v>
      </c>
      <c r="I74" s="19">
        <v>0</v>
      </c>
      <c r="J74" s="19">
        <v>1500</v>
      </c>
      <c r="K74" s="19">
        <v>11420</v>
      </c>
      <c r="L74" s="19">
        <f t="shared" si="0"/>
        <v>11420</v>
      </c>
      <c r="M74" s="19">
        <v>27</v>
      </c>
      <c r="N74" s="20">
        <f t="shared" si="12"/>
        <v>205.56</v>
      </c>
      <c r="P74" s="6">
        <v>2103</v>
      </c>
      <c r="Q74" s="7">
        <f t="shared" si="1"/>
        <v>3154500</v>
      </c>
      <c r="R74" s="7">
        <f t="shared" si="2"/>
        <v>24016260</v>
      </c>
    </row>
    <row r="75" spans="1:18" ht="15.75" customHeight="1" x14ac:dyDescent="0.35">
      <c r="A75" s="4" t="s">
        <v>89</v>
      </c>
      <c r="B75" s="19" t="s">
        <v>19</v>
      </c>
      <c r="C75" s="19" t="s">
        <v>20</v>
      </c>
      <c r="D75" s="19">
        <v>10</v>
      </c>
      <c r="E75" s="19">
        <v>4074</v>
      </c>
      <c r="F75" s="19">
        <v>3074</v>
      </c>
      <c r="G75" s="19">
        <v>0</v>
      </c>
      <c r="H75" s="19">
        <v>0</v>
      </c>
      <c r="I75" s="19">
        <v>0</v>
      </c>
      <c r="J75" s="19">
        <v>2600</v>
      </c>
      <c r="K75" s="19">
        <v>4548</v>
      </c>
      <c r="L75" s="19">
        <f t="shared" si="0"/>
        <v>4548</v>
      </c>
      <c r="M75" s="19">
        <v>27</v>
      </c>
      <c r="N75" s="20">
        <f t="shared" si="12"/>
        <v>47.229230769230767</v>
      </c>
      <c r="P75" s="6">
        <v>4592</v>
      </c>
      <c r="Q75" s="7">
        <f t="shared" si="1"/>
        <v>11939200</v>
      </c>
      <c r="R75" s="7">
        <f t="shared" si="2"/>
        <v>20884416</v>
      </c>
    </row>
    <row r="76" spans="1:18" ht="15.75" customHeight="1" x14ac:dyDescent="0.35">
      <c r="A76" s="4" t="s">
        <v>90</v>
      </c>
      <c r="B76" s="19" t="s">
        <v>19</v>
      </c>
      <c r="C76" s="19" t="s">
        <v>20</v>
      </c>
      <c r="D76" s="19">
        <v>10</v>
      </c>
      <c r="E76" s="19">
        <v>2835</v>
      </c>
      <c r="F76" s="19">
        <v>1350</v>
      </c>
      <c r="G76" s="19">
        <v>0</v>
      </c>
      <c r="H76" s="19">
        <v>0</v>
      </c>
      <c r="I76" s="19">
        <v>0</v>
      </c>
      <c r="J76" s="19">
        <v>3398</v>
      </c>
      <c r="K76" s="19">
        <v>787</v>
      </c>
      <c r="L76" s="19">
        <f t="shared" si="0"/>
        <v>787</v>
      </c>
      <c r="M76" s="19">
        <v>27</v>
      </c>
      <c r="N76" s="20">
        <f t="shared" si="12"/>
        <v>6.2533843437316072</v>
      </c>
      <c r="P76" s="6">
        <v>2297</v>
      </c>
      <c r="Q76" s="7">
        <f t="shared" si="1"/>
        <v>7805206</v>
      </c>
      <c r="R76" s="7">
        <f t="shared" si="2"/>
        <v>1807739</v>
      </c>
    </row>
    <row r="77" spans="1:18" ht="15.75" customHeight="1" x14ac:dyDescent="0.35">
      <c r="A77" s="4" t="s">
        <v>91</v>
      </c>
      <c r="B77" s="19" t="s">
        <v>19</v>
      </c>
      <c r="C77" s="19" t="s">
        <v>20</v>
      </c>
      <c r="D77" s="19">
        <v>10</v>
      </c>
      <c r="E77" s="19">
        <v>2042</v>
      </c>
      <c r="F77" s="19">
        <v>0</v>
      </c>
      <c r="G77" s="19">
        <v>0</v>
      </c>
      <c r="H77" s="19">
        <v>0</v>
      </c>
      <c r="I77" s="19">
        <v>0</v>
      </c>
      <c r="J77" s="19">
        <v>200</v>
      </c>
      <c r="K77" s="19">
        <v>1842</v>
      </c>
      <c r="L77" s="19">
        <f t="shared" si="0"/>
        <v>1842</v>
      </c>
      <c r="M77" s="19">
        <v>27</v>
      </c>
      <c r="N77" s="20">
        <f t="shared" si="12"/>
        <v>248.67000000000002</v>
      </c>
      <c r="P77" s="6">
        <v>2616</v>
      </c>
      <c r="Q77" s="7">
        <f t="shared" si="1"/>
        <v>523200</v>
      </c>
      <c r="R77" s="7">
        <f t="shared" si="2"/>
        <v>4818672</v>
      </c>
    </row>
    <row r="78" spans="1:18" ht="15.75" customHeight="1" x14ac:dyDescent="0.35">
      <c r="A78" s="4" t="s">
        <v>92</v>
      </c>
      <c r="B78" s="19" t="s">
        <v>22</v>
      </c>
      <c r="C78" s="19" t="s">
        <v>20</v>
      </c>
      <c r="D78" s="19">
        <v>10</v>
      </c>
      <c r="E78" s="19">
        <v>1300</v>
      </c>
      <c r="F78" s="19">
        <v>89975</v>
      </c>
      <c r="G78" s="19">
        <v>0</v>
      </c>
      <c r="H78" s="19">
        <v>0</v>
      </c>
      <c r="I78" s="19">
        <v>0</v>
      </c>
      <c r="J78" s="19">
        <v>91050</v>
      </c>
      <c r="K78" s="19">
        <v>225</v>
      </c>
      <c r="L78" s="19">
        <f t="shared" si="0"/>
        <v>225</v>
      </c>
      <c r="M78" s="19">
        <v>27</v>
      </c>
      <c r="N78" s="20">
        <f t="shared" si="12"/>
        <v>6.6721581548599668E-2</v>
      </c>
      <c r="P78" s="6">
        <v>1419</v>
      </c>
      <c r="Q78" s="7">
        <f t="shared" si="1"/>
        <v>129199950</v>
      </c>
      <c r="R78" s="7">
        <f t="shared" si="2"/>
        <v>319275</v>
      </c>
    </row>
    <row r="79" spans="1:18" ht="15.75" customHeight="1" x14ac:dyDescent="0.35">
      <c r="A79" s="4" t="s">
        <v>93</v>
      </c>
      <c r="B79" s="19" t="s">
        <v>19</v>
      </c>
      <c r="C79" s="19" t="s">
        <v>20</v>
      </c>
      <c r="D79" s="19">
        <v>10</v>
      </c>
      <c r="E79" s="19">
        <v>748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748</v>
      </c>
      <c r="L79" s="19">
        <f t="shared" si="0"/>
        <v>748</v>
      </c>
      <c r="M79" s="19">
        <v>27</v>
      </c>
      <c r="N79" s="20">
        <v>0</v>
      </c>
      <c r="P79" s="6">
        <v>2616</v>
      </c>
      <c r="Q79" s="7">
        <f t="shared" si="1"/>
        <v>0</v>
      </c>
      <c r="R79" s="7">
        <f t="shared" si="2"/>
        <v>1956768</v>
      </c>
    </row>
    <row r="80" spans="1:18" ht="15.75" customHeight="1" x14ac:dyDescent="0.35">
      <c r="A80" s="4" t="s">
        <v>95</v>
      </c>
      <c r="B80" s="19" t="s">
        <v>19</v>
      </c>
      <c r="C80" s="19" t="s">
        <v>20</v>
      </c>
      <c r="D80" s="19">
        <v>10</v>
      </c>
      <c r="E80" s="19">
        <v>790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790</v>
      </c>
      <c r="L80" s="19">
        <f t="shared" si="0"/>
        <v>790</v>
      </c>
      <c r="M80" s="19">
        <v>27</v>
      </c>
      <c r="N80" s="20">
        <v>0</v>
      </c>
      <c r="P80" s="6">
        <v>7550</v>
      </c>
      <c r="Q80" s="7">
        <f t="shared" si="1"/>
        <v>0</v>
      </c>
      <c r="R80" s="7">
        <f t="shared" si="2"/>
        <v>5964500</v>
      </c>
    </row>
    <row r="81" spans="1:18" ht="15.75" customHeight="1" x14ac:dyDescent="0.35">
      <c r="A81" s="4" t="s">
        <v>203</v>
      </c>
      <c r="B81" s="19" t="s">
        <v>19</v>
      </c>
      <c r="C81" s="19" t="s">
        <v>20</v>
      </c>
      <c r="D81" s="19">
        <v>10</v>
      </c>
      <c r="E81" s="19">
        <v>19288</v>
      </c>
      <c r="F81" s="19">
        <v>4892</v>
      </c>
      <c r="G81" s="19">
        <v>0</v>
      </c>
      <c r="H81" s="19">
        <v>0</v>
      </c>
      <c r="I81" s="19">
        <v>7325</v>
      </c>
      <c r="J81" s="19">
        <v>0</v>
      </c>
      <c r="K81" s="19">
        <v>16855</v>
      </c>
      <c r="L81" s="19">
        <f t="shared" si="0"/>
        <v>16855</v>
      </c>
      <c r="M81" s="19">
        <v>27</v>
      </c>
      <c r="N81" s="20">
        <f t="shared" ref="N81:N88" si="13">(L81/(I81+J81))*M81</f>
        <v>62.127645051194541</v>
      </c>
      <c r="P81" s="6">
        <v>7550</v>
      </c>
      <c r="Q81" s="7">
        <f t="shared" si="1"/>
        <v>55303750</v>
      </c>
      <c r="R81" s="7">
        <f t="shared" si="2"/>
        <v>127255250</v>
      </c>
    </row>
    <row r="82" spans="1:18" ht="15.75" customHeight="1" x14ac:dyDescent="0.35">
      <c r="A82" s="4" t="s">
        <v>96</v>
      </c>
      <c r="B82" s="19" t="s">
        <v>19</v>
      </c>
      <c r="C82" s="19" t="s">
        <v>20</v>
      </c>
      <c r="D82" s="19">
        <v>10</v>
      </c>
      <c r="E82" s="19">
        <v>3563</v>
      </c>
      <c r="F82" s="19">
        <v>5830</v>
      </c>
      <c r="G82" s="19">
        <v>0</v>
      </c>
      <c r="H82" s="19">
        <v>0</v>
      </c>
      <c r="I82" s="19">
        <v>0</v>
      </c>
      <c r="J82" s="19">
        <v>3273</v>
      </c>
      <c r="K82" s="19">
        <v>6120</v>
      </c>
      <c r="L82" s="19">
        <f t="shared" si="0"/>
        <v>6120</v>
      </c>
      <c r="M82" s="19">
        <v>27</v>
      </c>
      <c r="N82" s="20">
        <f t="shared" si="13"/>
        <v>50.485792850595779</v>
      </c>
      <c r="P82" s="6">
        <v>4592</v>
      </c>
      <c r="Q82" s="7">
        <f t="shared" si="1"/>
        <v>15029616</v>
      </c>
      <c r="R82" s="7">
        <f t="shared" si="2"/>
        <v>28103040</v>
      </c>
    </row>
    <row r="83" spans="1:18" ht="15.75" customHeight="1" x14ac:dyDescent="0.35">
      <c r="A83" s="4" t="s">
        <v>97</v>
      </c>
      <c r="B83" s="19" t="s">
        <v>19</v>
      </c>
      <c r="C83" s="19" t="s">
        <v>20</v>
      </c>
      <c r="D83" s="19">
        <v>10</v>
      </c>
      <c r="E83" s="19">
        <v>8534</v>
      </c>
      <c r="F83" s="19">
        <v>7045</v>
      </c>
      <c r="G83" s="19">
        <v>0</v>
      </c>
      <c r="H83" s="19">
        <v>0</v>
      </c>
      <c r="I83" s="19">
        <v>0</v>
      </c>
      <c r="J83" s="19">
        <v>12775</v>
      </c>
      <c r="K83" s="19">
        <v>2804</v>
      </c>
      <c r="L83" s="19">
        <f t="shared" si="0"/>
        <v>2804</v>
      </c>
      <c r="M83" s="19">
        <v>27</v>
      </c>
      <c r="N83" s="20">
        <f t="shared" si="13"/>
        <v>5.9262622309197646</v>
      </c>
      <c r="P83" s="6">
        <v>2297</v>
      </c>
      <c r="Q83" s="7">
        <f t="shared" si="1"/>
        <v>29344175</v>
      </c>
      <c r="R83" s="7">
        <f t="shared" si="2"/>
        <v>6440788</v>
      </c>
    </row>
    <row r="84" spans="1:18" ht="15.75" customHeight="1" x14ac:dyDescent="0.35">
      <c r="A84" s="4" t="s">
        <v>98</v>
      </c>
      <c r="B84" s="19" t="s">
        <v>19</v>
      </c>
      <c r="C84" s="19" t="s">
        <v>20</v>
      </c>
      <c r="D84" s="19">
        <v>10</v>
      </c>
      <c r="E84" s="19">
        <v>1050</v>
      </c>
      <c r="F84" s="19">
        <v>1000</v>
      </c>
      <c r="G84" s="19">
        <v>0</v>
      </c>
      <c r="H84" s="19">
        <v>0</v>
      </c>
      <c r="I84" s="19">
        <v>0</v>
      </c>
      <c r="J84" s="19">
        <v>200</v>
      </c>
      <c r="K84" s="19">
        <v>1850</v>
      </c>
      <c r="L84" s="19">
        <f t="shared" si="0"/>
        <v>1850</v>
      </c>
      <c r="M84" s="19">
        <v>27</v>
      </c>
      <c r="N84" s="20">
        <f t="shared" si="13"/>
        <v>249.75</v>
      </c>
      <c r="P84" s="6">
        <v>2616</v>
      </c>
      <c r="Q84" s="7">
        <f t="shared" si="1"/>
        <v>523200</v>
      </c>
      <c r="R84" s="7">
        <f t="shared" si="2"/>
        <v>4839600</v>
      </c>
    </row>
    <row r="85" spans="1:18" ht="15.75" customHeight="1" x14ac:dyDescent="0.35">
      <c r="A85" s="4" t="s">
        <v>99</v>
      </c>
      <c r="B85" s="19" t="s">
        <v>22</v>
      </c>
      <c r="C85" s="19" t="s">
        <v>20</v>
      </c>
      <c r="D85" s="19">
        <v>10</v>
      </c>
      <c r="E85" s="19">
        <v>25675</v>
      </c>
      <c r="F85" s="19">
        <v>32395</v>
      </c>
      <c r="G85" s="19">
        <v>0</v>
      </c>
      <c r="H85" s="19">
        <v>0</v>
      </c>
      <c r="I85" s="19">
        <v>0</v>
      </c>
      <c r="J85" s="19">
        <v>44714</v>
      </c>
      <c r="K85" s="19">
        <v>13356</v>
      </c>
      <c r="L85" s="19">
        <f t="shared" si="0"/>
        <v>13356</v>
      </c>
      <c r="M85" s="19">
        <v>27</v>
      </c>
      <c r="N85" s="20">
        <f t="shared" si="13"/>
        <v>8.0648566444514032</v>
      </c>
      <c r="P85" s="6">
        <v>1419</v>
      </c>
      <c r="Q85" s="7">
        <f t="shared" si="1"/>
        <v>63449166</v>
      </c>
      <c r="R85" s="7">
        <f t="shared" si="2"/>
        <v>18952164</v>
      </c>
    </row>
    <row r="86" spans="1:18" ht="15.75" customHeight="1" x14ac:dyDescent="0.35">
      <c r="A86" s="4" t="s">
        <v>100</v>
      </c>
      <c r="B86" s="19" t="s">
        <v>19</v>
      </c>
      <c r="C86" s="19" t="s">
        <v>20</v>
      </c>
      <c r="D86" s="19">
        <v>10</v>
      </c>
      <c r="E86" s="19">
        <v>2378</v>
      </c>
      <c r="F86" s="19">
        <v>0</v>
      </c>
      <c r="G86" s="19">
        <v>0</v>
      </c>
      <c r="H86" s="19">
        <v>0</v>
      </c>
      <c r="I86" s="19">
        <v>0</v>
      </c>
      <c r="J86" s="19">
        <v>75</v>
      </c>
      <c r="K86" s="19">
        <v>2303</v>
      </c>
      <c r="L86" s="19">
        <f t="shared" si="0"/>
        <v>2303</v>
      </c>
      <c r="M86" s="19">
        <v>27</v>
      </c>
      <c r="N86" s="20">
        <f t="shared" si="13"/>
        <v>829.08</v>
      </c>
      <c r="P86" s="6">
        <v>2616</v>
      </c>
      <c r="Q86" s="7">
        <f t="shared" si="1"/>
        <v>196200</v>
      </c>
      <c r="R86" s="7">
        <f t="shared" si="2"/>
        <v>6024648</v>
      </c>
    </row>
    <row r="87" spans="1:18" ht="15.75" customHeight="1" x14ac:dyDescent="0.35">
      <c r="A87" s="4" t="s">
        <v>101</v>
      </c>
      <c r="B87" s="19" t="s">
        <v>19</v>
      </c>
      <c r="C87" s="19" t="s">
        <v>20</v>
      </c>
      <c r="D87" s="19">
        <v>10</v>
      </c>
      <c r="E87" s="19">
        <v>2385</v>
      </c>
      <c r="F87" s="19">
        <v>720</v>
      </c>
      <c r="G87" s="19">
        <v>0</v>
      </c>
      <c r="H87" s="19">
        <v>0</v>
      </c>
      <c r="I87" s="19">
        <v>0</v>
      </c>
      <c r="J87" s="19">
        <v>1335</v>
      </c>
      <c r="K87" s="19">
        <v>1770</v>
      </c>
      <c r="L87" s="19">
        <f t="shared" si="0"/>
        <v>1770</v>
      </c>
      <c r="M87" s="19">
        <v>27</v>
      </c>
      <c r="N87" s="20">
        <f t="shared" si="13"/>
        <v>35.797752808988761</v>
      </c>
      <c r="P87" s="6">
        <v>4592</v>
      </c>
      <c r="Q87" s="7">
        <f t="shared" si="1"/>
        <v>6130320</v>
      </c>
      <c r="R87" s="7">
        <f t="shared" si="2"/>
        <v>8127840</v>
      </c>
    </row>
    <row r="88" spans="1:18" ht="15.75" customHeight="1" x14ac:dyDescent="0.35">
      <c r="A88" s="4" t="s">
        <v>102</v>
      </c>
      <c r="B88" s="19" t="s">
        <v>19</v>
      </c>
      <c r="C88" s="19" t="s">
        <v>20</v>
      </c>
      <c r="D88" s="19">
        <v>10</v>
      </c>
      <c r="E88" s="19">
        <v>9530</v>
      </c>
      <c r="F88" s="19">
        <v>0</v>
      </c>
      <c r="G88" s="19">
        <v>0</v>
      </c>
      <c r="H88" s="19">
        <v>0</v>
      </c>
      <c r="I88" s="19">
        <v>0</v>
      </c>
      <c r="J88" s="19">
        <v>1650</v>
      </c>
      <c r="K88" s="19">
        <v>7880</v>
      </c>
      <c r="L88" s="19">
        <f t="shared" si="0"/>
        <v>7880</v>
      </c>
      <c r="M88" s="19">
        <v>27</v>
      </c>
      <c r="N88" s="20">
        <f t="shared" si="13"/>
        <v>128.94545454545454</v>
      </c>
      <c r="P88" s="6">
        <v>2297</v>
      </c>
      <c r="Q88" s="7">
        <f t="shared" si="1"/>
        <v>3790050</v>
      </c>
      <c r="R88" s="7">
        <f t="shared" si="2"/>
        <v>18100360</v>
      </c>
    </row>
    <row r="89" spans="1:18" ht="15.75" customHeight="1" x14ac:dyDescent="0.35">
      <c r="A89" s="4" t="s">
        <v>103</v>
      </c>
      <c r="B89" s="19" t="s">
        <v>19</v>
      </c>
      <c r="C89" s="19" t="s">
        <v>20</v>
      </c>
      <c r="D89" s="19">
        <v>10</v>
      </c>
      <c r="E89" s="19">
        <v>1525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1525</v>
      </c>
      <c r="L89" s="19">
        <f t="shared" si="0"/>
        <v>1525</v>
      </c>
      <c r="M89" s="19">
        <v>27</v>
      </c>
      <c r="N89" s="20">
        <v>0</v>
      </c>
      <c r="P89" s="6">
        <v>2616</v>
      </c>
      <c r="Q89" s="7">
        <f t="shared" si="1"/>
        <v>0</v>
      </c>
      <c r="R89" s="7">
        <f t="shared" si="2"/>
        <v>3989400</v>
      </c>
    </row>
    <row r="90" spans="1:18" ht="15.75" customHeight="1" x14ac:dyDescent="0.35">
      <c r="A90" s="4" t="s">
        <v>104</v>
      </c>
      <c r="B90" s="19" t="s">
        <v>22</v>
      </c>
      <c r="C90" s="19" t="s">
        <v>20</v>
      </c>
      <c r="D90" s="19">
        <v>10</v>
      </c>
      <c r="E90" s="19">
        <v>14880</v>
      </c>
      <c r="F90" s="19">
        <v>84800</v>
      </c>
      <c r="G90" s="19">
        <v>0</v>
      </c>
      <c r="H90" s="19">
        <v>0</v>
      </c>
      <c r="I90" s="19">
        <v>0</v>
      </c>
      <c r="J90" s="19">
        <v>80925</v>
      </c>
      <c r="K90" s="19">
        <v>18755</v>
      </c>
      <c r="L90" s="19">
        <f t="shared" si="0"/>
        <v>18755</v>
      </c>
      <c r="M90" s="19">
        <v>27</v>
      </c>
      <c r="N90" s="20">
        <f t="shared" ref="N90:N96" si="14">(L90/(I90+J90))*M90</f>
        <v>6.2574606116774785</v>
      </c>
      <c r="P90" s="6">
        <v>1419</v>
      </c>
      <c r="Q90" s="7">
        <f t="shared" si="1"/>
        <v>114832575</v>
      </c>
      <c r="R90" s="7">
        <f t="shared" si="2"/>
        <v>26613345</v>
      </c>
    </row>
    <row r="91" spans="1:18" ht="15.75" customHeight="1" x14ac:dyDescent="0.35">
      <c r="A91" s="4" t="s">
        <v>105</v>
      </c>
      <c r="B91" s="19" t="s">
        <v>19</v>
      </c>
      <c r="C91" s="19" t="s">
        <v>20</v>
      </c>
      <c r="D91" s="19">
        <v>10</v>
      </c>
      <c r="E91" s="19">
        <v>2439</v>
      </c>
      <c r="F91" s="19">
        <v>0</v>
      </c>
      <c r="G91" s="19">
        <v>0</v>
      </c>
      <c r="H91" s="19">
        <v>0</v>
      </c>
      <c r="I91" s="19">
        <v>0</v>
      </c>
      <c r="J91" s="19">
        <v>250</v>
      </c>
      <c r="K91" s="19">
        <v>2189</v>
      </c>
      <c r="L91" s="19">
        <f t="shared" si="0"/>
        <v>2189</v>
      </c>
      <c r="M91" s="19">
        <v>27</v>
      </c>
      <c r="N91" s="20">
        <f t="shared" si="14"/>
        <v>236.41200000000001</v>
      </c>
      <c r="P91" s="6">
        <v>1419</v>
      </c>
      <c r="Q91" s="7">
        <f t="shared" si="1"/>
        <v>354750</v>
      </c>
      <c r="R91" s="7">
        <f t="shared" si="2"/>
        <v>3106191</v>
      </c>
    </row>
    <row r="92" spans="1:18" ht="15.75" customHeight="1" x14ac:dyDescent="0.35">
      <c r="A92" s="4" t="s">
        <v>106</v>
      </c>
      <c r="B92" s="19" t="s">
        <v>19</v>
      </c>
      <c r="C92" s="19" t="s">
        <v>20</v>
      </c>
      <c r="D92" s="19">
        <v>10</v>
      </c>
      <c r="E92" s="19">
        <v>5900</v>
      </c>
      <c r="F92" s="19">
        <v>0</v>
      </c>
      <c r="G92" s="19">
        <v>0</v>
      </c>
      <c r="H92" s="19">
        <v>0</v>
      </c>
      <c r="I92" s="19">
        <v>0</v>
      </c>
      <c r="J92" s="19">
        <v>5900</v>
      </c>
      <c r="K92" s="19">
        <v>0</v>
      </c>
      <c r="L92" s="19">
        <f t="shared" si="0"/>
        <v>0</v>
      </c>
      <c r="M92" s="19">
        <v>27</v>
      </c>
      <c r="N92" s="20">
        <f t="shared" si="14"/>
        <v>0</v>
      </c>
      <c r="P92" s="6">
        <v>1968</v>
      </c>
      <c r="Q92" s="7">
        <f t="shared" si="1"/>
        <v>11611200</v>
      </c>
      <c r="R92" s="7">
        <f t="shared" si="2"/>
        <v>0</v>
      </c>
    </row>
    <row r="93" spans="1:18" ht="15.75" customHeight="1" x14ac:dyDescent="0.35">
      <c r="A93" s="4" t="s">
        <v>109</v>
      </c>
      <c r="B93" s="19" t="s">
        <v>19</v>
      </c>
      <c r="C93" s="19" t="s">
        <v>20</v>
      </c>
      <c r="D93" s="19">
        <v>10</v>
      </c>
      <c r="E93" s="19">
        <v>15414</v>
      </c>
      <c r="F93" s="19">
        <v>10500</v>
      </c>
      <c r="G93" s="19">
        <v>0</v>
      </c>
      <c r="H93" s="19">
        <v>0</v>
      </c>
      <c r="I93" s="19">
        <v>9059</v>
      </c>
      <c r="J93" s="19">
        <v>0</v>
      </c>
      <c r="K93" s="19">
        <v>16855</v>
      </c>
      <c r="L93" s="19">
        <f t="shared" si="0"/>
        <v>16855</v>
      </c>
      <c r="M93" s="19">
        <v>27</v>
      </c>
      <c r="N93" s="20">
        <f t="shared" si="14"/>
        <v>50.235677227067001</v>
      </c>
      <c r="P93" s="6">
        <v>1968</v>
      </c>
      <c r="Q93" s="7">
        <f t="shared" si="1"/>
        <v>17828112</v>
      </c>
      <c r="R93" s="7">
        <f t="shared" si="2"/>
        <v>33170640</v>
      </c>
    </row>
    <row r="94" spans="1:18" ht="15.75" customHeight="1" x14ac:dyDescent="0.35">
      <c r="A94" s="4" t="s">
        <v>191</v>
      </c>
      <c r="B94" s="19" t="s">
        <v>19</v>
      </c>
      <c r="C94" s="19" t="s">
        <v>20</v>
      </c>
      <c r="D94" s="19">
        <v>10</v>
      </c>
      <c r="E94" s="19">
        <v>11288</v>
      </c>
      <c r="F94" s="19">
        <v>9312</v>
      </c>
      <c r="G94" s="19">
        <v>0</v>
      </c>
      <c r="H94" s="19">
        <v>0</v>
      </c>
      <c r="I94" s="19">
        <v>17771</v>
      </c>
      <c r="J94" s="19">
        <v>0</v>
      </c>
      <c r="K94" s="19">
        <v>2829</v>
      </c>
      <c r="L94" s="19">
        <f t="shared" si="0"/>
        <v>2829</v>
      </c>
      <c r="M94" s="19">
        <v>27</v>
      </c>
      <c r="N94" s="20">
        <f t="shared" si="14"/>
        <v>4.2981824320522195</v>
      </c>
      <c r="P94" s="6">
        <v>2157</v>
      </c>
      <c r="Q94" s="7">
        <f t="shared" si="1"/>
        <v>38332047</v>
      </c>
      <c r="R94" s="7">
        <f t="shared" si="2"/>
        <v>6102153</v>
      </c>
    </row>
    <row r="95" spans="1:18" ht="15.75" customHeight="1" x14ac:dyDescent="0.35">
      <c r="A95" s="4" t="s">
        <v>111</v>
      </c>
      <c r="B95" s="19" t="s">
        <v>19</v>
      </c>
      <c r="C95" s="19" t="s">
        <v>20</v>
      </c>
      <c r="D95" s="19">
        <v>10</v>
      </c>
      <c r="E95" s="19">
        <v>10571</v>
      </c>
      <c r="F95" s="19">
        <v>5036</v>
      </c>
      <c r="G95" s="19">
        <v>0</v>
      </c>
      <c r="H95" s="19">
        <v>0</v>
      </c>
      <c r="I95" s="19">
        <v>0</v>
      </c>
      <c r="J95" s="19">
        <v>14296</v>
      </c>
      <c r="K95" s="19">
        <v>1311</v>
      </c>
      <c r="L95" s="19">
        <f t="shared" si="0"/>
        <v>1311</v>
      </c>
      <c r="M95" s="19">
        <v>27</v>
      </c>
      <c r="N95" s="20">
        <f t="shared" si="14"/>
        <v>2.4760072747621713</v>
      </c>
      <c r="P95" s="6">
        <v>2031</v>
      </c>
      <c r="Q95" s="7">
        <f t="shared" si="1"/>
        <v>29035176</v>
      </c>
      <c r="R95" s="7">
        <f t="shared" si="2"/>
        <v>2662641</v>
      </c>
    </row>
    <row r="96" spans="1:18" ht="15.75" customHeight="1" x14ac:dyDescent="0.35">
      <c r="A96" s="4" t="s">
        <v>112</v>
      </c>
      <c r="B96" s="19" t="s">
        <v>19</v>
      </c>
      <c r="C96" s="19" t="s">
        <v>20</v>
      </c>
      <c r="D96" s="19">
        <v>10</v>
      </c>
      <c r="E96" s="19">
        <v>6671</v>
      </c>
      <c r="F96" s="19">
        <v>10198</v>
      </c>
      <c r="G96" s="19">
        <v>0</v>
      </c>
      <c r="H96" s="19">
        <v>0</v>
      </c>
      <c r="I96" s="19">
        <v>0</v>
      </c>
      <c r="J96" s="19">
        <v>12148</v>
      </c>
      <c r="K96" s="19">
        <v>4721</v>
      </c>
      <c r="L96" s="19">
        <f t="shared" si="0"/>
        <v>4721</v>
      </c>
      <c r="M96" s="19">
        <v>27</v>
      </c>
      <c r="N96" s="20">
        <f t="shared" si="14"/>
        <v>10.492838327296674</v>
      </c>
      <c r="P96" s="6">
        <v>2031</v>
      </c>
      <c r="Q96" s="7">
        <f t="shared" si="1"/>
        <v>24672588</v>
      </c>
      <c r="R96" s="7">
        <f t="shared" si="2"/>
        <v>9588351</v>
      </c>
    </row>
    <row r="97" spans="1:18" ht="15.75" customHeight="1" x14ac:dyDescent="0.35">
      <c r="A97" s="4" t="s">
        <v>113</v>
      </c>
      <c r="B97" s="19" t="s">
        <v>19</v>
      </c>
      <c r="C97" s="19" t="s">
        <v>20</v>
      </c>
      <c r="D97" s="19">
        <v>10</v>
      </c>
      <c r="E97" s="19">
        <v>1000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1000</v>
      </c>
      <c r="L97" s="19">
        <f t="shared" si="0"/>
        <v>1000</v>
      </c>
      <c r="M97" s="19">
        <v>27</v>
      </c>
      <c r="N97" s="20">
        <v>0</v>
      </c>
      <c r="P97" s="6">
        <v>2642</v>
      </c>
      <c r="Q97" s="7">
        <f t="shared" si="1"/>
        <v>0</v>
      </c>
      <c r="R97" s="7">
        <f t="shared" si="2"/>
        <v>2642000</v>
      </c>
    </row>
    <row r="98" spans="1:18" ht="15.75" customHeight="1" x14ac:dyDescent="0.35">
      <c r="A98" s="4" t="s">
        <v>114</v>
      </c>
      <c r="B98" s="19" t="s">
        <v>19</v>
      </c>
      <c r="C98" s="19" t="s">
        <v>20</v>
      </c>
      <c r="D98" s="19">
        <v>10</v>
      </c>
      <c r="E98" s="19">
        <v>750</v>
      </c>
      <c r="F98" s="19">
        <v>1050</v>
      </c>
      <c r="G98" s="19">
        <v>0</v>
      </c>
      <c r="H98" s="19">
        <v>0</v>
      </c>
      <c r="I98" s="19">
        <v>0</v>
      </c>
      <c r="J98" s="19">
        <v>1800</v>
      </c>
      <c r="K98" s="19">
        <v>0</v>
      </c>
      <c r="L98" s="19">
        <f t="shared" si="0"/>
        <v>0</v>
      </c>
      <c r="M98" s="19">
        <v>27</v>
      </c>
      <c r="N98" s="20">
        <f>(L98/(I98+J98))*M98</f>
        <v>0</v>
      </c>
      <c r="P98" s="6">
        <v>2642</v>
      </c>
      <c r="Q98" s="7">
        <f t="shared" si="1"/>
        <v>4755600</v>
      </c>
      <c r="R98" s="7">
        <f t="shared" si="2"/>
        <v>0</v>
      </c>
    </row>
    <row r="99" spans="1:18" ht="15.75" customHeight="1" x14ac:dyDescent="0.35">
      <c r="A99" s="4" t="s">
        <v>115</v>
      </c>
      <c r="B99" s="19" t="s">
        <v>19</v>
      </c>
      <c r="C99" s="19" t="s">
        <v>20</v>
      </c>
      <c r="D99" s="19">
        <v>10</v>
      </c>
      <c r="E99" s="19">
        <v>450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450</v>
      </c>
      <c r="L99" s="19">
        <f t="shared" si="0"/>
        <v>450</v>
      </c>
      <c r="M99" s="19">
        <v>27</v>
      </c>
      <c r="N99" s="20">
        <v>0</v>
      </c>
      <c r="P99" s="6">
        <v>2488</v>
      </c>
      <c r="Q99" s="7">
        <f t="shared" si="1"/>
        <v>0</v>
      </c>
      <c r="R99" s="7">
        <f t="shared" si="2"/>
        <v>1119600</v>
      </c>
    </row>
    <row r="100" spans="1:18" ht="15.75" customHeight="1" x14ac:dyDescent="0.35">
      <c r="A100" s="4" t="s">
        <v>116</v>
      </c>
      <c r="B100" s="19" t="s">
        <v>19</v>
      </c>
      <c r="C100" s="19" t="s">
        <v>20</v>
      </c>
      <c r="D100" s="19">
        <v>10</v>
      </c>
      <c r="E100" s="19">
        <v>3600</v>
      </c>
      <c r="F100" s="19">
        <v>0</v>
      </c>
      <c r="G100" s="19">
        <v>0</v>
      </c>
      <c r="H100" s="19">
        <v>0</v>
      </c>
      <c r="I100" s="19">
        <v>0</v>
      </c>
      <c r="J100" s="19">
        <v>1725</v>
      </c>
      <c r="K100" s="19">
        <v>1875</v>
      </c>
      <c r="L100" s="19">
        <f t="shared" si="0"/>
        <v>1875</v>
      </c>
      <c r="M100" s="19">
        <v>27</v>
      </c>
      <c r="N100" s="20">
        <f t="shared" ref="N100:N102" si="15">(L100/(I100+J100))*M100</f>
        <v>29.34782608695652</v>
      </c>
      <c r="P100" s="6">
        <v>2431</v>
      </c>
      <c r="Q100" s="7">
        <f t="shared" si="1"/>
        <v>4193475</v>
      </c>
      <c r="R100" s="7">
        <f t="shared" si="2"/>
        <v>4558125</v>
      </c>
    </row>
    <row r="101" spans="1:18" ht="15.75" customHeight="1" x14ac:dyDescent="0.35">
      <c r="A101" s="4" t="s">
        <v>117</v>
      </c>
      <c r="B101" s="19" t="s">
        <v>19</v>
      </c>
      <c r="C101" s="19" t="s">
        <v>20</v>
      </c>
      <c r="D101" s="19">
        <v>10</v>
      </c>
      <c r="E101" s="19">
        <v>3804</v>
      </c>
      <c r="F101" s="19">
        <v>7274</v>
      </c>
      <c r="G101" s="19">
        <v>0</v>
      </c>
      <c r="H101" s="19">
        <v>0</v>
      </c>
      <c r="I101" s="19">
        <v>0</v>
      </c>
      <c r="J101" s="19">
        <v>3960</v>
      </c>
      <c r="K101" s="19">
        <v>7118</v>
      </c>
      <c r="L101" s="19">
        <f t="shared" si="0"/>
        <v>7118</v>
      </c>
      <c r="M101" s="19">
        <v>27</v>
      </c>
      <c r="N101" s="20">
        <f t="shared" si="15"/>
        <v>48.531818181818181</v>
      </c>
      <c r="P101" s="6">
        <v>4592</v>
      </c>
      <c r="Q101" s="7">
        <f t="shared" si="1"/>
        <v>18184320</v>
      </c>
      <c r="R101" s="7">
        <f t="shared" si="2"/>
        <v>32685856</v>
      </c>
    </row>
    <row r="102" spans="1:18" ht="15.75" customHeight="1" x14ac:dyDescent="0.35">
      <c r="A102" s="4" t="s">
        <v>118</v>
      </c>
      <c r="B102" s="19" t="s">
        <v>19</v>
      </c>
      <c r="C102" s="19" t="s">
        <v>20</v>
      </c>
      <c r="D102" s="19">
        <v>10</v>
      </c>
      <c r="E102" s="19">
        <v>2350</v>
      </c>
      <c r="F102" s="19">
        <v>825</v>
      </c>
      <c r="G102" s="19">
        <v>0</v>
      </c>
      <c r="H102" s="19">
        <v>0</v>
      </c>
      <c r="I102" s="19">
        <v>0</v>
      </c>
      <c r="J102" s="19">
        <v>1250</v>
      </c>
      <c r="K102" s="19">
        <v>1925</v>
      </c>
      <c r="L102" s="19">
        <f t="shared" si="0"/>
        <v>1925</v>
      </c>
      <c r="M102" s="19">
        <v>27</v>
      </c>
      <c r="N102" s="20">
        <f t="shared" si="15"/>
        <v>41.58</v>
      </c>
      <c r="P102" s="6">
        <v>2297</v>
      </c>
      <c r="Q102" s="7">
        <f t="shared" si="1"/>
        <v>2871250</v>
      </c>
      <c r="R102" s="7">
        <f t="shared" si="2"/>
        <v>4421725</v>
      </c>
    </row>
    <row r="103" spans="1:18" ht="15.75" customHeight="1" x14ac:dyDescent="0.35">
      <c r="A103" s="4" t="s">
        <v>119</v>
      </c>
      <c r="B103" s="19" t="s">
        <v>19</v>
      </c>
      <c r="C103" s="19" t="s">
        <v>20</v>
      </c>
      <c r="D103" s="19">
        <v>10</v>
      </c>
      <c r="E103" s="19">
        <v>2875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2875</v>
      </c>
      <c r="L103" s="19">
        <f t="shared" si="0"/>
        <v>2875</v>
      </c>
      <c r="M103" s="19">
        <v>27</v>
      </c>
      <c r="N103" s="20">
        <v>0</v>
      </c>
      <c r="P103" s="6">
        <v>2616</v>
      </c>
      <c r="Q103" s="7">
        <f t="shared" si="1"/>
        <v>0</v>
      </c>
      <c r="R103" s="7">
        <f t="shared" si="2"/>
        <v>7521000</v>
      </c>
    </row>
    <row r="104" spans="1:18" ht="15.75" customHeight="1" x14ac:dyDescent="0.35">
      <c r="A104" s="4" t="s">
        <v>120</v>
      </c>
      <c r="B104" s="19" t="s">
        <v>19</v>
      </c>
      <c r="C104" s="19" t="s">
        <v>20</v>
      </c>
      <c r="D104" s="19">
        <v>10</v>
      </c>
      <c r="E104" s="19">
        <v>9897</v>
      </c>
      <c r="F104" s="19">
        <v>14254</v>
      </c>
      <c r="G104" s="19">
        <v>0</v>
      </c>
      <c r="H104" s="19">
        <v>0</v>
      </c>
      <c r="I104" s="19">
        <v>0</v>
      </c>
      <c r="J104" s="19">
        <v>14551</v>
      </c>
      <c r="K104" s="19">
        <v>9600</v>
      </c>
      <c r="L104" s="19">
        <f t="shared" si="0"/>
        <v>9600</v>
      </c>
      <c r="M104" s="19">
        <v>27</v>
      </c>
      <c r="N104" s="20">
        <f>(L104/(I104+J104))*M104</f>
        <v>17.813208714177719</v>
      </c>
      <c r="P104" s="6">
        <v>1419</v>
      </c>
      <c r="Q104" s="7">
        <f t="shared" si="1"/>
        <v>20647869</v>
      </c>
      <c r="R104" s="7">
        <f t="shared" si="2"/>
        <v>13622400</v>
      </c>
    </row>
    <row r="105" spans="1:18" ht="15.75" customHeight="1" x14ac:dyDescent="0.35">
      <c r="A105" s="4" t="s">
        <v>121</v>
      </c>
      <c r="B105" s="19" t="s">
        <v>19</v>
      </c>
      <c r="C105" s="19" t="s">
        <v>20</v>
      </c>
      <c r="D105" s="19">
        <v>10</v>
      </c>
      <c r="E105" s="19">
        <v>3244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3244</v>
      </c>
      <c r="L105" s="19">
        <f t="shared" si="0"/>
        <v>3244</v>
      </c>
      <c r="M105" s="19">
        <v>27</v>
      </c>
      <c r="N105" s="20">
        <v>0</v>
      </c>
      <c r="P105" s="6">
        <v>2616</v>
      </c>
      <c r="Q105" s="7">
        <f t="shared" si="1"/>
        <v>0</v>
      </c>
      <c r="R105" s="7">
        <f t="shared" si="2"/>
        <v>8486304</v>
      </c>
    </row>
    <row r="106" spans="1:18" ht="15.75" customHeight="1" x14ac:dyDescent="0.35">
      <c r="A106" s="4" t="s">
        <v>122</v>
      </c>
      <c r="B106" s="19" t="s">
        <v>19</v>
      </c>
      <c r="C106" s="19" t="s">
        <v>20</v>
      </c>
      <c r="D106" s="19">
        <v>10</v>
      </c>
      <c r="E106" s="19">
        <v>1519</v>
      </c>
      <c r="F106" s="19">
        <v>9420</v>
      </c>
      <c r="G106" s="19">
        <v>0</v>
      </c>
      <c r="H106" s="19">
        <v>0</v>
      </c>
      <c r="I106" s="19">
        <v>5750</v>
      </c>
      <c r="J106" s="19">
        <v>0</v>
      </c>
      <c r="K106" s="19">
        <v>5189</v>
      </c>
      <c r="L106" s="19">
        <f t="shared" si="0"/>
        <v>5189</v>
      </c>
      <c r="M106" s="19">
        <v>27</v>
      </c>
      <c r="N106" s="20">
        <f t="shared" ref="N106:N118" si="16">(L106/(I106+J106))*M106</f>
        <v>24.365739130434783</v>
      </c>
      <c r="P106" s="6">
        <v>2246</v>
      </c>
      <c r="Q106" s="7">
        <f t="shared" si="1"/>
        <v>12914500</v>
      </c>
      <c r="R106" s="7">
        <f t="shared" si="2"/>
        <v>11654494</v>
      </c>
    </row>
    <row r="107" spans="1:18" ht="15.75" customHeight="1" x14ac:dyDescent="0.35">
      <c r="A107" s="4" t="s">
        <v>123</v>
      </c>
      <c r="B107" s="19" t="s">
        <v>19</v>
      </c>
      <c r="C107" s="19" t="s">
        <v>20</v>
      </c>
      <c r="D107" s="19">
        <v>10</v>
      </c>
      <c r="E107" s="19">
        <v>6347</v>
      </c>
      <c r="F107" s="19">
        <v>6630</v>
      </c>
      <c r="G107" s="19">
        <v>0</v>
      </c>
      <c r="H107" s="19">
        <v>0</v>
      </c>
      <c r="I107" s="19">
        <v>675</v>
      </c>
      <c r="J107" s="19">
        <v>0</v>
      </c>
      <c r="K107" s="19">
        <v>12302</v>
      </c>
      <c r="L107" s="19">
        <f t="shared" si="0"/>
        <v>12302</v>
      </c>
      <c r="M107" s="19">
        <v>27</v>
      </c>
      <c r="N107" s="20">
        <f t="shared" si="16"/>
        <v>492.08000000000004</v>
      </c>
      <c r="P107" s="6">
        <v>2355</v>
      </c>
      <c r="Q107" s="7">
        <f t="shared" si="1"/>
        <v>1589625</v>
      </c>
      <c r="R107" s="7">
        <f t="shared" si="2"/>
        <v>28971210</v>
      </c>
    </row>
    <row r="108" spans="1:18" ht="15.75" customHeight="1" x14ac:dyDescent="0.35">
      <c r="A108" s="4" t="s">
        <v>124</v>
      </c>
      <c r="B108" s="19" t="s">
        <v>19</v>
      </c>
      <c r="C108" s="19" t="s">
        <v>20</v>
      </c>
      <c r="D108" s="19">
        <v>10</v>
      </c>
      <c r="E108" s="19">
        <v>5266</v>
      </c>
      <c r="F108" s="19">
        <v>5722</v>
      </c>
      <c r="G108" s="19">
        <v>0</v>
      </c>
      <c r="H108" s="19">
        <v>0</v>
      </c>
      <c r="I108" s="19">
        <v>0</v>
      </c>
      <c r="J108" s="19">
        <v>9125</v>
      </c>
      <c r="K108" s="19">
        <v>1863</v>
      </c>
      <c r="L108" s="19">
        <f t="shared" si="0"/>
        <v>1863</v>
      </c>
      <c r="M108" s="19">
        <v>27</v>
      </c>
      <c r="N108" s="20">
        <f t="shared" si="16"/>
        <v>5.5124383561643837</v>
      </c>
      <c r="P108" s="6">
        <v>2031</v>
      </c>
      <c r="Q108" s="7">
        <f t="shared" si="1"/>
        <v>18532875</v>
      </c>
      <c r="R108" s="7">
        <f t="shared" si="2"/>
        <v>3783753</v>
      </c>
    </row>
    <row r="109" spans="1:18" ht="15.75" customHeight="1" x14ac:dyDescent="0.35">
      <c r="A109" s="4" t="s">
        <v>125</v>
      </c>
      <c r="B109" s="19" t="s">
        <v>19</v>
      </c>
      <c r="C109" s="19" t="s">
        <v>20</v>
      </c>
      <c r="D109" s="19">
        <v>10</v>
      </c>
      <c r="E109" s="19">
        <v>2025</v>
      </c>
      <c r="F109" s="19">
        <v>1000</v>
      </c>
      <c r="G109" s="19">
        <v>0</v>
      </c>
      <c r="H109" s="19">
        <v>0</v>
      </c>
      <c r="I109" s="19">
        <v>25</v>
      </c>
      <c r="J109" s="19">
        <v>0</v>
      </c>
      <c r="K109" s="19">
        <v>3000</v>
      </c>
      <c r="L109" s="19">
        <f t="shared" si="0"/>
        <v>3000</v>
      </c>
      <c r="M109" s="19">
        <v>27</v>
      </c>
      <c r="N109" s="20">
        <f t="shared" si="16"/>
        <v>3240</v>
      </c>
      <c r="P109" s="6">
        <v>2108</v>
      </c>
      <c r="Q109" s="7">
        <f t="shared" si="1"/>
        <v>52700</v>
      </c>
      <c r="R109" s="7">
        <f t="shared" si="2"/>
        <v>6324000</v>
      </c>
    </row>
    <row r="110" spans="1:18" ht="15.75" customHeight="1" x14ac:dyDescent="0.35">
      <c r="A110" s="4" t="s">
        <v>126</v>
      </c>
      <c r="B110" s="19" t="s">
        <v>19</v>
      </c>
      <c r="C110" s="19" t="s">
        <v>20</v>
      </c>
      <c r="D110" s="19">
        <v>10</v>
      </c>
      <c r="E110" s="19">
        <v>1575</v>
      </c>
      <c r="F110" s="19">
        <v>1000</v>
      </c>
      <c r="G110" s="19">
        <v>0</v>
      </c>
      <c r="H110" s="19">
        <v>0</v>
      </c>
      <c r="I110" s="19">
        <v>1000</v>
      </c>
      <c r="J110" s="19">
        <v>0</v>
      </c>
      <c r="K110" s="19">
        <v>1575</v>
      </c>
      <c r="L110" s="19">
        <f t="shared" si="0"/>
        <v>1575</v>
      </c>
      <c r="M110" s="19">
        <v>27</v>
      </c>
      <c r="N110" s="20">
        <f t="shared" si="16"/>
        <v>42.524999999999999</v>
      </c>
      <c r="P110" s="6">
        <v>2173</v>
      </c>
      <c r="Q110" s="7">
        <f t="shared" si="1"/>
        <v>2173000</v>
      </c>
      <c r="R110" s="7">
        <f t="shared" si="2"/>
        <v>3422475</v>
      </c>
    </row>
    <row r="111" spans="1:18" ht="15.75" customHeight="1" x14ac:dyDescent="0.35">
      <c r="A111" s="4" t="s">
        <v>130</v>
      </c>
      <c r="B111" s="19" t="s">
        <v>19</v>
      </c>
      <c r="C111" s="19" t="s">
        <v>20</v>
      </c>
      <c r="D111" s="19">
        <v>10</v>
      </c>
      <c r="E111" s="19">
        <v>2075</v>
      </c>
      <c r="F111" s="19">
        <v>3150</v>
      </c>
      <c r="G111" s="19">
        <v>0</v>
      </c>
      <c r="H111" s="19">
        <v>0</v>
      </c>
      <c r="I111" s="19">
        <v>3125</v>
      </c>
      <c r="J111" s="19">
        <v>0</v>
      </c>
      <c r="K111" s="19">
        <v>2100</v>
      </c>
      <c r="L111" s="19">
        <f t="shared" si="0"/>
        <v>2100</v>
      </c>
      <c r="M111" s="19">
        <v>27</v>
      </c>
      <c r="N111" s="20">
        <f t="shared" si="16"/>
        <v>18.144000000000002</v>
      </c>
      <c r="P111" s="6">
        <v>2503</v>
      </c>
      <c r="Q111" s="7">
        <f t="shared" si="1"/>
        <v>7821875</v>
      </c>
      <c r="R111" s="7">
        <f t="shared" si="2"/>
        <v>5256300</v>
      </c>
    </row>
    <row r="112" spans="1:18" ht="15.75" customHeight="1" x14ac:dyDescent="0.35">
      <c r="A112" s="4" t="s">
        <v>131</v>
      </c>
      <c r="B112" s="19" t="s">
        <v>19</v>
      </c>
      <c r="C112" s="19" t="s">
        <v>20</v>
      </c>
      <c r="D112" s="19">
        <v>10</v>
      </c>
      <c r="E112" s="19">
        <v>2125</v>
      </c>
      <c r="F112" s="19">
        <v>3637</v>
      </c>
      <c r="G112" s="19">
        <v>0</v>
      </c>
      <c r="H112" s="19">
        <v>0</v>
      </c>
      <c r="I112" s="19">
        <v>5762</v>
      </c>
      <c r="J112" s="19">
        <v>0</v>
      </c>
      <c r="K112" s="19">
        <v>0</v>
      </c>
      <c r="L112" s="19">
        <f t="shared" si="0"/>
        <v>0</v>
      </c>
      <c r="M112" s="19">
        <v>27</v>
      </c>
      <c r="N112" s="20">
        <f t="shared" si="16"/>
        <v>0</v>
      </c>
      <c r="P112" s="6">
        <v>2355</v>
      </c>
      <c r="Q112" s="7">
        <f t="shared" si="1"/>
        <v>13569510</v>
      </c>
      <c r="R112" s="7">
        <f t="shared" si="2"/>
        <v>0</v>
      </c>
    </row>
    <row r="113" spans="1:18" ht="15.75" customHeight="1" x14ac:dyDescent="0.35">
      <c r="A113" s="4" t="s">
        <v>132</v>
      </c>
      <c r="B113" s="19" t="s">
        <v>19</v>
      </c>
      <c r="C113" s="19" t="s">
        <v>20</v>
      </c>
      <c r="D113" s="19">
        <v>10</v>
      </c>
      <c r="E113" s="19">
        <v>2465</v>
      </c>
      <c r="F113" s="19">
        <v>0</v>
      </c>
      <c r="G113" s="19">
        <v>0</v>
      </c>
      <c r="H113" s="19">
        <v>0</v>
      </c>
      <c r="I113" s="19">
        <v>400</v>
      </c>
      <c r="J113" s="19">
        <v>0</v>
      </c>
      <c r="K113" s="19">
        <v>2065</v>
      </c>
      <c r="L113" s="19">
        <f t="shared" si="0"/>
        <v>2065</v>
      </c>
      <c r="M113" s="19">
        <v>27</v>
      </c>
      <c r="N113" s="20">
        <f t="shared" si="16"/>
        <v>139.38749999999999</v>
      </c>
      <c r="P113" s="6">
        <v>2216</v>
      </c>
      <c r="Q113" s="7">
        <f t="shared" si="1"/>
        <v>886400</v>
      </c>
      <c r="R113" s="7">
        <f t="shared" si="2"/>
        <v>4576040</v>
      </c>
    </row>
    <row r="114" spans="1:18" ht="15.75" customHeight="1" x14ac:dyDescent="0.35">
      <c r="A114" s="4" t="s">
        <v>133</v>
      </c>
      <c r="B114" s="19" t="s">
        <v>19</v>
      </c>
      <c r="C114" s="19" t="s">
        <v>20</v>
      </c>
      <c r="D114" s="19">
        <v>10</v>
      </c>
      <c r="E114" s="19">
        <v>900</v>
      </c>
      <c r="F114" s="19">
        <v>2100</v>
      </c>
      <c r="G114" s="19">
        <v>0</v>
      </c>
      <c r="H114" s="19">
        <v>0</v>
      </c>
      <c r="I114" s="19">
        <v>400</v>
      </c>
      <c r="J114" s="19">
        <v>0</v>
      </c>
      <c r="K114" s="19">
        <v>2600</v>
      </c>
      <c r="L114" s="19">
        <f t="shared" si="0"/>
        <v>2600</v>
      </c>
      <c r="M114" s="19">
        <v>27</v>
      </c>
      <c r="N114" s="20">
        <f t="shared" si="16"/>
        <v>175.5</v>
      </c>
      <c r="P114" s="6">
        <v>1968</v>
      </c>
      <c r="Q114" s="7">
        <f t="shared" si="1"/>
        <v>787200</v>
      </c>
      <c r="R114" s="7">
        <f t="shared" si="2"/>
        <v>5116800</v>
      </c>
    </row>
    <row r="115" spans="1:18" ht="15.75" customHeight="1" x14ac:dyDescent="0.35">
      <c r="A115" s="4" t="s">
        <v>192</v>
      </c>
      <c r="B115" s="19" t="s">
        <v>19</v>
      </c>
      <c r="C115" s="19" t="s">
        <v>20</v>
      </c>
      <c r="D115" s="19">
        <v>10</v>
      </c>
      <c r="E115" s="19">
        <v>2800</v>
      </c>
      <c r="F115" s="19">
        <v>2000</v>
      </c>
      <c r="G115" s="19">
        <v>0</v>
      </c>
      <c r="H115" s="19">
        <v>0</v>
      </c>
      <c r="I115" s="19">
        <v>0</v>
      </c>
      <c r="J115" s="19">
        <v>2800</v>
      </c>
      <c r="K115" s="19">
        <v>2000</v>
      </c>
      <c r="L115" s="19">
        <f t="shared" si="0"/>
        <v>2000</v>
      </c>
      <c r="M115" s="19">
        <v>27</v>
      </c>
      <c r="N115" s="20">
        <f t="shared" si="16"/>
        <v>19.285714285714285</v>
      </c>
      <c r="P115" s="6">
        <v>2297</v>
      </c>
      <c r="Q115" s="7">
        <f t="shared" si="1"/>
        <v>6431600</v>
      </c>
      <c r="R115" s="7">
        <f t="shared" si="2"/>
        <v>4594000</v>
      </c>
    </row>
    <row r="116" spans="1:18" ht="15.75" customHeight="1" x14ac:dyDescent="0.35">
      <c r="A116" s="4" t="s">
        <v>193</v>
      </c>
      <c r="B116" s="19" t="s">
        <v>19</v>
      </c>
      <c r="C116" s="19" t="s">
        <v>20</v>
      </c>
      <c r="D116" s="19">
        <v>10</v>
      </c>
      <c r="E116" s="19">
        <v>2500</v>
      </c>
      <c r="F116" s="19">
        <v>0</v>
      </c>
      <c r="G116" s="19">
        <v>0</v>
      </c>
      <c r="H116" s="19">
        <v>0</v>
      </c>
      <c r="I116" s="19">
        <v>0</v>
      </c>
      <c r="J116" s="19">
        <v>225</v>
      </c>
      <c r="K116" s="19">
        <v>2275</v>
      </c>
      <c r="L116" s="19">
        <f t="shared" si="0"/>
        <v>2275</v>
      </c>
      <c r="M116" s="19">
        <v>27</v>
      </c>
      <c r="N116" s="20">
        <f t="shared" si="16"/>
        <v>273</v>
      </c>
      <c r="P116" s="6">
        <v>2616</v>
      </c>
      <c r="Q116" s="7">
        <f t="shared" si="1"/>
        <v>588600</v>
      </c>
      <c r="R116" s="7">
        <f t="shared" si="2"/>
        <v>5951400</v>
      </c>
    </row>
    <row r="117" spans="1:18" ht="15.75" customHeight="1" x14ac:dyDescent="0.35">
      <c r="A117" s="4" t="s">
        <v>137</v>
      </c>
      <c r="B117" s="19" t="s">
        <v>19</v>
      </c>
      <c r="C117" s="19" t="s">
        <v>20</v>
      </c>
      <c r="D117" s="19">
        <v>10</v>
      </c>
      <c r="E117" s="19">
        <v>1479</v>
      </c>
      <c r="F117" s="19">
        <v>1050</v>
      </c>
      <c r="G117" s="19">
        <v>0</v>
      </c>
      <c r="H117" s="19">
        <v>0</v>
      </c>
      <c r="I117" s="19">
        <v>375</v>
      </c>
      <c r="J117" s="19">
        <v>0</v>
      </c>
      <c r="K117" s="19">
        <v>2154</v>
      </c>
      <c r="L117" s="19">
        <f t="shared" si="0"/>
        <v>2154</v>
      </c>
      <c r="M117" s="19">
        <v>27</v>
      </c>
      <c r="N117" s="20">
        <f t="shared" si="16"/>
        <v>155.08799999999999</v>
      </c>
      <c r="P117" s="6">
        <v>2355</v>
      </c>
      <c r="Q117" s="7">
        <f t="shared" si="1"/>
        <v>883125</v>
      </c>
      <c r="R117" s="7">
        <f t="shared" si="2"/>
        <v>5072670</v>
      </c>
    </row>
    <row r="118" spans="1:18" ht="15.75" customHeight="1" x14ac:dyDescent="0.35">
      <c r="A118" s="4" t="s">
        <v>138</v>
      </c>
      <c r="B118" s="19" t="s">
        <v>19</v>
      </c>
      <c r="C118" s="19" t="s">
        <v>20</v>
      </c>
      <c r="D118" s="19">
        <v>10</v>
      </c>
      <c r="E118" s="19">
        <v>1700</v>
      </c>
      <c r="F118" s="19">
        <v>0</v>
      </c>
      <c r="G118" s="19">
        <v>0</v>
      </c>
      <c r="H118" s="19">
        <v>0</v>
      </c>
      <c r="I118" s="19">
        <v>750</v>
      </c>
      <c r="J118" s="19">
        <v>0</v>
      </c>
      <c r="K118" s="19">
        <v>950</v>
      </c>
      <c r="L118" s="19">
        <f t="shared" si="0"/>
        <v>950</v>
      </c>
      <c r="M118" s="19">
        <v>27</v>
      </c>
      <c r="N118" s="20">
        <f t="shared" si="16"/>
        <v>34.199999999999996</v>
      </c>
      <c r="P118" s="6">
        <v>2372</v>
      </c>
      <c r="Q118" s="7">
        <f t="shared" si="1"/>
        <v>1779000</v>
      </c>
      <c r="R118" s="7">
        <f t="shared" si="2"/>
        <v>2253400</v>
      </c>
    </row>
    <row r="119" spans="1:18" ht="15.75" customHeight="1" x14ac:dyDescent="0.35">
      <c r="A119" s="4" t="s">
        <v>139</v>
      </c>
      <c r="B119" s="19" t="s">
        <v>19</v>
      </c>
      <c r="C119" s="19" t="s">
        <v>20</v>
      </c>
      <c r="D119" s="19">
        <v>10</v>
      </c>
      <c r="E119" s="19">
        <v>1225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1225</v>
      </c>
      <c r="L119" s="19">
        <f t="shared" si="0"/>
        <v>1225</v>
      </c>
      <c r="M119" s="19">
        <v>27</v>
      </c>
      <c r="N119" s="20">
        <v>0</v>
      </c>
      <c r="P119" s="6">
        <v>3482</v>
      </c>
      <c r="Q119" s="7">
        <f t="shared" si="1"/>
        <v>0</v>
      </c>
      <c r="R119" s="7">
        <f t="shared" si="2"/>
        <v>4265450</v>
      </c>
    </row>
    <row r="120" spans="1:18" ht="15.75" customHeight="1" x14ac:dyDescent="0.35">
      <c r="A120" s="4" t="s">
        <v>140</v>
      </c>
      <c r="B120" s="19" t="s">
        <v>19</v>
      </c>
      <c r="C120" s="19" t="s">
        <v>20</v>
      </c>
      <c r="D120" s="19">
        <v>10</v>
      </c>
      <c r="E120" s="19">
        <v>2100</v>
      </c>
      <c r="F120" s="19">
        <v>0</v>
      </c>
      <c r="G120" s="19">
        <v>0</v>
      </c>
      <c r="H120" s="19">
        <v>0</v>
      </c>
      <c r="I120" s="19">
        <v>1050</v>
      </c>
      <c r="J120" s="19">
        <v>0</v>
      </c>
      <c r="K120" s="19">
        <v>1050</v>
      </c>
      <c r="L120" s="19">
        <f t="shared" si="0"/>
        <v>1050</v>
      </c>
      <c r="M120" s="19">
        <v>27</v>
      </c>
      <c r="N120" s="20">
        <f t="shared" ref="N120:N122" si="17">(L120/(I120+J120))*M120</f>
        <v>27</v>
      </c>
      <c r="P120" s="6">
        <v>2555</v>
      </c>
      <c r="Q120" s="7">
        <f t="shared" si="1"/>
        <v>2682750</v>
      </c>
      <c r="R120" s="7">
        <f t="shared" si="2"/>
        <v>2682750</v>
      </c>
    </row>
    <row r="121" spans="1:18" ht="15.75" customHeight="1" x14ac:dyDescent="0.35">
      <c r="A121" s="4" t="s">
        <v>141</v>
      </c>
      <c r="B121" s="19" t="s">
        <v>19</v>
      </c>
      <c r="C121" s="19" t="s">
        <v>20</v>
      </c>
      <c r="D121" s="19">
        <v>10</v>
      </c>
      <c r="E121" s="19">
        <v>489</v>
      </c>
      <c r="F121" s="19">
        <v>2625</v>
      </c>
      <c r="G121" s="19">
        <v>0</v>
      </c>
      <c r="H121" s="19">
        <v>0</v>
      </c>
      <c r="I121" s="19">
        <v>1039</v>
      </c>
      <c r="J121" s="19">
        <v>0</v>
      </c>
      <c r="K121" s="19">
        <v>2075</v>
      </c>
      <c r="L121" s="19">
        <f t="shared" si="0"/>
        <v>2075</v>
      </c>
      <c r="M121" s="19">
        <v>27</v>
      </c>
      <c r="N121" s="20">
        <f t="shared" si="17"/>
        <v>53.92204042348412</v>
      </c>
      <c r="P121" s="6">
        <v>3665</v>
      </c>
      <c r="Q121" s="7">
        <f t="shared" si="1"/>
        <v>3807935</v>
      </c>
      <c r="R121" s="7">
        <f t="shared" si="2"/>
        <v>7604875</v>
      </c>
    </row>
    <row r="122" spans="1:18" ht="15.75" customHeight="1" x14ac:dyDescent="0.35">
      <c r="A122" s="4" t="s">
        <v>142</v>
      </c>
      <c r="B122" s="19" t="s">
        <v>19</v>
      </c>
      <c r="C122" s="19" t="s">
        <v>20</v>
      </c>
      <c r="D122" s="19">
        <v>10</v>
      </c>
      <c r="E122" s="19">
        <v>1522</v>
      </c>
      <c r="F122" s="19">
        <v>0</v>
      </c>
      <c r="G122" s="19">
        <v>0</v>
      </c>
      <c r="H122" s="19">
        <v>0</v>
      </c>
      <c r="I122" s="19">
        <v>1522</v>
      </c>
      <c r="J122" s="19">
        <v>0</v>
      </c>
      <c r="K122" s="19">
        <v>0</v>
      </c>
      <c r="L122" s="19">
        <f t="shared" si="0"/>
        <v>0</v>
      </c>
      <c r="M122" s="19">
        <v>27</v>
      </c>
      <c r="N122" s="20">
        <f t="shared" si="17"/>
        <v>0</v>
      </c>
      <c r="P122" s="6">
        <v>1904</v>
      </c>
      <c r="Q122" s="7">
        <f t="shared" si="1"/>
        <v>2897888</v>
      </c>
      <c r="R122" s="7">
        <f t="shared" si="2"/>
        <v>0</v>
      </c>
    </row>
    <row r="123" spans="1:18" ht="15.75" customHeight="1" x14ac:dyDescent="0.35">
      <c r="A123" s="4" t="s">
        <v>143</v>
      </c>
      <c r="B123" s="19" t="s">
        <v>19</v>
      </c>
      <c r="C123" s="19" t="s">
        <v>20</v>
      </c>
      <c r="D123" s="19">
        <v>10</v>
      </c>
      <c r="E123" s="19">
        <v>3400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3400</v>
      </c>
      <c r="L123" s="19">
        <f t="shared" si="0"/>
        <v>3400</v>
      </c>
      <c r="M123" s="19">
        <v>27</v>
      </c>
      <c r="N123" s="20">
        <v>0</v>
      </c>
      <c r="P123" s="6">
        <v>994</v>
      </c>
      <c r="Q123" s="7">
        <f t="shared" si="1"/>
        <v>0</v>
      </c>
      <c r="R123" s="7">
        <f t="shared" si="2"/>
        <v>3379600</v>
      </c>
    </row>
    <row r="124" spans="1:18" ht="15.75" customHeight="1" x14ac:dyDescent="0.35">
      <c r="A124" s="4" t="s">
        <v>144</v>
      </c>
      <c r="B124" s="19" t="s">
        <v>19</v>
      </c>
      <c r="C124" s="19" t="s">
        <v>20</v>
      </c>
      <c r="D124" s="19">
        <v>10</v>
      </c>
      <c r="E124" s="19">
        <v>3000</v>
      </c>
      <c r="F124" s="19">
        <v>2500</v>
      </c>
      <c r="G124" s="19">
        <v>0</v>
      </c>
      <c r="H124" s="19">
        <v>0</v>
      </c>
      <c r="I124" s="19">
        <v>0</v>
      </c>
      <c r="J124" s="19">
        <v>2500</v>
      </c>
      <c r="K124" s="19">
        <v>3000</v>
      </c>
      <c r="L124" s="19">
        <f t="shared" si="0"/>
        <v>3000</v>
      </c>
      <c r="M124" s="19">
        <v>27</v>
      </c>
      <c r="N124" s="20">
        <f t="shared" ref="N124:N131" si="18">(L124/(I124+J124))*M124</f>
        <v>32.4</v>
      </c>
      <c r="P124" s="6">
        <v>994</v>
      </c>
      <c r="Q124" s="7">
        <f t="shared" si="1"/>
        <v>2485000</v>
      </c>
      <c r="R124" s="7">
        <f t="shared" si="2"/>
        <v>2982000</v>
      </c>
    </row>
    <row r="125" spans="1:18" ht="15.75" customHeight="1" x14ac:dyDescent="0.35">
      <c r="A125" s="4" t="s">
        <v>145</v>
      </c>
      <c r="B125" s="19" t="s">
        <v>19</v>
      </c>
      <c r="C125" s="19" t="s">
        <v>20</v>
      </c>
      <c r="D125" s="19">
        <v>10</v>
      </c>
      <c r="E125" s="19">
        <v>1295</v>
      </c>
      <c r="F125" s="19">
        <v>0</v>
      </c>
      <c r="G125" s="19">
        <v>0</v>
      </c>
      <c r="H125" s="19">
        <v>0</v>
      </c>
      <c r="I125" s="19">
        <v>0</v>
      </c>
      <c r="J125" s="19">
        <v>1020</v>
      </c>
      <c r="K125" s="19">
        <v>275</v>
      </c>
      <c r="L125" s="19">
        <f t="shared" si="0"/>
        <v>275</v>
      </c>
      <c r="M125" s="19">
        <v>27</v>
      </c>
      <c r="N125" s="20">
        <f t="shared" si="18"/>
        <v>7.2794117647058822</v>
      </c>
      <c r="P125" s="6">
        <v>3489</v>
      </c>
      <c r="Q125" s="7">
        <f t="shared" si="1"/>
        <v>3558780</v>
      </c>
      <c r="R125" s="7">
        <f t="shared" si="2"/>
        <v>959475</v>
      </c>
    </row>
    <row r="126" spans="1:18" ht="15.75" customHeight="1" x14ac:dyDescent="0.35">
      <c r="A126" s="4" t="s">
        <v>175</v>
      </c>
      <c r="B126" s="19" t="s">
        <v>19</v>
      </c>
      <c r="C126" s="19" t="s">
        <v>20</v>
      </c>
      <c r="D126" s="19">
        <v>10</v>
      </c>
      <c r="E126" s="19">
        <v>750</v>
      </c>
      <c r="F126" s="19">
        <v>1050</v>
      </c>
      <c r="G126" s="19">
        <v>0</v>
      </c>
      <c r="H126" s="19">
        <v>0</v>
      </c>
      <c r="I126" s="19">
        <v>250</v>
      </c>
      <c r="J126" s="19">
        <v>0</v>
      </c>
      <c r="K126" s="19">
        <v>1550</v>
      </c>
      <c r="L126" s="19">
        <f t="shared" si="0"/>
        <v>1550</v>
      </c>
      <c r="M126" s="19">
        <v>27</v>
      </c>
      <c r="N126" s="20">
        <f t="shared" si="18"/>
        <v>167.4</v>
      </c>
      <c r="P126" s="6">
        <v>3162</v>
      </c>
      <c r="Q126" s="7">
        <f t="shared" si="1"/>
        <v>790500</v>
      </c>
      <c r="R126" s="7">
        <f t="shared" si="2"/>
        <v>4901100</v>
      </c>
    </row>
    <row r="127" spans="1:18" ht="15.75" customHeight="1" x14ac:dyDescent="0.35">
      <c r="A127" s="4" t="s">
        <v>176</v>
      </c>
      <c r="B127" s="19" t="s">
        <v>19</v>
      </c>
      <c r="C127" s="19" t="s">
        <v>20</v>
      </c>
      <c r="D127" s="19">
        <v>10</v>
      </c>
      <c r="E127" s="19">
        <v>3809</v>
      </c>
      <c r="F127" s="19">
        <v>2100</v>
      </c>
      <c r="G127" s="19">
        <v>0</v>
      </c>
      <c r="H127" s="19">
        <v>0</v>
      </c>
      <c r="I127" s="19">
        <v>4115</v>
      </c>
      <c r="J127" s="19">
        <v>0</v>
      </c>
      <c r="K127" s="19">
        <v>1794</v>
      </c>
      <c r="L127" s="19">
        <f t="shared" si="0"/>
        <v>1794</v>
      </c>
      <c r="M127" s="19">
        <v>27</v>
      </c>
      <c r="N127" s="20">
        <f t="shared" si="18"/>
        <v>11.771081409477521</v>
      </c>
      <c r="P127" s="6">
        <v>3567</v>
      </c>
      <c r="Q127" s="7">
        <f t="shared" si="1"/>
        <v>14678205</v>
      </c>
      <c r="R127" s="7">
        <f t="shared" si="2"/>
        <v>6399198</v>
      </c>
    </row>
    <row r="128" spans="1:18" ht="15.75" customHeight="1" x14ac:dyDescent="0.35">
      <c r="A128" s="4" t="s">
        <v>177</v>
      </c>
      <c r="B128" s="19" t="s">
        <v>19</v>
      </c>
      <c r="C128" s="19" t="s">
        <v>20</v>
      </c>
      <c r="D128" s="19">
        <v>10</v>
      </c>
      <c r="E128" s="19">
        <v>1450</v>
      </c>
      <c r="F128" s="19">
        <v>0</v>
      </c>
      <c r="G128" s="19">
        <v>0</v>
      </c>
      <c r="H128" s="19">
        <v>0</v>
      </c>
      <c r="I128" s="19">
        <v>250</v>
      </c>
      <c r="J128" s="19">
        <v>0</v>
      </c>
      <c r="K128" s="19">
        <v>1200</v>
      </c>
      <c r="L128" s="19">
        <f t="shared" si="0"/>
        <v>1200</v>
      </c>
      <c r="M128" s="19">
        <v>27</v>
      </c>
      <c r="N128" s="20">
        <f t="shared" si="18"/>
        <v>129.6</v>
      </c>
      <c r="P128" s="6">
        <v>3850</v>
      </c>
      <c r="Q128" s="7">
        <f t="shared" si="1"/>
        <v>962500</v>
      </c>
      <c r="R128" s="7">
        <f t="shared" si="2"/>
        <v>4620000</v>
      </c>
    </row>
    <row r="129" spans="1:18" ht="15.75" customHeight="1" x14ac:dyDescent="0.35">
      <c r="A129" s="4" t="s">
        <v>178</v>
      </c>
      <c r="B129" s="19" t="s">
        <v>19</v>
      </c>
      <c r="C129" s="19" t="s">
        <v>20</v>
      </c>
      <c r="D129" s="19">
        <v>10</v>
      </c>
      <c r="E129" s="19">
        <v>1500</v>
      </c>
      <c r="F129" s="19">
        <v>0</v>
      </c>
      <c r="G129" s="19">
        <v>0</v>
      </c>
      <c r="H129" s="19">
        <v>0</v>
      </c>
      <c r="I129" s="19">
        <v>0</v>
      </c>
      <c r="J129" s="19">
        <v>500</v>
      </c>
      <c r="K129" s="19">
        <v>1000</v>
      </c>
      <c r="L129" s="19">
        <f t="shared" si="0"/>
        <v>1000</v>
      </c>
      <c r="M129" s="19">
        <v>27</v>
      </c>
      <c r="N129" s="20">
        <f t="shared" si="18"/>
        <v>54</v>
      </c>
      <c r="P129" s="6">
        <v>1402</v>
      </c>
      <c r="Q129" s="7">
        <f t="shared" si="1"/>
        <v>701000</v>
      </c>
      <c r="R129" s="7">
        <f t="shared" si="2"/>
        <v>1402000</v>
      </c>
    </row>
    <row r="130" spans="1:18" ht="15.75" customHeight="1" x14ac:dyDescent="0.35">
      <c r="A130" s="4" t="s">
        <v>147</v>
      </c>
      <c r="B130" s="19" t="s">
        <v>19</v>
      </c>
      <c r="C130" s="19" t="s">
        <v>20</v>
      </c>
      <c r="D130" s="19">
        <v>10</v>
      </c>
      <c r="E130" s="19">
        <v>11225</v>
      </c>
      <c r="F130" s="19">
        <v>5175</v>
      </c>
      <c r="G130" s="19">
        <v>0</v>
      </c>
      <c r="H130" s="19">
        <v>0</v>
      </c>
      <c r="I130" s="19">
        <v>2800</v>
      </c>
      <c r="J130" s="19">
        <v>5075</v>
      </c>
      <c r="K130" s="19">
        <v>8525</v>
      </c>
      <c r="L130" s="19">
        <f t="shared" si="0"/>
        <v>8525</v>
      </c>
      <c r="M130" s="19">
        <v>27</v>
      </c>
      <c r="N130" s="20">
        <f t="shared" si="18"/>
        <v>29.228571428571428</v>
      </c>
      <c r="P130" s="6">
        <v>6112</v>
      </c>
      <c r="Q130" s="7">
        <f t="shared" si="1"/>
        <v>48132000</v>
      </c>
      <c r="R130" s="7">
        <f t="shared" si="2"/>
        <v>52104800</v>
      </c>
    </row>
    <row r="131" spans="1:18" ht="15.75" customHeight="1" x14ac:dyDescent="0.35">
      <c r="A131" s="4" t="s">
        <v>148</v>
      </c>
      <c r="B131" s="19" t="s">
        <v>19</v>
      </c>
      <c r="C131" s="19" t="s">
        <v>20</v>
      </c>
      <c r="D131" s="19">
        <v>10</v>
      </c>
      <c r="E131" s="19">
        <v>572</v>
      </c>
      <c r="F131" s="19">
        <v>1000</v>
      </c>
      <c r="G131" s="19">
        <v>0</v>
      </c>
      <c r="H131" s="19">
        <v>0</v>
      </c>
      <c r="I131" s="19">
        <v>50</v>
      </c>
      <c r="J131" s="19">
        <v>950</v>
      </c>
      <c r="K131" s="19">
        <v>572</v>
      </c>
      <c r="L131" s="19">
        <f t="shared" si="0"/>
        <v>572</v>
      </c>
      <c r="M131" s="19">
        <v>27</v>
      </c>
      <c r="N131" s="20">
        <f t="shared" si="18"/>
        <v>15.443999999999999</v>
      </c>
      <c r="P131" s="6">
        <v>2392</v>
      </c>
      <c r="Q131" s="7">
        <f t="shared" si="1"/>
        <v>2392000</v>
      </c>
      <c r="R131" s="7">
        <f t="shared" si="2"/>
        <v>1368224</v>
      </c>
    </row>
    <row r="132" spans="1:18" ht="15.75" customHeight="1" x14ac:dyDescent="0.35">
      <c r="A132" s="4" t="s">
        <v>149</v>
      </c>
      <c r="B132" s="19" t="s">
        <v>19</v>
      </c>
      <c r="C132" s="19" t="s">
        <v>20</v>
      </c>
      <c r="D132" s="19">
        <v>10</v>
      </c>
      <c r="E132" s="19">
        <v>24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24</v>
      </c>
      <c r="L132" s="19">
        <f t="shared" si="0"/>
        <v>24</v>
      </c>
      <c r="M132" s="19">
        <v>27</v>
      </c>
      <c r="N132" s="20">
        <v>0</v>
      </c>
      <c r="P132" s="6">
        <v>2651</v>
      </c>
      <c r="Q132" s="7">
        <f t="shared" si="1"/>
        <v>0</v>
      </c>
      <c r="R132" s="7">
        <f t="shared" si="2"/>
        <v>63624</v>
      </c>
    </row>
    <row r="133" spans="1:18" ht="15.75" customHeight="1" x14ac:dyDescent="0.35">
      <c r="A133" s="4" t="s">
        <v>204</v>
      </c>
      <c r="B133" s="19" t="s">
        <v>19</v>
      </c>
      <c r="C133" s="19" t="s">
        <v>20</v>
      </c>
      <c r="D133" s="19">
        <v>10</v>
      </c>
      <c r="E133" s="19">
        <v>1020</v>
      </c>
      <c r="F133" s="19">
        <v>1020</v>
      </c>
      <c r="G133" s="19">
        <v>0</v>
      </c>
      <c r="H133" s="19">
        <v>0</v>
      </c>
      <c r="I133" s="19">
        <v>1020</v>
      </c>
      <c r="J133" s="19">
        <v>0</v>
      </c>
      <c r="K133" s="19">
        <v>1020</v>
      </c>
      <c r="L133" s="19">
        <f t="shared" si="0"/>
        <v>1020</v>
      </c>
      <c r="M133" s="19">
        <v>27</v>
      </c>
      <c r="N133" s="20">
        <f t="shared" ref="N133:N139" si="19">(L133/(I133+J133))*M133</f>
        <v>27</v>
      </c>
      <c r="P133" s="6">
        <v>2651</v>
      </c>
      <c r="Q133" s="7">
        <f t="shared" si="1"/>
        <v>2704020</v>
      </c>
      <c r="R133" s="7">
        <f t="shared" si="2"/>
        <v>2704020</v>
      </c>
    </row>
    <row r="134" spans="1:18" ht="15.75" customHeight="1" x14ac:dyDescent="0.35">
      <c r="A134" s="4" t="s">
        <v>150</v>
      </c>
      <c r="B134" s="19" t="s">
        <v>19</v>
      </c>
      <c r="C134" s="19" t="s">
        <v>20</v>
      </c>
      <c r="D134" s="19">
        <v>10</v>
      </c>
      <c r="E134" s="19">
        <v>941</v>
      </c>
      <c r="F134" s="19">
        <v>1010</v>
      </c>
      <c r="G134" s="19">
        <v>0</v>
      </c>
      <c r="H134" s="19">
        <v>0</v>
      </c>
      <c r="I134" s="19">
        <v>520</v>
      </c>
      <c r="J134" s="19">
        <v>0</v>
      </c>
      <c r="K134" s="19">
        <v>1431</v>
      </c>
      <c r="L134" s="19">
        <f t="shared" si="0"/>
        <v>1431</v>
      </c>
      <c r="M134" s="19">
        <v>27</v>
      </c>
      <c r="N134" s="20">
        <f t="shared" si="19"/>
        <v>74.301923076923075</v>
      </c>
      <c r="P134" s="6">
        <v>4343</v>
      </c>
      <c r="Q134" s="7">
        <f t="shared" si="1"/>
        <v>2258360</v>
      </c>
      <c r="R134" s="7">
        <f t="shared" si="2"/>
        <v>6214833</v>
      </c>
    </row>
    <row r="135" spans="1:18" ht="15.75" customHeight="1" x14ac:dyDescent="0.35">
      <c r="A135" s="4" t="s">
        <v>151</v>
      </c>
      <c r="B135" s="19" t="s">
        <v>19</v>
      </c>
      <c r="C135" s="19" t="s">
        <v>20</v>
      </c>
      <c r="D135" s="19">
        <v>10</v>
      </c>
      <c r="E135" s="19">
        <v>1068</v>
      </c>
      <c r="F135" s="19">
        <v>2026</v>
      </c>
      <c r="G135" s="19">
        <v>0</v>
      </c>
      <c r="H135" s="19">
        <v>0</v>
      </c>
      <c r="I135" s="19">
        <v>1050</v>
      </c>
      <c r="J135" s="19">
        <v>0</v>
      </c>
      <c r="K135" s="19">
        <v>2044</v>
      </c>
      <c r="L135" s="19">
        <f t="shared" si="0"/>
        <v>2044</v>
      </c>
      <c r="M135" s="19">
        <v>27</v>
      </c>
      <c r="N135" s="20">
        <f t="shared" si="19"/>
        <v>52.56</v>
      </c>
      <c r="P135" s="6">
        <v>2970</v>
      </c>
      <c r="Q135" s="7">
        <f t="shared" si="1"/>
        <v>3118500</v>
      </c>
      <c r="R135" s="7">
        <f t="shared" si="2"/>
        <v>6070680</v>
      </c>
    </row>
    <row r="136" spans="1:18" ht="15.75" customHeight="1" x14ac:dyDescent="0.35">
      <c r="A136" s="4" t="s">
        <v>197</v>
      </c>
      <c r="B136" s="19" t="s">
        <v>19</v>
      </c>
      <c r="C136" s="19" t="s">
        <v>20</v>
      </c>
      <c r="D136" s="19">
        <v>10</v>
      </c>
      <c r="E136" s="19">
        <v>2223</v>
      </c>
      <c r="F136" s="19">
        <v>0</v>
      </c>
      <c r="G136" s="19">
        <v>0</v>
      </c>
      <c r="H136" s="19">
        <v>0</v>
      </c>
      <c r="I136" s="19">
        <v>1475</v>
      </c>
      <c r="J136" s="19">
        <v>0</v>
      </c>
      <c r="K136" s="19">
        <v>748</v>
      </c>
      <c r="L136" s="19">
        <f t="shared" si="0"/>
        <v>748</v>
      </c>
      <c r="M136" s="19">
        <v>27</v>
      </c>
      <c r="N136" s="20">
        <f t="shared" si="19"/>
        <v>13.692203389830508</v>
      </c>
      <c r="P136" s="6">
        <v>2970</v>
      </c>
      <c r="Q136" s="7">
        <f t="shared" si="1"/>
        <v>4380750</v>
      </c>
      <c r="R136" s="7">
        <f t="shared" si="2"/>
        <v>2221560</v>
      </c>
    </row>
    <row r="137" spans="1:18" ht="15.75" customHeight="1" x14ac:dyDescent="0.35">
      <c r="A137" s="4" t="s">
        <v>153</v>
      </c>
      <c r="B137" s="19" t="s">
        <v>19</v>
      </c>
      <c r="C137" s="19" t="s">
        <v>20</v>
      </c>
      <c r="D137" s="19">
        <v>10</v>
      </c>
      <c r="E137" s="19">
        <v>730</v>
      </c>
      <c r="F137" s="19">
        <v>0</v>
      </c>
      <c r="G137" s="19">
        <v>0</v>
      </c>
      <c r="H137" s="19">
        <v>0</v>
      </c>
      <c r="I137" s="19">
        <v>25</v>
      </c>
      <c r="J137" s="19">
        <v>0</v>
      </c>
      <c r="K137" s="19">
        <v>705</v>
      </c>
      <c r="L137" s="19">
        <f t="shared" si="0"/>
        <v>705</v>
      </c>
      <c r="M137" s="19">
        <v>27</v>
      </c>
      <c r="N137" s="20">
        <f t="shared" si="19"/>
        <v>761.4</v>
      </c>
      <c r="P137" s="6">
        <v>2607</v>
      </c>
      <c r="Q137" s="7">
        <f t="shared" si="1"/>
        <v>65175</v>
      </c>
      <c r="R137" s="7">
        <f t="shared" si="2"/>
        <v>1837935</v>
      </c>
    </row>
    <row r="138" spans="1:18" ht="15.75" customHeight="1" x14ac:dyDescent="0.35">
      <c r="A138" s="4" t="s">
        <v>154</v>
      </c>
      <c r="B138" s="19" t="s">
        <v>19</v>
      </c>
      <c r="C138" s="19" t="s">
        <v>20</v>
      </c>
      <c r="D138" s="19">
        <v>10</v>
      </c>
      <c r="E138" s="19">
        <v>1250</v>
      </c>
      <c r="F138" s="19">
        <v>2300</v>
      </c>
      <c r="G138" s="19">
        <v>0</v>
      </c>
      <c r="H138" s="19">
        <v>0</v>
      </c>
      <c r="I138" s="19">
        <v>3050</v>
      </c>
      <c r="J138" s="19">
        <v>0</v>
      </c>
      <c r="K138" s="19">
        <v>500</v>
      </c>
      <c r="L138" s="19">
        <f t="shared" si="0"/>
        <v>500</v>
      </c>
      <c r="M138" s="19">
        <v>27</v>
      </c>
      <c r="N138" s="20">
        <f t="shared" si="19"/>
        <v>4.4262295081967213</v>
      </c>
      <c r="P138" s="6">
        <v>1928</v>
      </c>
      <c r="Q138" s="7">
        <f t="shared" si="1"/>
        <v>5880400</v>
      </c>
      <c r="R138" s="7">
        <f t="shared" si="2"/>
        <v>964000</v>
      </c>
    </row>
    <row r="139" spans="1:18" ht="15.75" customHeight="1" x14ac:dyDescent="0.35">
      <c r="A139" s="4" t="s">
        <v>155</v>
      </c>
      <c r="B139" s="19" t="s">
        <v>19</v>
      </c>
      <c r="C139" s="19" t="s">
        <v>20</v>
      </c>
      <c r="D139" s="19">
        <v>10</v>
      </c>
      <c r="E139" s="19">
        <v>11820</v>
      </c>
      <c r="F139" s="19">
        <v>0</v>
      </c>
      <c r="G139" s="19">
        <v>0</v>
      </c>
      <c r="H139" s="19">
        <v>0</v>
      </c>
      <c r="I139" s="19">
        <v>2300</v>
      </c>
      <c r="J139" s="19">
        <v>95</v>
      </c>
      <c r="K139" s="19">
        <v>9425</v>
      </c>
      <c r="L139" s="19">
        <f t="shared" si="0"/>
        <v>9425</v>
      </c>
      <c r="M139" s="19">
        <v>27</v>
      </c>
      <c r="N139" s="20">
        <f t="shared" si="19"/>
        <v>106.25260960334029</v>
      </c>
      <c r="P139" s="6">
        <v>2129</v>
      </c>
      <c r="Q139" s="7">
        <f t="shared" si="1"/>
        <v>5098955</v>
      </c>
      <c r="R139" s="7">
        <f t="shared" si="2"/>
        <v>20065825</v>
      </c>
    </row>
    <row r="140" spans="1:18" ht="15.75" customHeight="1" x14ac:dyDescent="0.35">
      <c r="A140" s="4" t="s">
        <v>156</v>
      </c>
      <c r="B140" s="19" t="s">
        <v>19</v>
      </c>
      <c r="C140" s="19" t="s">
        <v>20</v>
      </c>
      <c r="D140" s="19">
        <v>10</v>
      </c>
      <c r="E140" s="19">
        <v>25957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25957</v>
      </c>
      <c r="L140" s="19">
        <f t="shared" si="0"/>
        <v>25957</v>
      </c>
      <c r="M140" s="19">
        <v>27</v>
      </c>
      <c r="N140" s="20">
        <v>0</v>
      </c>
      <c r="P140" s="6">
        <v>2177</v>
      </c>
      <c r="Q140" s="7">
        <f t="shared" si="1"/>
        <v>0</v>
      </c>
      <c r="R140" s="7">
        <f t="shared" si="2"/>
        <v>56508389</v>
      </c>
    </row>
    <row r="141" spans="1:18" ht="15.75" customHeight="1" x14ac:dyDescent="0.35">
      <c r="A141" s="4" t="s">
        <v>157</v>
      </c>
      <c r="B141" s="19" t="s">
        <v>19</v>
      </c>
      <c r="C141" s="19" t="s">
        <v>20</v>
      </c>
      <c r="D141" s="19">
        <v>10</v>
      </c>
      <c r="E141" s="19">
        <v>3105</v>
      </c>
      <c r="F141" s="19">
        <v>37800</v>
      </c>
      <c r="G141" s="19">
        <v>0</v>
      </c>
      <c r="H141" s="19">
        <v>0</v>
      </c>
      <c r="I141" s="19">
        <v>37610</v>
      </c>
      <c r="J141" s="19">
        <v>45</v>
      </c>
      <c r="K141" s="19">
        <v>3250</v>
      </c>
      <c r="L141" s="19">
        <f t="shared" si="0"/>
        <v>3250</v>
      </c>
      <c r="M141" s="19">
        <v>27</v>
      </c>
      <c r="N141" s="20">
        <f t="shared" ref="N141:N145" si="20">(L141/(I141+J141))*M141</f>
        <v>2.330367813039437</v>
      </c>
      <c r="P141" s="6">
        <v>2177</v>
      </c>
      <c r="Q141" s="7">
        <f t="shared" si="1"/>
        <v>81974935</v>
      </c>
      <c r="R141" s="7">
        <f t="shared" si="2"/>
        <v>7075250</v>
      </c>
    </row>
    <row r="142" spans="1:18" ht="15.75" customHeight="1" x14ac:dyDescent="0.35">
      <c r="A142" s="4" t="s">
        <v>158</v>
      </c>
      <c r="B142" s="19" t="s">
        <v>19</v>
      </c>
      <c r="C142" s="19" t="s">
        <v>20</v>
      </c>
      <c r="D142" s="19">
        <v>10</v>
      </c>
      <c r="E142" s="19">
        <v>11213</v>
      </c>
      <c r="F142" s="19">
        <v>4080</v>
      </c>
      <c r="G142" s="19">
        <v>0</v>
      </c>
      <c r="H142" s="19">
        <v>0</v>
      </c>
      <c r="I142" s="19">
        <v>8250</v>
      </c>
      <c r="J142" s="19">
        <v>0</v>
      </c>
      <c r="K142" s="19">
        <v>7043</v>
      </c>
      <c r="L142" s="19">
        <f t="shared" si="0"/>
        <v>7043</v>
      </c>
      <c r="M142" s="19">
        <v>27</v>
      </c>
      <c r="N142" s="20">
        <f t="shared" si="20"/>
        <v>23.049818181818182</v>
      </c>
      <c r="P142" s="6">
        <v>2177</v>
      </c>
      <c r="Q142" s="7">
        <f t="shared" si="1"/>
        <v>17960250</v>
      </c>
      <c r="R142" s="7">
        <f t="shared" si="2"/>
        <v>15332611</v>
      </c>
    </row>
    <row r="143" spans="1:18" ht="15.75" customHeight="1" x14ac:dyDescent="0.35">
      <c r="A143" s="4" t="s">
        <v>159</v>
      </c>
      <c r="B143" s="19" t="s">
        <v>19</v>
      </c>
      <c r="C143" s="19" t="s">
        <v>20</v>
      </c>
      <c r="D143" s="19">
        <v>10</v>
      </c>
      <c r="E143" s="19">
        <v>4429</v>
      </c>
      <c r="F143" s="19">
        <v>28307</v>
      </c>
      <c r="G143" s="19">
        <v>0</v>
      </c>
      <c r="H143" s="19">
        <v>0</v>
      </c>
      <c r="I143" s="19">
        <v>0</v>
      </c>
      <c r="J143" s="19">
        <v>24983</v>
      </c>
      <c r="K143" s="19">
        <v>7753</v>
      </c>
      <c r="L143" s="19">
        <f t="shared" si="0"/>
        <v>7753</v>
      </c>
      <c r="M143" s="19">
        <v>27</v>
      </c>
      <c r="N143" s="20">
        <f t="shared" si="20"/>
        <v>8.3789376776207813</v>
      </c>
      <c r="P143" s="6">
        <v>1948</v>
      </c>
      <c r="Q143" s="7">
        <f t="shared" si="1"/>
        <v>48666884</v>
      </c>
      <c r="R143" s="7">
        <f t="shared" si="2"/>
        <v>15102844</v>
      </c>
    </row>
    <row r="144" spans="1:18" ht="15.75" customHeight="1" x14ac:dyDescent="0.35">
      <c r="A144" s="4" t="s">
        <v>160</v>
      </c>
      <c r="B144" s="19" t="s">
        <v>19</v>
      </c>
      <c r="C144" s="19" t="s">
        <v>20</v>
      </c>
      <c r="D144" s="19">
        <v>10</v>
      </c>
      <c r="E144" s="19">
        <v>8113</v>
      </c>
      <c r="F144" s="19">
        <v>5068</v>
      </c>
      <c r="G144" s="19">
        <v>0</v>
      </c>
      <c r="H144" s="19">
        <v>0</v>
      </c>
      <c r="I144" s="19">
        <v>0</v>
      </c>
      <c r="J144" s="19">
        <v>4938</v>
      </c>
      <c r="K144" s="19">
        <v>8243</v>
      </c>
      <c r="L144" s="19">
        <f t="shared" si="0"/>
        <v>8243</v>
      </c>
      <c r="M144" s="19">
        <v>27</v>
      </c>
      <c r="N144" s="20">
        <f t="shared" si="20"/>
        <v>45.071081409477522</v>
      </c>
      <c r="P144" s="6">
        <v>1989</v>
      </c>
      <c r="Q144" s="7">
        <f t="shared" si="1"/>
        <v>9821682</v>
      </c>
      <c r="R144" s="7">
        <f t="shared" si="2"/>
        <v>16395327</v>
      </c>
    </row>
    <row r="145" spans="1:18" ht="15.75" customHeight="1" x14ac:dyDescent="0.35">
      <c r="A145" s="4" t="s">
        <v>161</v>
      </c>
      <c r="B145" s="19" t="s">
        <v>19</v>
      </c>
      <c r="C145" s="19" t="s">
        <v>20</v>
      </c>
      <c r="D145" s="19">
        <v>10</v>
      </c>
      <c r="E145" s="19">
        <v>16315</v>
      </c>
      <c r="F145" s="19">
        <v>0</v>
      </c>
      <c r="G145" s="19">
        <v>0</v>
      </c>
      <c r="H145" s="19">
        <v>0</v>
      </c>
      <c r="I145" s="19">
        <v>0</v>
      </c>
      <c r="J145" s="19">
        <v>9000</v>
      </c>
      <c r="K145" s="19">
        <v>7315</v>
      </c>
      <c r="L145" s="19">
        <f t="shared" si="0"/>
        <v>7315</v>
      </c>
      <c r="M145" s="19">
        <v>27</v>
      </c>
      <c r="N145" s="20">
        <f t="shared" si="20"/>
        <v>21.945</v>
      </c>
      <c r="P145" s="6">
        <v>2181</v>
      </c>
      <c r="Q145" s="7">
        <f t="shared" si="1"/>
        <v>19629000</v>
      </c>
      <c r="R145" s="7">
        <f t="shared" si="2"/>
        <v>15954015</v>
      </c>
    </row>
    <row r="146" spans="1:18" ht="15.75" customHeight="1" x14ac:dyDescent="0.35">
      <c r="A146" s="4" t="s">
        <v>179</v>
      </c>
      <c r="B146" s="19" t="s">
        <v>19</v>
      </c>
      <c r="C146" s="19" t="s">
        <v>20</v>
      </c>
      <c r="D146" s="19">
        <v>10</v>
      </c>
      <c r="E146" s="19">
        <v>6050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6050</v>
      </c>
      <c r="L146" s="19">
        <f t="shared" si="0"/>
        <v>6050</v>
      </c>
      <c r="M146" s="19">
        <v>27</v>
      </c>
      <c r="N146" s="20">
        <v>0</v>
      </c>
      <c r="P146" s="6">
        <v>2181</v>
      </c>
      <c r="Q146" s="7">
        <f t="shared" si="1"/>
        <v>0</v>
      </c>
      <c r="R146" s="7">
        <f t="shared" si="2"/>
        <v>13195050</v>
      </c>
    </row>
    <row r="147" spans="1:18" ht="15.75" customHeight="1" x14ac:dyDescent="0.35">
      <c r="A147" s="4" t="s">
        <v>180</v>
      </c>
      <c r="B147" s="19" t="s">
        <v>19</v>
      </c>
      <c r="C147" s="19" t="s">
        <v>20</v>
      </c>
      <c r="D147" s="19">
        <v>10</v>
      </c>
      <c r="E147" s="19">
        <v>20416</v>
      </c>
      <c r="F147" s="19">
        <v>0</v>
      </c>
      <c r="G147" s="19">
        <v>0</v>
      </c>
      <c r="H147" s="19">
        <v>0</v>
      </c>
      <c r="I147" s="19">
        <v>13050</v>
      </c>
      <c r="J147" s="19">
        <v>0</v>
      </c>
      <c r="K147" s="19">
        <v>7366</v>
      </c>
      <c r="L147" s="19">
        <f t="shared" si="0"/>
        <v>7366</v>
      </c>
      <c r="M147" s="19">
        <v>27</v>
      </c>
      <c r="N147" s="20">
        <f t="shared" ref="N147:N156" si="21">(L147/(I147+J147))*M147</f>
        <v>15.239999999999998</v>
      </c>
      <c r="P147" s="6">
        <v>2181</v>
      </c>
      <c r="Q147" s="7">
        <f t="shared" si="1"/>
        <v>28462050</v>
      </c>
      <c r="R147" s="7">
        <f t="shared" si="2"/>
        <v>16065246</v>
      </c>
    </row>
    <row r="148" spans="1:18" ht="15.75" customHeight="1" x14ac:dyDescent="0.35">
      <c r="A148" s="4" t="s">
        <v>181</v>
      </c>
      <c r="B148" s="19" t="s">
        <v>22</v>
      </c>
      <c r="C148" s="19" t="s">
        <v>20</v>
      </c>
      <c r="D148" s="19">
        <v>10</v>
      </c>
      <c r="E148" s="19">
        <v>13275</v>
      </c>
      <c r="F148" s="19">
        <v>119400</v>
      </c>
      <c r="G148" s="19">
        <v>0</v>
      </c>
      <c r="H148" s="19">
        <v>0</v>
      </c>
      <c r="I148" s="19">
        <v>0</v>
      </c>
      <c r="J148" s="19">
        <v>114550</v>
      </c>
      <c r="K148" s="19">
        <v>18125</v>
      </c>
      <c r="L148" s="19">
        <f t="shared" si="0"/>
        <v>18125</v>
      </c>
      <c r="M148" s="19">
        <v>27</v>
      </c>
      <c r="N148" s="20">
        <f t="shared" si="21"/>
        <v>4.2721518987341778</v>
      </c>
      <c r="P148" s="6">
        <v>2208</v>
      </c>
      <c r="Q148" s="7">
        <f t="shared" si="1"/>
        <v>252926400</v>
      </c>
      <c r="R148" s="7">
        <f t="shared" si="2"/>
        <v>40020000</v>
      </c>
    </row>
    <row r="149" spans="1:18" ht="15.75" customHeight="1" x14ac:dyDescent="0.35">
      <c r="A149" s="4" t="s">
        <v>182</v>
      </c>
      <c r="B149" s="19" t="s">
        <v>22</v>
      </c>
      <c r="C149" s="19" t="s">
        <v>20</v>
      </c>
      <c r="D149" s="19">
        <v>10</v>
      </c>
      <c r="E149" s="19">
        <v>5251</v>
      </c>
      <c r="F149" s="19">
        <v>15710</v>
      </c>
      <c r="G149" s="19">
        <v>0</v>
      </c>
      <c r="H149" s="19">
        <v>0</v>
      </c>
      <c r="I149" s="19">
        <v>0</v>
      </c>
      <c r="J149" s="19">
        <v>14560</v>
      </c>
      <c r="K149" s="19">
        <v>6401</v>
      </c>
      <c r="L149" s="19">
        <f t="shared" si="0"/>
        <v>6401</v>
      </c>
      <c r="M149" s="19">
        <v>27</v>
      </c>
      <c r="N149" s="20">
        <f t="shared" si="21"/>
        <v>11.869986263736264</v>
      </c>
      <c r="P149" s="6">
        <v>2245</v>
      </c>
      <c r="Q149" s="7">
        <f t="shared" si="1"/>
        <v>32687200</v>
      </c>
      <c r="R149" s="7">
        <f t="shared" si="2"/>
        <v>14370245</v>
      </c>
    </row>
    <row r="150" spans="1:18" ht="15.75" customHeight="1" x14ac:dyDescent="0.35">
      <c r="A150" s="4" t="s">
        <v>164</v>
      </c>
      <c r="B150" s="19" t="s">
        <v>19</v>
      </c>
      <c r="C150" s="19" t="s">
        <v>20</v>
      </c>
      <c r="D150" s="19">
        <v>10</v>
      </c>
      <c r="E150" s="19">
        <v>15183</v>
      </c>
      <c r="F150" s="19">
        <v>57975</v>
      </c>
      <c r="G150" s="19">
        <v>0</v>
      </c>
      <c r="H150" s="19">
        <v>0</v>
      </c>
      <c r="I150" s="19">
        <v>40725</v>
      </c>
      <c r="J150" s="19">
        <v>19125</v>
      </c>
      <c r="K150" s="19">
        <v>13308</v>
      </c>
      <c r="L150" s="19">
        <f t="shared" si="0"/>
        <v>13308</v>
      </c>
      <c r="M150" s="19">
        <v>27</v>
      </c>
      <c r="N150" s="20">
        <f t="shared" si="21"/>
        <v>6.0036090225563914</v>
      </c>
      <c r="P150" s="6">
        <v>2355</v>
      </c>
      <c r="Q150" s="7">
        <f t="shared" si="1"/>
        <v>140946750</v>
      </c>
      <c r="R150" s="7">
        <f t="shared" si="2"/>
        <v>31340340</v>
      </c>
    </row>
    <row r="151" spans="1:18" ht="15.75" customHeight="1" x14ac:dyDescent="0.35">
      <c r="A151" s="4" t="s">
        <v>183</v>
      </c>
      <c r="B151" s="19" t="s">
        <v>19</v>
      </c>
      <c r="C151" s="19" t="s">
        <v>20</v>
      </c>
      <c r="D151" s="19">
        <v>10</v>
      </c>
      <c r="E151" s="19">
        <v>6672</v>
      </c>
      <c r="F151" s="19">
        <v>5635</v>
      </c>
      <c r="G151" s="19">
        <v>0</v>
      </c>
      <c r="H151" s="19">
        <v>0</v>
      </c>
      <c r="I151" s="19">
        <v>0</v>
      </c>
      <c r="J151" s="19">
        <v>8475</v>
      </c>
      <c r="K151" s="19">
        <v>3832</v>
      </c>
      <c r="L151" s="19">
        <f t="shared" si="0"/>
        <v>3832</v>
      </c>
      <c r="M151" s="19">
        <v>27</v>
      </c>
      <c r="N151" s="20">
        <f t="shared" si="21"/>
        <v>12.208141592920354</v>
      </c>
      <c r="P151" s="6">
        <v>2021</v>
      </c>
      <c r="Q151" s="7">
        <f t="shared" si="1"/>
        <v>17127975</v>
      </c>
      <c r="R151" s="7">
        <f t="shared" si="2"/>
        <v>7744472</v>
      </c>
    </row>
    <row r="152" spans="1:18" ht="15.75" customHeight="1" x14ac:dyDescent="0.35">
      <c r="A152" s="4" t="s">
        <v>184</v>
      </c>
      <c r="B152" s="19" t="s">
        <v>19</v>
      </c>
      <c r="C152" s="19" t="s">
        <v>20</v>
      </c>
      <c r="D152" s="19">
        <v>10</v>
      </c>
      <c r="E152" s="19">
        <v>7843</v>
      </c>
      <c r="F152" s="19">
        <v>2325</v>
      </c>
      <c r="G152" s="19">
        <v>0</v>
      </c>
      <c r="H152" s="19">
        <v>0</v>
      </c>
      <c r="I152" s="19">
        <v>0</v>
      </c>
      <c r="J152" s="19">
        <v>2610</v>
      </c>
      <c r="K152" s="19">
        <v>7558</v>
      </c>
      <c r="L152" s="19">
        <f t="shared" si="0"/>
        <v>7558</v>
      </c>
      <c r="M152" s="19">
        <v>27</v>
      </c>
      <c r="N152" s="20">
        <f t="shared" si="21"/>
        <v>78.186206896551724</v>
      </c>
      <c r="P152" s="6">
        <v>2021</v>
      </c>
      <c r="Q152" s="7">
        <f t="shared" si="1"/>
        <v>5274810</v>
      </c>
      <c r="R152" s="7">
        <f t="shared" si="2"/>
        <v>15274718</v>
      </c>
    </row>
    <row r="153" spans="1:18" ht="15.75" customHeight="1" x14ac:dyDescent="0.35">
      <c r="A153" s="4" t="s">
        <v>185</v>
      </c>
      <c r="B153" s="19" t="s">
        <v>19</v>
      </c>
      <c r="C153" s="19" t="s">
        <v>20</v>
      </c>
      <c r="D153" s="19">
        <v>10</v>
      </c>
      <c r="E153" s="19">
        <v>10354</v>
      </c>
      <c r="F153" s="19">
        <v>6500</v>
      </c>
      <c r="G153" s="19">
        <v>0</v>
      </c>
      <c r="H153" s="19">
        <v>0</v>
      </c>
      <c r="I153" s="19">
        <v>0</v>
      </c>
      <c r="J153" s="19">
        <v>3200</v>
      </c>
      <c r="K153" s="19">
        <v>13654</v>
      </c>
      <c r="L153" s="19">
        <f t="shared" si="0"/>
        <v>13654</v>
      </c>
      <c r="M153" s="19">
        <v>27</v>
      </c>
      <c r="N153" s="20">
        <f t="shared" si="21"/>
        <v>115.205625</v>
      </c>
      <c r="P153" s="6">
        <v>2021</v>
      </c>
      <c r="Q153" s="7">
        <f t="shared" si="1"/>
        <v>6467200</v>
      </c>
      <c r="R153" s="7">
        <f t="shared" si="2"/>
        <v>27594734</v>
      </c>
    </row>
    <row r="154" spans="1:18" ht="15.75" customHeight="1" x14ac:dyDescent="0.35">
      <c r="A154" s="4" t="s">
        <v>186</v>
      </c>
      <c r="B154" s="19" t="s">
        <v>19</v>
      </c>
      <c r="C154" s="19" t="s">
        <v>20</v>
      </c>
      <c r="D154" s="19">
        <v>10</v>
      </c>
      <c r="E154" s="19">
        <v>3000</v>
      </c>
      <c r="F154" s="19">
        <v>13300</v>
      </c>
      <c r="G154" s="19">
        <v>0</v>
      </c>
      <c r="H154" s="19">
        <v>0</v>
      </c>
      <c r="I154" s="19">
        <v>16300</v>
      </c>
      <c r="J154" s="19">
        <v>0</v>
      </c>
      <c r="K154" s="19">
        <v>0</v>
      </c>
      <c r="L154" s="19">
        <f t="shared" si="0"/>
        <v>0</v>
      </c>
      <c r="M154" s="19">
        <v>27</v>
      </c>
      <c r="N154" s="20">
        <f t="shared" si="21"/>
        <v>0</v>
      </c>
      <c r="P154" s="6">
        <v>2846</v>
      </c>
      <c r="Q154" s="7">
        <f t="shared" si="1"/>
        <v>46389800</v>
      </c>
      <c r="R154" s="7">
        <f t="shared" si="2"/>
        <v>0</v>
      </c>
    </row>
    <row r="155" spans="1:18" ht="15.75" customHeight="1" x14ac:dyDescent="0.35">
      <c r="A155" s="4" t="s">
        <v>200</v>
      </c>
      <c r="B155" s="19" t="s">
        <v>19</v>
      </c>
      <c r="C155" s="19" t="s">
        <v>20</v>
      </c>
      <c r="D155" s="19">
        <v>10</v>
      </c>
      <c r="E155" s="19">
        <v>4943</v>
      </c>
      <c r="F155" s="19">
        <v>12197</v>
      </c>
      <c r="G155" s="19">
        <v>0</v>
      </c>
      <c r="H155" s="19">
        <v>0</v>
      </c>
      <c r="I155" s="19">
        <v>13038</v>
      </c>
      <c r="J155" s="19">
        <v>25</v>
      </c>
      <c r="K155" s="19">
        <v>4077</v>
      </c>
      <c r="L155" s="19">
        <f t="shared" si="0"/>
        <v>4077</v>
      </c>
      <c r="M155" s="19">
        <v>27</v>
      </c>
      <c r="N155" s="20">
        <f t="shared" si="21"/>
        <v>8.4267779223761767</v>
      </c>
      <c r="P155" s="6">
        <v>7550</v>
      </c>
      <c r="Q155" s="7">
        <f t="shared" si="1"/>
        <v>98625650</v>
      </c>
      <c r="R155" s="7">
        <f t="shared" si="2"/>
        <v>30781350</v>
      </c>
    </row>
    <row r="156" spans="1:18" ht="15.75" customHeight="1" x14ac:dyDescent="0.35">
      <c r="A156" s="4" t="s">
        <v>201</v>
      </c>
      <c r="B156" s="19" t="s">
        <v>19</v>
      </c>
      <c r="C156" s="19" t="s">
        <v>20</v>
      </c>
      <c r="D156" s="19">
        <v>10</v>
      </c>
      <c r="E156" s="19">
        <v>2110</v>
      </c>
      <c r="F156" s="19">
        <v>0</v>
      </c>
      <c r="G156" s="19">
        <v>0</v>
      </c>
      <c r="H156" s="19">
        <v>0</v>
      </c>
      <c r="I156" s="19">
        <v>2110</v>
      </c>
      <c r="J156" s="19">
        <v>0</v>
      </c>
      <c r="K156" s="19">
        <v>0</v>
      </c>
      <c r="L156" s="19">
        <f t="shared" si="0"/>
        <v>0</v>
      </c>
      <c r="M156" s="19">
        <v>27</v>
      </c>
      <c r="N156" s="20">
        <f t="shared" si="21"/>
        <v>0</v>
      </c>
      <c r="P156" s="6">
        <v>7550</v>
      </c>
      <c r="Q156" s="7">
        <f t="shared" si="1"/>
        <v>15930500</v>
      </c>
      <c r="R156" s="7">
        <f t="shared" si="2"/>
        <v>0</v>
      </c>
    </row>
    <row r="157" spans="1:18" ht="15.75" customHeight="1" x14ac:dyDescent="0.35">
      <c r="A157" s="4" t="s">
        <v>188</v>
      </c>
      <c r="B157" s="19" t="s">
        <v>19</v>
      </c>
      <c r="C157" s="19" t="s">
        <v>20</v>
      </c>
      <c r="D157" s="19">
        <v>10</v>
      </c>
      <c r="E157" s="19">
        <v>200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200</v>
      </c>
      <c r="L157" s="19">
        <f t="shared" si="0"/>
        <v>200</v>
      </c>
      <c r="M157" s="19">
        <v>27</v>
      </c>
      <c r="N157" s="20">
        <v>0</v>
      </c>
      <c r="P157" s="6">
        <v>2658</v>
      </c>
      <c r="Q157" s="7">
        <f t="shared" si="1"/>
        <v>0</v>
      </c>
      <c r="R157" s="7">
        <f t="shared" si="2"/>
        <v>531600</v>
      </c>
    </row>
    <row r="158" spans="1:18" ht="15.75" customHeight="1" x14ac:dyDescent="0.35">
      <c r="A158" s="4" t="s">
        <v>198</v>
      </c>
      <c r="B158" s="19" t="s">
        <v>19</v>
      </c>
      <c r="C158" s="19" t="s">
        <v>20</v>
      </c>
      <c r="D158" s="19">
        <v>10</v>
      </c>
      <c r="E158" s="19">
        <v>27176</v>
      </c>
      <c r="F158" s="19">
        <v>0</v>
      </c>
      <c r="G158" s="19">
        <v>0</v>
      </c>
      <c r="H158" s="19">
        <v>0</v>
      </c>
      <c r="I158" s="19">
        <v>4500</v>
      </c>
      <c r="J158" s="19">
        <v>0</v>
      </c>
      <c r="K158" s="19">
        <v>22676</v>
      </c>
      <c r="L158" s="19">
        <f t="shared" si="0"/>
        <v>22676</v>
      </c>
      <c r="M158" s="19">
        <v>27</v>
      </c>
      <c r="N158" s="20">
        <f t="shared" ref="N158:N160" si="22">(L158/(I158+J158))*M158</f>
        <v>136.05600000000001</v>
      </c>
      <c r="P158" s="6">
        <v>2846</v>
      </c>
      <c r="Q158" s="7">
        <f t="shared" si="1"/>
        <v>12807000</v>
      </c>
      <c r="R158" s="7">
        <f t="shared" si="2"/>
        <v>64535896</v>
      </c>
    </row>
    <row r="159" spans="1:18" ht="15.75" customHeight="1" x14ac:dyDescent="0.35">
      <c r="A159" s="4" t="s">
        <v>202</v>
      </c>
      <c r="B159" s="19" t="s">
        <v>19</v>
      </c>
      <c r="C159" s="19" t="s">
        <v>20</v>
      </c>
      <c r="D159" s="19">
        <v>10</v>
      </c>
      <c r="E159" s="19">
        <v>1000</v>
      </c>
      <c r="F159" s="19">
        <v>0</v>
      </c>
      <c r="G159" s="19">
        <v>0</v>
      </c>
      <c r="H159" s="19">
        <v>0</v>
      </c>
      <c r="I159" s="19">
        <v>0</v>
      </c>
      <c r="J159" s="19">
        <v>1000</v>
      </c>
      <c r="K159" s="19">
        <v>0</v>
      </c>
      <c r="L159" s="19">
        <f t="shared" si="0"/>
        <v>0</v>
      </c>
      <c r="M159" s="19">
        <v>27</v>
      </c>
      <c r="N159" s="20">
        <f t="shared" si="22"/>
        <v>0</v>
      </c>
      <c r="P159" s="6">
        <v>994</v>
      </c>
      <c r="Q159" s="7">
        <f t="shared" si="1"/>
        <v>994000</v>
      </c>
      <c r="R159" s="7">
        <f t="shared" si="2"/>
        <v>0</v>
      </c>
    </row>
    <row r="160" spans="1:18" ht="17.25" customHeight="1" x14ac:dyDescent="0.35">
      <c r="A160" s="8" t="s">
        <v>165</v>
      </c>
      <c r="B160" s="8"/>
      <c r="C160" s="8"/>
      <c r="D160" s="8"/>
      <c r="E160" s="9">
        <f t="shared" ref="E160:L160" si="23">SUM(E2:E159)</f>
        <v>1373951</v>
      </c>
      <c r="F160" s="9">
        <f t="shared" si="23"/>
        <v>4288349</v>
      </c>
      <c r="G160" s="9">
        <f t="shared" si="23"/>
        <v>0</v>
      </c>
      <c r="H160" s="9">
        <f t="shared" si="23"/>
        <v>0</v>
      </c>
      <c r="I160" s="9">
        <f t="shared" si="23"/>
        <v>2800515</v>
      </c>
      <c r="J160" s="9">
        <f t="shared" si="23"/>
        <v>1996630</v>
      </c>
      <c r="K160" s="9">
        <f t="shared" si="23"/>
        <v>865155</v>
      </c>
      <c r="L160" s="9">
        <f t="shared" si="23"/>
        <v>865155</v>
      </c>
      <c r="M160" s="9">
        <v>27</v>
      </c>
      <c r="N160" s="9">
        <f t="shared" si="22"/>
        <v>4.8693931494670268</v>
      </c>
      <c r="P160" s="21"/>
      <c r="Q160" s="21">
        <f t="shared" ref="Q160:R160" si="24">SUM(Q2:Q159)</f>
        <v>10321575540</v>
      </c>
      <c r="R160" s="21">
        <f t="shared" si="24"/>
        <v>2151582023</v>
      </c>
    </row>
    <row r="161" spans="1:18" ht="15.75" customHeight="1" x14ac:dyDescent="0.35">
      <c r="A161" s="18"/>
      <c r="P161" s="19"/>
      <c r="Q161" s="19"/>
      <c r="R161" s="19"/>
    </row>
    <row r="162" spans="1:18" ht="15.75" customHeight="1" x14ac:dyDescent="0.35">
      <c r="A162" s="18"/>
      <c r="P162" s="12" t="s">
        <v>166</v>
      </c>
      <c r="Q162" s="23">
        <v>5.1999999999999998E-3</v>
      </c>
      <c r="R162" s="19"/>
    </row>
    <row r="163" spans="1:18" ht="15.75" customHeight="1" x14ac:dyDescent="0.35">
      <c r="A163" s="18"/>
      <c r="I163" s="27">
        <f>I160+J160</f>
        <v>4797145</v>
      </c>
      <c r="P163" s="12" t="s">
        <v>167</v>
      </c>
      <c r="Q163" s="24">
        <f>(R160*Q162)/Q160</f>
        <v>1.0839649892830218E-3</v>
      </c>
      <c r="R163" s="19"/>
    </row>
    <row r="164" spans="1:18" ht="15.75" customHeight="1" x14ac:dyDescent="0.35">
      <c r="A164" s="18"/>
      <c r="P164" s="12" t="s">
        <v>168</v>
      </c>
      <c r="Q164" s="24">
        <v>1.5100000000000001E-3</v>
      </c>
      <c r="R164" s="19"/>
    </row>
    <row r="165" spans="1:18" ht="15.75" customHeight="1" x14ac:dyDescent="0.35">
      <c r="A165" s="18"/>
      <c r="P165" s="16" t="s">
        <v>169</v>
      </c>
      <c r="Q165" s="25">
        <f>(R160/Q160)*M159</f>
        <v>5.6282797520464598</v>
      </c>
      <c r="R165" s="19"/>
    </row>
    <row r="166" spans="1:18" ht="15.75" customHeight="1" x14ac:dyDescent="0.35">
      <c r="A166" s="18"/>
      <c r="P166" s="19"/>
      <c r="Q166" s="19"/>
      <c r="R166" s="19"/>
    </row>
    <row r="167" spans="1:18" ht="15.75" customHeight="1" x14ac:dyDescent="0.35">
      <c r="A167" s="18"/>
      <c r="P167" s="19"/>
      <c r="Q167" s="19"/>
      <c r="R167" s="19"/>
    </row>
    <row r="168" spans="1:18" ht="15.75" customHeight="1" x14ac:dyDescent="0.35">
      <c r="A168" s="18"/>
      <c r="P168" s="19"/>
      <c r="Q168" s="19"/>
      <c r="R168" s="19"/>
    </row>
    <row r="169" spans="1:18" ht="15.75" customHeight="1" x14ac:dyDescent="0.35">
      <c r="A169" s="18"/>
      <c r="P169" s="19"/>
      <c r="Q169" s="19"/>
      <c r="R169" s="19"/>
    </row>
    <row r="170" spans="1:18" ht="15.75" customHeight="1" x14ac:dyDescent="0.35">
      <c r="A170" s="18"/>
      <c r="P170" s="19"/>
      <c r="Q170" s="19"/>
      <c r="R170" s="19"/>
    </row>
    <row r="171" spans="1:18" ht="15.75" customHeight="1" x14ac:dyDescent="0.35">
      <c r="A171" s="18"/>
      <c r="P171" s="19"/>
      <c r="Q171" s="19"/>
      <c r="R171" s="19"/>
    </row>
    <row r="172" spans="1:18" ht="15.75" customHeight="1" x14ac:dyDescent="0.35">
      <c r="A172" s="18"/>
      <c r="P172" s="19"/>
      <c r="Q172" s="19"/>
      <c r="R172" s="19"/>
    </row>
    <row r="173" spans="1:18" ht="15.75" customHeight="1" x14ac:dyDescent="0.35">
      <c r="A173" s="18"/>
      <c r="P173" s="19"/>
      <c r="Q173" s="19"/>
      <c r="R173" s="19"/>
    </row>
    <row r="174" spans="1:18" ht="15.75" customHeight="1" x14ac:dyDescent="0.35">
      <c r="A174" s="18"/>
      <c r="P174" s="19"/>
      <c r="Q174" s="19"/>
      <c r="R174" s="19"/>
    </row>
    <row r="175" spans="1:18" ht="15.75" customHeight="1" x14ac:dyDescent="0.35">
      <c r="A175" s="18"/>
      <c r="P175" s="19"/>
      <c r="Q175" s="19"/>
      <c r="R175" s="19"/>
    </row>
    <row r="176" spans="1:18" ht="15.75" customHeight="1" x14ac:dyDescent="0.35">
      <c r="A176" s="18"/>
      <c r="P176" s="19"/>
      <c r="Q176" s="19"/>
      <c r="R176" s="19"/>
    </row>
    <row r="177" spans="1:18" ht="15.75" customHeight="1" x14ac:dyDescent="0.35">
      <c r="A177" s="18"/>
      <c r="P177" s="19"/>
      <c r="Q177" s="19"/>
      <c r="R177" s="19"/>
    </row>
    <row r="178" spans="1:18" ht="15.75" customHeight="1" x14ac:dyDescent="0.35">
      <c r="A178" s="18"/>
      <c r="P178" s="19"/>
      <c r="Q178" s="19"/>
      <c r="R178" s="19"/>
    </row>
    <row r="179" spans="1:18" ht="15.75" customHeight="1" x14ac:dyDescent="0.35">
      <c r="A179" s="18"/>
      <c r="P179" s="19"/>
      <c r="Q179" s="19"/>
      <c r="R179" s="19"/>
    </row>
    <row r="180" spans="1:18" ht="15.75" customHeight="1" x14ac:dyDescent="0.35">
      <c r="A180" s="18"/>
      <c r="P180" s="19"/>
      <c r="Q180" s="19"/>
      <c r="R180" s="19"/>
    </row>
    <row r="181" spans="1:18" ht="15.75" customHeight="1" x14ac:dyDescent="0.35">
      <c r="A181" s="18"/>
      <c r="P181" s="19"/>
      <c r="Q181" s="19"/>
      <c r="R181" s="19"/>
    </row>
    <row r="182" spans="1:18" ht="15.75" customHeight="1" x14ac:dyDescent="0.35">
      <c r="A182" s="18"/>
      <c r="P182" s="19"/>
      <c r="Q182" s="19"/>
      <c r="R182" s="19"/>
    </row>
    <row r="183" spans="1:18" ht="15.75" customHeight="1" x14ac:dyDescent="0.35">
      <c r="A183" s="18"/>
      <c r="P183" s="19"/>
      <c r="Q183" s="19"/>
      <c r="R183" s="19"/>
    </row>
    <row r="184" spans="1:18" ht="15.75" customHeight="1" x14ac:dyDescent="0.35">
      <c r="A184" s="18"/>
      <c r="P184" s="19"/>
      <c r="Q184" s="19"/>
      <c r="R184" s="19"/>
    </row>
    <row r="185" spans="1:18" ht="15.75" customHeight="1" x14ac:dyDescent="0.35">
      <c r="A185" s="18"/>
      <c r="P185" s="19"/>
      <c r="Q185" s="19"/>
      <c r="R185" s="19"/>
    </row>
    <row r="186" spans="1:18" ht="15.75" customHeight="1" x14ac:dyDescent="0.35">
      <c r="A186" s="18"/>
      <c r="P186" s="19"/>
      <c r="Q186" s="19"/>
      <c r="R186" s="19"/>
    </row>
    <row r="187" spans="1:18" ht="15.75" customHeight="1" x14ac:dyDescent="0.35">
      <c r="A187" s="18"/>
      <c r="P187" s="19"/>
      <c r="Q187" s="19"/>
      <c r="R187" s="19"/>
    </row>
    <row r="188" spans="1:18" ht="15.75" customHeight="1" x14ac:dyDescent="0.35">
      <c r="A188" s="18"/>
      <c r="P188" s="19"/>
      <c r="Q188" s="19"/>
      <c r="R188" s="19"/>
    </row>
    <row r="189" spans="1:18" ht="15.75" customHeight="1" x14ac:dyDescent="0.35">
      <c r="A189" s="18"/>
      <c r="P189" s="19"/>
      <c r="Q189" s="19"/>
      <c r="R189" s="19"/>
    </row>
    <row r="190" spans="1:18" ht="15.75" customHeight="1" x14ac:dyDescent="0.35">
      <c r="A190" s="18"/>
      <c r="P190" s="19"/>
      <c r="Q190" s="19"/>
      <c r="R190" s="19"/>
    </row>
    <row r="191" spans="1:18" ht="15.75" customHeight="1" x14ac:dyDescent="0.35">
      <c r="A191" s="18"/>
      <c r="P191" s="19"/>
      <c r="Q191" s="19"/>
      <c r="R191" s="19"/>
    </row>
    <row r="192" spans="1:18" ht="15.75" customHeight="1" x14ac:dyDescent="0.35">
      <c r="A192" s="18"/>
      <c r="P192" s="19"/>
      <c r="Q192" s="19"/>
      <c r="R192" s="19"/>
    </row>
    <row r="193" spans="1:18" ht="15.75" customHeight="1" x14ac:dyDescent="0.35">
      <c r="A193" s="18"/>
      <c r="P193" s="19"/>
      <c r="Q193" s="19"/>
      <c r="R193" s="19"/>
    </row>
    <row r="194" spans="1:18" ht="15.75" customHeight="1" x14ac:dyDescent="0.35">
      <c r="A194" s="18"/>
      <c r="P194" s="19"/>
      <c r="Q194" s="19"/>
      <c r="R194" s="19"/>
    </row>
    <row r="195" spans="1:18" ht="15.75" customHeight="1" x14ac:dyDescent="0.35">
      <c r="A195" s="18"/>
      <c r="P195" s="19"/>
      <c r="Q195" s="19"/>
      <c r="R195" s="19"/>
    </row>
    <row r="196" spans="1:18" ht="15.75" customHeight="1" x14ac:dyDescent="0.35">
      <c r="A196" s="18"/>
      <c r="P196" s="19"/>
      <c r="Q196" s="19"/>
      <c r="R196" s="19"/>
    </row>
    <row r="197" spans="1:18" ht="15.75" customHeight="1" x14ac:dyDescent="0.35">
      <c r="A197" s="18"/>
      <c r="P197" s="19"/>
      <c r="Q197" s="19"/>
      <c r="R197" s="19"/>
    </row>
    <row r="198" spans="1:18" ht="15.75" customHeight="1" x14ac:dyDescent="0.35">
      <c r="A198" s="18"/>
      <c r="P198" s="19"/>
      <c r="Q198" s="19"/>
      <c r="R198" s="19"/>
    </row>
    <row r="199" spans="1:18" ht="15.75" customHeight="1" x14ac:dyDescent="0.35">
      <c r="A199" s="18"/>
      <c r="P199" s="19"/>
      <c r="Q199" s="19"/>
      <c r="R199" s="19"/>
    </row>
    <row r="200" spans="1:18" ht="15.75" customHeight="1" x14ac:dyDescent="0.35">
      <c r="A200" s="18"/>
      <c r="P200" s="19"/>
      <c r="Q200" s="19"/>
      <c r="R200" s="19"/>
    </row>
    <row r="201" spans="1:18" ht="15.75" customHeight="1" x14ac:dyDescent="0.35">
      <c r="A201" s="18"/>
      <c r="P201" s="19"/>
      <c r="Q201" s="19"/>
      <c r="R201" s="19"/>
    </row>
    <row r="202" spans="1:18" ht="15.75" customHeight="1" x14ac:dyDescent="0.35">
      <c r="A202" s="18"/>
      <c r="P202" s="19"/>
      <c r="Q202" s="19"/>
      <c r="R202" s="19"/>
    </row>
    <row r="203" spans="1:18" ht="15.75" customHeight="1" x14ac:dyDescent="0.35">
      <c r="A203" s="18"/>
      <c r="P203" s="19"/>
      <c r="Q203" s="19"/>
      <c r="R203" s="19"/>
    </row>
    <row r="204" spans="1:18" ht="15.75" customHeight="1" x14ac:dyDescent="0.35">
      <c r="A204" s="18"/>
      <c r="P204" s="19"/>
      <c r="Q204" s="19"/>
      <c r="R204" s="19"/>
    </row>
    <row r="205" spans="1:18" ht="15.75" customHeight="1" x14ac:dyDescent="0.35">
      <c r="A205" s="18"/>
      <c r="P205" s="19"/>
      <c r="Q205" s="19"/>
      <c r="R205" s="19"/>
    </row>
    <row r="206" spans="1:18" ht="15.75" customHeight="1" x14ac:dyDescent="0.35">
      <c r="A206" s="18"/>
      <c r="P206" s="19"/>
      <c r="Q206" s="19"/>
      <c r="R206" s="19"/>
    </row>
    <row r="207" spans="1:18" ht="15.75" customHeight="1" x14ac:dyDescent="0.35">
      <c r="A207" s="18"/>
      <c r="P207" s="19"/>
      <c r="Q207" s="19"/>
      <c r="R207" s="19"/>
    </row>
    <row r="208" spans="1:18" ht="15.75" customHeight="1" x14ac:dyDescent="0.35">
      <c r="A208" s="18"/>
      <c r="P208" s="19"/>
      <c r="Q208" s="19"/>
      <c r="R208" s="19"/>
    </row>
    <row r="209" spans="1:18" ht="15.75" customHeight="1" x14ac:dyDescent="0.35">
      <c r="A209" s="18"/>
      <c r="P209" s="19"/>
      <c r="Q209" s="19"/>
      <c r="R209" s="19"/>
    </row>
    <row r="210" spans="1:18" ht="15.75" customHeight="1" x14ac:dyDescent="0.35">
      <c r="A210" s="18"/>
      <c r="P210" s="19"/>
      <c r="Q210" s="19"/>
      <c r="R210" s="19"/>
    </row>
    <row r="211" spans="1:18" ht="15.75" customHeight="1" x14ac:dyDescent="0.35">
      <c r="A211" s="18"/>
      <c r="P211" s="19"/>
      <c r="Q211" s="19"/>
      <c r="R211" s="19"/>
    </row>
    <row r="212" spans="1:18" ht="15.75" customHeight="1" x14ac:dyDescent="0.35">
      <c r="A212" s="18"/>
      <c r="P212" s="19"/>
      <c r="Q212" s="19"/>
      <c r="R212" s="19"/>
    </row>
    <row r="213" spans="1:18" ht="15.75" customHeight="1" x14ac:dyDescent="0.35">
      <c r="A213" s="18"/>
      <c r="P213" s="19"/>
      <c r="Q213" s="19"/>
      <c r="R213" s="19"/>
    </row>
    <row r="214" spans="1:18" ht="15.75" customHeight="1" x14ac:dyDescent="0.35">
      <c r="A214" s="18"/>
      <c r="P214" s="19"/>
      <c r="Q214" s="19"/>
      <c r="R214" s="19"/>
    </row>
    <row r="215" spans="1:18" ht="15.75" customHeight="1" x14ac:dyDescent="0.35">
      <c r="A215" s="18"/>
      <c r="P215" s="19"/>
      <c r="Q215" s="19"/>
      <c r="R215" s="19"/>
    </row>
    <row r="216" spans="1:18" ht="15.75" customHeight="1" x14ac:dyDescent="0.35">
      <c r="A216" s="18"/>
      <c r="P216" s="19"/>
      <c r="Q216" s="19"/>
      <c r="R216" s="19"/>
    </row>
    <row r="217" spans="1:18" ht="15.75" customHeight="1" x14ac:dyDescent="0.35">
      <c r="A217" s="18"/>
      <c r="P217" s="19"/>
      <c r="Q217" s="19"/>
      <c r="R217" s="19"/>
    </row>
    <row r="218" spans="1:18" ht="15.75" customHeight="1" x14ac:dyDescent="0.35">
      <c r="A218" s="18"/>
      <c r="P218" s="19"/>
      <c r="Q218" s="19"/>
      <c r="R218" s="19"/>
    </row>
    <row r="219" spans="1:18" ht="15.75" customHeight="1" x14ac:dyDescent="0.35">
      <c r="A219" s="18"/>
      <c r="P219" s="19"/>
      <c r="Q219" s="19"/>
      <c r="R219" s="19"/>
    </row>
    <row r="220" spans="1:18" ht="15.75" customHeight="1" x14ac:dyDescent="0.35">
      <c r="A220" s="18"/>
      <c r="P220" s="19"/>
      <c r="Q220" s="19"/>
      <c r="R220" s="19"/>
    </row>
    <row r="221" spans="1:18" ht="15.75" customHeight="1" x14ac:dyDescent="0.35">
      <c r="A221" s="18"/>
      <c r="P221" s="19"/>
      <c r="Q221" s="19"/>
      <c r="R221" s="19"/>
    </row>
    <row r="222" spans="1:18" ht="15.75" customHeight="1" x14ac:dyDescent="0.35">
      <c r="A222" s="18"/>
      <c r="P222" s="19"/>
      <c r="Q222" s="19"/>
      <c r="R222" s="19"/>
    </row>
    <row r="223" spans="1:18" ht="15.75" customHeight="1" x14ac:dyDescent="0.35">
      <c r="A223" s="18"/>
      <c r="P223" s="19"/>
      <c r="Q223" s="19"/>
      <c r="R223" s="19"/>
    </row>
    <row r="224" spans="1:18" ht="15.75" customHeight="1" x14ac:dyDescent="0.35">
      <c r="A224" s="18"/>
      <c r="P224" s="19"/>
      <c r="Q224" s="19"/>
      <c r="R224" s="19"/>
    </row>
    <row r="225" spans="1:18" ht="15.75" customHeight="1" x14ac:dyDescent="0.35">
      <c r="A225" s="18"/>
      <c r="P225" s="19"/>
      <c r="Q225" s="19"/>
      <c r="R225" s="19"/>
    </row>
    <row r="226" spans="1:18" ht="15.75" customHeight="1" x14ac:dyDescent="0.35">
      <c r="A226" s="18"/>
      <c r="P226" s="19"/>
      <c r="Q226" s="19"/>
      <c r="R226" s="19"/>
    </row>
    <row r="227" spans="1:18" ht="15.75" customHeight="1" x14ac:dyDescent="0.35">
      <c r="A227" s="18"/>
      <c r="P227" s="19"/>
      <c r="Q227" s="19"/>
      <c r="R227" s="19"/>
    </row>
    <row r="228" spans="1:18" ht="15.75" customHeight="1" x14ac:dyDescent="0.35">
      <c r="A228" s="18"/>
      <c r="P228" s="19"/>
      <c r="Q228" s="19"/>
      <c r="R228" s="19"/>
    </row>
    <row r="229" spans="1:18" ht="15.75" customHeight="1" x14ac:dyDescent="0.35">
      <c r="A229" s="18"/>
      <c r="P229" s="19"/>
      <c r="Q229" s="19"/>
      <c r="R229" s="19"/>
    </row>
    <row r="230" spans="1:18" ht="15.75" customHeight="1" x14ac:dyDescent="0.35">
      <c r="A230" s="18"/>
      <c r="P230" s="19"/>
      <c r="Q230" s="19"/>
      <c r="R230" s="19"/>
    </row>
    <row r="231" spans="1:18" ht="15.75" customHeight="1" x14ac:dyDescent="0.35">
      <c r="A231" s="18"/>
      <c r="P231" s="19"/>
      <c r="Q231" s="19"/>
      <c r="R231" s="19"/>
    </row>
    <row r="232" spans="1:18" ht="15.75" customHeight="1" x14ac:dyDescent="0.35">
      <c r="A232" s="18"/>
      <c r="P232" s="19"/>
      <c r="Q232" s="19"/>
      <c r="R232" s="19"/>
    </row>
    <row r="233" spans="1:18" ht="15.75" customHeight="1" x14ac:dyDescent="0.35">
      <c r="A233" s="18"/>
      <c r="P233" s="19"/>
      <c r="Q233" s="19"/>
      <c r="R233" s="19"/>
    </row>
    <row r="234" spans="1:18" ht="15.75" customHeight="1" x14ac:dyDescent="0.35">
      <c r="A234" s="18"/>
      <c r="P234" s="19"/>
      <c r="Q234" s="19"/>
      <c r="R234" s="19"/>
    </row>
    <row r="235" spans="1:18" ht="15.75" customHeight="1" x14ac:dyDescent="0.35">
      <c r="A235" s="18"/>
      <c r="P235" s="19"/>
      <c r="Q235" s="19"/>
      <c r="R235" s="19"/>
    </row>
    <row r="236" spans="1:18" ht="15.75" customHeight="1" x14ac:dyDescent="0.35">
      <c r="A236" s="18"/>
      <c r="P236" s="19"/>
      <c r="Q236" s="19"/>
      <c r="R236" s="19"/>
    </row>
    <row r="237" spans="1:18" ht="15.75" customHeight="1" x14ac:dyDescent="0.35">
      <c r="A237" s="18"/>
      <c r="P237" s="19"/>
      <c r="Q237" s="19"/>
      <c r="R237" s="19"/>
    </row>
    <row r="238" spans="1:18" ht="15.75" customHeight="1" x14ac:dyDescent="0.35">
      <c r="A238" s="18"/>
      <c r="P238" s="19"/>
      <c r="Q238" s="19"/>
      <c r="R238" s="19"/>
    </row>
    <row r="239" spans="1:18" ht="15.75" customHeight="1" x14ac:dyDescent="0.35">
      <c r="A239" s="18"/>
      <c r="P239" s="19"/>
      <c r="Q239" s="19"/>
      <c r="R239" s="19"/>
    </row>
    <row r="240" spans="1:18" ht="15.75" customHeight="1" x14ac:dyDescent="0.35">
      <c r="A240" s="18"/>
      <c r="P240" s="19"/>
      <c r="Q240" s="19"/>
      <c r="R240" s="19"/>
    </row>
    <row r="241" spans="1:18" ht="15.75" customHeight="1" x14ac:dyDescent="0.35">
      <c r="A241" s="18"/>
      <c r="P241" s="19"/>
      <c r="Q241" s="19"/>
      <c r="R241" s="19"/>
    </row>
    <row r="242" spans="1:18" ht="15.75" customHeight="1" x14ac:dyDescent="0.35">
      <c r="A242" s="18"/>
      <c r="P242" s="19"/>
      <c r="Q242" s="19"/>
      <c r="R242" s="19"/>
    </row>
    <row r="243" spans="1:18" ht="15.75" customHeight="1" x14ac:dyDescent="0.35">
      <c r="A243" s="18"/>
      <c r="P243" s="19"/>
      <c r="Q243" s="19"/>
      <c r="R243" s="19"/>
    </row>
    <row r="244" spans="1:18" ht="15.75" customHeight="1" x14ac:dyDescent="0.35">
      <c r="A244" s="18"/>
      <c r="P244" s="19"/>
      <c r="Q244" s="19"/>
      <c r="R244" s="19"/>
    </row>
    <row r="245" spans="1:18" ht="15.75" customHeight="1" x14ac:dyDescent="0.35">
      <c r="A245" s="18"/>
      <c r="P245" s="19"/>
      <c r="Q245" s="19"/>
      <c r="R245" s="19"/>
    </row>
    <row r="246" spans="1:18" ht="15.75" customHeight="1" x14ac:dyDescent="0.35">
      <c r="A246" s="18"/>
      <c r="P246" s="19"/>
      <c r="Q246" s="19"/>
      <c r="R246" s="19"/>
    </row>
    <row r="247" spans="1:18" ht="15.75" customHeight="1" x14ac:dyDescent="0.35">
      <c r="A247" s="18"/>
      <c r="P247" s="19"/>
      <c r="Q247" s="19"/>
      <c r="R247" s="19"/>
    </row>
    <row r="248" spans="1:18" ht="15.75" customHeight="1" x14ac:dyDescent="0.35">
      <c r="A248" s="18"/>
      <c r="P248" s="19"/>
      <c r="Q248" s="19"/>
      <c r="R248" s="19"/>
    </row>
    <row r="249" spans="1:18" ht="15.75" customHeight="1" x14ac:dyDescent="0.35">
      <c r="A249" s="18"/>
      <c r="P249" s="19"/>
      <c r="Q249" s="19"/>
      <c r="R249" s="19"/>
    </row>
    <row r="250" spans="1:18" ht="15.75" customHeight="1" x14ac:dyDescent="0.35">
      <c r="A250" s="18"/>
      <c r="P250" s="19"/>
      <c r="Q250" s="19"/>
      <c r="R250" s="19"/>
    </row>
    <row r="251" spans="1:18" ht="15.75" customHeight="1" x14ac:dyDescent="0.35">
      <c r="A251" s="18"/>
      <c r="P251" s="19"/>
      <c r="Q251" s="19"/>
      <c r="R251" s="19"/>
    </row>
    <row r="252" spans="1:18" ht="15.75" customHeight="1" x14ac:dyDescent="0.35">
      <c r="A252" s="18"/>
      <c r="P252" s="19"/>
      <c r="Q252" s="19"/>
      <c r="R252" s="19"/>
    </row>
    <row r="253" spans="1:18" ht="15.75" customHeight="1" x14ac:dyDescent="0.35">
      <c r="A253" s="18"/>
      <c r="P253" s="19"/>
      <c r="Q253" s="19"/>
      <c r="R253" s="19"/>
    </row>
    <row r="254" spans="1:18" ht="15.75" customHeight="1" x14ac:dyDescent="0.35">
      <c r="A254" s="18"/>
      <c r="P254" s="19"/>
      <c r="Q254" s="19"/>
      <c r="R254" s="19"/>
    </row>
    <row r="255" spans="1:18" ht="15.75" customHeight="1" x14ac:dyDescent="0.35">
      <c r="A255" s="18"/>
      <c r="P255" s="19"/>
      <c r="Q255" s="19"/>
      <c r="R255" s="19"/>
    </row>
    <row r="256" spans="1:18" ht="15.75" customHeight="1" x14ac:dyDescent="0.35">
      <c r="A256" s="18"/>
      <c r="P256" s="19"/>
      <c r="Q256" s="19"/>
      <c r="R256" s="19"/>
    </row>
    <row r="257" spans="1:18" ht="15.75" customHeight="1" x14ac:dyDescent="0.35">
      <c r="A257" s="18"/>
      <c r="P257" s="19"/>
      <c r="Q257" s="19"/>
      <c r="R257" s="19"/>
    </row>
    <row r="258" spans="1:18" ht="15.75" customHeight="1" x14ac:dyDescent="0.35">
      <c r="A258" s="18"/>
      <c r="P258" s="19"/>
      <c r="Q258" s="19"/>
      <c r="R258" s="19"/>
    </row>
    <row r="259" spans="1:18" ht="15.75" customHeight="1" x14ac:dyDescent="0.35">
      <c r="A259" s="18"/>
      <c r="P259" s="19"/>
      <c r="Q259" s="19"/>
      <c r="R259" s="19"/>
    </row>
    <row r="260" spans="1:18" ht="15.75" customHeight="1" x14ac:dyDescent="0.35">
      <c r="A260" s="18"/>
      <c r="P260" s="19"/>
      <c r="Q260" s="19"/>
      <c r="R260" s="19"/>
    </row>
    <row r="261" spans="1:18" ht="15.75" customHeight="1" x14ac:dyDescent="0.35">
      <c r="A261" s="18"/>
      <c r="P261" s="19"/>
      <c r="Q261" s="19"/>
      <c r="R261" s="19"/>
    </row>
    <row r="262" spans="1:18" ht="15.75" customHeight="1" x14ac:dyDescent="0.35">
      <c r="A262" s="18"/>
      <c r="P262" s="19"/>
      <c r="Q262" s="19"/>
      <c r="R262" s="19"/>
    </row>
    <row r="263" spans="1:18" ht="15.75" customHeight="1" x14ac:dyDescent="0.35">
      <c r="A263" s="18"/>
      <c r="P263" s="19"/>
      <c r="Q263" s="19"/>
      <c r="R263" s="19"/>
    </row>
    <row r="264" spans="1:18" ht="15.75" customHeight="1" x14ac:dyDescent="0.35">
      <c r="A264" s="18"/>
      <c r="P264" s="19"/>
      <c r="Q264" s="19"/>
      <c r="R264" s="19"/>
    </row>
    <row r="265" spans="1:18" ht="15.75" customHeight="1" x14ac:dyDescent="0.35">
      <c r="A265" s="18"/>
      <c r="P265" s="19"/>
      <c r="Q265" s="19"/>
      <c r="R265" s="19"/>
    </row>
    <row r="266" spans="1:18" ht="15.75" customHeight="1" x14ac:dyDescent="0.35">
      <c r="A266" s="18"/>
      <c r="P266" s="19"/>
      <c r="Q266" s="19"/>
      <c r="R266" s="19"/>
    </row>
    <row r="267" spans="1:18" ht="15.75" customHeight="1" x14ac:dyDescent="0.35">
      <c r="A267" s="18"/>
      <c r="P267" s="19"/>
      <c r="Q267" s="19"/>
      <c r="R267" s="19"/>
    </row>
    <row r="268" spans="1:18" ht="15.75" customHeight="1" x14ac:dyDescent="0.35">
      <c r="A268" s="18"/>
      <c r="P268" s="19"/>
      <c r="Q268" s="19"/>
      <c r="R268" s="19"/>
    </row>
    <row r="269" spans="1:18" ht="15.75" customHeight="1" x14ac:dyDescent="0.35">
      <c r="A269" s="18"/>
      <c r="P269" s="19"/>
      <c r="Q269" s="19"/>
      <c r="R269" s="19"/>
    </row>
    <row r="270" spans="1:18" ht="15.75" customHeight="1" x14ac:dyDescent="0.35">
      <c r="A270" s="18"/>
      <c r="P270" s="19"/>
      <c r="Q270" s="19"/>
      <c r="R270" s="19"/>
    </row>
    <row r="271" spans="1:18" ht="15.75" customHeight="1" x14ac:dyDescent="0.35">
      <c r="A271" s="18"/>
      <c r="P271" s="19"/>
      <c r="Q271" s="19"/>
      <c r="R271" s="19"/>
    </row>
    <row r="272" spans="1:18" ht="15.75" customHeight="1" x14ac:dyDescent="0.35">
      <c r="A272" s="18"/>
      <c r="P272" s="19"/>
      <c r="Q272" s="19"/>
      <c r="R272" s="19"/>
    </row>
    <row r="273" spans="1:18" ht="15.75" customHeight="1" x14ac:dyDescent="0.35">
      <c r="A273" s="18"/>
      <c r="P273" s="19"/>
      <c r="Q273" s="19"/>
      <c r="R273" s="19"/>
    </row>
    <row r="274" spans="1:18" ht="15.75" customHeight="1" x14ac:dyDescent="0.35">
      <c r="A274" s="18"/>
      <c r="P274" s="19"/>
      <c r="Q274" s="19"/>
      <c r="R274" s="19"/>
    </row>
    <row r="275" spans="1:18" ht="15.75" customHeight="1" x14ac:dyDescent="0.35">
      <c r="A275" s="18"/>
      <c r="P275" s="19"/>
      <c r="Q275" s="19"/>
      <c r="R275" s="19"/>
    </row>
    <row r="276" spans="1:18" ht="15.75" customHeight="1" x14ac:dyDescent="0.35">
      <c r="A276" s="18"/>
      <c r="P276" s="19"/>
      <c r="Q276" s="19"/>
      <c r="R276" s="19"/>
    </row>
    <row r="277" spans="1:18" ht="15.75" customHeight="1" x14ac:dyDescent="0.35">
      <c r="A277" s="18"/>
      <c r="P277" s="19"/>
      <c r="Q277" s="19"/>
      <c r="R277" s="19"/>
    </row>
    <row r="278" spans="1:18" ht="15.75" customHeight="1" x14ac:dyDescent="0.35">
      <c r="A278" s="18"/>
      <c r="P278" s="19"/>
      <c r="Q278" s="19"/>
      <c r="R278" s="19"/>
    </row>
    <row r="279" spans="1:18" ht="15.75" customHeight="1" x14ac:dyDescent="0.35">
      <c r="A279" s="18"/>
      <c r="P279" s="19"/>
      <c r="Q279" s="19"/>
      <c r="R279" s="19"/>
    </row>
    <row r="280" spans="1:18" ht="15.75" customHeight="1" x14ac:dyDescent="0.35">
      <c r="A280" s="18"/>
      <c r="P280" s="19"/>
      <c r="Q280" s="19"/>
      <c r="R280" s="19"/>
    </row>
    <row r="281" spans="1:18" ht="15.75" customHeight="1" x14ac:dyDescent="0.35">
      <c r="A281" s="18"/>
      <c r="P281" s="19"/>
      <c r="Q281" s="19"/>
      <c r="R281" s="19"/>
    </row>
    <row r="282" spans="1:18" ht="15.75" customHeight="1" x14ac:dyDescent="0.35">
      <c r="A282" s="18"/>
      <c r="P282" s="19"/>
      <c r="Q282" s="19"/>
      <c r="R282" s="19"/>
    </row>
    <row r="283" spans="1:18" ht="15.75" customHeight="1" x14ac:dyDescent="0.35">
      <c r="A283" s="18"/>
      <c r="P283" s="19"/>
      <c r="Q283" s="19"/>
      <c r="R283" s="19"/>
    </row>
    <row r="284" spans="1:18" ht="15.75" customHeight="1" x14ac:dyDescent="0.35">
      <c r="A284" s="18"/>
      <c r="P284" s="19"/>
      <c r="Q284" s="19"/>
      <c r="R284" s="19"/>
    </row>
    <row r="285" spans="1:18" ht="15.75" customHeight="1" x14ac:dyDescent="0.35">
      <c r="A285" s="18"/>
      <c r="P285" s="19"/>
      <c r="Q285" s="19"/>
      <c r="R285" s="19"/>
    </row>
    <row r="286" spans="1:18" ht="15.75" customHeight="1" x14ac:dyDescent="0.35">
      <c r="A286" s="18"/>
      <c r="P286" s="19"/>
      <c r="Q286" s="19"/>
      <c r="R286" s="19"/>
    </row>
    <row r="287" spans="1:18" ht="15.75" customHeight="1" x14ac:dyDescent="0.35">
      <c r="A287" s="18"/>
      <c r="P287" s="19"/>
      <c r="Q287" s="19"/>
      <c r="R287" s="19"/>
    </row>
    <row r="288" spans="1:18" ht="15.75" customHeight="1" x14ac:dyDescent="0.35">
      <c r="A288" s="18"/>
      <c r="P288" s="19"/>
      <c r="Q288" s="19"/>
      <c r="R288" s="19"/>
    </row>
    <row r="289" spans="1:18" ht="15.75" customHeight="1" x14ac:dyDescent="0.35">
      <c r="A289" s="18"/>
      <c r="P289" s="19"/>
      <c r="Q289" s="19"/>
      <c r="R289" s="19"/>
    </row>
    <row r="290" spans="1:18" ht="15.75" customHeight="1" x14ac:dyDescent="0.35">
      <c r="A290" s="18"/>
      <c r="P290" s="19"/>
      <c r="Q290" s="19"/>
      <c r="R290" s="19"/>
    </row>
    <row r="291" spans="1:18" ht="15.75" customHeight="1" x14ac:dyDescent="0.35">
      <c r="A291" s="18"/>
      <c r="P291" s="19"/>
      <c r="Q291" s="19"/>
      <c r="R291" s="19"/>
    </row>
    <row r="292" spans="1:18" ht="15.75" customHeight="1" x14ac:dyDescent="0.35">
      <c r="A292" s="18"/>
      <c r="P292" s="19"/>
      <c r="Q292" s="19"/>
      <c r="R292" s="19"/>
    </row>
    <row r="293" spans="1:18" ht="15.75" customHeight="1" x14ac:dyDescent="0.35">
      <c r="A293" s="18"/>
      <c r="P293" s="19"/>
      <c r="Q293" s="19"/>
      <c r="R293" s="19"/>
    </row>
    <row r="294" spans="1:18" ht="15.75" customHeight="1" x14ac:dyDescent="0.35">
      <c r="A294" s="18"/>
      <c r="P294" s="19"/>
      <c r="Q294" s="19"/>
      <c r="R294" s="19"/>
    </row>
    <row r="295" spans="1:18" ht="15.75" customHeight="1" x14ac:dyDescent="0.35">
      <c r="A295" s="18"/>
      <c r="P295" s="19"/>
      <c r="Q295" s="19"/>
      <c r="R295" s="19"/>
    </row>
    <row r="296" spans="1:18" ht="15.75" customHeight="1" x14ac:dyDescent="0.35">
      <c r="A296" s="18"/>
      <c r="P296" s="19"/>
      <c r="Q296" s="19"/>
      <c r="R296" s="19"/>
    </row>
    <row r="297" spans="1:18" ht="15.75" customHeight="1" x14ac:dyDescent="0.35">
      <c r="A297" s="18"/>
      <c r="P297" s="19"/>
      <c r="Q297" s="19"/>
      <c r="R297" s="19"/>
    </row>
    <row r="298" spans="1:18" ht="15.75" customHeight="1" x14ac:dyDescent="0.35">
      <c r="A298" s="18"/>
      <c r="P298" s="19"/>
      <c r="Q298" s="19"/>
      <c r="R298" s="19"/>
    </row>
    <row r="299" spans="1:18" ht="15.75" customHeight="1" x14ac:dyDescent="0.35">
      <c r="A299" s="18"/>
      <c r="P299" s="19"/>
      <c r="Q299" s="19"/>
      <c r="R299" s="19"/>
    </row>
    <row r="300" spans="1:18" ht="15.75" customHeight="1" x14ac:dyDescent="0.35">
      <c r="A300" s="18"/>
      <c r="P300" s="19"/>
      <c r="Q300" s="19"/>
      <c r="R300" s="19"/>
    </row>
    <row r="301" spans="1:18" ht="15.75" customHeight="1" x14ac:dyDescent="0.35">
      <c r="A301" s="18"/>
      <c r="P301" s="19"/>
      <c r="Q301" s="19"/>
      <c r="R301" s="19"/>
    </row>
    <row r="302" spans="1:18" ht="15.75" customHeight="1" x14ac:dyDescent="0.35">
      <c r="A302" s="18"/>
      <c r="P302" s="19"/>
      <c r="Q302" s="19"/>
      <c r="R302" s="19"/>
    </row>
    <row r="303" spans="1:18" ht="15.75" customHeight="1" x14ac:dyDescent="0.35">
      <c r="A303" s="18"/>
      <c r="P303" s="19"/>
      <c r="Q303" s="19"/>
      <c r="R303" s="19"/>
    </row>
    <row r="304" spans="1:18" ht="15.75" customHeight="1" x14ac:dyDescent="0.35">
      <c r="A304" s="18"/>
      <c r="P304" s="19"/>
      <c r="Q304" s="19"/>
      <c r="R304" s="19"/>
    </row>
    <row r="305" spans="1:18" ht="15.75" customHeight="1" x14ac:dyDescent="0.35">
      <c r="A305" s="18"/>
      <c r="P305" s="19"/>
      <c r="Q305" s="19"/>
      <c r="R305" s="19"/>
    </row>
    <row r="306" spans="1:18" ht="15.75" customHeight="1" x14ac:dyDescent="0.35">
      <c r="A306" s="18"/>
      <c r="P306" s="19"/>
      <c r="Q306" s="19"/>
      <c r="R306" s="19"/>
    </row>
    <row r="307" spans="1:18" ht="15.75" customHeight="1" x14ac:dyDescent="0.35">
      <c r="A307" s="18"/>
      <c r="P307" s="19"/>
      <c r="Q307" s="19"/>
      <c r="R307" s="19"/>
    </row>
    <row r="308" spans="1:18" ht="15.75" customHeight="1" x14ac:dyDescent="0.35">
      <c r="A308" s="18"/>
      <c r="P308" s="19"/>
      <c r="Q308" s="19"/>
      <c r="R308" s="19"/>
    </row>
    <row r="309" spans="1:18" ht="15.75" customHeight="1" x14ac:dyDescent="0.35">
      <c r="A309" s="18"/>
      <c r="P309" s="19"/>
      <c r="Q309" s="19"/>
      <c r="R309" s="19"/>
    </row>
    <row r="310" spans="1:18" ht="15.75" customHeight="1" x14ac:dyDescent="0.35">
      <c r="A310" s="18"/>
      <c r="P310" s="19"/>
      <c r="Q310" s="19"/>
      <c r="R310" s="19"/>
    </row>
    <row r="311" spans="1:18" ht="15.75" customHeight="1" x14ac:dyDescent="0.35">
      <c r="A311" s="18"/>
      <c r="P311" s="19"/>
      <c r="Q311" s="19"/>
      <c r="R311" s="19"/>
    </row>
    <row r="312" spans="1:18" ht="15.75" customHeight="1" x14ac:dyDescent="0.35">
      <c r="A312" s="18"/>
      <c r="P312" s="19"/>
      <c r="Q312" s="19"/>
      <c r="R312" s="19"/>
    </row>
    <row r="313" spans="1:18" ht="15.75" customHeight="1" x14ac:dyDescent="0.35">
      <c r="A313" s="18"/>
      <c r="P313" s="19"/>
      <c r="Q313" s="19"/>
      <c r="R313" s="19"/>
    </row>
    <row r="314" spans="1:18" ht="15.75" customHeight="1" x14ac:dyDescent="0.35">
      <c r="A314" s="18"/>
      <c r="P314" s="19"/>
      <c r="Q314" s="19"/>
      <c r="R314" s="19"/>
    </row>
    <row r="315" spans="1:18" ht="15.75" customHeight="1" x14ac:dyDescent="0.35">
      <c r="A315" s="18"/>
      <c r="P315" s="19"/>
      <c r="Q315" s="19"/>
      <c r="R315" s="19"/>
    </row>
    <row r="316" spans="1:18" ht="15.75" customHeight="1" x14ac:dyDescent="0.35">
      <c r="A316" s="18"/>
      <c r="P316" s="19"/>
      <c r="Q316" s="19"/>
      <c r="R316" s="19"/>
    </row>
    <row r="317" spans="1:18" ht="15.75" customHeight="1" x14ac:dyDescent="0.35">
      <c r="A317" s="18"/>
      <c r="P317" s="19"/>
      <c r="Q317" s="19"/>
      <c r="R317" s="19"/>
    </row>
    <row r="318" spans="1:18" ht="15.75" customHeight="1" x14ac:dyDescent="0.35">
      <c r="A318" s="18"/>
      <c r="P318" s="19"/>
      <c r="Q318" s="19"/>
      <c r="R318" s="19"/>
    </row>
    <row r="319" spans="1:18" ht="15.75" customHeight="1" x14ac:dyDescent="0.35">
      <c r="A319" s="18"/>
      <c r="P319" s="19"/>
      <c r="Q319" s="19"/>
      <c r="R319" s="19"/>
    </row>
    <row r="320" spans="1:18" ht="15.75" customHeight="1" x14ac:dyDescent="0.35">
      <c r="A320" s="18"/>
      <c r="P320" s="19"/>
      <c r="Q320" s="19"/>
      <c r="R320" s="19"/>
    </row>
    <row r="321" spans="1:18" ht="15.75" customHeight="1" x14ac:dyDescent="0.35">
      <c r="A321" s="18"/>
      <c r="P321" s="19"/>
      <c r="Q321" s="19"/>
      <c r="R321" s="19"/>
    </row>
    <row r="322" spans="1:18" ht="15.75" customHeight="1" x14ac:dyDescent="0.35">
      <c r="A322" s="18"/>
      <c r="P322" s="19"/>
      <c r="Q322" s="19"/>
      <c r="R322" s="19"/>
    </row>
    <row r="323" spans="1:18" ht="15.75" customHeight="1" x14ac:dyDescent="0.35">
      <c r="A323" s="18"/>
      <c r="P323" s="19"/>
      <c r="Q323" s="19"/>
      <c r="R323" s="19"/>
    </row>
    <row r="324" spans="1:18" ht="15.75" customHeight="1" x14ac:dyDescent="0.35">
      <c r="A324" s="18"/>
      <c r="P324" s="19"/>
      <c r="Q324" s="19"/>
      <c r="R324" s="19"/>
    </row>
    <row r="325" spans="1:18" ht="15.75" customHeight="1" x14ac:dyDescent="0.35">
      <c r="A325" s="18"/>
      <c r="P325" s="19"/>
      <c r="Q325" s="19"/>
      <c r="R325" s="19"/>
    </row>
    <row r="326" spans="1:18" ht="15.75" customHeight="1" x14ac:dyDescent="0.35">
      <c r="A326" s="18"/>
      <c r="P326" s="19"/>
      <c r="Q326" s="19"/>
      <c r="R326" s="19"/>
    </row>
    <row r="327" spans="1:18" ht="15.75" customHeight="1" x14ac:dyDescent="0.35">
      <c r="A327" s="18"/>
      <c r="P327" s="19"/>
      <c r="Q327" s="19"/>
      <c r="R327" s="19"/>
    </row>
    <row r="328" spans="1:18" ht="15.75" customHeight="1" x14ac:dyDescent="0.35">
      <c r="A328" s="18"/>
      <c r="P328" s="19"/>
      <c r="Q328" s="19"/>
      <c r="R328" s="19"/>
    </row>
    <row r="329" spans="1:18" ht="15.75" customHeight="1" x14ac:dyDescent="0.35">
      <c r="A329" s="18"/>
      <c r="P329" s="19"/>
      <c r="Q329" s="19"/>
      <c r="R329" s="19"/>
    </row>
    <row r="330" spans="1:18" ht="15.75" customHeight="1" x14ac:dyDescent="0.35">
      <c r="A330" s="18"/>
      <c r="P330" s="19"/>
      <c r="Q330" s="19"/>
      <c r="R330" s="19"/>
    </row>
    <row r="331" spans="1:18" ht="15.75" customHeight="1" x14ac:dyDescent="0.35">
      <c r="A331" s="18"/>
      <c r="P331" s="19"/>
      <c r="Q331" s="19"/>
      <c r="R331" s="19"/>
    </row>
    <row r="332" spans="1:18" ht="15.75" customHeight="1" x14ac:dyDescent="0.35">
      <c r="A332" s="18"/>
      <c r="P332" s="19"/>
      <c r="Q332" s="19"/>
      <c r="R332" s="19"/>
    </row>
    <row r="333" spans="1:18" ht="15.75" customHeight="1" x14ac:dyDescent="0.35">
      <c r="A333" s="18"/>
      <c r="P333" s="19"/>
      <c r="Q333" s="19"/>
      <c r="R333" s="19"/>
    </row>
    <row r="334" spans="1:18" ht="15.75" customHeight="1" x14ac:dyDescent="0.35">
      <c r="A334" s="18"/>
      <c r="P334" s="19"/>
      <c r="Q334" s="19"/>
      <c r="R334" s="19"/>
    </row>
    <row r="335" spans="1:18" ht="15.75" customHeight="1" x14ac:dyDescent="0.35">
      <c r="A335" s="18"/>
      <c r="P335" s="19"/>
      <c r="Q335" s="19"/>
      <c r="R335" s="19"/>
    </row>
    <row r="336" spans="1:18" ht="15.75" customHeight="1" x14ac:dyDescent="0.35">
      <c r="A336" s="18"/>
      <c r="P336" s="19"/>
      <c r="Q336" s="19"/>
      <c r="R336" s="19"/>
    </row>
    <row r="337" spans="1:18" ht="15.75" customHeight="1" x14ac:dyDescent="0.35">
      <c r="A337" s="18"/>
      <c r="P337" s="19"/>
      <c r="Q337" s="19"/>
      <c r="R337" s="19"/>
    </row>
    <row r="338" spans="1:18" ht="15.75" customHeight="1" x14ac:dyDescent="0.35">
      <c r="A338" s="18"/>
      <c r="P338" s="19"/>
      <c r="Q338" s="19"/>
      <c r="R338" s="19"/>
    </row>
    <row r="339" spans="1:18" ht="15.75" customHeight="1" x14ac:dyDescent="0.35">
      <c r="A339" s="18"/>
      <c r="P339" s="19"/>
      <c r="Q339" s="19"/>
      <c r="R339" s="19"/>
    </row>
    <row r="340" spans="1:18" ht="15.75" customHeight="1" x14ac:dyDescent="0.35">
      <c r="A340" s="18"/>
      <c r="P340" s="19"/>
      <c r="Q340" s="19"/>
      <c r="R340" s="19"/>
    </row>
    <row r="341" spans="1:18" ht="15.75" customHeight="1" x14ac:dyDescent="0.35">
      <c r="A341" s="18"/>
      <c r="P341" s="19"/>
      <c r="Q341" s="19"/>
      <c r="R341" s="19"/>
    </row>
    <row r="342" spans="1:18" ht="15.75" customHeight="1" x14ac:dyDescent="0.35">
      <c r="A342" s="18"/>
      <c r="P342" s="19"/>
      <c r="Q342" s="19"/>
      <c r="R342" s="19"/>
    </row>
    <row r="343" spans="1:18" ht="15.75" customHeight="1" x14ac:dyDescent="0.35">
      <c r="A343" s="18"/>
      <c r="P343" s="19"/>
      <c r="Q343" s="19"/>
      <c r="R343" s="19"/>
    </row>
    <row r="344" spans="1:18" ht="15.75" customHeight="1" x14ac:dyDescent="0.35">
      <c r="A344" s="18"/>
      <c r="P344" s="19"/>
      <c r="Q344" s="19"/>
      <c r="R344" s="19"/>
    </row>
    <row r="345" spans="1:18" ht="15.75" customHeight="1" x14ac:dyDescent="0.35">
      <c r="A345" s="18"/>
      <c r="P345" s="19"/>
      <c r="Q345" s="19"/>
      <c r="R345" s="19"/>
    </row>
    <row r="346" spans="1:18" ht="15.75" customHeight="1" x14ac:dyDescent="0.35">
      <c r="A346" s="18"/>
      <c r="P346" s="19"/>
      <c r="Q346" s="19"/>
      <c r="R346" s="19"/>
    </row>
    <row r="347" spans="1:18" ht="15.75" customHeight="1" x14ac:dyDescent="0.35">
      <c r="A347" s="18"/>
      <c r="P347" s="19"/>
      <c r="Q347" s="19"/>
      <c r="R347" s="19"/>
    </row>
    <row r="348" spans="1:18" ht="15.75" customHeight="1" x14ac:dyDescent="0.35">
      <c r="A348" s="18"/>
      <c r="P348" s="19"/>
      <c r="Q348" s="19"/>
      <c r="R348" s="19"/>
    </row>
    <row r="349" spans="1:18" ht="15.75" customHeight="1" x14ac:dyDescent="0.35">
      <c r="A349" s="18"/>
      <c r="P349" s="19"/>
      <c r="Q349" s="19"/>
      <c r="R349" s="19"/>
    </row>
    <row r="350" spans="1:18" ht="15.75" customHeight="1" x14ac:dyDescent="0.35">
      <c r="A350" s="18"/>
      <c r="P350" s="19"/>
      <c r="Q350" s="19"/>
      <c r="R350" s="19"/>
    </row>
    <row r="351" spans="1:18" ht="15.75" customHeight="1" x14ac:dyDescent="0.35">
      <c r="A351" s="18"/>
      <c r="P351" s="19"/>
      <c r="Q351" s="19"/>
      <c r="R351" s="19"/>
    </row>
    <row r="352" spans="1:18" ht="15.75" customHeight="1" x14ac:dyDescent="0.35">
      <c r="A352" s="18"/>
      <c r="P352" s="19"/>
      <c r="Q352" s="19"/>
      <c r="R352" s="19"/>
    </row>
    <row r="353" spans="1:18" ht="15.75" customHeight="1" x14ac:dyDescent="0.35">
      <c r="A353" s="18"/>
      <c r="P353" s="19"/>
      <c r="Q353" s="19"/>
      <c r="R353" s="19"/>
    </row>
    <row r="354" spans="1:18" ht="15.75" customHeight="1" x14ac:dyDescent="0.35">
      <c r="A354" s="18"/>
      <c r="P354" s="19"/>
      <c r="Q354" s="19"/>
      <c r="R354" s="19"/>
    </row>
    <row r="355" spans="1:18" ht="15.75" customHeight="1" x14ac:dyDescent="0.35">
      <c r="A355" s="18"/>
      <c r="P355" s="19"/>
      <c r="Q355" s="19"/>
      <c r="R355" s="19"/>
    </row>
    <row r="356" spans="1:18" ht="15.75" customHeight="1" x14ac:dyDescent="0.35">
      <c r="A356" s="18"/>
      <c r="P356" s="19"/>
      <c r="Q356" s="19"/>
      <c r="R356" s="19"/>
    </row>
    <row r="357" spans="1:18" ht="15.75" customHeight="1" x14ac:dyDescent="0.35">
      <c r="A357" s="18"/>
      <c r="P357" s="19"/>
      <c r="Q357" s="19"/>
      <c r="R357" s="19"/>
    </row>
    <row r="358" spans="1:18" ht="15.75" customHeight="1" x14ac:dyDescent="0.35">
      <c r="A358" s="18"/>
      <c r="P358" s="19"/>
      <c r="Q358" s="19"/>
      <c r="R358" s="19"/>
    </row>
    <row r="359" spans="1:18" ht="15.75" customHeight="1" x14ac:dyDescent="0.35">
      <c r="A359" s="18"/>
      <c r="P359" s="19"/>
      <c r="Q359" s="19"/>
      <c r="R359" s="19"/>
    </row>
    <row r="360" spans="1:18" ht="15.75" customHeight="1" x14ac:dyDescent="0.35">
      <c r="A360" s="18"/>
      <c r="P360" s="19"/>
      <c r="Q360" s="19"/>
      <c r="R360" s="19"/>
    </row>
    <row r="361" spans="1:18" ht="15.75" customHeight="1" x14ac:dyDescent="0.35">
      <c r="A361" s="18"/>
      <c r="P361" s="19"/>
      <c r="Q361" s="19"/>
      <c r="R361" s="19"/>
    </row>
    <row r="362" spans="1:18" ht="15.75" customHeight="1" x14ac:dyDescent="0.35">
      <c r="A362" s="18"/>
      <c r="P362" s="19"/>
      <c r="Q362" s="19"/>
      <c r="R362" s="19"/>
    </row>
    <row r="363" spans="1:18" ht="15.75" customHeight="1" x14ac:dyDescent="0.35">
      <c r="A363" s="18"/>
      <c r="P363" s="19"/>
      <c r="Q363" s="19"/>
      <c r="R363" s="19"/>
    </row>
    <row r="364" spans="1:18" ht="15.75" customHeight="1" x14ac:dyDescent="0.35">
      <c r="A364" s="18"/>
      <c r="P364" s="19"/>
      <c r="Q364" s="19"/>
      <c r="R364" s="19"/>
    </row>
    <row r="365" spans="1:18" ht="15.75" customHeight="1" x14ac:dyDescent="0.35">
      <c r="A365" s="18"/>
      <c r="P365" s="19"/>
      <c r="Q365" s="19"/>
      <c r="R365" s="19"/>
    </row>
    <row r="366" spans="1:18" ht="15.75" customHeight="1" x14ac:dyDescent="0.35">
      <c r="A366" s="18"/>
      <c r="P366" s="19"/>
      <c r="Q366" s="19"/>
      <c r="R366" s="19"/>
    </row>
    <row r="367" spans="1:18" ht="15.75" customHeight="1" x14ac:dyDescent="0.35">
      <c r="A367" s="18"/>
      <c r="P367" s="19"/>
      <c r="Q367" s="19"/>
      <c r="R367" s="19"/>
    </row>
    <row r="368" spans="1:18" ht="15.75" customHeight="1" x14ac:dyDescent="0.35">
      <c r="A368" s="18"/>
      <c r="P368" s="19"/>
      <c r="Q368" s="19"/>
      <c r="R368" s="19"/>
    </row>
    <row r="369" spans="1:18" ht="15.75" customHeight="1" x14ac:dyDescent="0.35">
      <c r="A369" s="18"/>
      <c r="P369" s="19"/>
      <c r="Q369" s="19"/>
      <c r="R369" s="19"/>
    </row>
    <row r="370" spans="1:18" ht="15.75" customHeight="1" x14ac:dyDescent="0.35">
      <c r="A370" s="18"/>
      <c r="P370" s="19"/>
      <c r="Q370" s="19"/>
      <c r="R370" s="19"/>
    </row>
    <row r="371" spans="1:18" ht="15.75" customHeight="1" x14ac:dyDescent="0.35">
      <c r="A371" s="18"/>
      <c r="P371" s="19"/>
      <c r="Q371" s="19"/>
      <c r="R371" s="19"/>
    </row>
    <row r="372" spans="1:18" ht="15.75" customHeight="1" x14ac:dyDescent="0.35">
      <c r="A372" s="18"/>
      <c r="P372" s="19"/>
      <c r="Q372" s="19"/>
      <c r="R372" s="19"/>
    </row>
    <row r="373" spans="1:18" ht="15.75" customHeight="1" x14ac:dyDescent="0.35">
      <c r="A373" s="18"/>
      <c r="P373" s="19"/>
      <c r="Q373" s="19"/>
      <c r="R373" s="19"/>
    </row>
    <row r="374" spans="1:18" ht="15.75" customHeight="1" x14ac:dyDescent="0.35">
      <c r="A374" s="18"/>
      <c r="P374" s="19"/>
      <c r="Q374" s="19"/>
      <c r="R374" s="19"/>
    </row>
    <row r="375" spans="1:18" ht="15.75" customHeight="1" x14ac:dyDescent="0.35">
      <c r="A375" s="18"/>
      <c r="P375" s="19"/>
      <c r="Q375" s="19"/>
      <c r="R375" s="19"/>
    </row>
    <row r="376" spans="1:18" ht="15.75" customHeight="1" x14ac:dyDescent="0.35">
      <c r="A376" s="18"/>
      <c r="P376" s="19"/>
      <c r="Q376" s="19"/>
      <c r="R376" s="19"/>
    </row>
    <row r="377" spans="1:18" ht="15.75" customHeight="1" x14ac:dyDescent="0.35">
      <c r="A377" s="18"/>
      <c r="P377" s="19"/>
      <c r="Q377" s="19"/>
      <c r="R377" s="19"/>
    </row>
    <row r="378" spans="1:18" ht="15.75" customHeight="1" x14ac:dyDescent="0.35">
      <c r="A378" s="18"/>
      <c r="P378" s="19"/>
      <c r="Q378" s="19"/>
      <c r="R378" s="19"/>
    </row>
    <row r="379" spans="1:18" ht="15.75" customHeight="1" x14ac:dyDescent="0.35">
      <c r="A379" s="18"/>
      <c r="P379" s="19"/>
      <c r="Q379" s="19"/>
      <c r="R379" s="19"/>
    </row>
    <row r="380" spans="1:18" ht="15.75" customHeight="1" x14ac:dyDescent="0.35">
      <c r="A380" s="18"/>
      <c r="P380" s="19"/>
      <c r="Q380" s="19"/>
      <c r="R380" s="19"/>
    </row>
    <row r="381" spans="1:18" ht="15.75" customHeight="1" x14ac:dyDescent="0.35">
      <c r="A381" s="18"/>
      <c r="P381" s="19"/>
      <c r="Q381" s="19"/>
      <c r="R381" s="19"/>
    </row>
    <row r="382" spans="1:18" ht="15.75" customHeight="1" x14ac:dyDescent="0.35">
      <c r="A382" s="18"/>
      <c r="P382" s="19"/>
      <c r="Q382" s="19"/>
      <c r="R382" s="19"/>
    </row>
    <row r="383" spans="1:18" ht="15.75" customHeight="1" x14ac:dyDescent="0.35">
      <c r="A383" s="18"/>
      <c r="P383" s="19"/>
      <c r="Q383" s="19"/>
      <c r="R383" s="19"/>
    </row>
    <row r="384" spans="1:18" ht="15.75" customHeight="1" x14ac:dyDescent="0.35">
      <c r="A384" s="18"/>
      <c r="P384" s="19"/>
      <c r="Q384" s="19"/>
      <c r="R384" s="19"/>
    </row>
    <row r="385" spans="1:18" ht="15.75" customHeight="1" x14ac:dyDescent="0.35">
      <c r="A385" s="18"/>
      <c r="P385" s="19"/>
      <c r="Q385" s="19"/>
      <c r="R385" s="19"/>
    </row>
    <row r="386" spans="1:18" ht="15.75" customHeight="1" x14ac:dyDescent="0.35">
      <c r="A386" s="18"/>
      <c r="P386" s="19"/>
      <c r="Q386" s="19"/>
      <c r="R386" s="19"/>
    </row>
    <row r="387" spans="1:18" ht="15.75" customHeight="1" x14ac:dyDescent="0.35">
      <c r="A387" s="18"/>
      <c r="P387" s="19"/>
      <c r="Q387" s="19"/>
      <c r="R387" s="19"/>
    </row>
    <row r="388" spans="1:18" ht="15.75" customHeight="1" x14ac:dyDescent="0.35">
      <c r="A388" s="18"/>
      <c r="P388" s="19"/>
      <c r="Q388" s="19"/>
      <c r="R388" s="19"/>
    </row>
    <row r="389" spans="1:18" ht="15.75" customHeight="1" x14ac:dyDescent="0.35">
      <c r="A389" s="18"/>
      <c r="P389" s="19"/>
      <c r="Q389" s="19"/>
      <c r="R389" s="19"/>
    </row>
    <row r="390" spans="1:18" ht="15.75" customHeight="1" x14ac:dyDescent="0.35">
      <c r="A390" s="18"/>
      <c r="P390" s="19"/>
      <c r="Q390" s="19"/>
      <c r="R390" s="19"/>
    </row>
    <row r="391" spans="1:18" ht="15.75" customHeight="1" x14ac:dyDescent="0.35">
      <c r="A391" s="18"/>
      <c r="P391" s="19"/>
      <c r="Q391" s="19"/>
      <c r="R391" s="19"/>
    </row>
    <row r="392" spans="1:18" ht="15.75" customHeight="1" x14ac:dyDescent="0.35">
      <c r="A392" s="18"/>
      <c r="P392" s="19"/>
      <c r="Q392" s="19"/>
      <c r="R392" s="19"/>
    </row>
    <row r="393" spans="1:18" ht="15.75" customHeight="1" x14ac:dyDescent="0.35">
      <c r="A393" s="18"/>
      <c r="P393" s="19"/>
      <c r="Q393" s="19"/>
      <c r="R393" s="19"/>
    </row>
    <row r="394" spans="1:18" ht="15.75" customHeight="1" x14ac:dyDescent="0.35">
      <c r="A394" s="18"/>
      <c r="P394" s="19"/>
      <c r="Q394" s="19"/>
      <c r="R394" s="19"/>
    </row>
    <row r="395" spans="1:18" ht="15.75" customHeight="1" x14ac:dyDescent="0.35">
      <c r="A395" s="18"/>
      <c r="P395" s="19"/>
      <c r="Q395" s="19"/>
      <c r="R395" s="19"/>
    </row>
    <row r="396" spans="1:18" ht="15.75" customHeight="1" x14ac:dyDescent="0.35">
      <c r="A396" s="18"/>
      <c r="P396" s="19"/>
      <c r="Q396" s="19"/>
      <c r="R396" s="19"/>
    </row>
    <row r="397" spans="1:18" ht="15.75" customHeight="1" x14ac:dyDescent="0.35">
      <c r="A397" s="18"/>
      <c r="P397" s="19"/>
      <c r="Q397" s="19"/>
      <c r="R397" s="19"/>
    </row>
    <row r="398" spans="1:18" ht="15.75" customHeight="1" x14ac:dyDescent="0.35">
      <c r="A398" s="18"/>
      <c r="P398" s="19"/>
      <c r="Q398" s="19"/>
      <c r="R398" s="19"/>
    </row>
    <row r="399" spans="1:18" ht="15.75" customHeight="1" x14ac:dyDescent="0.35">
      <c r="A399" s="18"/>
      <c r="P399" s="19"/>
      <c r="Q399" s="19"/>
      <c r="R399" s="19"/>
    </row>
    <row r="400" spans="1:18" ht="15.75" customHeight="1" x14ac:dyDescent="0.35">
      <c r="A400" s="18"/>
      <c r="P400" s="19"/>
      <c r="Q400" s="19"/>
      <c r="R400" s="19"/>
    </row>
    <row r="401" spans="1:18" ht="15.75" customHeight="1" x14ac:dyDescent="0.35">
      <c r="A401" s="18"/>
      <c r="P401" s="19"/>
      <c r="Q401" s="19"/>
      <c r="R401" s="19"/>
    </row>
    <row r="402" spans="1:18" ht="15.75" customHeight="1" x14ac:dyDescent="0.35">
      <c r="A402" s="18"/>
      <c r="P402" s="19"/>
      <c r="Q402" s="19"/>
      <c r="R402" s="19"/>
    </row>
    <row r="403" spans="1:18" ht="15.75" customHeight="1" x14ac:dyDescent="0.35">
      <c r="A403" s="18"/>
      <c r="P403" s="19"/>
      <c r="Q403" s="19"/>
      <c r="R403" s="19"/>
    </row>
    <row r="404" spans="1:18" ht="15.75" customHeight="1" x14ac:dyDescent="0.35">
      <c r="A404" s="18"/>
      <c r="P404" s="19"/>
      <c r="Q404" s="19"/>
      <c r="R404" s="19"/>
    </row>
    <row r="405" spans="1:18" ht="15.75" customHeight="1" x14ac:dyDescent="0.35">
      <c r="A405" s="18"/>
      <c r="P405" s="19"/>
      <c r="Q405" s="19"/>
      <c r="R405" s="19"/>
    </row>
    <row r="406" spans="1:18" ht="15.75" customHeight="1" x14ac:dyDescent="0.35">
      <c r="A406" s="18"/>
      <c r="P406" s="19"/>
      <c r="Q406" s="19"/>
      <c r="R406" s="19"/>
    </row>
    <row r="407" spans="1:18" ht="15.75" customHeight="1" x14ac:dyDescent="0.35">
      <c r="A407" s="18"/>
      <c r="P407" s="19"/>
      <c r="Q407" s="19"/>
      <c r="R407" s="19"/>
    </row>
    <row r="408" spans="1:18" ht="15.75" customHeight="1" x14ac:dyDescent="0.35">
      <c r="A408" s="18"/>
      <c r="P408" s="19"/>
      <c r="Q408" s="19"/>
      <c r="R408" s="19"/>
    </row>
    <row r="409" spans="1:18" ht="15.75" customHeight="1" x14ac:dyDescent="0.35">
      <c r="A409" s="18"/>
      <c r="P409" s="19"/>
      <c r="Q409" s="19"/>
      <c r="R409" s="19"/>
    </row>
    <row r="410" spans="1:18" ht="15.75" customHeight="1" x14ac:dyDescent="0.35">
      <c r="A410" s="18"/>
      <c r="P410" s="19"/>
      <c r="Q410" s="19"/>
      <c r="R410" s="19"/>
    </row>
    <row r="411" spans="1:18" ht="15.75" customHeight="1" x14ac:dyDescent="0.35">
      <c r="A411" s="18"/>
      <c r="P411" s="19"/>
      <c r="Q411" s="19"/>
      <c r="R411" s="19"/>
    </row>
    <row r="412" spans="1:18" ht="15.75" customHeight="1" x14ac:dyDescent="0.35">
      <c r="A412" s="18"/>
      <c r="P412" s="19"/>
      <c r="Q412" s="19"/>
      <c r="R412" s="19"/>
    </row>
    <row r="413" spans="1:18" ht="15.75" customHeight="1" x14ac:dyDescent="0.35">
      <c r="A413" s="18"/>
      <c r="P413" s="19"/>
      <c r="Q413" s="19"/>
      <c r="R413" s="19"/>
    </row>
    <row r="414" spans="1:18" ht="15.75" customHeight="1" x14ac:dyDescent="0.35">
      <c r="A414" s="18"/>
      <c r="P414" s="19"/>
      <c r="Q414" s="19"/>
      <c r="R414" s="19"/>
    </row>
    <row r="415" spans="1:18" ht="15.75" customHeight="1" x14ac:dyDescent="0.35">
      <c r="A415" s="18"/>
      <c r="P415" s="19"/>
      <c r="Q415" s="19"/>
      <c r="R415" s="19"/>
    </row>
    <row r="416" spans="1:18" ht="15.75" customHeight="1" x14ac:dyDescent="0.35">
      <c r="A416" s="18"/>
      <c r="P416" s="19"/>
      <c r="Q416" s="19"/>
      <c r="R416" s="19"/>
    </row>
    <row r="417" spans="1:18" ht="15.75" customHeight="1" x14ac:dyDescent="0.35">
      <c r="A417" s="18"/>
      <c r="P417" s="19"/>
      <c r="Q417" s="19"/>
      <c r="R417" s="19"/>
    </row>
    <row r="418" spans="1:18" ht="15.75" customHeight="1" x14ac:dyDescent="0.35">
      <c r="A418" s="18"/>
      <c r="P418" s="19"/>
      <c r="Q418" s="19"/>
      <c r="R418" s="19"/>
    </row>
    <row r="419" spans="1:18" ht="15.75" customHeight="1" x14ac:dyDescent="0.35">
      <c r="A419" s="18"/>
      <c r="P419" s="19"/>
      <c r="Q419" s="19"/>
      <c r="R419" s="19"/>
    </row>
    <row r="420" spans="1:18" ht="15.75" customHeight="1" x14ac:dyDescent="0.35">
      <c r="A420" s="18"/>
      <c r="P420" s="19"/>
      <c r="Q420" s="19"/>
      <c r="R420" s="19"/>
    </row>
    <row r="421" spans="1:18" ht="15.75" customHeight="1" x14ac:dyDescent="0.35">
      <c r="A421" s="18"/>
      <c r="P421" s="19"/>
      <c r="Q421" s="19"/>
      <c r="R421" s="19"/>
    </row>
    <row r="422" spans="1:18" ht="15.75" customHeight="1" x14ac:dyDescent="0.35">
      <c r="A422" s="18"/>
      <c r="P422" s="19"/>
      <c r="Q422" s="19"/>
      <c r="R422" s="19"/>
    </row>
    <row r="423" spans="1:18" ht="15.75" customHeight="1" x14ac:dyDescent="0.35">
      <c r="A423" s="18"/>
      <c r="P423" s="19"/>
      <c r="Q423" s="19"/>
      <c r="R423" s="19"/>
    </row>
    <row r="424" spans="1:18" ht="15.75" customHeight="1" x14ac:dyDescent="0.35">
      <c r="A424" s="18"/>
      <c r="P424" s="19"/>
      <c r="Q424" s="19"/>
      <c r="R424" s="19"/>
    </row>
    <row r="425" spans="1:18" ht="15.75" customHeight="1" x14ac:dyDescent="0.35">
      <c r="A425" s="18"/>
      <c r="P425" s="19"/>
      <c r="Q425" s="19"/>
      <c r="R425" s="19"/>
    </row>
    <row r="426" spans="1:18" ht="15.75" customHeight="1" x14ac:dyDescent="0.35">
      <c r="A426" s="18"/>
      <c r="P426" s="19"/>
      <c r="Q426" s="19"/>
      <c r="R426" s="19"/>
    </row>
    <row r="427" spans="1:18" ht="15.75" customHeight="1" x14ac:dyDescent="0.35">
      <c r="A427" s="18"/>
      <c r="P427" s="19"/>
      <c r="Q427" s="19"/>
      <c r="R427" s="19"/>
    </row>
    <row r="428" spans="1:18" ht="15.75" customHeight="1" x14ac:dyDescent="0.35">
      <c r="A428" s="18"/>
      <c r="P428" s="19"/>
      <c r="Q428" s="19"/>
      <c r="R428" s="19"/>
    </row>
    <row r="429" spans="1:18" ht="15.75" customHeight="1" x14ac:dyDescent="0.35">
      <c r="A429" s="18"/>
      <c r="P429" s="19"/>
      <c r="Q429" s="19"/>
      <c r="R429" s="19"/>
    </row>
    <row r="430" spans="1:18" ht="15.75" customHeight="1" x14ac:dyDescent="0.35">
      <c r="A430" s="18"/>
      <c r="P430" s="19"/>
      <c r="Q430" s="19"/>
      <c r="R430" s="19"/>
    </row>
    <row r="431" spans="1:18" ht="15.75" customHeight="1" x14ac:dyDescent="0.35">
      <c r="A431" s="18"/>
      <c r="P431" s="19"/>
      <c r="Q431" s="19"/>
      <c r="R431" s="19"/>
    </row>
    <row r="432" spans="1:18" ht="15.75" customHeight="1" x14ac:dyDescent="0.35">
      <c r="A432" s="18"/>
      <c r="P432" s="19"/>
      <c r="Q432" s="19"/>
      <c r="R432" s="19"/>
    </row>
    <row r="433" spans="1:18" ht="15.75" customHeight="1" x14ac:dyDescent="0.35">
      <c r="A433" s="18"/>
      <c r="P433" s="19"/>
      <c r="Q433" s="19"/>
      <c r="R433" s="19"/>
    </row>
    <row r="434" spans="1:18" ht="15.75" customHeight="1" x14ac:dyDescent="0.35">
      <c r="A434" s="18"/>
      <c r="P434" s="19"/>
      <c r="Q434" s="19"/>
      <c r="R434" s="19"/>
    </row>
    <row r="435" spans="1:18" ht="15.75" customHeight="1" x14ac:dyDescent="0.35">
      <c r="A435" s="18"/>
      <c r="P435" s="19"/>
      <c r="Q435" s="19"/>
      <c r="R435" s="19"/>
    </row>
    <row r="436" spans="1:18" ht="15.75" customHeight="1" x14ac:dyDescent="0.35">
      <c r="A436" s="18"/>
      <c r="P436" s="19"/>
      <c r="Q436" s="19"/>
      <c r="R436" s="19"/>
    </row>
    <row r="437" spans="1:18" ht="15.75" customHeight="1" x14ac:dyDescent="0.35">
      <c r="A437" s="18"/>
      <c r="P437" s="19"/>
      <c r="Q437" s="19"/>
      <c r="R437" s="19"/>
    </row>
    <row r="438" spans="1:18" ht="15.75" customHeight="1" x14ac:dyDescent="0.35">
      <c r="A438" s="18"/>
      <c r="P438" s="19"/>
      <c r="Q438" s="19"/>
      <c r="R438" s="19"/>
    </row>
    <row r="439" spans="1:18" ht="15.75" customHeight="1" x14ac:dyDescent="0.35">
      <c r="A439" s="18"/>
      <c r="P439" s="19"/>
      <c r="Q439" s="19"/>
      <c r="R439" s="19"/>
    </row>
    <row r="440" spans="1:18" ht="15.75" customHeight="1" x14ac:dyDescent="0.35">
      <c r="A440" s="18"/>
      <c r="P440" s="19"/>
      <c r="Q440" s="19"/>
      <c r="R440" s="19"/>
    </row>
    <row r="441" spans="1:18" ht="15.75" customHeight="1" x14ac:dyDescent="0.35">
      <c r="A441" s="18"/>
      <c r="P441" s="19"/>
      <c r="Q441" s="19"/>
      <c r="R441" s="19"/>
    </row>
    <row r="442" spans="1:18" ht="15.75" customHeight="1" x14ac:dyDescent="0.35">
      <c r="A442" s="18"/>
      <c r="P442" s="19"/>
      <c r="Q442" s="19"/>
      <c r="R442" s="19"/>
    </row>
    <row r="443" spans="1:18" ht="15.75" customHeight="1" x14ac:dyDescent="0.35">
      <c r="A443" s="18"/>
      <c r="P443" s="19"/>
      <c r="Q443" s="19"/>
      <c r="R443" s="19"/>
    </row>
    <row r="444" spans="1:18" ht="15.75" customHeight="1" x14ac:dyDescent="0.35">
      <c r="A444" s="18"/>
      <c r="P444" s="19"/>
      <c r="Q444" s="19"/>
      <c r="R444" s="19"/>
    </row>
    <row r="445" spans="1:18" ht="15.75" customHeight="1" x14ac:dyDescent="0.35">
      <c r="A445" s="18"/>
      <c r="P445" s="19"/>
      <c r="Q445" s="19"/>
      <c r="R445" s="19"/>
    </row>
    <row r="446" spans="1:18" ht="15.75" customHeight="1" x14ac:dyDescent="0.35">
      <c r="A446" s="18"/>
      <c r="P446" s="19"/>
      <c r="Q446" s="19"/>
      <c r="R446" s="19"/>
    </row>
    <row r="447" spans="1:18" ht="15.75" customHeight="1" x14ac:dyDescent="0.35">
      <c r="A447" s="18"/>
      <c r="P447" s="19"/>
      <c r="Q447" s="19"/>
      <c r="R447" s="19"/>
    </row>
    <row r="448" spans="1:18" ht="15.75" customHeight="1" x14ac:dyDescent="0.35">
      <c r="A448" s="18"/>
      <c r="P448" s="19"/>
      <c r="Q448" s="19"/>
      <c r="R448" s="19"/>
    </row>
    <row r="449" spans="1:18" ht="15.75" customHeight="1" x14ac:dyDescent="0.35">
      <c r="A449" s="18"/>
      <c r="P449" s="19"/>
      <c r="Q449" s="19"/>
      <c r="R449" s="19"/>
    </row>
    <row r="450" spans="1:18" ht="15.75" customHeight="1" x14ac:dyDescent="0.35">
      <c r="A450" s="18"/>
      <c r="P450" s="19"/>
      <c r="Q450" s="19"/>
      <c r="R450" s="19"/>
    </row>
    <row r="451" spans="1:18" ht="15.75" customHeight="1" x14ac:dyDescent="0.35">
      <c r="A451" s="18"/>
      <c r="P451" s="19"/>
      <c r="Q451" s="19"/>
      <c r="R451" s="19"/>
    </row>
    <row r="452" spans="1:18" ht="15.75" customHeight="1" x14ac:dyDescent="0.35">
      <c r="A452" s="18"/>
      <c r="P452" s="19"/>
      <c r="Q452" s="19"/>
      <c r="R452" s="19"/>
    </row>
    <row r="453" spans="1:18" ht="15.75" customHeight="1" x14ac:dyDescent="0.35">
      <c r="A453" s="18"/>
      <c r="P453" s="19"/>
      <c r="Q453" s="19"/>
      <c r="R453" s="19"/>
    </row>
    <row r="454" spans="1:18" ht="15.75" customHeight="1" x14ac:dyDescent="0.35">
      <c r="A454" s="18"/>
      <c r="P454" s="19"/>
      <c r="Q454" s="19"/>
      <c r="R454" s="19"/>
    </row>
    <row r="455" spans="1:18" ht="15.75" customHeight="1" x14ac:dyDescent="0.35">
      <c r="A455" s="18"/>
      <c r="P455" s="19"/>
      <c r="Q455" s="19"/>
      <c r="R455" s="19"/>
    </row>
    <row r="456" spans="1:18" ht="15.75" customHeight="1" x14ac:dyDescent="0.35">
      <c r="A456" s="18"/>
      <c r="P456" s="19"/>
      <c r="Q456" s="19"/>
      <c r="R456" s="19"/>
    </row>
    <row r="457" spans="1:18" ht="15.75" customHeight="1" x14ac:dyDescent="0.35">
      <c r="A457" s="18"/>
      <c r="P457" s="19"/>
      <c r="Q457" s="19"/>
      <c r="R457" s="19"/>
    </row>
    <row r="458" spans="1:18" ht="15.75" customHeight="1" x14ac:dyDescent="0.35">
      <c r="A458" s="18"/>
      <c r="P458" s="19"/>
      <c r="Q458" s="19"/>
      <c r="R458" s="19"/>
    </row>
    <row r="459" spans="1:18" ht="15.75" customHeight="1" x14ac:dyDescent="0.35">
      <c r="A459" s="18"/>
      <c r="P459" s="19"/>
      <c r="Q459" s="19"/>
      <c r="R459" s="19"/>
    </row>
    <row r="460" spans="1:18" ht="15.75" customHeight="1" x14ac:dyDescent="0.35">
      <c r="A460" s="18"/>
      <c r="P460" s="19"/>
      <c r="Q460" s="19"/>
      <c r="R460" s="19"/>
    </row>
    <row r="461" spans="1:18" ht="15.75" customHeight="1" x14ac:dyDescent="0.35">
      <c r="A461" s="18"/>
      <c r="P461" s="19"/>
      <c r="Q461" s="19"/>
      <c r="R461" s="19"/>
    </row>
    <row r="462" spans="1:18" ht="15.75" customHeight="1" x14ac:dyDescent="0.35">
      <c r="A462" s="18"/>
      <c r="P462" s="19"/>
      <c r="Q462" s="19"/>
      <c r="R462" s="19"/>
    </row>
    <row r="463" spans="1:18" ht="15.75" customHeight="1" x14ac:dyDescent="0.35">
      <c r="A463" s="18"/>
      <c r="P463" s="19"/>
      <c r="Q463" s="19"/>
      <c r="R463" s="19"/>
    </row>
    <row r="464" spans="1:18" ht="15.75" customHeight="1" x14ac:dyDescent="0.35">
      <c r="A464" s="18"/>
      <c r="P464" s="19"/>
      <c r="Q464" s="19"/>
      <c r="R464" s="19"/>
    </row>
    <row r="465" spans="1:18" ht="15.75" customHeight="1" x14ac:dyDescent="0.35">
      <c r="A465" s="18"/>
      <c r="P465" s="19"/>
      <c r="Q465" s="19"/>
      <c r="R465" s="19"/>
    </row>
    <row r="466" spans="1:18" ht="15.75" customHeight="1" x14ac:dyDescent="0.35">
      <c r="A466" s="18"/>
      <c r="P466" s="19"/>
      <c r="Q466" s="19"/>
      <c r="R466" s="19"/>
    </row>
    <row r="467" spans="1:18" ht="15.75" customHeight="1" x14ac:dyDescent="0.35">
      <c r="A467" s="18"/>
      <c r="P467" s="19"/>
      <c r="Q467" s="19"/>
      <c r="R467" s="19"/>
    </row>
    <row r="468" spans="1:18" ht="15.75" customHeight="1" x14ac:dyDescent="0.35">
      <c r="A468" s="18"/>
      <c r="P468" s="19"/>
      <c r="Q468" s="19"/>
      <c r="R468" s="19"/>
    </row>
    <row r="469" spans="1:18" ht="15.75" customHeight="1" x14ac:dyDescent="0.35">
      <c r="A469" s="18"/>
      <c r="P469" s="19"/>
      <c r="Q469" s="19"/>
      <c r="R469" s="19"/>
    </row>
    <row r="470" spans="1:18" ht="15.75" customHeight="1" x14ac:dyDescent="0.35">
      <c r="A470" s="18"/>
      <c r="P470" s="19"/>
      <c r="Q470" s="19"/>
      <c r="R470" s="19"/>
    </row>
    <row r="471" spans="1:18" ht="15.75" customHeight="1" x14ac:dyDescent="0.35">
      <c r="A471" s="18"/>
      <c r="P471" s="19"/>
      <c r="Q471" s="19"/>
      <c r="R471" s="19"/>
    </row>
    <row r="472" spans="1:18" ht="15.75" customHeight="1" x14ac:dyDescent="0.35">
      <c r="A472" s="18"/>
      <c r="P472" s="19"/>
      <c r="Q472" s="19"/>
      <c r="R472" s="19"/>
    </row>
    <row r="473" spans="1:18" ht="15.75" customHeight="1" x14ac:dyDescent="0.35">
      <c r="A473" s="18"/>
      <c r="P473" s="19"/>
      <c r="Q473" s="19"/>
      <c r="R473" s="19"/>
    </row>
    <row r="474" spans="1:18" ht="15.75" customHeight="1" x14ac:dyDescent="0.35">
      <c r="A474" s="18"/>
      <c r="P474" s="19"/>
      <c r="Q474" s="19"/>
      <c r="R474" s="19"/>
    </row>
    <row r="475" spans="1:18" ht="15.75" customHeight="1" x14ac:dyDescent="0.35">
      <c r="A475" s="18"/>
      <c r="P475" s="19"/>
      <c r="Q475" s="19"/>
      <c r="R475" s="19"/>
    </row>
    <row r="476" spans="1:18" ht="15.75" customHeight="1" x14ac:dyDescent="0.35">
      <c r="A476" s="18"/>
      <c r="P476" s="19"/>
      <c r="Q476" s="19"/>
      <c r="R476" s="19"/>
    </row>
    <row r="477" spans="1:18" ht="15.75" customHeight="1" x14ac:dyDescent="0.35">
      <c r="A477" s="18"/>
      <c r="P477" s="19"/>
      <c r="Q477" s="19"/>
      <c r="R477" s="19"/>
    </row>
    <row r="478" spans="1:18" ht="15.75" customHeight="1" x14ac:dyDescent="0.35">
      <c r="A478" s="18"/>
      <c r="P478" s="19"/>
      <c r="Q478" s="19"/>
      <c r="R478" s="19"/>
    </row>
    <row r="479" spans="1:18" ht="15.75" customHeight="1" x14ac:dyDescent="0.35">
      <c r="A479" s="18"/>
      <c r="P479" s="19"/>
      <c r="Q479" s="19"/>
      <c r="R479" s="19"/>
    </row>
    <row r="480" spans="1:18" ht="15.75" customHeight="1" x14ac:dyDescent="0.35">
      <c r="A480" s="18"/>
      <c r="P480" s="19"/>
      <c r="Q480" s="19"/>
      <c r="R480" s="19"/>
    </row>
    <row r="481" spans="1:18" ht="15.75" customHeight="1" x14ac:dyDescent="0.35">
      <c r="A481" s="18"/>
      <c r="P481" s="19"/>
      <c r="Q481" s="19"/>
      <c r="R481" s="19"/>
    </row>
    <row r="482" spans="1:18" ht="15.75" customHeight="1" x14ac:dyDescent="0.35">
      <c r="A482" s="18"/>
      <c r="P482" s="19"/>
      <c r="Q482" s="19"/>
      <c r="R482" s="19"/>
    </row>
    <row r="483" spans="1:18" ht="15.75" customHeight="1" x14ac:dyDescent="0.35">
      <c r="A483" s="18"/>
      <c r="P483" s="19"/>
      <c r="Q483" s="19"/>
      <c r="R483" s="19"/>
    </row>
    <row r="484" spans="1:18" ht="15.75" customHeight="1" x14ac:dyDescent="0.35">
      <c r="A484" s="18"/>
      <c r="P484" s="19"/>
      <c r="Q484" s="19"/>
      <c r="R484" s="19"/>
    </row>
    <row r="485" spans="1:18" ht="15.75" customHeight="1" x14ac:dyDescent="0.35">
      <c r="A485" s="18"/>
      <c r="P485" s="19"/>
      <c r="Q485" s="19"/>
      <c r="R485" s="19"/>
    </row>
    <row r="486" spans="1:18" ht="15.75" customHeight="1" x14ac:dyDescent="0.35">
      <c r="A486" s="18"/>
      <c r="P486" s="19"/>
      <c r="Q486" s="19"/>
      <c r="R486" s="19"/>
    </row>
    <row r="487" spans="1:18" ht="15.75" customHeight="1" x14ac:dyDescent="0.35">
      <c r="A487" s="18"/>
      <c r="P487" s="19"/>
      <c r="Q487" s="19"/>
      <c r="R487" s="19"/>
    </row>
    <row r="488" spans="1:18" ht="15.75" customHeight="1" x14ac:dyDescent="0.35">
      <c r="A488" s="18"/>
      <c r="P488" s="19"/>
      <c r="Q488" s="19"/>
      <c r="R488" s="19"/>
    </row>
    <row r="489" spans="1:18" ht="15.75" customHeight="1" x14ac:dyDescent="0.35">
      <c r="A489" s="18"/>
      <c r="P489" s="19"/>
      <c r="Q489" s="19"/>
      <c r="R489" s="19"/>
    </row>
    <row r="490" spans="1:18" ht="15.75" customHeight="1" x14ac:dyDescent="0.35">
      <c r="A490" s="18"/>
      <c r="P490" s="19"/>
      <c r="Q490" s="19"/>
      <c r="R490" s="19"/>
    </row>
    <row r="491" spans="1:18" ht="15.75" customHeight="1" x14ac:dyDescent="0.35">
      <c r="A491" s="18"/>
      <c r="P491" s="19"/>
      <c r="Q491" s="19"/>
      <c r="R491" s="19"/>
    </row>
    <row r="492" spans="1:18" ht="15.75" customHeight="1" x14ac:dyDescent="0.35">
      <c r="A492" s="18"/>
      <c r="P492" s="19"/>
      <c r="Q492" s="19"/>
      <c r="R492" s="19"/>
    </row>
    <row r="493" spans="1:18" ht="15.75" customHeight="1" x14ac:dyDescent="0.35">
      <c r="A493" s="18"/>
      <c r="P493" s="19"/>
      <c r="Q493" s="19"/>
      <c r="R493" s="19"/>
    </row>
    <row r="494" spans="1:18" ht="15.75" customHeight="1" x14ac:dyDescent="0.35">
      <c r="A494" s="18"/>
      <c r="P494" s="19"/>
      <c r="Q494" s="19"/>
      <c r="R494" s="19"/>
    </row>
    <row r="495" spans="1:18" ht="15.75" customHeight="1" x14ac:dyDescent="0.35">
      <c r="A495" s="18"/>
      <c r="P495" s="19"/>
      <c r="Q495" s="19"/>
      <c r="R495" s="19"/>
    </row>
    <row r="496" spans="1:18" ht="15.75" customHeight="1" x14ac:dyDescent="0.35">
      <c r="A496" s="18"/>
      <c r="P496" s="19"/>
      <c r="Q496" s="19"/>
      <c r="R496" s="19"/>
    </row>
    <row r="497" spans="1:18" ht="15.75" customHeight="1" x14ac:dyDescent="0.35">
      <c r="A497" s="18"/>
      <c r="P497" s="19"/>
      <c r="Q497" s="19"/>
      <c r="R497" s="19"/>
    </row>
    <row r="498" spans="1:18" ht="15.75" customHeight="1" x14ac:dyDescent="0.35">
      <c r="A498" s="18"/>
      <c r="P498" s="19"/>
      <c r="Q498" s="19"/>
      <c r="R498" s="19"/>
    </row>
    <row r="499" spans="1:18" ht="15.75" customHeight="1" x14ac:dyDescent="0.35">
      <c r="A499" s="18"/>
      <c r="P499" s="19"/>
      <c r="Q499" s="19"/>
      <c r="R499" s="19"/>
    </row>
    <row r="500" spans="1:18" ht="15.75" customHeight="1" x14ac:dyDescent="0.35">
      <c r="A500" s="18"/>
      <c r="P500" s="19"/>
      <c r="Q500" s="19"/>
      <c r="R500" s="19"/>
    </row>
    <row r="501" spans="1:18" ht="15.75" customHeight="1" x14ac:dyDescent="0.35">
      <c r="A501" s="18"/>
      <c r="P501" s="19"/>
      <c r="Q501" s="19"/>
      <c r="R501" s="19"/>
    </row>
    <row r="502" spans="1:18" ht="15.75" customHeight="1" x14ac:dyDescent="0.35">
      <c r="A502" s="18"/>
      <c r="P502" s="19"/>
      <c r="Q502" s="19"/>
      <c r="R502" s="19"/>
    </row>
    <row r="503" spans="1:18" ht="15.75" customHeight="1" x14ac:dyDescent="0.35">
      <c r="A503" s="18"/>
      <c r="P503" s="19"/>
      <c r="Q503" s="19"/>
      <c r="R503" s="19"/>
    </row>
    <row r="504" spans="1:18" ht="15.75" customHeight="1" x14ac:dyDescent="0.35">
      <c r="A504" s="18"/>
      <c r="P504" s="19"/>
      <c r="Q504" s="19"/>
      <c r="R504" s="19"/>
    </row>
    <row r="505" spans="1:18" ht="15.75" customHeight="1" x14ac:dyDescent="0.35">
      <c r="A505" s="18"/>
      <c r="P505" s="19"/>
      <c r="Q505" s="19"/>
      <c r="R505" s="19"/>
    </row>
    <row r="506" spans="1:18" ht="15.75" customHeight="1" x14ac:dyDescent="0.35">
      <c r="A506" s="18"/>
      <c r="P506" s="19"/>
      <c r="Q506" s="19"/>
      <c r="R506" s="19"/>
    </row>
    <row r="507" spans="1:18" ht="15.75" customHeight="1" x14ac:dyDescent="0.35">
      <c r="A507" s="18"/>
      <c r="P507" s="19"/>
      <c r="Q507" s="19"/>
      <c r="R507" s="19"/>
    </row>
    <row r="508" spans="1:18" ht="15.75" customHeight="1" x14ac:dyDescent="0.35">
      <c r="A508" s="18"/>
      <c r="P508" s="19"/>
      <c r="Q508" s="19"/>
      <c r="R508" s="19"/>
    </row>
    <row r="509" spans="1:18" ht="15.75" customHeight="1" x14ac:dyDescent="0.35">
      <c r="A509" s="18"/>
      <c r="P509" s="19"/>
      <c r="Q509" s="19"/>
      <c r="R509" s="19"/>
    </row>
    <row r="510" spans="1:18" ht="15.75" customHeight="1" x14ac:dyDescent="0.35">
      <c r="A510" s="18"/>
      <c r="P510" s="19"/>
      <c r="Q510" s="19"/>
      <c r="R510" s="19"/>
    </row>
    <row r="511" spans="1:18" ht="15.75" customHeight="1" x14ac:dyDescent="0.35">
      <c r="A511" s="18"/>
      <c r="P511" s="19"/>
      <c r="Q511" s="19"/>
      <c r="R511" s="19"/>
    </row>
    <row r="512" spans="1:18" ht="15.75" customHeight="1" x14ac:dyDescent="0.35">
      <c r="A512" s="18"/>
      <c r="P512" s="19"/>
      <c r="Q512" s="19"/>
      <c r="R512" s="19"/>
    </row>
    <row r="513" spans="1:18" ht="15.75" customHeight="1" x14ac:dyDescent="0.35">
      <c r="A513" s="18"/>
      <c r="P513" s="19"/>
      <c r="Q513" s="19"/>
      <c r="R513" s="19"/>
    </row>
    <row r="514" spans="1:18" ht="15.75" customHeight="1" x14ac:dyDescent="0.35">
      <c r="A514" s="18"/>
      <c r="P514" s="19"/>
      <c r="Q514" s="19"/>
      <c r="R514" s="19"/>
    </row>
    <row r="515" spans="1:18" ht="15.75" customHeight="1" x14ac:dyDescent="0.35">
      <c r="A515" s="18"/>
      <c r="P515" s="19"/>
      <c r="Q515" s="19"/>
      <c r="R515" s="19"/>
    </row>
    <row r="516" spans="1:18" ht="15.75" customHeight="1" x14ac:dyDescent="0.35">
      <c r="A516" s="18"/>
      <c r="P516" s="19"/>
      <c r="Q516" s="19"/>
      <c r="R516" s="19"/>
    </row>
    <row r="517" spans="1:18" ht="15.75" customHeight="1" x14ac:dyDescent="0.35">
      <c r="A517" s="18"/>
      <c r="P517" s="19"/>
      <c r="Q517" s="19"/>
      <c r="R517" s="19"/>
    </row>
    <row r="518" spans="1:18" ht="15.75" customHeight="1" x14ac:dyDescent="0.35">
      <c r="A518" s="18"/>
      <c r="P518" s="19"/>
      <c r="Q518" s="19"/>
      <c r="R518" s="19"/>
    </row>
    <row r="519" spans="1:18" ht="15.75" customHeight="1" x14ac:dyDescent="0.35">
      <c r="A519" s="18"/>
      <c r="P519" s="19"/>
      <c r="Q519" s="19"/>
      <c r="R519" s="19"/>
    </row>
    <row r="520" spans="1:18" ht="15.75" customHeight="1" x14ac:dyDescent="0.35">
      <c r="A520" s="18"/>
      <c r="P520" s="19"/>
      <c r="Q520" s="19"/>
      <c r="R520" s="19"/>
    </row>
    <row r="521" spans="1:18" ht="15.75" customHeight="1" x14ac:dyDescent="0.35">
      <c r="A521" s="18"/>
      <c r="P521" s="19"/>
      <c r="Q521" s="19"/>
      <c r="R521" s="19"/>
    </row>
    <row r="522" spans="1:18" ht="15.75" customHeight="1" x14ac:dyDescent="0.35">
      <c r="A522" s="18"/>
      <c r="P522" s="19"/>
      <c r="Q522" s="19"/>
      <c r="R522" s="19"/>
    </row>
    <row r="523" spans="1:18" ht="15.75" customHeight="1" x14ac:dyDescent="0.35">
      <c r="A523" s="18"/>
      <c r="P523" s="19"/>
      <c r="Q523" s="19"/>
      <c r="R523" s="19"/>
    </row>
    <row r="524" spans="1:18" ht="15.75" customHeight="1" x14ac:dyDescent="0.35">
      <c r="A524" s="18"/>
      <c r="P524" s="19"/>
      <c r="Q524" s="19"/>
      <c r="R524" s="19"/>
    </row>
    <row r="525" spans="1:18" ht="15.75" customHeight="1" x14ac:dyDescent="0.35">
      <c r="A525" s="18"/>
      <c r="P525" s="19"/>
      <c r="Q525" s="19"/>
      <c r="R525" s="19"/>
    </row>
    <row r="526" spans="1:18" ht="15.75" customHeight="1" x14ac:dyDescent="0.35">
      <c r="A526" s="18"/>
      <c r="P526" s="19"/>
      <c r="Q526" s="19"/>
      <c r="R526" s="19"/>
    </row>
    <row r="527" spans="1:18" ht="15.75" customHeight="1" x14ac:dyDescent="0.35">
      <c r="A527" s="18"/>
      <c r="P527" s="19"/>
      <c r="Q527" s="19"/>
      <c r="R527" s="19"/>
    </row>
    <row r="528" spans="1:18" ht="15.75" customHeight="1" x14ac:dyDescent="0.35">
      <c r="A528" s="18"/>
      <c r="P528" s="19"/>
      <c r="Q528" s="19"/>
      <c r="R528" s="19"/>
    </row>
    <row r="529" spans="1:18" ht="15.75" customHeight="1" x14ac:dyDescent="0.35">
      <c r="A529" s="18"/>
      <c r="P529" s="19"/>
      <c r="Q529" s="19"/>
      <c r="R529" s="19"/>
    </row>
    <row r="530" spans="1:18" ht="15.75" customHeight="1" x14ac:dyDescent="0.35">
      <c r="A530" s="18"/>
      <c r="P530" s="19"/>
      <c r="Q530" s="19"/>
      <c r="R530" s="19"/>
    </row>
    <row r="531" spans="1:18" ht="15.75" customHeight="1" x14ac:dyDescent="0.35">
      <c r="A531" s="18"/>
      <c r="P531" s="19"/>
      <c r="Q531" s="19"/>
      <c r="R531" s="19"/>
    </row>
    <row r="532" spans="1:18" ht="15.75" customHeight="1" x14ac:dyDescent="0.35">
      <c r="A532" s="18"/>
      <c r="P532" s="19"/>
      <c r="Q532" s="19"/>
      <c r="R532" s="19"/>
    </row>
    <row r="533" spans="1:18" ht="15.75" customHeight="1" x14ac:dyDescent="0.35">
      <c r="A533" s="18"/>
      <c r="P533" s="19"/>
      <c r="Q533" s="19"/>
      <c r="R533" s="19"/>
    </row>
    <row r="534" spans="1:18" ht="15.75" customHeight="1" x14ac:dyDescent="0.35">
      <c r="A534" s="18"/>
      <c r="P534" s="19"/>
      <c r="Q534" s="19"/>
      <c r="R534" s="19"/>
    </row>
    <row r="535" spans="1:18" ht="15.75" customHeight="1" x14ac:dyDescent="0.35">
      <c r="A535" s="18"/>
      <c r="P535" s="19"/>
      <c r="Q535" s="19"/>
      <c r="R535" s="19"/>
    </row>
    <row r="536" spans="1:18" ht="15.75" customHeight="1" x14ac:dyDescent="0.35">
      <c r="A536" s="18"/>
      <c r="P536" s="19"/>
      <c r="Q536" s="19"/>
      <c r="R536" s="19"/>
    </row>
    <row r="537" spans="1:18" ht="15.75" customHeight="1" x14ac:dyDescent="0.35">
      <c r="A537" s="18"/>
      <c r="P537" s="19"/>
      <c r="Q537" s="19"/>
      <c r="R537" s="19"/>
    </row>
    <row r="538" spans="1:18" ht="15.75" customHeight="1" x14ac:dyDescent="0.35">
      <c r="A538" s="18"/>
      <c r="P538" s="19"/>
      <c r="Q538" s="19"/>
      <c r="R538" s="19"/>
    </row>
    <row r="539" spans="1:18" ht="15.75" customHeight="1" x14ac:dyDescent="0.35">
      <c r="A539" s="18"/>
      <c r="P539" s="19"/>
      <c r="Q539" s="19"/>
      <c r="R539" s="19"/>
    </row>
    <row r="540" spans="1:18" ht="15.75" customHeight="1" x14ac:dyDescent="0.35">
      <c r="A540" s="18"/>
      <c r="P540" s="19"/>
      <c r="Q540" s="19"/>
      <c r="R540" s="19"/>
    </row>
    <row r="541" spans="1:18" ht="15.75" customHeight="1" x14ac:dyDescent="0.35">
      <c r="A541" s="18"/>
      <c r="P541" s="19"/>
      <c r="Q541" s="19"/>
      <c r="R541" s="19"/>
    </row>
    <row r="542" spans="1:18" ht="15.75" customHeight="1" x14ac:dyDescent="0.35">
      <c r="A542" s="18"/>
      <c r="P542" s="19"/>
      <c r="Q542" s="19"/>
      <c r="R542" s="19"/>
    </row>
    <row r="543" spans="1:18" ht="15.75" customHeight="1" x14ac:dyDescent="0.35">
      <c r="A543" s="18"/>
      <c r="P543" s="19"/>
      <c r="Q543" s="19"/>
      <c r="R543" s="19"/>
    </row>
    <row r="544" spans="1:18" ht="15.75" customHeight="1" x14ac:dyDescent="0.35">
      <c r="A544" s="18"/>
      <c r="P544" s="19"/>
      <c r="Q544" s="19"/>
      <c r="R544" s="19"/>
    </row>
    <row r="545" spans="1:18" ht="15.75" customHeight="1" x14ac:dyDescent="0.35">
      <c r="A545" s="18"/>
      <c r="P545" s="19"/>
      <c r="Q545" s="19"/>
      <c r="R545" s="19"/>
    </row>
    <row r="546" spans="1:18" ht="15.75" customHeight="1" x14ac:dyDescent="0.35">
      <c r="A546" s="18"/>
      <c r="P546" s="19"/>
      <c r="Q546" s="19"/>
      <c r="R546" s="19"/>
    </row>
    <row r="547" spans="1:18" ht="15.75" customHeight="1" x14ac:dyDescent="0.35">
      <c r="A547" s="18"/>
      <c r="P547" s="19"/>
      <c r="Q547" s="19"/>
      <c r="R547" s="19"/>
    </row>
    <row r="548" spans="1:18" ht="15.75" customHeight="1" x14ac:dyDescent="0.35">
      <c r="A548" s="18"/>
      <c r="P548" s="19"/>
      <c r="Q548" s="19"/>
      <c r="R548" s="19"/>
    </row>
    <row r="549" spans="1:18" ht="15.75" customHeight="1" x14ac:dyDescent="0.35">
      <c r="A549" s="18"/>
      <c r="P549" s="19"/>
      <c r="Q549" s="19"/>
      <c r="R549" s="19"/>
    </row>
    <row r="550" spans="1:18" ht="15.75" customHeight="1" x14ac:dyDescent="0.35">
      <c r="A550" s="18"/>
      <c r="P550" s="19"/>
      <c r="Q550" s="19"/>
      <c r="R550" s="19"/>
    </row>
    <row r="551" spans="1:18" ht="15.75" customHeight="1" x14ac:dyDescent="0.35">
      <c r="A551" s="18"/>
      <c r="P551" s="19"/>
      <c r="Q551" s="19"/>
      <c r="R551" s="19"/>
    </row>
    <row r="552" spans="1:18" ht="15.75" customHeight="1" x14ac:dyDescent="0.35">
      <c r="A552" s="18"/>
      <c r="P552" s="19"/>
      <c r="Q552" s="19"/>
      <c r="R552" s="19"/>
    </row>
    <row r="553" spans="1:18" ht="15.75" customHeight="1" x14ac:dyDescent="0.35">
      <c r="A553" s="18"/>
      <c r="P553" s="19"/>
      <c r="Q553" s="19"/>
      <c r="R553" s="19"/>
    </row>
    <row r="554" spans="1:18" ht="15.75" customHeight="1" x14ac:dyDescent="0.35">
      <c r="A554" s="18"/>
      <c r="P554" s="19"/>
      <c r="Q554" s="19"/>
      <c r="R554" s="19"/>
    </row>
    <row r="555" spans="1:18" ht="15.75" customHeight="1" x14ac:dyDescent="0.35">
      <c r="A555" s="18"/>
      <c r="P555" s="19"/>
      <c r="Q555" s="19"/>
      <c r="R555" s="19"/>
    </row>
    <row r="556" spans="1:18" ht="15.75" customHeight="1" x14ac:dyDescent="0.35">
      <c r="A556" s="18"/>
      <c r="P556" s="19"/>
      <c r="Q556" s="19"/>
      <c r="R556" s="19"/>
    </row>
    <row r="557" spans="1:18" ht="15.75" customHeight="1" x14ac:dyDescent="0.35">
      <c r="A557" s="18"/>
      <c r="P557" s="19"/>
      <c r="Q557" s="19"/>
      <c r="R557" s="19"/>
    </row>
    <row r="558" spans="1:18" ht="15.75" customHeight="1" x14ac:dyDescent="0.35">
      <c r="A558" s="18"/>
      <c r="P558" s="19"/>
      <c r="Q558" s="19"/>
      <c r="R558" s="19"/>
    </row>
    <row r="559" spans="1:18" ht="15.75" customHeight="1" x14ac:dyDescent="0.35">
      <c r="A559" s="18"/>
      <c r="P559" s="19"/>
      <c r="Q559" s="19"/>
      <c r="R559" s="19"/>
    </row>
    <row r="560" spans="1:18" ht="15.75" customHeight="1" x14ac:dyDescent="0.35">
      <c r="A560" s="18"/>
      <c r="P560" s="19"/>
      <c r="Q560" s="19"/>
      <c r="R560" s="19"/>
    </row>
    <row r="561" spans="1:18" ht="15.75" customHeight="1" x14ac:dyDescent="0.35">
      <c r="A561" s="18"/>
      <c r="P561" s="19"/>
      <c r="Q561" s="19"/>
      <c r="R561" s="19"/>
    </row>
    <row r="562" spans="1:18" ht="15.75" customHeight="1" x14ac:dyDescent="0.35">
      <c r="A562" s="18"/>
      <c r="P562" s="19"/>
      <c r="Q562" s="19"/>
      <c r="R562" s="19"/>
    </row>
    <row r="563" spans="1:18" ht="15.75" customHeight="1" x14ac:dyDescent="0.35">
      <c r="A563" s="18"/>
      <c r="P563" s="19"/>
      <c r="Q563" s="19"/>
      <c r="R563" s="19"/>
    </row>
    <row r="564" spans="1:18" ht="15.75" customHeight="1" x14ac:dyDescent="0.35">
      <c r="A564" s="18"/>
      <c r="P564" s="19"/>
      <c r="Q564" s="19"/>
      <c r="R564" s="19"/>
    </row>
    <row r="565" spans="1:18" ht="15.75" customHeight="1" x14ac:dyDescent="0.35">
      <c r="A565" s="18"/>
      <c r="P565" s="19"/>
      <c r="Q565" s="19"/>
      <c r="R565" s="19"/>
    </row>
    <row r="566" spans="1:18" ht="15.75" customHeight="1" x14ac:dyDescent="0.35">
      <c r="A566" s="18"/>
      <c r="P566" s="19"/>
      <c r="Q566" s="19"/>
      <c r="R566" s="19"/>
    </row>
    <row r="567" spans="1:18" ht="15.75" customHeight="1" x14ac:dyDescent="0.35">
      <c r="A567" s="18"/>
      <c r="P567" s="19"/>
      <c r="Q567" s="19"/>
      <c r="R567" s="19"/>
    </row>
    <row r="568" spans="1:18" ht="15.75" customHeight="1" x14ac:dyDescent="0.35">
      <c r="A568" s="18"/>
      <c r="P568" s="19"/>
      <c r="Q568" s="19"/>
      <c r="R568" s="19"/>
    </row>
    <row r="569" spans="1:18" ht="15.75" customHeight="1" x14ac:dyDescent="0.35">
      <c r="A569" s="18"/>
      <c r="P569" s="19"/>
      <c r="Q569" s="19"/>
      <c r="R569" s="19"/>
    </row>
    <row r="570" spans="1:18" ht="15.75" customHeight="1" x14ac:dyDescent="0.35">
      <c r="A570" s="18"/>
      <c r="P570" s="19"/>
      <c r="Q570" s="19"/>
      <c r="R570" s="19"/>
    </row>
    <row r="571" spans="1:18" ht="15.75" customHeight="1" x14ac:dyDescent="0.35">
      <c r="A571" s="18"/>
      <c r="P571" s="19"/>
      <c r="Q571" s="19"/>
      <c r="R571" s="19"/>
    </row>
    <row r="572" spans="1:18" ht="15.75" customHeight="1" x14ac:dyDescent="0.35">
      <c r="A572" s="18"/>
      <c r="P572" s="19"/>
      <c r="Q572" s="19"/>
      <c r="R572" s="19"/>
    </row>
    <row r="573" spans="1:18" ht="15.75" customHeight="1" x14ac:dyDescent="0.35">
      <c r="A573" s="18"/>
      <c r="P573" s="19"/>
      <c r="Q573" s="19"/>
      <c r="R573" s="19"/>
    </row>
    <row r="574" spans="1:18" ht="15.75" customHeight="1" x14ac:dyDescent="0.35">
      <c r="A574" s="18"/>
      <c r="P574" s="19"/>
      <c r="Q574" s="19"/>
      <c r="R574" s="19"/>
    </row>
    <row r="575" spans="1:18" ht="15.75" customHeight="1" x14ac:dyDescent="0.35">
      <c r="A575" s="18"/>
      <c r="P575" s="19"/>
      <c r="Q575" s="19"/>
      <c r="R575" s="19"/>
    </row>
    <row r="576" spans="1:18" ht="15.75" customHeight="1" x14ac:dyDescent="0.35">
      <c r="A576" s="18"/>
      <c r="P576" s="19"/>
      <c r="Q576" s="19"/>
      <c r="R576" s="19"/>
    </row>
    <row r="577" spans="1:18" ht="15.75" customHeight="1" x14ac:dyDescent="0.35">
      <c r="A577" s="18"/>
      <c r="P577" s="19"/>
      <c r="Q577" s="19"/>
      <c r="R577" s="19"/>
    </row>
    <row r="578" spans="1:18" ht="15.75" customHeight="1" x14ac:dyDescent="0.35">
      <c r="A578" s="18"/>
      <c r="P578" s="19"/>
      <c r="Q578" s="19"/>
      <c r="R578" s="19"/>
    </row>
    <row r="579" spans="1:18" ht="15.75" customHeight="1" x14ac:dyDescent="0.35">
      <c r="A579" s="18"/>
      <c r="P579" s="19"/>
      <c r="Q579" s="19"/>
      <c r="R579" s="19"/>
    </row>
    <row r="580" spans="1:18" ht="15.75" customHeight="1" x14ac:dyDescent="0.35">
      <c r="A580" s="18"/>
      <c r="P580" s="19"/>
      <c r="Q580" s="19"/>
      <c r="R580" s="19"/>
    </row>
    <row r="581" spans="1:18" ht="15.75" customHeight="1" x14ac:dyDescent="0.35">
      <c r="A581" s="18"/>
      <c r="P581" s="19"/>
      <c r="Q581" s="19"/>
      <c r="R581" s="19"/>
    </row>
    <row r="582" spans="1:18" ht="15.75" customHeight="1" x14ac:dyDescent="0.35">
      <c r="A582" s="18"/>
      <c r="P582" s="19"/>
      <c r="Q582" s="19"/>
      <c r="R582" s="19"/>
    </row>
    <row r="583" spans="1:18" ht="15.75" customHeight="1" x14ac:dyDescent="0.35">
      <c r="A583" s="18"/>
      <c r="P583" s="19"/>
      <c r="Q583" s="19"/>
      <c r="R583" s="19"/>
    </row>
    <row r="584" spans="1:18" ht="15.75" customHeight="1" x14ac:dyDescent="0.35">
      <c r="A584" s="18"/>
      <c r="P584" s="19"/>
      <c r="Q584" s="19"/>
      <c r="R584" s="19"/>
    </row>
    <row r="585" spans="1:18" ht="15.75" customHeight="1" x14ac:dyDescent="0.35">
      <c r="A585" s="18"/>
      <c r="P585" s="19"/>
      <c r="Q585" s="19"/>
      <c r="R585" s="19"/>
    </row>
    <row r="586" spans="1:18" ht="15.75" customHeight="1" x14ac:dyDescent="0.35">
      <c r="A586" s="18"/>
      <c r="P586" s="19"/>
      <c r="Q586" s="19"/>
      <c r="R586" s="19"/>
    </row>
    <row r="587" spans="1:18" ht="15.75" customHeight="1" x14ac:dyDescent="0.35">
      <c r="A587" s="18"/>
      <c r="P587" s="19"/>
      <c r="Q587" s="19"/>
      <c r="R587" s="19"/>
    </row>
    <row r="588" spans="1:18" ht="15.75" customHeight="1" x14ac:dyDescent="0.35">
      <c r="A588" s="18"/>
      <c r="P588" s="19"/>
      <c r="Q588" s="19"/>
      <c r="R588" s="19"/>
    </row>
    <row r="589" spans="1:18" ht="15.75" customHeight="1" x14ac:dyDescent="0.35">
      <c r="A589" s="18"/>
      <c r="P589" s="19"/>
      <c r="Q589" s="19"/>
      <c r="R589" s="19"/>
    </row>
    <row r="590" spans="1:18" ht="15.75" customHeight="1" x14ac:dyDescent="0.35">
      <c r="A590" s="18"/>
      <c r="P590" s="19"/>
      <c r="Q590" s="19"/>
      <c r="R590" s="19"/>
    </row>
    <row r="591" spans="1:18" ht="15.75" customHeight="1" x14ac:dyDescent="0.35">
      <c r="A591" s="18"/>
      <c r="P591" s="19"/>
      <c r="Q591" s="19"/>
      <c r="R591" s="19"/>
    </row>
    <row r="592" spans="1:18" ht="15.75" customHeight="1" x14ac:dyDescent="0.35">
      <c r="A592" s="18"/>
      <c r="P592" s="19"/>
      <c r="Q592" s="19"/>
      <c r="R592" s="19"/>
    </row>
    <row r="593" spans="1:18" ht="15.75" customHeight="1" x14ac:dyDescent="0.35">
      <c r="A593" s="18"/>
      <c r="P593" s="19"/>
      <c r="Q593" s="19"/>
      <c r="R593" s="19"/>
    </row>
    <row r="594" spans="1:18" ht="15.75" customHeight="1" x14ac:dyDescent="0.35">
      <c r="A594" s="18"/>
      <c r="P594" s="19"/>
      <c r="Q594" s="19"/>
      <c r="R594" s="19"/>
    </row>
    <row r="595" spans="1:18" ht="15.75" customHeight="1" x14ac:dyDescent="0.35">
      <c r="A595" s="18"/>
      <c r="P595" s="19"/>
      <c r="Q595" s="19"/>
      <c r="R595" s="19"/>
    </row>
    <row r="596" spans="1:18" ht="15.75" customHeight="1" x14ac:dyDescent="0.35">
      <c r="A596" s="18"/>
      <c r="P596" s="19"/>
      <c r="Q596" s="19"/>
      <c r="R596" s="19"/>
    </row>
    <row r="597" spans="1:18" ht="15.75" customHeight="1" x14ac:dyDescent="0.35">
      <c r="A597" s="18"/>
      <c r="P597" s="19"/>
      <c r="Q597" s="19"/>
      <c r="R597" s="19"/>
    </row>
    <row r="598" spans="1:18" ht="15.75" customHeight="1" x14ac:dyDescent="0.35">
      <c r="A598" s="18"/>
      <c r="P598" s="19"/>
      <c r="Q598" s="19"/>
      <c r="R598" s="19"/>
    </row>
    <row r="599" spans="1:18" ht="15.75" customHeight="1" x14ac:dyDescent="0.35">
      <c r="A599" s="18"/>
      <c r="P599" s="19"/>
      <c r="Q599" s="19"/>
      <c r="R599" s="19"/>
    </row>
    <row r="600" spans="1:18" ht="15.75" customHeight="1" x14ac:dyDescent="0.35">
      <c r="A600" s="18"/>
      <c r="P600" s="19"/>
      <c r="Q600" s="19"/>
      <c r="R600" s="19"/>
    </row>
    <row r="601" spans="1:18" ht="15.75" customHeight="1" x14ac:dyDescent="0.35">
      <c r="A601" s="18"/>
      <c r="P601" s="19"/>
      <c r="Q601" s="19"/>
      <c r="R601" s="19"/>
    </row>
    <row r="602" spans="1:18" ht="15.75" customHeight="1" x14ac:dyDescent="0.35">
      <c r="A602" s="18"/>
      <c r="P602" s="19"/>
      <c r="Q602" s="19"/>
      <c r="R602" s="19"/>
    </row>
    <row r="603" spans="1:18" ht="15.75" customHeight="1" x14ac:dyDescent="0.35">
      <c r="A603" s="18"/>
      <c r="P603" s="19"/>
      <c r="Q603" s="19"/>
      <c r="R603" s="19"/>
    </row>
    <row r="604" spans="1:18" ht="15.75" customHeight="1" x14ac:dyDescent="0.35">
      <c r="A604" s="18"/>
      <c r="P604" s="19"/>
      <c r="Q604" s="19"/>
      <c r="R604" s="19"/>
    </row>
    <row r="605" spans="1:18" ht="15.75" customHeight="1" x14ac:dyDescent="0.35">
      <c r="A605" s="18"/>
      <c r="P605" s="19"/>
      <c r="Q605" s="19"/>
      <c r="R605" s="19"/>
    </row>
    <row r="606" spans="1:18" ht="15.75" customHeight="1" x14ac:dyDescent="0.35">
      <c r="A606" s="18"/>
      <c r="P606" s="19"/>
      <c r="Q606" s="19"/>
      <c r="R606" s="19"/>
    </row>
    <row r="607" spans="1:18" ht="15.75" customHeight="1" x14ac:dyDescent="0.35">
      <c r="A607" s="18"/>
      <c r="P607" s="19"/>
      <c r="Q607" s="19"/>
      <c r="R607" s="19"/>
    </row>
    <row r="608" spans="1:18" ht="15.75" customHeight="1" x14ac:dyDescent="0.35">
      <c r="A608" s="18"/>
      <c r="P608" s="19"/>
      <c r="Q608" s="19"/>
      <c r="R608" s="19"/>
    </row>
    <row r="609" spans="1:18" ht="15.75" customHeight="1" x14ac:dyDescent="0.35">
      <c r="A609" s="18"/>
      <c r="P609" s="19"/>
      <c r="Q609" s="19"/>
      <c r="R609" s="19"/>
    </row>
    <row r="610" spans="1:18" ht="15.75" customHeight="1" x14ac:dyDescent="0.35">
      <c r="A610" s="18"/>
      <c r="P610" s="19"/>
      <c r="Q610" s="19"/>
      <c r="R610" s="19"/>
    </row>
    <row r="611" spans="1:18" ht="15.75" customHeight="1" x14ac:dyDescent="0.35">
      <c r="A611" s="18"/>
      <c r="P611" s="19"/>
      <c r="Q611" s="19"/>
      <c r="R611" s="19"/>
    </row>
    <row r="612" spans="1:18" ht="15.75" customHeight="1" x14ac:dyDescent="0.35">
      <c r="A612" s="18"/>
      <c r="P612" s="19"/>
      <c r="Q612" s="19"/>
      <c r="R612" s="19"/>
    </row>
    <row r="613" spans="1:18" ht="15.75" customHeight="1" x14ac:dyDescent="0.35">
      <c r="A613" s="18"/>
      <c r="P613" s="19"/>
      <c r="Q613" s="19"/>
      <c r="R613" s="19"/>
    </row>
    <row r="614" spans="1:18" ht="15.75" customHeight="1" x14ac:dyDescent="0.35">
      <c r="A614" s="18"/>
      <c r="P614" s="19"/>
      <c r="Q614" s="19"/>
      <c r="R614" s="19"/>
    </row>
    <row r="615" spans="1:18" ht="15.75" customHeight="1" x14ac:dyDescent="0.35">
      <c r="A615" s="18"/>
      <c r="P615" s="19"/>
      <c r="Q615" s="19"/>
      <c r="R615" s="19"/>
    </row>
    <row r="616" spans="1:18" ht="15.75" customHeight="1" x14ac:dyDescent="0.35">
      <c r="A616" s="18"/>
      <c r="P616" s="19"/>
      <c r="Q616" s="19"/>
      <c r="R616" s="19"/>
    </row>
    <row r="617" spans="1:18" ht="15.75" customHeight="1" x14ac:dyDescent="0.35">
      <c r="A617" s="18"/>
      <c r="P617" s="19"/>
      <c r="Q617" s="19"/>
      <c r="R617" s="19"/>
    </row>
    <row r="618" spans="1:18" ht="15.75" customHeight="1" x14ac:dyDescent="0.35">
      <c r="A618" s="18"/>
      <c r="P618" s="19"/>
      <c r="Q618" s="19"/>
      <c r="R618" s="19"/>
    </row>
    <row r="619" spans="1:18" ht="15.75" customHeight="1" x14ac:dyDescent="0.35">
      <c r="A619" s="18"/>
      <c r="P619" s="19"/>
      <c r="Q619" s="19"/>
      <c r="R619" s="19"/>
    </row>
    <row r="620" spans="1:18" ht="15.75" customHeight="1" x14ac:dyDescent="0.35">
      <c r="A620" s="18"/>
      <c r="P620" s="19"/>
      <c r="Q620" s="19"/>
      <c r="R620" s="19"/>
    </row>
    <row r="621" spans="1:18" ht="15.75" customHeight="1" x14ac:dyDescent="0.35">
      <c r="A621" s="18"/>
      <c r="P621" s="19"/>
      <c r="Q621" s="19"/>
      <c r="R621" s="19"/>
    </row>
    <row r="622" spans="1:18" ht="15.75" customHeight="1" x14ac:dyDescent="0.35">
      <c r="A622" s="18"/>
      <c r="P622" s="19"/>
      <c r="Q622" s="19"/>
      <c r="R622" s="19"/>
    </row>
    <row r="623" spans="1:18" ht="15.75" customHeight="1" x14ac:dyDescent="0.35">
      <c r="A623" s="18"/>
      <c r="P623" s="19"/>
      <c r="Q623" s="19"/>
      <c r="R623" s="19"/>
    </row>
    <row r="624" spans="1:18" ht="15.75" customHeight="1" x14ac:dyDescent="0.35">
      <c r="A624" s="18"/>
      <c r="P624" s="19"/>
      <c r="Q624" s="19"/>
      <c r="R624" s="19"/>
    </row>
    <row r="625" spans="1:18" ht="15.75" customHeight="1" x14ac:dyDescent="0.35">
      <c r="A625" s="18"/>
      <c r="P625" s="19"/>
      <c r="Q625" s="19"/>
      <c r="R625" s="19"/>
    </row>
    <row r="626" spans="1:18" ht="15.75" customHeight="1" x14ac:dyDescent="0.35">
      <c r="A626" s="18"/>
      <c r="P626" s="19"/>
      <c r="Q626" s="19"/>
      <c r="R626" s="19"/>
    </row>
    <row r="627" spans="1:18" ht="15.75" customHeight="1" x14ac:dyDescent="0.35">
      <c r="A627" s="18"/>
      <c r="P627" s="19"/>
      <c r="Q627" s="19"/>
      <c r="R627" s="19"/>
    </row>
    <row r="628" spans="1:18" ht="15.75" customHeight="1" x14ac:dyDescent="0.35">
      <c r="A628" s="18"/>
      <c r="P628" s="19"/>
      <c r="Q628" s="19"/>
      <c r="R628" s="19"/>
    </row>
    <row r="629" spans="1:18" ht="15.75" customHeight="1" x14ac:dyDescent="0.35">
      <c r="A629" s="18"/>
      <c r="P629" s="19"/>
      <c r="Q629" s="19"/>
      <c r="R629" s="19"/>
    </row>
    <row r="630" spans="1:18" ht="15.75" customHeight="1" x14ac:dyDescent="0.35">
      <c r="A630" s="18"/>
      <c r="P630" s="19"/>
      <c r="Q630" s="19"/>
      <c r="R630" s="19"/>
    </row>
    <row r="631" spans="1:18" ht="15.75" customHeight="1" x14ac:dyDescent="0.35">
      <c r="A631" s="18"/>
      <c r="P631" s="19"/>
      <c r="Q631" s="19"/>
      <c r="R631" s="19"/>
    </row>
    <row r="632" spans="1:18" ht="15.75" customHeight="1" x14ac:dyDescent="0.35">
      <c r="A632" s="18"/>
      <c r="P632" s="19"/>
      <c r="Q632" s="19"/>
      <c r="R632" s="19"/>
    </row>
    <row r="633" spans="1:18" ht="15.75" customHeight="1" x14ac:dyDescent="0.35">
      <c r="A633" s="18"/>
      <c r="P633" s="19"/>
      <c r="Q633" s="19"/>
      <c r="R633" s="19"/>
    </row>
    <row r="634" spans="1:18" ht="15.75" customHeight="1" x14ac:dyDescent="0.35">
      <c r="A634" s="18"/>
      <c r="P634" s="19"/>
      <c r="Q634" s="19"/>
      <c r="R634" s="19"/>
    </row>
    <row r="635" spans="1:18" ht="15.75" customHeight="1" x14ac:dyDescent="0.35">
      <c r="A635" s="18"/>
      <c r="P635" s="19"/>
      <c r="Q635" s="19"/>
      <c r="R635" s="19"/>
    </row>
    <row r="636" spans="1:18" ht="15.75" customHeight="1" x14ac:dyDescent="0.35">
      <c r="A636" s="18"/>
      <c r="P636" s="19"/>
      <c r="Q636" s="19"/>
      <c r="R636" s="19"/>
    </row>
    <row r="637" spans="1:18" ht="15.75" customHeight="1" x14ac:dyDescent="0.35">
      <c r="A637" s="18"/>
      <c r="P637" s="19"/>
      <c r="Q637" s="19"/>
      <c r="R637" s="19"/>
    </row>
    <row r="638" spans="1:18" ht="15.75" customHeight="1" x14ac:dyDescent="0.35">
      <c r="A638" s="18"/>
      <c r="P638" s="19"/>
      <c r="Q638" s="19"/>
      <c r="R638" s="19"/>
    </row>
    <row r="639" spans="1:18" ht="15.75" customHeight="1" x14ac:dyDescent="0.35">
      <c r="A639" s="18"/>
      <c r="P639" s="19"/>
      <c r="Q639" s="19"/>
      <c r="R639" s="19"/>
    </row>
    <row r="640" spans="1:18" ht="15.75" customHeight="1" x14ac:dyDescent="0.35">
      <c r="A640" s="18"/>
      <c r="P640" s="19"/>
      <c r="Q640" s="19"/>
      <c r="R640" s="19"/>
    </row>
    <row r="641" spans="1:18" ht="15.75" customHeight="1" x14ac:dyDescent="0.35">
      <c r="A641" s="18"/>
      <c r="P641" s="19"/>
      <c r="Q641" s="19"/>
      <c r="R641" s="19"/>
    </row>
    <row r="642" spans="1:18" ht="15.75" customHeight="1" x14ac:dyDescent="0.35">
      <c r="A642" s="18"/>
      <c r="P642" s="19"/>
      <c r="Q642" s="19"/>
      <c r="R642" s="19"/>
    </row>
    <row r="643" spans="1:18" ht="15.75" customHeight="1" x14ac:dyDescent="0.35">
      <c r="A643" s="18"/>
      <c r="P643" s="19"/>
      <c r="Q643" s="19"/>
      <c r="R643" s="19"/>
    </row>
    <row r="644" spans="1:18" ht="15.75" customHeight="1" x14ac:dyDescent="0.35">
      <c r="A644" s="18"/>
      <c r="P644" s="19"/>
      <c r="Q644" s="19"/>
      <c r="R644" s="19"/>
    </row>
    <row r="645" spans="1:18" ht="15.75" customHeight="1" x14ac:dyDescent="0.35">
      <c r="A645" s="18"/>
      <c r="P645" s="19"/>
      <c r="Q645" s="19"/>
      <c r="R645" s="19"/>
    </row>
    <row r="646" spans="1:18" ht="15.75" customHeight="1" x14ac:dyDescent="0.35">
      <c r="A646" s="18"/>
      <c r="P646" s="19"/>
      <c r="Q646" s="19"/>
      <c r="R646" s="19"/>
    </row>
    <row r="647" spans="1:18" ht="15.75" customHeight="1" x14ac:dyDescent="0.35">
      <c r="A647" s="18"/>
      <c r="P647" s="19"/>
      <c r="Q647" s="19"/>
      <c r="R647" s="19"/>
    </row>
    <row r="648" spans="1:18" ht="15.75" customHeight="1" x14ac:dyDescent="0.35">
      <c r="A648" s="18"/>
      <c r="P648" s="19"/>
      <c r="Q648" s="19"/>
      <c r="R648" s="19"/>
    </row>
    <row r="649" spans="1:18" ht="15.75" customHeight="1" x14ac:dyDescent="0.35">
      <c r="A649" s="18"/>
      <c r="P649" s="19"/>
      <c r="Q649" s="19"/>
      <c r="R649" s="19"/>
    </row>
    <row r="650" spans="1:18" ht="15.75" customHeight="1" x14ac:dyDescent="0.35">
      <c r="A650" s="18"/>
      <c r="P650" s="19"/>
      <c r="Q650" s="19"/>
      <c r="R650" s="19"/>
    </row>
    <row r="651" spans="1:18" ht="15.75" customHeight="1" x14ac:dyDescent="0.35">
      <c r="A651" s="18"/>
      <c r="P651" s="19"/>
      <c r="Q651" s="19"/>
      <c r="R651" s="19"/>
    </row>
    <row r="652" spans="1:18" ht="15.75" customHeight="1" x14ac:dyDescent="0.35">
      <c r="A652" s="18"/>
      <c r="P652" s="19"/>
      <c r="Q652" s="19"/>
      <c r="R652" s="19"/>
    </row>
    <row r="653" spans="1:18" ht="15.75" customHeight="1" x14ac:dyDescent="0.35">
      <c r="A653" s="18"/>
      <c r="P653" s="19"/>
      <c r="Q653" s="19"/>
      <c r="R653" s="19"/>
    </row>
    <row r="654" spans="1:18" ht="15.75" customHeight="1" x14ac:dyDescent="0.35">
      <c r="A654" s="18"/>
      <c r="P654" s="19"/>
      <c r="Q654" s="19"/>
      <c r="R654" s="19"/>
    </row>
    <row r="655" spans="1:18" ht="15.75" customHeight="1" x14ac:dyDescent="0.35">
      <c r="A655" s="18"/>
      <c r="P655" s="19"/>
      <c r="Q655" s="19"/>
      <c r="R655" s="19"/>
    </row>
    <row r="656" spans="1:18" ht="15.75" customHeight="1" x14ac:dyDescent="0.35">
      <c r="A656" s="18"/>
      <c r="P656" s="19"/>
      <c r="Q656" s="19"/>
      <c r="R656" s="19"/>
    </row>
    <row r="657" spans="1:18" ht="15.75" customHeight="1" x14ac:dyDescent="0.35">
      <c r="A657" s="18"/>
      <c r="P657" s="19"/>
      <c r="Q657" s="19"/>
      <c r="R657" s="19"/>
    </row>
    <row r="658" spans="1:18" ht="15.75" customHeight="1" x14ac:dyDescent="0.35">
      <c r="A658" s="18"/>
      <c r="P658" s="19"/>
      <c r="Q658" s="19"/>
      <c r="R658" s="19"/>
    </row>
    <row r="659" spans="1:18" ht="15.75" customHeight="1" x14ac:dyDescent="0.35">
      <c r="A659" s="18"/>
      <c r="P659" s="19"/>
      <c r="Q659" s="19"/>
      <c r="R659" s="19"/>
    </row>
    <row r="660" spans="1:18" ht="15.75" customHeight="1" x14ac:dyDescent="0.35">
      <c r="A660" s="18"/>
      <c r="P660" s="19"/>
      <c r="Q660" s="19"/>
      <c r="R660" s="19"/>
    </row>
    <row r="661" spans="1:18" ht="15.75" customHeight="1" x14ac:dyDescent="0.35">
      <c r="A661" s="18"/>
      <c r="P661" s="19"/>
      <c r="Q661" s="19"/>
      <c r="R661" s="19"/>
    </row>
    <row r="662" spans="1:18" ht="15.75" customHeight="1" x14ac:dyDescent="0.35">
      <c r="A662" s="18"/>
      <c r="P662" s="19"/>
      <c r="Q662" s="19"/>
      <c r="R662" s="19"/>
    </row>
    <row r="663" spans="1:18" ht="15.75" customHeight="1" x14ac:dyDescent="0.35">
      <c r="A663" s="18"/>
      <c r="P663" s="19"/>
      <c r="Q663" s="19"/>
      <c r="R663" s="19"/>
    </row>
    <row r="664" spans="1:18" ht="15.75" customHeight="1" x14ac:dyDescent="0.35">
      <c r="A664" s="18"/>
      <c r="P664" s="19"/>
      <c r="Q664" s="19"/>
      <c r="R664" s="19"/>
    </row>
    <row r="665" spans="1:18" ht="15.75" customHeight="1" x14ac:dyDescent="0.35">
      <c r="A665" s="18"/>
      <c r="P665" s="19"/>
      <c r="Q665" s="19"/>
      <c r="R665" s="19"/>
    </row>
    <row r="666" spans="1:18" ht="15.75" customHeight="1" x14ac:dyDescent="0.35">
      <c r="A666" s="18"/>
      <c r="P666" s="19"/>
      <c r="Q666" s="19"/>
      <c r="R666" s="19"/>
    </row>
    <row r="667" spans="1:18" ht="15.75" customHeight="1" x14ac:dyDescent="0.35">
      <c r="A667" s="18"/>
      <c r="P667" s="19"/>
      <c r="Q667" s="19"/>
      <c r="R667" s="19"/>
    </row>
    <row r="668" spans="1:18" ht="15.75" customHeight="1" x14ac:dyDescent="0.35">
      <c r="A668" s="18"/>
      <c r="P668" s="19"/>
      <c r="Q668" s="19"/>
      <c r="R668" s="19"/>
    </row>
    <row r="669" spans="1:18" ht="15.75" customHeight="1" x14ac:dyDescent="0.35">
      <c r="A669" s="18"/>
      <c r="P669" s="19"/>
      <c r="Q669" s="19"/>
      <c r="R669" s="19"/>
    </row>
    <row r="670" spans="1:18" ht="15.75" customHeight="1" x14ac:dyDescent="0.35">
      <c r="A670" s="18"/>
      <c r="P670" s="19"/>
      <c r="Q670" s="19"/>
      <c r="R670" s="19"/>
    </row>
    <row r="671" spans="1:18" ht="15.75" customHeight="1" x14ac:dyDescent="0.35">
      <c r="A671" s="18"/>
      <c r="P671" s="19"/>
      <c r="Q671" s="19"/>
      <c r="R671" s="19"/>
    </row>
    <row r="672" spans="1:18" ht="15.75" customHeight="1" x14ac:dyDescent="0.35">
      <c r="A672" s="18"/>
      <c r="P672" s="19"/>
      <c r="Q672" s="19"/>
      <c r="R672" s="19"/>
    </row>
    <row r="673" spans="1:18" ht="15.75" customHeight="1" x14ac:dyDescent="0.35">
      <c r="A673" s="18"/>
      <c r="P673" s="19"/>
      <c r="Q673" s="19"/>
      <c r="R673" s="19"/>
    </row>
    <row r="674" spans="1:18" ht="15.75" customHeight="1" x14ac:dyDescent="0.35">
      <c r="A674" s="18"/>
      <c r="P674" s="19"/>
      <c r="Q674" s="19"/>
      <c r="R674" s="19"/>
    </row>
    <row r="675" spans="1:18" ht="15.75" customHeight="1" x14ac:dyDescent="0.35">
      <c r="A675" s="18"/>
      <c r="P675" s="19"/>
      <c r="Q675" s="19"/>
      <c r="R675" s="19"/>
    </row>
    <row r="676" spans="1:18" ht="15.75" customHeight="1" x14ac:dyDescent="0.35">
      <c r="A676" s="18"/>
      <c r="P676" s="19"/>
      <c r="Q676" s="19"/>
      <c r="R676" s="19"/>
    </row>
    <row r="677" spans="1:18" ht="15.75" customHeight="1" x14ac:dyDescent="0.35">
      <c r="A677" s="18"/>
      <c r="P677" s="19"/>
      <c r="Q677" s="19"/>
      <c r="R677" s="19"/>
    </row>
    <row r="678" spans="1:18" ht="15.75" customHeight="1" x14ac:dyDescent="0.35">
      <c r="A678" s="18"/>
      <c r="P678" s="19"/>
      <c r="Q678" s="19"/>
      <c r="R678" s="19"/>
    </row>
    <row r="679" spans="1:18" ht="15.75" customHeight="1" x14ac:dyDescent="0.35">
      <c r="A679" s="18"/>
      <c r="P679" s="19"/>
      <c r="Q679" s="19"/>
      <c r="R679" s="19"/>
    </row>
    <row r="680" spans="1:18" ht="15.75" customHeight="1" x14ac:dyDescent="0.35">
      <c r="A680" s="18"/>
      <c r="P680" s="19"/>
      <c r="Q680" s="19"/>
      <c r="R680" s="19"/>
    </row>
    <row r="681" spans="1:18" ht="15.75" customHeight="1" x14ac:dyDescent="0.35">
      <c r="A681" s="18"/>
      <c r="P681" s="19"/>
      <c r="Q681" s="19"/>
      <c r="R681" s="19"/>
    </row>
    <row r="682" spans="1:18" ht="15.75" customHeight="1" x14ac:dyDescent="0.35">
      <c r="A682" s="18"/>
      <c r="P682" s="19"/>
      <c r="Q682" s="19"/>
      <c r="R682" s="19"/>
    </row>
    <row r="683" spans="1:18" ht="15.75" customHeight="1" x14ac:dyDescent="0.35">
      <c r="A683" s="18"/>
      <c r="P683" s="19"/>
      <c r="Q683" s="19"/>
      <c r="R683" s="19"/>
    </row>
    <row r="684" spans="1:18" ht="15.75" customHeight="1" x14ac:dyDescent="0.35">
      <c r="A684" s="18"/>
      <c r="P684" s="19"/>
      <c r="Q684" s="19"/>
      <c r="R684" s="19"/>
    </row>
    <row r="685" spans="1:18" ht="15.75" customHeight="1" x14ac:dyDescent="0.35">
      <c r="A685" s="18"/>
      <c r="P685" s="19"/>
      <c r="Q685" s="19"/>
      <c r="R685" s="19"/>
    </row>
    <row r="686" spans="1:18" ht="15.75" customHeight="1" x14ac:dyDescent="0.35">
      <c r="A686" s="18"/>
      <c r="P686" s="19"/>
      <c r="Q686" s="19"/>
      <c r="R686" s="19"/>
    </row>
    <row r="687" spans="1:18" ht="15.75" customHeight="1" x14ac:dyDescent="0.35">
      <c r="A687" s="18"/>
      <c r="P687" s="19"/>
      <c r="Q687" s="19"/>
      <c r="R687" s="19"/>
    </row>
    <row r="688" spans="1:18" ht="15.75" customHeight="1" x14ac:dyDescent="0.35">
      <c r="A688" s="18"/>
      <c r="P688" s="19"/>
      <c r="Q688" s="19"/>
      <c r="R688" s="19"/>
    </row>
    <row r="689" spans="1:18" ht="15.75" customHeight="1" x14ac:dyDescent="0.35">
      <c r="A689" s="18"/>
      <c r="P689" s="19"/>
      <c r="Q689" s="19"/>
      <c r="R689" s="19"/>
    </row>
    <row r="690" spans="1:18" ht="15.75" customHeight="1" x14ac:dyDescent="0.35">
      <c r="A690" s="18"/>
      <c r="P690" s="19"/>
      <c r="Q690" s="19"/>
      <c r="R690" s="19"/>
    </row>
    <row r="691" spans="1:18" ht="15.75" customHeight="1" x14ac:dyDescent="0.35">
      <c r="A691" s="18"/>
      <c r="P691" s="19"/>
      <c r="Q691" s="19"/>
      <c r="R691" s="19"/>
    </row>
    <row r="692" spans="1:18" ht="15.75" customHeight="1" x14ac:dyDescent="0.35">
      <c r="A692" s="18"/>
      <c r="P692" s="19"/>
      <c r="Q692" s="19"/>
      <c r="R692" s="19"/>
    </row>
    <row r="693" spans="1:18" ht="15.75" customHeight="1" x14ac:dyDescent="0.35">
      <c r="A693" s="18"/>
      <c r="P693" s="19"/>
      <c r="Q693" s="19"/>
      <c r="R693" s="19"/>
    </row>
    <row r="694" spans="1:18" ht="15.75" customHeight="1" x14ac:dyDescent="0.35">
      <c r="A694" s="18"/>
      <c r="P694" s="19"/>
      <c r="Q694" s="19"/>
      <c r="R694" s="19"/>
    </row>
    <row r="695" spans="1:18" ht="15.75" customHeight="1" x14ac:dyDescent="0.35">
      <c r="A695" s="18"/>
      <c r="P695" s="19"/>
      <c r="Q695" s="19"/>
      <c r="R695" s="19"/>
    </row>
    <row r="696" spans="1:18" ht="15.75" customHeight="1" x14ac:dyDescent="0.35">
      <c r="A696" s="18"/>
      <c r="P696" s="19"/>
      <c r="Q696" s="19"/>
      <c r="R696" s="19"/>
    </row>
    <row r="697" spans="1:18" ht="15.75" customHeight="1" x14ac:dyDescent="0.35">
      <c r="A697" s="18"/>
      <c r="P697" s="19"/>
      <c r="Q697" s="19"/>
      <c r="R697" s="19"/>
    </row>
    <row r="698" spans="1:18" ht="15.75" customHeight="1" x14ac:dyDescent="0.35">
      <c r="A698" s="18"/>
      <c r="P698" s="19"/>
      <c r="Q698" s="19"/>
      <c r="R698" s="19"/>
    </row>
    <row r="699" spans="1:18" ht="15.75" customHeight="1" x14ac:dyDescent="0.35">
      <c r="A699" s="18"/>
      <c r="P699" s="19"/>
      <c r="Q699" s="19"/>
      <c r="R699" s="19"/>
    </row>
    <row r="700" spans="1:18" ht="15.75" customHeight="1" x14ac:dyDescent="0.35">
      <c r="A700" s="18"/>
      <c r="P700" s="19"/>
      <c r="Q700" s="19"/>
      <c r="R700" s="19"/>
    </row>
    <row r="701" spans="1:18" ht="15.75" customHeight="1" x14ac:dyDescent="0.35">
      <c r="A701" s="18"/>
      <c r="P701" s="19"/>
      <c r="Q701" s="19"/>
      <c r="R701" s="19"/>
    </row>
    <row r="702" spans="1:18" ht="15.75" customHeight="1" x14ac:dyDescent="0.35">
      <c r="A702" s="18"/>
      <c r="P702" s="19"/>
      <c r="Q702" s="19"/>
      <c r="R702" s="19"/>
    </row>
    <row r="703" spans="1:18" ht="15.75" customHeight="1" x14ac:dyDescent="0.35">
      <c r="A703" s="18"/>
      <c r="P703" s="19"/>
      <c r="Q703" s="19"/>
      <c r="R703" s="19"/>
    </row>
    <row r="704" spans="1:18" ht="15.75" customHeight="1" x14ac:dyDescent="0.35">
      <c r="A704" s="18"/>
      <c r="P704" s="19"/>
      <c r="Q704" s="19"/>
      <c r="R704" s="19"/>
    </row>
    <row r="705" spans="1:18" ht="15.75" customHeight="1" x14ac:dyDescent="0.35">
      <c r="A705" s="18"/>
      <c r="P705" s="19"/>
      <c r="Q705" s="19"/>
      <c r="R705" s="19"/>
    </row>
    <row r="706" spans="1:18" ht="15.75" customHeight="1" x14ac:dyDescent="0.35">
      <c r="A706" s="18"/>
      <c r="P706" s="19"/>
      <c r="Q706" s="19"/>
      <c r="R706" s="19"/>
    </row>
    <row r="707" spans="1:18" ht="15.75" customHeight="1" x14ac:dyDescent="0.35">
      <c r="A707" s="18"/>
      <c r="P707" s="19"/>
      <c r="Q707" s="19"/>
      <c r="R707" s="19"/>
    </row>
    <row r="708" spans="1:18" ht="15.75" customHeight="1" x14ac:dyDescent="0.35">
      <c r="A708" s="18"/>
      <c r="P708" s="19"/>
      <c r="Q708" s="19"/>
      <c r="R708" s="19"/>
    </row>
    <row r="709" spans="1:18" ht="15.75" customHeight="1" x14ac:dyDescent="0.35">
      <c r="A709" s="18"/>
      <c r="P709" s="19"/>
      <c r="Q709" s="19"/>
      <c r="R709" s="19"/>
    </row>
    <row r="710" spans="1:18" ht="15.75" customHeight="1" x14ac:dyDescent="0.35">
      <c r="A710" s="18"/>
      <c r="P710" s="19"/>
      <c r="Q710" s="19"/>
      <c r="R710" s="19"/>
    </row>
    <row r="711" spans="1:18" ht="15.75" customHeight="1" x14ac:dyDescent="0.35">
      <c r="A711" s="18"/>
      <c r="P711" s="19"/>
      <c r="Q711" s="19"/>
      <c r="R711" s="19"/>
    </row>
    <row r="712" spans="1:18" ht="15.75" customHeight="1" x14ac:dyDescent="0.35">
      <c r="A712" s="18"/>
      <c r="P712" s="19"/>
      <c r="Q712" s="19"/>
      <c r="R712" s="19"/>
    </row>
    <row r="713" spans="1:18" ht="15.75" customHeight="1" x14ac:dyDescent="0.35">
      <c r="A713" s="18"/>
      <c r="P713" s="19"/>
      <c r="Q713" s="19"/>
      <c r="R713" s="19"/>
    </row>
    <row r="714" spans="1:18" ht="15.75" customHeight="1" x14ac:dyDescent="0.35">
      <c r="A714" s="18"/>
      <c r="P714" s="19"/>
      <c r="Q714" s="19"/>
      <c r="R714" s="19"/>
    </row>
    <row r="715" spans="1:18" ht="15.75" customHeight="1" x14ac:dyDescent="0.35">
      <c r="A715" s="18"/>
      <c r="P715" s="19"/>
      <c r="Q715" s="19"/>
      <c r="R715" s="19"/>
    </row>
    <row r="716" spans="1:18" ht="15.75" customHeight="1" x14ac:dyDescent="0.35">
      <c r="A716" s="18"/>
      <c r="P716" s="19"/>
      <c r="Q716" s="19"/>
      <c r="R716" s="19"/>
    </row>
    <row r="717" spans="1:18" ht="15.75" customHeight="1" x14ac:dyDescent="0.35">
      <c r="A717" s="18"/>
      <c r="P717" s="19"/>
      <c r="Q717" s="19"/>
      <c r="R717" s="19"/>
    </row>
    <row r="718" spans="1:18" ht="15.75" customHeight="1" x14ac:dyDescent="0.35">
      <c r="A718" s="18"/>
      <c r="P718" s="19"/>
      <c r="Q718" s="19"/>
      <c r="R718" s="19"/>
    </row>
    <row r="719" spans="1:18" ht="15.75" customHeight="1" x14ac:dyDescent="0.35">
      <c r="A719" s="18"/>
      <c r="P719" s="19"/>
      <c r="Q719" s="19"/>
      <c r="R719" s="19"/>
    </row>
    <row r="720" spans="1:18" ht="15.75" customHeight="1" x14ac:dyDescent="0.35">
      <c r="A720" s="18"/>
      <c r="P720" s="19"/>
      <c r="Q720" s="19"/>
      <c r="R720" s="19"/>
    </row>
    <row r="721" spans="1:18" ht="15.75" customHeight="1" x14ac:dyDescent="0.35">
      <c r="A721" s="18"/>
      <c r="P721" s="19"/>
      <c r="Q721" s="19"/>
      <c r="R721" s="19"/>
    </row>
    <row r="722" spans="1:18" ht="15.75" customHeight="1" x14ac:dyDescent="0.35">
      <c r="A722" s="18"/>
      <c r="P722" s="19"/>
      <c r="Q722" s="19"/>
      <c r="R722" s="19"/>
    </row>
    <row r="723" spans="1:18" ht="15.75" customHeight="1" x14ac:dyDescent="0.35">
      <c r="A723" s="18"/>
      <c r="P723" s="19"/>
      <c r="Q723" s="19"/>
      <c r="R723" s="19"/>
    </row>
    <row r="724" spans="1:18" ht="15.75" customHeight="1" x14ac:dyDescent="0.35">
      <c r="A724" s="18"/>
      <c r="P724" s="19"/>
      <c r="Q724" s="19"/>
      <c r="R724" s="19"/>
    </row>
    <row r="725" spans="1:18" ht="15.75" customHeight="1" x14ac:dyDescent="0.35">
      <c r="A725" s="18"/>
      <c r="P725" s="19"/>
      <c r="Q725" s="19"/>
      <c r="R725" s="19"/>
    </row>
    <row r="726" spans="1:18" ht="15.75" customHeight="1" x14ac:dyDescent="0.35">
      <c r="A726" s="18"/>
      <c r="P726" s="19"/>
      <c r="Q726" s="19"/>
      <c r="R726" s="19"/>
    </row>
    <row r="727" spans="1:18" ht="15.75" customHeight="1" x14ac:dyDescent="0.35">
      <c r="A727" s="18"/>
      <c r="P727" s="19"/>
      <c r="Q727" s="19"/>
      <c r="R727" s="19"/>
    </row>
    <row r="728" spans="1:18" ht="15.75" customHeight="1" x14ac:dyDescent="0.35">
      <c r="A728" s="18"/>
      <c r="P728" s="19"/>
      <c r="Q728" s="19"/>
      <c r="R728" s="19"/>
    </row>
    <row r="729" spans="1:18" ht="15.75" customHeight="1" x14ac:dyDescent="0.35">
      <c r="A729" s="18"/>
      <c r="P729" s="19"/>
      <c r="Q729" s="19"/>
      <c r="R729" s="19"/>
    </row>
    <row r="730" spans="1:18" ht="15.75" customHeight="1" x14ac:dyDescent="0.35">
      <c r="A730" s="18"/>
      <c r="P730" s="19"/>
      <c r="Q730" s="19"/>
      <c r="R730" s="19"/>
    </row>
    <row r="731" spans="1:18" ht="15.75" customHeight="1" x14ac:dyDescent="0.35">
      <c r="A731" s="18"/>
      <c r="P731" s="19"/>
      <c r="Q731" s="19"/>
      <c r="R731" s="19"/>
    </row>
    <row r="732" spans="1:18" ht="15.75" customHeight="1" x14ac:dyDescent="0.35">
      <c r="A732" s="18"/>
      <c r="P732" s="19"/>
      <c r="Q732" s="19"/>
      <c r="R732" s="19"/>
    </row>
    <row r="733" spans="1:18" ht="15.75" customHeight="1" x14ac:dyDescent="0.35">
      <c r="A733" s="18"/>
      <c r="P733" s="19"/>
      <c r="Q733" s="19"/>
      <c r="R733" s="19"/>
    </row>
    <row r="734" spans="1:18" ht="15.75" customHeight="1" x14ac:dyDescent="0.35">
      <c r="A734" s="18"/>
      <c r="P734" s="19"/>
      <c r="Q734" s="19"/>
      <c r="R734" s="19"/>
    </row>
    <row r="735" spans="1:18" ht="15.75" customHeight="1" x14ac:dyDescent="0.35">
      <c r="A735" s="18"/>
      <c r="P735" s="19"/>
      <c r="Q735" s="19"/>
      <c r="R735" s="19"/>
    </row>
    <row r="736" spans="1:18" ht="15.75" customHeight="1" x14ac:dyDescent="0.35">
      <c r="A736" s="18"/>
      <c r="P736" s="19"/>
      <c r="Q736" s="19"/>
      <c r="R736" s="19"/>
    </row>
    <row r="737" spans="1:18" ht="15.75" customHeight="1" x14ac:dyDescent="0.35">
      <c r="A737" s="18"/>
      <c r="P737" s="19"/>
      <c r="Q737" s="19"/>
      <c r="R737" s="19"/>
    </row>
    <row r="738" spans="1:18" ht="15.75" customHeight="1" x14ac:dyDescent="0.35">
      <c r="A738" s="18"/>
      <c r="P738" s="19"/>
      <c r="Q738" s="19"/>
      <c r="R738" s="19"/>
    </row>
    <row r="739" spans="1:18" ht="15.75" customHeight="1" x14ac:dyDescent="0.35">
      <c r="A739" s="18"/>
      <c r="P739" s="19"/>
      <c r="Q739" s="19"/>
      <c r="R739" s="19"/>
    </row>
    <row r="740" spans="1:18" ht="15.75" customHeight="1" x14ac:dyDescent="0.35">
      <c r="A740" s="18"/>
      <c r="P740" s="19"/>
      <c r="Q740" s="19"/>
      <c r="R740" s="19"/>
    </row>
    <row r="741" spans="1:18" ht="15.75" customHeight="1" x14ac:dyDescent="0.35">
      <c r="A741" s="18"/>
      <c r="P741" s="19"/>
      <c r="Q741" s="19"/>
      <c r="R741" s="19"/>
    </row>
    <row r="742" spans="1:18" ht="15.75" customHeight="1" x14ac:dyDescent="0.35">
      <c r="A742" s="18"/>
      <c r="P742" s="19"/>
      <c r="Q742" s="19"/>
      <c r="R742" s="19"/>
    </row>
    <row r="743" spans="1:18" ht="15.75" customHeight="1" x14ac:dyDescent="0.35">
      <c r="A743" s="18"/>
      <c r="P743" s="19"/>
      <c r="Q743" s="19"/>
      <c r="R743" s="19"/>
    </row>
    <row r="744" spans="1:18" ht="15.75" customHeight="1" x14ac:dyDescent="0.35">
      <c r="A744" s="18"/>
      <c r="P744" s="19"/>
      <c r="Q744" s="19"/>
      <c r="R744" s="19"/>
    </row>
    <row r="745" spans="1:18" ht="15.75" customHeight="1" x14ac:dyDescent="0.35">
      <c r="A745" s="18"/>
      <c r="P745" s="19"/>
      <c r="Q745" s="19"/>
      <c r="R745" s="19"/>
    </row>
    <row r="746" spans="1:18" ht="15.75" customHeight="1" x14ac:dyDescent="0.35">
      <c r="A746" s="18"/>
      <c r="P746" s="19"/>
      <c r="Q746" s="19"/>
      <c r="R746" s="19"/>
    </row>
    <row r="747" spans="1:18" ht="15.75" customHeight="1" x14ac:dyDescent="0.35">
      <c r="A747" s="18"/>
      <c r="P747" s="19"/>
      <c r="Q747" s="19"/>
      <c r="R747" s="19"/>
    </row>
    <row r="748" spans="1:18" ht="15.75" customHeight="1" x14ac:dyDescent="0.35">
      <c r="A748" s="18"/>
      <c r="P748" s="19"/>
      <c r="Q748" s="19"/>
      <c r="R748" s="19"/>
    </row>
    <row r="749" spans="1:18" ht="15.75" customHeight="1" x14ac:dyDescent="0.35">
      <c r="A749" s="18"/>
      <c r="P749" s="19"/>
      <c r="Q749" s="19"/>
      <c r="R749" s="19"/>
    </row>
    <row r="750" spans="1:18" ht="15.75" customHeight="1" x14ac:dyDescent="0.35">
      <c r="A750" s="18"/>
      <c r="P750" s="19"/>
      <c r="Q750" s="19"/>
      <c r="R750" s="19"/>
    </row>
    <row r="751" spans="1:18" ht="15.75" customHeight="1" x14ac:dyDescent="0.35">
      <c r="A751" s="18"/>
      <c r="P751" s="19"/>
      <c r="Q751" s="19"/>
      <c r="R751" s="19"/>
    </row>
    <row r="752" spans="1:18" ht="15.75" customHeight="1" x14ac:dyDescent="0.35">
      <c r="A752" s="18"/>
      <c r="P752" s="19"/>
      <c r="Q752" s="19"/>
      <c r="R752" s="19"/>
    </row>
    <row r="753" spans="1:18" ht="15.75" customHeight="1" x14ac:dyDescent="0.35">
      <c r="A753" s="18"/>
      <c r="P753" s="19"/>
      <c r="Q753" s="19"/>
      <c r="R753" s="19"/>
    </row>
    <row r="754" spans="1:18" ht="15.75" customHeight="1" x14ac:dyDescent="0.35">
      <c r="A754" s="18"/>
      <c r="P754" s="19"/>
      <c r="Q754" s="19"/>
      <c r="R754" s="19"/>
    </row>
    <row r="755" spans="1:18" ht="15.75" customHeight="1" x14ac:dyDescent="0.35">
      <c r="A755" s="18"/>
      <c r="P755" s="19"/>
      <c r="Q755" s="19"/>
      <c r="R755" s="19"/>
    </row>
    <row r="756" spans="1:18" ht="15.75" customHeight="1" x14ac:dyDescent="0.35">
      <c r="A756" s="18"/>
      <c r="P756" s="19"/>
      <c r="Q756" s="19"/>
      <c r="R756" s="19"/>
    </row>
    <row r="757" spans="1:18" ht="15.75" customHeight="1" x14ac:dyDescent="0.35">
      <c r="A757" s="18"/>
      <c r="P757" s="19"/>
      <c r="Q757" s="19"/>
      <c r="R757" s="19"/>
    </row>
    <row r="758" spans="1:18" ht="15.75" customHeight="1" x14ac:dyDescent="0.35">
      <c r="A758" s="18"/>
      <c r="P758" s="19"/>
      <c r="Q758" s="19"/>
      <c r="R758" s="19"/>
    </row>
    <row r="759" spans="1:18" ht="15.75" customHeight="1" x14ac:dyDescent="0.35">
      <c r="A759" s="18"/>
      <c r="P759" s="19"/>
      <c r="Q759" s="19"/>
      <c r="R759" s="19"/>
    </row>
    <row r="760" spans="1:18" ht="15.75" customHeight="1" x14ac:dyDescent="0.35">
      <c r="A760" s="18"/>
      <c r="P760" s="19"/>
      <c r="Q760" s="19"/>
      <c r="R760" s="19"/>
    </row>
    <row r="761" spans="1:18" ht="15.75" customHeight="1" x14ac:dyDescent="0.35">
      <c r="A761" s="18"/>
      <c r="P761" s="19"/>
      <c r="Q761" s="19"/>
      <c r="R761" s="19"/>
    </row>
    <row r="762" spans="1:18" ht="15.75" customHeight="1" x14ac:dyDescent="0.35">
      <c r="A762" s="18"/>
      <c r="P762" s="19"/>
      <c r="Q762" s="19"/>
      <c r="R762" s="19"/>
    </row>
    <row r="763" spans="1:18" ht="15.75" customHeight="1" x14ac:dyDescent="0.35">
      <c r="A763" s="18"/>
      <c r="P763" s="19"/>
      <c r="Q763" s="19"/>
      <c r="R763" s="19"/>
    </row>
    <row r="764" spans="1:18" ht="15.75" customHeight="1" x14ac:dyDescent="0.35">
      <c r="A764" s="18"/>
      <c r="P764" s="19"/>
      <c r="Q764" s="19"/>
      <c r="R764" s="19"/>
    </row>
    <row r="765" spans="1:18" ht="15.75" customHeight="1" x14ac:dyDescent="0.35">
      <c r="A765" s="18"/>
      <c r="P765" s="19"/>
      <c r="Q765" s="19"/>
      <c r="R765" s="19"/>
    </row>
    <row r="766" spans="1:18" ht="15.75" customHeight="1" x14ac:dyDescent="0.35">
      <c r="A766" s="18"/>
      <c r="P766" s="19"/>
      <c r="Q766" s="19"/>
      <c r="R766" s="19"/>
    </row>
    <row r="767" spans="1:18" ht="15.75" customHeight="1" x14ac:dyDescent="0.35">
      <c r="A767" s="18"/>
      <c r="P767" s="19"/>
      <c r="Q767" s="19"/>
      <c r="R767" s="19"/>
    </row>
    <row r="768" spans="1:18" ht="15.75" customHeight="1" x14ac:dyDescent="0.35">
      <c r="A768" s="18"/>
      <c r="P768" s="19"/>
      <c r="Q768" s="19"/>
      <c r="R768" s="19"/>
    </row>
    <row r="769" spans="1:18" ht="15.75" customHeight="1" x14ac:dyDescent="0.35">
      <c r="A769" s="18"/>
      <c r="P769" s="19"/>
      <c r="Q769" s="19"/>
      <c r="R769" s="19"/>
    </row>
    <row r="770" spans="1:18" ht="15.75" customHeight="1" x14ac:dyDescent="0.35">
      <c r="A770" s="18"/>
      <c r="P770" s="19"/>
      <c r="Q770" s="19"/>
      <c r="R770" s="19"/>
    </row>
    <row r="771" spans="1:18" ht="15.75" customHeight="1" x14ac:dyDescent="0.35">
      <c r="A771" s="18"/>
      <c r="P771" s="19"/>
      <c r="Q771" s="19"/>
      <c r="R771" s="19"/>
    </row>
    <row r="772" spans="1:18" ht="15.75" customHeight="1" x14ac:dyDescent="0.35">
      <c r="A772" s="18"/>
      <c r="P772" s="19"/>
      <c r="Q772" s="19"/>
      <c r="R772" s="19"/>
    </row>
    <row r="773" spans="1:18" ht="15.75" customHeight="1" x14ac:dyDescent="0.35">
      <c r="A773" s="18"/>
      <c r="P773" s="19"/>
      <c r="Q773" s="19"/>
      <c r="R773" s="19"/>
    </row>
    <row r="774" spans="1:18" ht="15.75" customHeight="1" x14ac:dyDescent="0.35">
      <c r="A774" s="18"/>
      <c r="P774" s="19"/>
      <c r="Q774" s="19"/>
      <c r="R774" s="19"/>
    </row>
    <row r="775" spans="1:18" ht="15.75" customHeight="1" x14ac:dyDescent="0.35">
      <c r="A775" s="18"/>
      <c r="P775" s="19"/>
      <c r="Q775" s="19"/>
      <c r="R775" s="19"/>
    </row>
    <row r="776" spans="1:18" ht="15.75" customHeight="1" x14ac:dyDescent="0.35">
      <c r="A776" s="18"/>
      <c r="P776" s="19"/>
      <c r="Q776" s="19"/>
      <c r="R776" s="19"/>
    </row>
    <row r="777" spans="1:18" ht="15.75" customHeight="1" x14ac:dyDescent="0.35">
      <c r="A777" s="18"/>
      <c r="P777" s="19"/>
      <c r="Q777" s="19"/>
      <c r="R777" s="19"/>
    </row>
    <row r="778" spans="1:18" ht="15.75" customHeight="1" x14ac:dyDescent="0.35">
      <c r="A778" s="18"/>
      <c r="P778" s="19"/>
      <c r="Q778" s="19"/>
      <c r="R778" s="19"/>
    </row>
    <row r="779" spans="1:18" ht="15.75" customHeight="1" x14ac:dyDescent="0.35">
      <c r="A779" s="18"/>
      <c r="P779" s="19"/>
      <c r="Q779" s="19"/>
      <c r="R779" s="19"/>
    </row>
    <row r="780" spans="1:18" ht="15.75" customHeight="1" x14ac:dyDescent="0.35">
      <c r="A780" s="18"/>
      <c r="P780" s="19"/>
      <c r="Q780" s="19"/>
      <c r="R780" s="19"/>
    </row>
    <row r="781" spans="1:18" ht="15.75" customHeight="1" x14ac:dyDescent="0.35">
      <c r="A781" s="18"/>
      <c r="P781" s="19"/>
      <c r="Q781" s="19"/>
      <c r="R781" s="19"/>
    </row>
    <row r="782" spans="1:18" ht="15.75" customHeight="1" x14ac:dyDescent="0.35">
      <c r="A782" s="18"/>
      <c r="P782" s="19"/>
      <c r="Q782" s="19"/>
      <c r="R782" s="19"/>
    </row>
    <row r="783" spans="1:18" ht="15.75" customHeight="1" x14ac:dyDescent="0.35">
      <c r="A783" s="18"/>
      <c r="P783" s="19"/>
      <c r="Q783" s="19"/>
      <c r="R783" s="19"/>
    </row>
    <row r="784" spans="1:18" ht="15.75" customHeight="1" x14ac:dyDescent="0.35">
      <c r="A784" s="18"/>
      <c r="P784" s="19"/>
      <c r="Q784" s="19"/>
      <c r="R784" s="19"/>
    </row>
    <row r="785" spans="1:18" ht="15.75" customHeight="1" x14ac:dyDescent="0.35">
      <c r="A785" s="18"/>
      <c r="P785" s="19"/>
      <c r="Q785" s="19"/>
      <c r="R785" s="19"/>
    </row>
    <row r="786" spans="1:18" ht="15.75" customHeight="1" x14ac:dyDescent="0.35">
      <c r="A786" s="18"/>
      <c r="P786" s="19"/>
      <c r="Q786" s="19"/>
      <c r="R786" s="19"/>
    </row>
    <row r="787" spans="1:18" ht="15.75" customHeight="1" x14ac:dyDescent="0.35">
      <c r="A787" s="18"/>
      <c r="P787" s="19"/>
      <c r="Q787" s="19"/>
      <c r="R787" s="19"/>
    </row>
    <row r="788" spans="1:18" ht="15.75" customHeight="1" x14ac:dyDescent="0.35">
      <c r="A788" s="18"/>
      <c r="P788" s="19"/>
      <c r="Q788" s="19"/>
      <c r="R788" s="19"/>
    </row>
    <row r="789" spans="1:18" ht="15.75" customHeight="1" x14ac:dyDescent="0.35">
      <c r="A789" s="18"/>
      <c r="P789" s="19"/>
      <c r="Q789" s="19"/>
      <c r="R789" s="19"/>
    </row>
    <row r="790" spans="1:18" ht="15.75" customHeight="1" x14ac:dyDescent="0.35">
      <c r="A790" s="18"/>
      <c r="P790" s="19"/>
      <c r="Q790" s="19"/>
      <c r="R790" s="19"/>
    </row>
    <row r="791" spans="1:18" ht="15.75" customHeight="1" x14ac:dyDescent="0.35">
      <c r="A791" s="18"/>
      <c r="P791" s="19"/>
      <c r="Q791" s="19"/>
      <c r="R791" s="19"/>
    </row>
    <row r="792" spans="1:18" ht="15.75" customHeight="1" x14ac:dyDescent="0.35">
      <c r="A792" s="18"/>
      <c r="P792" s="19"/>
      <c r="Q792" s="19"/>
      <c r="R792" s="19"/>
    </row>
    <row r="793" spans="1:18" ht="15.75" customHeight="1" x14ac:dyDescent="0.35">
      <c r="A793" s="18"/>
      <c r="P793" s="19"/>
      <c r="Q793" s="19"/>
      <c r="R793" s="19"/>
    </row>
    <row r="794" spans="1:18" ht="15.75" customHeight="1" x14ac:dyDescent="0.35">
      <c r="A794" s="18"/>
      <c r="P794" s="19"/>
      <c r="Q794" s="19"/>
      <c r="R794" s="19"/>
    </row>
    <row r="795" spans="1:18" ht="15.75" customHeight="1" x14ac:dyDescent="0.35">
      <c r="A795" s="18"/>
      <c r="P795" s="19"/>
      <c r="Q795" s="19"/>
      <c r="R795" s="19"/>
    </row>
    <row r="796" spans="1:18" ht="15.75" customHeight="1" x14ac:dyDescent="0.35">
      <c r="A796" s="18"/>
      <c r="P796" s="19"/>
      <c r="Q796" s="19"/>
      <c r="R796" s="19"/>
    </row>
    <row r="797" spans="1:18" ht="15.75" customHeight="1" x14ac:dyDescent="0.35">
      <c r="A797" s="18"/>
      <c r="P797" s="19"/>
      <c r="Q797" s="19"/>
      <c r="R797" s="19"/>
    </row>
    <row r="798" spans="1:18" ht="15.75" customHeight="1" x14ac:dyDescent="0.35">
      <c r="A798" s="18"/>
      <c r="P798" s="19"/>
      <c r="Q798" s="19"/>
      <c r="R798" s="19"/>
    </row>
    <row r="799" spans="1:18" ht="15.75" customHeight="1" x14ac:dyDescent="0.35">
      <c r="A799" s="18"/>
      <c r="P799" s="19"/>
      <c r="Q799" s="19"/>
      <c r="R799" s="19"/>
    </row>
    <row r="800" spans="1:18" ht="15.75" customHeight="1" x14ac:dyDescent="0.35">
      <c r="A800" s="18"/>
      <c r="P800" s="19"/>
      <c r="Q800" s="19"/>
      <c r="R800" s="19"/>
    </row>
    <row r="801" spans="1:18" ht="15.75" customHeight="1" x14ac:dyDescent="0.35">
      <c r="A801" s="18"/>
      <c r="P801" s="19"/>
      <c r="Q801" s="19"/>
      <c r="R801" s="19"/>
    </row>
    <row r="802" spans="1:18" ht="15.75" customHeight="1" x14ac:dyDescent="0.35">
      <c r="A802" s="18"/>
      <c r="P802" s="19"/>
      <c r="Q802" s="19"/>
      <c r="R802" s="19"/>
    </row>
    <row r="803" spans="1:18" ht="15.75" customHeight="1" x14ac:dyDescent="0.35">
      <c r="A803" s="18"/>
      <c r="P803" s="19"/>
      <c r="Q803" s="19"/>
      <c r="R803" s="19"/>
    </row>
    <row r="804" spans="1:18" ht="15.75" customHeight="1" x14ac:dyDescent="0.35">
      <c r="A804" s="18"/>
      <c r="P804" s="19"/>
      <c r="Q804" s="19"/>
      <c r="R804" s="19"/>
    </row>
    <row r="805" spans="1:18" ht="15.75" customHeight="1" x14ac:dyDescent="0.35">
      <c r="A805" s="18"/>
      <c r="P805" s="19"/>
      <c r="Q805" s="19"/>
      <c r="R805" s="19"/>
    </row>
    <row r="806" spans="1:18" ht="15.75" customHeight="1" x14ac:dyDescent="0.35">
      <c r="A806" s="18"/>
      <c r="P806" s="19"/>
      <c r="Q806" s="19"/>
      <c r="R806" s="19"/>
    </row>
    <row r="807" spans="1:18" ht="15.75" customHeight="1" x14ac:dyDescent="0.35">
      <c r="A807" s="18"/>
      <c r="P807" s="19"/>
      <c r="Q807" s="19"/>
      <c r="R807" s="19"/>
    </row>
    <row r="808" spans="1:18" ht="15.75" customHeight="1" x14ac:dyDescent="0.35">
      <c r="A808" s="18"/>
      <c r="P808" s="19"/>
      <c r="Q808" s="19"/>
      <c r="R808" s="19"/>
    </row>
    <row r="809" spans="1:18" ht="15.75" customHeight="1" x14ac:dyDescent="0.35">
      <c r="A809" s="18"/>
      <c r="P809" s="19"/>
      <c r="Q809" s="19"/>
      <c r="R809" s="19"/>
    </row>
    <row r="810" spans="1:18" ht="15.75" customHeight="1" x14ac:dyDescent="0.35">
      <c r="A810" s="18"/>
      <c r="P810" s="19"/>
      <c r="Q810" s="19"/>
      <c r="R810" s="19"/>
    </row>
    <row r="811" spans="1:18" ht="15.75" customHeight="1" x14ac:dyDescent="0.35">
      <c r="A811" s="18"/>
      <c r="P811" s="19"/>
      <c r="Q811" s="19"/>
      <c r="R811" s="19"/>
    </row>
    <row r="812" spans="1:18" ht="15.75" customHeight="1" x14ac:dyDescent="0.35">
      <c r="A812" s="18"/>
      <c r="P812" s="19"/>
      <c r="Q812" s="19"/>
      <c r="R812" s="19"/>
    </row>
    <row r="813" spans="1:18" ht="15.75" customHeight="1" x14ac:dyDescent="0.35">
      <c r="A813" s="18"/>
      <c r="P813" s="19"/>
      <c r="Q813" s="19"/>
      <c r="R813" s="19"/>
    </row>
    <row r="814" spans="1:18" ht="15.75" customHeight="1" x14ac:dyDescent="0.35">
      <c r="A814" s="18"/>
      <c r="P814" s="19"/>
      <c r="Q814" s="19"/>
      <c r="R814" s="19"/>
    </row>
    <row r="815" spans="1:18" ht="15.75" customHeight="1" x14ac:dyDescent="0.35">
      <c r="A815" s="18"/>
      <c r="P815" s="19"/>
      <c r="Q815" s="19"/>
      <c r="R815" s="19"/>
    </row>
    <row r="816" spans="1:18" ht="15.75" customHeight="1" x14ac:dyDescent="0.35">
      <c r="A816" s="18"/>
      <c r="P816" s="19"/>
      <c r="Q816" s="19"/>
      <c r="R816" s="19"/>
    </row>
    <row r="817" spans="1:18" ht="15.75" customHeight="1" x14ac:dyDescent="0.35">
      <c r="A817" s="18"/>
      <c r="P817" s="19"/>
      <c r="Q817" s="19"/>
      <c r="R817" s="19"/>
    </row>
    <row r="818" spans="1:18" ht="15.75" customHeight="1" x14ac:dyDescent="0.35">
      <c r="A818" s="18"/>
      <c r="P818" s="19"/>
      <c r="Q818" s="19"/>
      <c r="R818" s="19"/>
    </row>
    <row r="819" spans="1:18" ht="15.75" customHeight="1" x14ac:dyDescent="0.35">
      <c r="A819" s="18"/>
      <c r="P819" s="19"/>
      <c r="Q819" s="19"/>
      <c r="R819" s="19"/>
    </row>
    <row r="820" spans="1:18" ht="15.75" customHeight="1" x14ac:dyDescent="0.35">
      <c r="A820" s="18"/>
      <c r="P820" s="19"/>
      <c r="Q820" s="19"/>
      <c r="R820" s="19"/>
    </row>
    <row r="821" spans="1:18" ht="15.75" customHeight="1" x14ac:dyDescent="0.35">
      <c r="A821" s="18"/>
      <c r="P821" s="19"/>
      <c r="Q821" s="19"/>
      <c r="R821" s="19"/>
    </row>
    <row r="822" spans="1:18" ht="15.75" customHeight="1" x14ac:dyDescent="0.35">
      <c r="A822" s="18"/>
      <c r="P822" s="19"/>
      <c r="Q822" s="19"/>
      <c r="R822" s="19"/>
    </row>
    <row r="823" spans="1:18" ht="15.75" customHeight="1" x14ac:dyDescent="0.35">
      <c r="A823" s="18"/>
      <c r="P823" s="19"/>
      <c r="Q823" s="19"/>
      <c r="R823" s="19"/>
    </row>
    <row r="824" spans="1:18" ht="15.75" customHeight="1" x14ac:dyDescent="0.35">
      <c r="A824" s="18"/>
      <c r="P824" s="19"/>
      <c r="Q824" s="19"/>
      <c r="R824" s="19"/>
    </row>
    <row r="825" spans="1:18" ht="15.75" customHeight="1" x14ac:dyDescent="0.35">
      <c r="A825" s="18"/>
      <c r="P825" s="19"/>
      <c r="Q825" s="19"/>
      <c r="R825" s="19"/>
    </row>
    <row r="826" spans="1:18" ht="15.75" customHeight="1" x14ac:dyDescent="0.35">
      <c r="A826" s="18"/>
      <c r="P826" s="19"/>
      <c r="Q826" s="19"/>
      <c r="R826" s="19"/>
    </row>
    <row r="827" spans="1:18" ht="15.75" customHeight="1" x14ac:dyDescent="0.35">
      <c r="A827" s="18"/>
      <c r="P827" s="19"/>
      <c r="Q827" s="19"/>
      <c r="R827" s="19"/>
    </row>
    <row r="828" spans="1:18" ht="15.75" customHeight="1" x14ac:dyDescent="0.35">
      <c r="A828" s="18"/>
      <c r="P828" s="19"/>
      <c r="Q828" s="19"/>
      <c r="R828" s="19"/>
    </row>
    <row r="829" spans="1:18" ht="15.75" customHeight="1" x14ac:dyDescent="0.35">
      <c r="A829" s="18"/>
      <c r="P829" s="19"/>
      <c r="Q829" s="19"/>
      <c r="R829" s="19"/>
    </row>
    <row r="830" spans="1:18" ht="15.75" customHeight="1" x14ac:dyDescent="0.35">
      <c r="A830" s="18"/>
      <c r="P830" s="19"/>
      <c r="Q830" s="19"/>
      <c r="R830" s="19"/>
    </row>
    <row r="831" spans="1:18" ht="15.75" customHeight="1" x14ac:dyDescent="0.35">
      <c r="A831" s="18"/>
      <c r="P831" s="19"/>
      <c r="Q831" s="19"/>
      <c r="R831" s="19"/>
    </row>
    <row r="832" spans="1:18" ht="15.75" customHeight="1" x14ac:dyDescent="0.35">
      <c r="A832" s="18"/>
      <c r="P832" s="19"/>
      <c r="Q832" s="19"/>
      <c r="R832" s="19"/>
    </row>
    <row r="833" spans="1:18" ht="15.75" customHeight="1" x14ac:dyDescent="0.35">
      <c r="A833" s="18"/>
      <c r="P833" s="19"/>
      <c r="Q833" s="19"/>
      <c r="R833" s="19"/>
    </row>
    <row r="834" spans="1:18" ht="15.75" customHeight="1" x14ac:dyDescent="0.35">
      <c r="A834" s="18"/>
      <c r="P834" s="19"/>
      <c r="Q834" s="19"/>
      <c r="R834" s="19"/>
    </row>
    <row r="835" spans="1:18" ht="15.75" customHeight="1" x14ac:dyDescent="0.35">
      <c r="A835" s="18"/>
      <c r="P835" s="19"/>
      <c r="Q835" s="19"/>
      <c r="R835" s="19"/>
    </row>
    <row r="836" spans="1:18" ht="15.75" customHeight="1" x14ac:dyDescent="0.35">
      <c r="A836" s="18"/>
      <c r="P836" s="19"/>
      <c r="Q836" s="19"/>
      <c r="R836" s="19"/>
    </row>
    <row r="837" spans="1:18" ht="15.75" customHeight="1" x14ac:dyDescent="0.35">
      <c r="A837" s="18"/>
      <c r="P837" s="19"/>
      <c r="Q837" s="19"/>
      <c r="R837" s="19"/>
    </row>
    <row r="838" spans="1:18" ht="15.75" customHeight="1" x14ac:dyDescent="0.35">
      <c r="A838" s="18"/>
      <c r="P838" s="19"/>
      <c r="Q838" s="19"/>
      <c r="R838" s="19"/>
    </row>
    <row r="839" spans="1:18" ht="15.75" customHeight="1" x14ac:dyDescent="0.35">
      <c r="A839" s="18"/>
      <c r="P839" s="19"/>
      <c r="Q839" s="19"/>
      <c r="R839" s="19"/>
    </row>
    <row r="840" spans="1:18" ht="15.75" customHeight="1" x14ac:dyDescent="0.35">
      <c r="A840" s="18"/>
      <c r="P840" s="19"/>
      <c r="Q840" s="19"/>
      <c r="R840" s="19"/>
    </row>
    <row r="841" spans="1:18" ht="15.75" customHeight="1" x14ac:dyDescent="0.35">
      <c r="A841" s="18"/>
      <c r="P841" s="19"/>
      <c r="Q841" s="19"/>
      <c r="R841" s="19"/>
    </row>
    <row r="842" spans="1:18" ht="15.75" customHeight="1" x14ac:dyDescent="0.35">
      <c r="A842" s="18"/>
      <c r="P842" s="19"/>
      <c r="Q842" s="19"/>
      <c r="R842" s="19"/>
    </row>
    <row r="843" spans="1:18" ht="15.75" customHeight="1" x14ac:dyDescent="0.35">
      <c r="A843" s="18"/>
      <c r="P843" s="19"/>
      <c r="Q843" s="19"/>
      <c r="R843" s="19"/>
    </row>
    <row r="844" spans="1:18" ht="15.75" customHeight="1" x14ac:dyDescent="0.35">
      <c r="A844" s="18"/>
      <c r="P844" s="19"/>
      <c r="Q844" s="19"/>
      <c r="R844" s="19"/>
    </row>
    <row r="845" spans="1:18" ht="15.75" customHeight="1" x14ac:dyDescent="0.35">
      <c r="A845" s="18"/>
      <c r="P845" s="19"/>
      <c r="Q845" s="19"/>
      <c r="R845" s="19"/>
    </row>
    <row r="846" spans="1:18" ht="15.75" customHeight="1" x14ac:dyDescent="0.35">
      <c r="A846" s="18"/>
      <c r="P846" s="19"/>
      <c r="Q846" s="19"/>
      <c r="R846" s="19"/>
    </row>
    <row r="847" spans="1:18" ht="15.75" customHeight="1" x14ac:dyDescent="0.35">
      <c r="A847" s="18"/>
      <c r="P847" s="19"/>
      <c r="Q847" s="19"/>
      <c r="R847" s="19"/>
    </row>
    <row r="848" spans="1:18" ht="15.75" customHeight="1" x14ac:dyDescent="0.35">
      <c r="A848" s="18"/>
      <c r="P848" s="19"/>
      <c r="Q848" s="19"/>
      <c r="R848" s="19"/>
    </row>
    <row r="849" spans="1:18" ht="15.75" customHeight="1" x14ac:dyDescent="0.35">
      <c r="A849" s="18"/>
      <c r="P849" s="19"/>
      <c r="Q849" s="19"/>
      <c r="R849" s="19"/>
    </row>
    <row r="850" spans="1:18" ht="15.75" customHeight="1" x14ac:dyDescent="0.35">
      <c r="A850" s="18"/>
      <c r="P850" s="19"/>
      <c r="Q850" s="19"/>
      <c r="R850" s="19"/>
    </row>
    <row r="851" spans="1:18" ht="15.75" customHeight="1" x14ac:dyDescent="0.35">
      <c r="A851" s="18"/>
      <c r="P851" s="19"/>
      <c r="Q851" s="19"/>
      <c r="R851" s="19"/>
    </row>
    <row r="852" spans="1:18" ht="15.75" customHeight="1" x14ac:dyDescent="0.35">
      <c r="A852" s="18"/>
      <c r="P852" s="19"/>
      <c r="Q852" s="19"/>
      <c r="R852" s="19"/>
    </row>
    <row r="853" spans="1:18" ht="15.75" customHeight="1" x14ac:dyDescent="0.35">
      <c r="A853" s="18"/>
      <c r="P853" s="19"/>
      <c r="Q853" s="19"/>
      <c r="R853" s="19"/>
    </row>
    <row r="854" spans="1:18" ht="15.75" customHeight="1" x14ac:dyDescent="0.35">
      <c r="A854" s="18"/>
      <c r="P854" s="19"/>
      <c r="Q854" s="19"/>
      <c r="R854" s="19"/>
    </row>
    <row r="855" spans="1:18" ht="15.75" customHeight="1" x14ac:dyDescent="0.35">
      <c r="A855" s="18"/>
      <c r="P855" s="19"/>
      <c r="Q855" s="19"/>
      <c r="R855" s="19"/>
    </row>
    <row r="856" spans="1:18" ht="15.75" customHeight="1" x14ac:dyDescent="0.35">
      <c r="A856" s="18"/>
      <c r="P856" s="19"/>
      <c r="Q856" s="19"/>
      <c r="R856" s="19"/>
    </row>
    <row r="857" spans="1:18" ht="15.75" customHeight="1" x14ac:dyDescent="0.35">
      <c r="A857" s="18"/>
      <c r="P857" s="19"/>
      <c r="Q857" s="19"/>
      <c r="R857" s="19"/>
    </row>
    <row r="858" spans="1:18" ht="15.75" customHeight="1" x14ac:dyDescent="0.35">
      <c r="A858" s="18"/>
      <c r="P858" s="19"/>
      <c r="Q858" s="19"/>
      <c r="R858" s="19"/>
    </row>
    <row r="859" spans="1:18" ht="15.75" customHeight="1" x14ac:dyDescent="0.35">
      <c r="A859" s="18"/>
      <c r="P859" s="19"/>
      <c r="Q859" s="19"/>
      <c r="R859" s="19"/>
    </row>
    <row r="860" spans="1:18" ht="15.75" customHeight="1" x14ac:dyDescent="0.35">
      <c r="A860" s="18"/>
      <c r="P860" s="19"/>
      <c r="Q860" s="19"/>
      <c r="R860" s="19"/>
    </row>
    <row r="861" spans="1:18" ht="15.75" customHeight="1" x14ac:dyDescent="0.35">
      <c r="A861" s="18"/>
      <c r="P861" s="19"/>
      <c r="Q861" s="19"/>
      <c r="R861" s="19"/>
    </row>
    <row r="862" spans="1:18" ht="15.75" customHeight="1" x14ac:dyDescent="0.35">
      <c r="A862" s="18"/>
      <c r="P862" s="19"/>
      <c r="Q862" s="19"/>
      <c r="R862" s="19"/>
    </row>
    <row r="863" spans="1:18" ht="15.75" customHeight="1" x14ac:dyDescent="0.35">
      <c r="A863" s="18"/>
      <c r="P863" s="19"/>
      <c r="Q863" s="19"/>
      <c r="R863" s="19"/>
    </row>
    <row r="864" spans="1:18" ht="15.75" customHeight="1" x14ac:dyDescent="0.35">
      <c r="A864" s="18"/>
      <c r="P864" s="19"/>
      <c r="Q864" s="19"/>
      <c r="R864" s="19"/>
    </row>
    <row r="865" spans="1:18" ht="15.75" customHeight="1" x14ac:dyDescent="0.35">
      <c r="A865" s="18"/>
      <c r="P865" s="19"/>
      <c r="Q865" s="19"/>
      <c r="R865" s="19"/>
    </row>
    <row r="866" spans="1:18" ht="15.75" customHeight="1" x14ac:dyDescent="0.35">
      <c r="A866" s="18"/>
      <c r="P866" s="19"/>
      <c r="Q866" s="19"/>
      <c r="R866" s="19"/>
    </row>
    <row r="867" spans="1:18" ht="15.75" customHeight="1" x14ac:dyDescent="0.35">
      <c r="A867" s="18"/>
      <c r="P867" s="19"/>
      <c r="Q867" s="19"/>
      <c r="R867" s="19"/>
    </row>
    <row r="868" spans="1:18" ht="15.75" customHeight="1" x14ac:dyDescent="0.35">
      <c r="A868" s="18"/>
      <c r="P868" s="19"/>
      <c r="Q868" s="19"/>
      <c r="R868" s="19"/>
    </row>
    <row r="869" spans="1:18" ht="15.75" customHeight="1" x14ac:dyDescent="0.35">
      <c r="A869" s="18"/>
      <c r="P869" s="19"/>
      <c r="Q869" s="19"/>
      <c r="R869" s="19"/>
    </row>
    <row r="870" spans="1:18" ht="15.75" customHeight="1" x14ac:dyDescent="0.35">
      <c r="A870" s="18"/>
      <c r="P870" s="19"/>
      <c r="Q870" s="19"/>
      <c r="R870" s="19"/>
    </row>
    <row r="871" spans="1:18" ht="15.75" customHeight="1" x14ac:dyDescent="0.35">
      <c r="A871" s="18"/>
      <c r="P871" s="19"/>
      <c r="Q871" s="19"/>
      <c r="R871" s="19"/>
    </row>
    <row r="872" spans="1:18" ht="15.75" customHeight="1" x14ac:dyDescent="0.35">
      <c r="A872" s="18"/>
      <c r="P872" s="19"/>
      <c r="Q872" s="19"/>
      <c r="R872" s="19"/>
    </row>
    <row r="873" spans="1:18" ht="15.75" customHeight="1" x14ac:dyDescent="0.35">
      <c r="A873" s="18"/>
      <c r="P873" s="19"/>
      <c r="Q873" s="19"/>
      <c r="R873" s="19"/>
    </row>
    <row r="874" spans="1:18" ht="15.75" customHeight="1" x14ac:dyDescent="0.35">
      <c r="A874" s="18"/>
      <c r="P874" s="19"/>
      <c r="Q874" s="19"/>
      <c r="R874" s="19"/>
    </row>
    <row r="875" spans="1:18" ht="15.75" customHeight="1" x14ac:dyDescent="0.35">
      <c r="A875" s="18"/>
      <c r="P875" s="19"/>
      <c r="Q875" s="19"/>
      <c r="R875" s="19"/>
    </row>
    <row r="876" spans="1:18" ht="15.75" customHeight="1" x14ac:dyDescent="0.35">
      <c r="A876" s="18"/>
      <c r="P876" s="19"/>
      <c r="Q876" s="19"/>
      <c r="R876" s="19"/>
    </row>
    <row r="877" spans="1:18" ht="15.75" customHeight="1" x14ac:dyDescent="0.35">
      <c r="A877" s="18"/>
      <c r="P877" s="19"/>
      <c r="Q877" s="19"/>
      <c r="R877" s="19"/>
    </row>
    <row r="878" spans="1:18" ht="15.75" customHeight="1" x14ac:dyDescent="0.35">
      <c r="A878" s="18"/>
      <c r="P878" s="19"/>
      <c r="Q878" s="19"/>
      <c r="R878" s="19"/>
    </row>
    <row r="879" spans="1:18" ht="15.75" customHeight="1" x14ac:dyDescent="0.35">
      <c r="A879" s="18"/>
      <c r="P879" s="19"/>
      <c r="Q879" s="19"/>
      <c r="R879" s="19"/>
    </row>
    <row r="880" spans="1:18" ht="15.75" customHeight="1" x14ac:dyDescent="0.35">
      <c r="A880" s="18"/>
      <c r="P880" s="19"/>
      <c r="Q880" s="19"/>
      <c r="R880" s="19"/>
    </row>
    <row r="881" spans="1:18" ht="15.75" customHeight="1" x14ac:dyDescent="0.35">
      <c r="A881" s="18"/>
      <c r="P881" s="19"/>
      <c r="Q881" s="19"/>
      <c r="R881" s="19"/>
    </row>
    <row r="882" spans="1:18" ht="15.75" customHeight="1" x14ac:dyDescent="0.35">
      <c r="A882" s="18"/>
      <c r="P882" s="19"/>
      <c r="Q882" s="19"/>
      <c r="R882" s="19"/>
    </row>
    <row r="883" spans="1:18" ht="15.75" customHeight="1" x14ac:dyDescent="0.35">
      <c r="A883" s="18"/>
      <c r="P883" s="19"/>
      <c r="Q883" s="19"/>
      <c r="R883" s="19"/>
    </row>
    <row r="884" spans="1:18" ht="15.75" customHeight="1" x14ac:dyDescent="0.35">
      <c r="A884" s="18"/>
      <c r="P884" s="19"/>
      <c r="Q884" s="19"/>
      <c r="R884" s="19"/>
    </row>
    <row r="885" spans="1:18" ht="15.75" customHeight="1" x14ac:dyDescent="0.35">
      <c r="A885" s="18"/>
      <c r="P885" s="19"/>
      <c r="Q885" s="19"/>
      <c r="R885" s="19"/>
    </row>
    <row r="886" spans="1:18" ht="15.75" customHeight="1" x14ac:dyDescent="0.35">
      <c r="A886" s="18"/>
      <c r="P886" s="19"/>
      <c r="Q886" s="19"/>
      <c r="R886" s="19"/>
    </row>
    <row r="887" spans="1:18" ht="15.75" customHeight="1" x14ac:dyDescent="0.35">
      <c r="A887" s="18"/>
      <c r="P887" s="19"/>
      <c r="Q887" s="19"/>
      <c r="R887" s="19"/>
    </row>
    <row r="888" spans="1:18" ht="15.75" customHeight="1" x14ac:dyDescent="0.35">
      <c r="A888" s="18"/>
      <c r="P888" s="19"/>
      <c r="Q888" s="19"/>
      <c r="R888" s="19"/>
    </row>
    <row r="889" spans="1:18" ht="15.75" customHeight="1" x14ac:dyDescent="0.35">
      <c r="A889" s="18"/>
      <c r="P889" s="19"/>
      <c r="Q889" s="19"/>
      <c r="R889" s="19"/>
    </row>
    <row r="890" spans="1:18" ht="15.75" customHeight="1" x14ac:dyDescent="0.35">
      <c r="A890" s="18"/>
      <c r="P890" s="19"/>
      <c r="Q890" s="19"/>
      <c r="R890" s="19"/>
    </row>
    <row r="891" spans="1:18" ht="15.75" customHeight="1" x14ac:dyDescent="0.35">
      <c r="A891" s="18"/>
      <c r="P891" s="19"/>
      <c r="Q891" s="19"/>
      <c r="R891" s="19"/>
    </row>
    <row r="892" spans="1:18" ht="15.75" customHeight="1" x14ac:dyDescent="0.35">
      <c r="A892" s="18"/>
      <c r="P892" s="19"/>
      <c r="Q892" s="19"/>
      <c r="R892" s="19"/>
    </row>
    <row r="893" spans="1:18" ht="15.75" customHeight="1" x14ac:dyDescent="0.35">
      <c r="A893" s="18"/>
      <c r="P893" s="19"/>
      <c r="Q893" s="19"/>
      <c r="R893" s="19"/>
    </row>
    <row r="894" spans="1:18" ht="15.75" customHeight="1" x14ac:dyDescent="0.35">
      <c r="A894" s="18"/>
      <c r="P894" s="19"/>
      <c r="Q894" s="19"/>
      <c r="R894" s="19"/>
    </row>
    <row r="895" spans="1:18" ht="15.75" customHeight="1" x14ac:dyDescent="0.35">
      <c r="A895" s="18"/>
      <c r="P895" s="19"/>
      <c r="Q895" s="19"/>
      <c r="R895" s="19"/>
    </row>
    <row r="896" spans="1:18" ht="15.75" customHeight="1" x14ac:dyDescent="0.35">
      <c r="A896" s="18"/>
      <c r="P896" s="19"/>
      <c r="Q896" s="19"/>
      <c r="R896" s="19"/>
    </row>
    <row r="897" spans="1:18" ht="15.75" customHeight="1" x14ac:dyDescent="0.35">
      <c r="A897" s="18"/>
      <c r="P897" s="19"/>
      <c r="Q897" s="19"/>
      <c r="R897" s="19"/>
    </row>
    <row r="898" spans="1:18" ht="15.75" customHeight="1" x14ac:dyDescent="0.35">
      <c r="A898" s="18"/>
      <c r="P898" s="19"/>
      <c r="Q898" s="19"/>
      <c r="R898" s="19"/>
    </row>
    <row r="899" spans="1:18" ht="15.75" customHeight="1" x14ac:dyDescent="0.35">
      <c r="A899" s="18"/>
      <c r="P899" s="19"/>
      <c r="Q899" s="19"/>
      <c r="R899" s="19"/>
    </row>
    <row r="900" spans="1:18" ht="15.75" customHeight="1" x14ac:dyDescent="0.35">
      <c r="A900" s="18"/>
      <c r="P900" s="19"/>
      <c r="Q900" s="19"/>
      <c r="R900" s="19"/>
    </row>
    <row r="901" spans="1:18" ht="15.75" customHeight="1" x14ac:dyDescent="0.35">
      <c r="A901" s="18"/>
      <c r="P901" s="19"/>
      <c r="Q901" s="19"/>
      <c r="R901" s="19"/>
    </row>
    <row r="902" spans="1:18" ht="15.75" customHeight="1" x14ac:dyDescent="0.35">
      <c r="A902" s="18"/>
      <c r="P902" s="19"/>
      <c r="Q902" s="19"/>
      <c r="R902" s="19"/>
    </row>
    <row r="903" spans="1:18" ht="15.75" customHeight="1" x14ac:dyDescent="0.35">
      <c r="A903" s="18"/>
      <c r="P903" s="19"/>
      <c r="Q903" s="19"/>
      <c r="R903" s="19"/>
    </row>
    <row r="904" spans="1:18" ht="15.75" customHeight="1" x14ac:dyDescent="0.35">
      <c r="A904" s="18"/>
      <c r="P904" s="19"/>
      <c r="Q904" s="19"/>
      <c r="R904" s="19"/>
    </row>
    <row r="905" spans="1:18" ht="15.75" customHeight="1" x14ac:dyDescent="0.35">
      <c r="A905" s="18"/>
      <c r="P905" s="19"/>
      <c r="Q905" s="19"/>
      <c r="R905" s="19"/>
    </row>
    <row r="906" spans="1:18" ht="15.75" customHeight="1" x14ac:dyDescent="0.35">
      <c r="A906" s="18"/>
      <c r="P906" s="19"/>
      <c r="Q906" s="19"/>
      <c r="R906" s="19"/>
    </row>
    <row r="907" spans="1:18" ht="15.75" customHeight="1" x14ac:dyDescent="0.35">
      <c r="A907" s="18"/>
      <c r="P907" s="19"/>
      <c r="Q907" s="19"/>
      <c r="R907" s="19"/>
    </row>
    <row r="908" spans="1:18" ht="15.75" customHeight="1" x14ac:dyDescent="0.35">
      <c r="A908" s="18"/>
      <c r="P908" s="19"/>
      <c r="Q908" s="19"/>
      <c r="R908" s="19"/>
    </row>
    <row r="909" spans="1:18" ht="15.75" customHeight="1" x14ac:dyDescent="0.35">
      <c r="A909" s="18"/>
      <c r="P909" s="19"/>
      <c r="Q909" s="19"/>
      <c r="R909" s="19"/>
    </row>
    <row r="910" spans="1:18" ht="15.75" customHeight="1" x14ac:dyDescent="0.35">
      <c r="A910" s="18"/>
      <c r="P910" s="19"/>
      <c r="Q910" s="19"/>
      <c r="R910" s="19"/>
    </row>
    <row r="911" spans="1:18" ht="15.75" customHeight="1" x14ac:dyDescent="0.35">
      <c r="A911" s="18"/>
      <c r="P911" s="19"/>
      <c r="Q911" s="19"/>
      <c r="R911" s="19"/>
    </row>
    <row r="912" spans="1:18" ht="15.75" customHeight="1" x14ac:dyDescent="0.35">
      <c r="A912" s="18"/>
      <c r="P912" s="19"/>
      <c r="Q912" s="19"/>
      <c r="R912" s="19"/>
    </row>
    <row r="913" spans="1:18" ht="15.75" customHeight="1" x14ac:dyDescent="0.35">
      <c r="A913" s="18"/>
      <c r="P913" s="19"/>
      <c r="Q913" s="19"/>
      <c r="R913" s="19"/>
    </row>
    <row r="914" spans="1:18" ht="15.75" customHeight="1" x14ac:dyDescent="0.35">
      <c r="A914" s="18"/>
      <c r="P914" s="19"/>
      <c r="Q914" s="19"/>
      <c r="R914" s="19"/>
    </row>
    <row r="915" spans="1:18" ht="15.75" customHeight="1" x14ac:dyDescent="0.35">
      <c r="A915" s="18"/>
      <c r="P915" s="19"/>
      <c r="Q915" s="19"/>
      <c r="R915" s="19"/>
    </row>
    <row r="916" spans="1:18" ht="15.75" customHeight="1" x14ac:dyDescent="0.35">
      <c r="A916" s="18"/>
      <c r="P916" s="19"/>
      <c r="Q916" s="19"/>
      <c r="R916" s="19"/>
    </row>
    <row r="917" spans="1:18" ht="15.75" customHeight="1" x14ac:dyDescent="0.35">
      <c r="A917" s="18"/>
      <c r="P917" s="19"/>
      <c r="Q917" s="19"/>
      <c r="R917" s="19"/>
    </row>
    <row r="918" spans="1:18" ht="15.75" customHeight="1" x14ac:dyDescent="0.35">
      <c r="A918" s="18"/>
      <c r="P918" s="19"/>
      <c r="Q918" s="19"/>
      <c r="R918" s="19"/>
    </row>
    <row r="919" spans="1:18" ht="15.75" customHeight="1" x14ac:dyDescent="0.35">
      <c r="A919" s="18"/>
      <c r="P919" s="19"/>
      <c r="Q919" s="19"/>
      <c r="R919" s="19"/>
    </row>
    <row r="920" spans="1:18" ht="15.75" customHeight="1" x14ac:dyDescent="0.35">
      <c r="A920" s="18"/>
      <c r="P920" s="19"/>
      <c r="Q920" s="19"/>
      <c r="R920" s="19"/>
    </row>
    <row r="921" spans="1:18" ht="15.75" customHeight="1" x14ac:dyDescent="0.35">
      <c r="A921" s="18"/>
      <c r="P921" s="19"/>
      <c r="Q921" s="19"/>
      <c r="R921" s="19"/>
    </row>
    <row r="922" spans="1:18" ht="15.75" customHeight="1" x14ac:dyDescent="0.35">
      <c r="A922" s="18"/>
      <c r="P922" s="19"/>
      <c r="Q922" s="19"/>
      <c r="R922" s="19"/>
    </row>
    <row r="923" spans="1:18" ht="15.75" customHeight="1" x14ac:dyDescent="0.35">
      <c r="A923" s="18"/>
      <c r="P923" s="19"/>
      <c r="Q923" s="19"/>
      <c r="R923" s="19"/>
    </row>
    <row r="924" spans="1:18" ht="15.75" customHeight="1" x14ac:dyDescent="0.35">
      <c r="A924" s="18"/>
      <c r="P924" s="19"/>
      <c r="Q924" s="19"/>
      <c r="R924" s="19"/>
    </row>
    <row r="925" spans="1:18" ht="15.75" customHeight="1" x14ac:dyDescent="0.35">
      <c r="A925" s="18"/>
      <c r="P925" s="19"/>
      <c r="Q925" s="19"/>
      <c r="R925" s="19"/>
    </row>
    <row r="926" spans="1:18" ht="15.75" customHeight="1" x14ac:dyDescent="0.35">
      <c r="A926" s="18"/>
      <c r="P926" s="19"/>
      <c r="Q926" s="19"/>
      <c r="R926" s="19"/>
    </row>
    <row r="927" spans="1:18" ht="15.75" customHeight="1" x14ac:dyDescent="0.35">
      <c r="A927" s="18"/>
      <c r="P927" s="19"/>
      <c r="Q927" s="19"/>
      <c r="R927" s="19"/>
    </row>
    <row r="928" spans="1:18" ht="15.75" customHeight="1" x14ac:dyDescent="0.35">
      <c r="A928" s="18"/>
      <c r="P928" s="19"/>
      <c r="Q928" s="19"/>
      <c r="R928" s="19"/>
    </row>
    <row r="929" spans="1:18" ht="15.75" customHeight="1" x14ac:dyDescent="0.35">
      <c r="A929" s="18"/>
      <c r="P929" s="19"/>
      <c r="Q929" s="19"/>
      <c r="R929" s="19"/>
    </row>
    <row r="930" spans="1:18" ht="15.75" customHeight="1" x14ac:dyDescent="0.35">
      <c r="A930" s="18"/>
      <c r="P930" s="19"/>
      <c r="Q930" s="19"/>
      <c r="R930" s="19"/>
    </row>
    <row r="931" spans="1:18" ht="15.75" customHeight="1" x14ac:dyDescent="0.35">
      <c r="A931" s="18"/>
      <c r="P931" s="19"/>
      <c r="Q931" s="19"/>
      <c r="R931" s="19"/>
    </row>
    <row r="932" spans="1:18" ht="15.75" customHeight="1" x14ac:dyDescent="0.35">
      <c r="A932" s="18"/>
      <c r="P932" s="19"/>
      <c r="Q932" s="19"/>
      <c r="R932" s="19"/>
    </row>
    <row r="933" spans="1:18" ht="15.75" customHeight="1" x14ac:dyDescent="0.35">
      <c r="A933" s="18"/>
      <c r="P933" s="19"/>
      <c r="Q933" s="19"/>
      <c r="R933" s="19"/>
    </row>
    <row r="934" spans="1:18" ht="15.75" customHeight="1" x14ac:dyDescent="0.35">
      <c r="A934" s="18"/>
      <c r="P934" s="19"/>
      <c r="Q934" s="19"/>
      <c r="R934" s="19"/>
    </row>
    <row r="935" spans="1:18" ht="15.75" customHeight="1" x14ac:dyDescent="0.35">
      <c r="A935" s="18"/>
      <c r="P935" s="19"/>
      <c r="Q935" s="19"/>
      <c r="R935" s="19"/>
    </row>
    <row r="936" spans="1:18" ht="15.75" customHeight="1" x14ac:dyDescent="0.35">
      <c r="A936" s="18"/>
      <c r="P936" s="19"/>
      <c r="Q936" s="19"/>
      <c r="R936" s="19"/>
    </row>
    <row r="937" spans="1:18" ht="15.75" customHeight="1" x14ac:dyDescent="0.35">
      <c r="A937" s="18"/>
      <c r="P937" s="19"/>
      <c r="Q937" s="19"/>
      <c r="R937" s="19"/>
    </row>
    <row r="938" spans="1:18" ht="15.75" customHeight="1" x14ac:dyDescent="0.35">
      <c r="A938" s="18"/>
      <c r="P938" s="19"/>
      <c r="Q938" s="19"/>
      <c r="R938" s="19"/>
    </row>
    <row r="939" spans="1:18" ht="15.75" customHeight="1" x14ac:dyDescent="0.35">
      <c r="A939" s="18"/>
      <c r="P939" s="19"/>
      <c r="Q939" s="19"/>
      <c r="R939" s="19"/>
    </row>
    <row r="940" spans="1:18" ht="15.75" customHeight="1" x14ac:dyDescent="0.35">
      <c r="A940" s="18"/>
      <c r="P940" s="19"/>
      <c r="Q940" s="19"/>
      <c r="R940" s="19"/>
    </row>
    <row r="941" spans="1:18" ht="15.75" customHeight="1" x14ac:dyDescent="0.35">
      <c r="A941" s="18"/>
      <c r="P941" s="19"/>
      <c r="Q941" s="19"/>
      <c r="R941" s="19"/>
    </row>
    <row r="942" spans="1:18" ht="15.75" customHeight="1" x14ac:dyDescent="0.35">
      <c r="A942" s="18"/>
      <c r="P942" s="19"/>
      <c r="Q942" s="19"/>
      <c r="R942" s="19"/>
    </row>
    <row r="943" spans="1:18" ht="15.75" customHeight="1" x14ac:dyDescent="0.35">
      <c r="A943" s="18"/>
      <c r="P943" s="19"/>
      <c r="Q943" s="19"/>
      <c r="R943" s="19"/>
    </row>
    <row r="944" spans="1:18" ht="15.75" customHeight="1" x14ac:dyDescent="0.35">
      <c r="A944" s="18"/>
      <c r="P944" s="19"/>
      <c r="Q944" s="19"/>
      <c r="R944" s="19"/>
    </row>
    <row r="945" spans="1:18" ht="15.75" customHeight="1" x14ac:dyDescent="0.35">
      <c r="A945" s="18"/>
      <c r="P945" s="19"/>
      <c r="Q945" s="19"/>
      <c r="R945" s="19"/>
    </row>
    <row r="946" spans="1:18" ht="15.75" customHeight="1" x14ac:dyDescent="0.35">
      <c r="A946" s="18"/>
      <c r="P946" s="19"/>
      <c r="Q946" s="19"/>
      <c r="R946" s="19"/>
    </row>
    <row r="947" spans="1:18" ht="15.75" customHeight="1" x14ac:dyDescent="0.35">
      <c r="A947" s="18"/>
      <c r="P947" s="19"/>
      <c r="Q947" s="19"/>
      <c r="R947" s="19"/>
    </row>
    <row r="948" spans="1:18" ht="15.75" customHeight="1" x14ac:dyDescent="0.35">
      <c r="A948" s="18"/>
      <c r="P948" s="19"/>
      <c r="Q948" s="19"/>
      <c r="R948" s="19"/>
    </row>
    <row r="949" spans="1:18" ht="15.75" customHeight="1" x14ac:dyDescent="0.35">
      <c r="A949" s="18"/>
      <c r="P949" s="19"/>
      <c r="Q949" s="19"/>
      <c r="R949" s="19"/>
    </row>
    <row r="950" spans="1:18" ht="15.75" customHeight="1" x14ac:dyDescent="0.35">
      <c r="A950" s="18"/>
      <c r="P950" s="19"/>
      <c r="Q950" s="19"/>
      <c r="R950" s="19"/>
    </row>
    <row r="951" spans="1:18" ht="15.75" customHeight="1" x14ac:dyDescent="0.35">
      <c r="A951" s="18"/>
      <c r="P951" s="19"/>
      <c r="Q951" s="19"/>
      <c r="R951" s="19"/>
    </row>
    <row r="952" spans="1:18" ht="15.75" customHeight="1" x14ac:dyDescent="0.35">
      <c r="A952" s="18"/>
      <c r="P952" s="19"/>
      <c r="Q952" s="19"/>
      <c r="R952" s="19"/>
    </row>
    <row r="953" spans="1:18" ht="15.75" customHeight="1" x14ac:dyDescent="0.35">
      <c r="A953" s="18"/>
      <c r="P953" s="19"/>
      <c r="Q953" s="19"/>
      <c r="R953" s="19"/>
    </row>
    <row r="954" spans="1:18" ht="15.75" customHeight="1" x14ac:dyDescent="0.35">
      <c r="A954" s="18"/>
      <c r="P954" s="19"/>
      <c r="Q954" s="19"/>
      <c r="R954" s="19"/>
    </row>
    <row r="955" spans="1:18" ht="15.75" customHeight="1" x14ac:dyDescent="0.35">
      <c r="A955" s="18"/>
      <c r="P955" s="19"/>
      <c r="Q955" s="19"/>
      <c r="R955" s="19"/>
    </row>
    <row r="956" spans="1:18" ht="15.75" customHeight="1" x14ac:dyDescent="0.35">
      <c r="A956" s="18"/>
      <c r="P956" s="19"/>
      <c r="Q956" s="19"/>
      <c r="R956" s="19"/>
    </row>
    <row r="957" spans="1:18" ht="15.75" customHeight="1" x14ac:dyDescent="0.35">
      <c r="A957" s="18"/>
      <c r="P957" s="19"/>
      <c r="Q957" s="19"/>
      <c r="R957" s="19"/>
    </row>
    <row r="958" spans="1:18" ht="15.75" customHeight="1" x14ac:dyDescent="0.35">
      <c r="A958" s="18"/>
      <c r="P958" s="19"/>
      <c r="Q958" s="19"/>
      <c r="R958" s="19"/>
    </row>
    <row r="959" spans="1:18" ht="15.75" customHeight="1" x14ac:dyDescent="0.35">
      <c r="A959" s="18"/>
      <c r="P959" s="19"/>
      <c r="Q959" s="19"/>
      <c r="R959" s="19"/>
    </row>
    <row r="960" spans="1:18" ht="15.75" customHeight="1" x14ac:dyDescent="0.35">
      <c r="A960" s="18"/>
      <c r="P960" s="19"/>
      <c r="Q960" s="19"/>
      <c r="R960" s="19"/>
    </row>
    <row r="961" spans="1:18" ht="15.75" customHeight="1" x14ac:dyDescent="0.35">
      <c r="A961" s="18"/>
      <c r="P961" s="19"/>
      <c r="Q961" s="19"/>
      <c r="R961" s="19"/>
    </row>
    <row r="962" spans="1:18" ht="15.75" customHeight="1" x14ac:dyDescent="0.35">
      <c r="A962" s="18"/>
      <c r="P962" s="19"/>
      <c r="Q962" s="19"/>
      <c r="R962" s="19"/>
    </row>
    <row r="963" spans="1:18" ht="15.75" customHeight="1" x14ac:dyDescent="0.35">
      <c r="A963" s="18"/>
      <c r="P963" s="19"/>
      <c r="Q963" s="19"/>
      <c r="R963" s="19"/>
    </row>
    <row r="964" spans="1:18" ht="15.75" customHeight="1" x14ac:dyDescent="0.35">
      <c r="A964" s="18"/>
      <c r="P964" s="19"/>
      <c r="Q964" s="19"/>
      <c r="R964" s="19"/>
    </row>
    <row r="965" spans="1:18" ht="15.75" customHeight="1" x14ac:dyDescent="0.35">
      <c r="A965" s="18"/>
      <c r="P965" s="19"/>
      <c r="Q965" s="19"/>
      <c r="R965" s="19"/>
    </row>
    <row r="966" spans="1:18" ht="15.75" customHeight="1" x14ac:dyDescent="0.35">
      <c r="A966" s="18"/>
      <c r="P966" s="19"/>
      <c r="Q966" s="19"/>
      <c r="R966" s="19"/>
    </row>
    <row r="967" spans="1:18" ht="15.75" customHeight="1" x14ac:dyDescent="0.35">
      <c r="A967" s="18"/>
      <c r="P967" s="19"/>
      <c r="Q967" s="19"/>
      <c r="R967" s="19"/>
    </row>
    <row r="968" spans="1:18" ht="15.75" customHeight="1" x14ac:dyDescent="0.35">
      <c r="A968" s="18"/>
      <c r="P968" s="19"/>
      <c r="Q968" s="19"/>
      <c r="R968" s="19"/>
    </row>
    <row r="969" spans="1:18" ht="15.75" customHeight="1" x14ac:dyDescent="0.35">
      <c r="A969" s="18"/>
      <c r="P969" s="19"/>
      <c r="Q969" s="19"/>
      <c r="R969" s="19"/>
    </row>
    <row r="970" spans="1:18" ht="15.75" customHeight="1" x14ac:dyDescent="0.35">
      <c r="A970" s="18"/>
      <c r="P970" s="19"/>
      <c r="Q970" s="19"/>
      <c r="R970" s="19"/>
    </row>
    <row r="971" spans="1:18" ht="15.75" customHeight="1" x14ac:dyDescent="0.35">
      <c r="A971" s="18"/>
      <c r="P971" s="19"/>
      <c r="Q971" s="19"/>
      <c r="R971" s="19"/>
    </row>
    <row r="972" spans="1:18" ht="15.75" customHeight="1" x14ac:dyDescent="0.35">
      <c r="A972" s="18"/>
      <c r="P972" s="19"/>
      <c r="Q972" s="19"/>
      <c r="R972" s="19"/>
    </row>
    <row r="973" spans="1:18" ht="15.75" customHeight="1" x14ac:dyDescent="0.35">
      <c r="A973" s="18"/>
      <c r="P973" s="19"/>
      <c r="Q973" s="19"/>
      <c r="R973" s="19"/>
    </row>
    <row r="974" spans="1:18" ht="15.75" customHeight="1" x14ac:dyDescent="0.35">
      <c r="A974" s="18"/>
      <c r="P974" s="19"/>
      <c r="Q974" s="19"/>
      <c r="R974" s="19"/>
    </row>
    <row r="975" spans="1:18" ht="15.75" customHeight="1" x14ac:dyDescent="0.35">
      <c r="A975" s="18"/>
      <c r="P975" s="19"/>
      <c r="Q975" s="19"/>
      <c r="R975" s="19"/>
    </row>
    <row r="976" spans="1:18" ht="15.75" customHeight="1" x14ac:dyDescent="0.35">
      <c r="A976" s="18"/>
      <c r="P976" s="19"/>
      <c r="Q976" s="19"/>
      <c r="R976" s="19"/>
    </row>
    <row r="977" spans="1:18" ht="15.75" customHeight="1" x14ac:dyDescent="0.35">
      <c r="A977" s="18"/>
      <c r="P977" s="19"/>
      <c r="Q977" s="19"/>
      <c r="R977" s="19"/>
    </row>
    <row r="978" spans="1:18" ht="15.75" customHeight="1" x14ac:dyDescent="0.35">
      <c r="A978" s="18"/>
      <c r="P978" s="19"/>
      <c r="Q978" s="19"/>
      <c r="R978" s="19"/>
    </row>
    <row r="979" spans="1:18" ht="15.75" customHeight="1" x14ac:dyDescent="0.35">
      <c r="A979" s="18"/>
      <c r="P979" s="19"/>
      <c r="Q979" s="19"/>
      <c r="R979" s="19"/>
    </row>
    <row r="980" spans="1:18" ht="15.75" customHeight="1" x14ac:dyDescent="0.35">
      <c r="A980" s="18"/>
      <c r="P980" s="19"/>
      <c r="Q980" s="19"/>
      <c r="R980" s="19"/>
    </row>
    <row r="981" spans="1:18" ht="15.75" customHeight="1" x14ac:dyDescent="0.35">
      <c r="A981" s="18"/>
      <c r="P981" s="19"/>
      <c r="Q981" s="19"/>
      <c r="R981" s="19"/>
    </row>
    <row r="982" spans="1:18" ht="15.75" customHeight="1" x14ac:dyDescent="0.35">
      <c r="A982" s="18"/>
      <c r="P982" s="19"/>
      <c r="Q982" s="19"/>
      <c r="R982" s="19"/>
    </row>
    <row r="983" spans="1:18" ht="15.75" customHeight="1" x14ac:dyDescent="0.35">
      <c r="A983" s="18"/>
      <c r="P983" s="19"/>
      <c r="Q983" s="19"/>
      <c r="R983" s="19"/>
    </row>
    <row r="984" spans="1:18" ht="15.75" customHeight="1" x14ac:dyDescent="0.35">
      <c r="A984" s="18"/>
      <c r="P984" s="19"/>
      <c r="Q984" s="19"/>
      <c r="R984" s="19"/>
    </row>
    <row r="985" spans="1:18" ht="15.75" customHeight="1" x14ac:dyDescent="0.35">
      <c r="A985" s="18"/>
      <c r="P985" s="19"/>
      <c r="Q985" s="19"/>
      <c r="R985" s="19"/>
    </row>
    <row r="986" spans="1:18" ht="15.75" customHeight="1" x14ac:dyDescent="0.35">
      <c r="A986" s="18"/>
      <c r="P986" s="19"/>
      <c r="Q986" s="19"/>
      <c r="R986" s="19"/>
    </row>
    <row r="987" spans="1:18" ht="15.75" customHeight="1" x14ac:dyDescent="0.35">
      <c r="A987" s="18"/>
      <c r="P987" s="19"/>
      <c r="Q987" s="19"/>
      <c r="R987" s="19"/>
    </row>
    <row r="988" spans="1:18" ht="15.75" customHeight="1" x14ac:dyDescent="0.35">
      <c r="A988" s="18"/>
      <c r="P988" s="19"/>
      <c r="Q988" s="19"/>
      <c r="R988" s="19"/>
    </row>
    <row r="989" spans="1:18" ht="15.75" customHeight="1" x14ac:dyDescent="0.35">
      <c r="A989" s="18"/>
      <c r="P989" s="19"/>
      <c r="Q989" s="19"/>
      <c r="R989" s="19"/>
    </row>
    <row r="990" spans="1:18" ht="15.75" customHeight="1" x14ac:dyDescent="0.35">
      <c r="A990" s="18"/>
      <c r="P990" s="19"/>
      <c r="Q990" s="19"/>
      <c r="R990" s="19"/>
    </row>
    <row r="991" spans="1:18" ht="15.75" customHeight="1" x14ac:dyDescent="0.35">
      <c r="A991" s="18"/>
      <c r="P991" s="19"/>
      <c r="Q991" s="19"/>
      <c r="R991" s="19"/>
    </row>
    <row r="992" spans="1:18" ht="15.75" customHeight="1" x14ac:dyDescent="0.35">
      <c r="A992" s="18"/>
      <c r="P992" s="19"/>
      <c r="Q992" s="19"/>
      <c r="R992" s="19"/>
    </row>
    <row r="993" spans="1:18" ht="15.75" customHeight="1" x14ac:dyDescent="0.35">
      <c r="A993" s="18"/>
      <c r="P993" s="19"/>
      <c r="Q993" s="19"/>
      <c r="R993" s="19"/>
    </row>
    <row r="994" spans="1:18" ht="15.75" customHeight="1" x14ac:dyDescent="0.35">
      <c r="A994" s="18"/>
      <c r="P994" s="19"/>
      <c r="Q994" s="19"/>
      <c r="R994" s="19"/>
    </row>
    <row r="995" spans="1:18" ht="15.75" customHeight="1" x14ac:dyDescent="0.35">
      <c r="A995" s="18"/>
      <c r="P995" s="19"/>
      <c r="Q995" s="19"/>
      <c r="R995" s="19"/>
    </row>
    <row r="996" spans="1:18" ht="15.75" customHeight="1" x14ac:dyDescent="0.35">
      <c r="A996" s="18"/>
      <c r="P996" s="19"/>
      <c r="Q996" s="19"/>
      <c r="R996" s="19"/>
    </row>
    <row r="997" spans="1:18" ht="15.75" customHeight="1" x14ac:dyDescent="0.35">
      <c r="A997" s="18"/>
      <c r="P997" s="19"/>
      <c r="Q997" s="19"/>
      <c r="R997" s="19"/>
    </row>
    <row r="998" spans="1:18" ht="15.75" customHeight="1" x14ac:dyDescent="0.35">
      <c r="A998" s="18"/>
      <c r="P998" s="19"/>
      <c r="Q998" s="19"/>
      <c r="R998" s="19"/>
    </row>
    <row r="999" spans="1:18" ht="15.75" customHeight="1" x14ac:dyDescent="0.35">
      <c r="A999" s="18"/>
      <c r="P999" s="19"/>
      <c r="Q999" s="19"/>
      <c r="R999" s="19"/>
    </row>
    <row r="1000" spans="1:18" ht="15.75" customHeight="1" x14ac:dyDescent="0.35">
      <c r="A1000" s="18"/>
      <c r="P1000" s="19"/>
      <c r="Q1000" s="19"/>
      <c r="R1000" s="19"/>
    </row>
  </sheetData>
  <autoFilter ref="A1:N159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abSelected="1" topLeftCell="E1" workbookViewId="0">
      <selection activeCell="I4" sqref="I4"/>
    </sheetView>
  </sheetViews>
  <sheetFormatPr defaultColWidth="14.453125" defaultRowHeight="15" customHeight="1" x14ac:dyDescent="0.35"/>
  <cols>
    <col min="1" max="1" width="26.81640625" customWidth="1"/>
    <col min="2" max="2" width="21.54296875" customWidth="1"/>
    <col min="3" max="3" width="21.26953125" customWidth="1"/>
    <col min="4" max="4" width="21.54296875" customWidth="1"/>
    <col min="5" max="5" width="20.26953125" customWidth="1"/>
    <col min="6" max="8" width="21.54296875" customWidth="1"/>
    <col min="9" max="9" width="15.54296875" customWidth="1"/>
  </cols>
  <sheetData>
    <row r="1" spans="1:26" ht="17.25" customHeight="1" x14ac:dyDescent="0.35">
      <c r="A1" s="28" t="s">
        <v>205</v>
      </c>
      <c r="B1" s="29" t="s">
        <v>206</v>
      </c>
      <c r="C1" s="29" t="s">
        <v>207</v>
      </c>
      <c r="D1" s="29" t="s">
        <v>208</v>
      </c>
      <c r="E1" s="29" t="s">
        <v>209</v>
      </c>
      <c r="F1" s="29" t="s">
        <v>210</v>
      </c>
      <c r="G1" s="29" t="s">
        <v>211</v>
      </c>
      <c r="H1" s="29" t="s">
        <v>212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7.25" customHeight="1" x14ac:dyDescent="0.35">
      <c r="A2" s="29" t="s">
        <v>213</v>
      </c>
      <c r="B2" s="31">
        <v>4987902</v>
      </c>
      <c r="C2" s="31">
        <v>5448887</v>
      </c>
      <c r="D2" s="31">
        <v>5818323</v>
      </c>
      <c r="E2" s="31">
        <v>3631283</v>
      </c>
      <c r="F2" s="31">
        <v>6497337</v>
      </c>
      <c r="G2" s="31">
        <v>4902276</v>
      </c>
      <c r="H2" s="31">
        <v>4797145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7.25" customHeight="1" x14ac:dyDescent="0.35">
      <c r="A3" s="29" t="s">
        <v>214</v>
      </c>
      <c r="B3" s="32">
        <v>10834932241</v>
      </c>
      <c r="C3" s="32">
        <v>11931412377</v>
      </c>
      <c r="D3" s="32">
        <v>13492280520</v>
      </c>
      <c r="E3" s="32">
        <v>8013939155</v>
      </c>
      <c r="F3" s="32">
        <v>14220724127</v>
      </c>
      <c r="G3" s="32">
        <v>10488994582</v>
      </c>
      <c r="H3" s="32">
        <v>10321575540</v>
      </c>
      <c r="I3" s="33" t="s">
        <v>215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7.25" customHeight="1" x14ac:dyDescent="0.35">
      <c r="A4" s="29" t="s">
        <v>216</v>
      </c>
      <c r="B4" s="34">
        <v>26.975269361747685</v>
      </c>
      <c r="C4" s="34">
        <v>24.693116227222184</v>
      </c>
      <c r="D4" s="34">
        <v>23.125220102080959</v>
      </c>
      <c r="E4" s="34">
        <v>37.053019552593398</v>
      </c>
      <c r="F4" s="34">
        <v>20.708484106642459</v>
      </c>
      <c r="G4" s="34">
        <v>27.446435084438331</v>
      </c>
      <c r="H4" s="34">
        <v>28.047932676623283</v>
      </c>
      <c r="I4" s="35">
        <v>26.8642110159069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7.25" customHeight="1" x14ac:dyDescent="0.35">
      <c r="A5" s="29" t="s">
        <v>217</v>
      </c>
      <c r="B5" s="36">
        <v>1.2418167184364582E-2</v>
      </c>
      <c r="C5" s="36">
        <v>1.1276954961289408E-2</v>
      </c>
      <c r="D5" s="36">
        <v>9.9723690002259165E-3</v>
      </c>
      <c r="E5" s="36">
        <v>1.6789496076477263E-2</v>
      </c>
      <c r="F5" s="36">
        <v>9.4615435049849768E-3</v>
      </c>
      <c r="G5" s="36">
        <v>1.2827730908632477E-2</v>
      </c>
      <c r="H5" s="36">
        <v>1.3035800540195435E-2</v>
      </c>
      <c r="I5" s="36">
        <v>1.2254580310881434E-2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7.25" customHeight="1" x14ac:dyDescent="0.3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7.25" customHeight="1" x14ac:dyDescent="0.3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7.25" customHeight="1" x14ac:dyDescent="0.3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7.25" customHeight="1" x14ac:dyDescent="0.3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7.25" customHeight="1" x14ac:dyDescent="0.3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7.25" customHeight="1" x14ac:dyDescent="0.3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7.25" customHeight="1" x14ac:dyDescent="0.3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7.25" customHeight="1" x14ac:dyDescent="0.3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7.25" customHeight="1" x14ac:dyDescent="0.3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7.25" customHeight="1" x14ac:dyDescent="0.3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7.25" customHeight="1" x14ac:dyDescent="0.3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7.25" customHeight="1" x14ac:dyDescent="0.3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7.25" customHeight="1" x14ac:dyDescent="0.3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7.25" customHeight="1" x14ac:dyDescent="0.3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7.25" customHeight="1" x14ac:dyDescent="0.3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7.25" customHeight="1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7.25" customHeight="1" x14ac:dyDescent="0.3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7.25" customHeight="1" x14ac:dyDescent="0.3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7.25" customHeight="1" x14ac:dyDescent="0.3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7.25" customHeight="1" x14ac:dyDescent="0.3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7.25" customHeight="1" x14ac:dyDescent="0.3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7.25" customHeight="1" x14ac:dyDescent="0.3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7.25" customHeight="1" x14ac:dyDescent="0.3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7.25" customHeight="1" x14ac:dyDescent="0.3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7.25" customHeight="1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7.25" customHeight="1" x14ac:dyDescent="0.3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7.25" customHeight="1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7.25" customHeight="1" x14ac:dyDescent="0.3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7.25" customHeight="1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7.25" customHeight="1" x14ac:dyDescent="0.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7.25" customHeight="1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7.25" customHeight="1" x14ac:dyDescent="0.3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7.25" customHeight="1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7.25" customHeight="1" x14ac:dyDescent="0.3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7.25" customHeight="1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7.25" customHeight="1" x14ac:dyDescent="0.3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7.25" customHeight="1" x14ac:dyDescent="0.3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7.25" customHeight="1" x14ac:dyDescent="0.3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7.25" customHeight="1" x14ac:dyDescent="0.3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7.25" customHeight="1" x14ac:dyDescent="0.3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7.25" customHeight="1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7.25" customHeight="1" x14ac:dyDescent="0.3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7.25" customHeight="1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7.25" customHeight="1" x14ac:dyDescent="0.3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7.25" customHeight="1" x14ac:dyDescent="0.3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7.25" customHeight="1" x14ac:dyDescent="0.3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7.25" customHeight="1" x14ac:dyDescent="0.3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7.25" customHeight="1" x14ac:dyDescent="0.3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7.25" customHeight="1" x14ac:dyDescent="0.3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7.25" customHeight="1" x14ac:dyDescent="0.3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7.25" customHeight="1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7.25" customHeight="1" x14ac:dyDescent="0.3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7.25" customHeight="1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7.25" customHeight="1" x14ac:dyDescent="0.3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7.25" customHeight="1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7.25" customHeight="1" x14ac:dyDescent="0.3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7.25" customHeight="1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7.25" customHeight="1" x14ac:dyDescent="0.3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7.25" customHeight="1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7.25" customHeight="1" x14ac:dyDescent="0.3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7.25" customHeight="1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7.25" customHeight="1" x14ac:dyDescent="0.3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7.25" customHeight="1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7.25" customHeight="1" x14ac:dyDescent="0.3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7.25" customHeight="1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7.25" customHeight="1" x14ac:dyDescent="0.3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7.25" customHeight="1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7.25" customHeight="1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7.25" customHeight="1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7.25" customHeight="1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7.25" customHeight="1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7.25" customHeight="1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7.25" customHeight="1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7.25" customHeigh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7.25" customHeight="1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7.25" customHeight="1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7.25" customHeight="1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7.25" customHeight="1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7.25" customHeight="1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7.25" customHeight="1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7.25" customHeight="1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7.25" customHeight="1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7.25" customHeight="1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7.25" customHeight="1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7.25" customHeight="1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7.25" customHeight="1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7.25" customHeight="1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7.25" customHeight="1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7.25" customHeight="1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7.25" customHeight="1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7.25" customHeight="1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7.25" customHeight="1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7.25" customHeigh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7.25" customHeight="1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7.25" customHeigh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7.25" customHeigh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7.25" customHeigh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7.25" customHeigh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7.25" customHeigh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7.25" customHeigh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7.25" customHeigh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7.25" customHeigh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7.25" customHeigh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7.25" customHeigh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7.25" customHeigh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7.25" customHeigh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7.25" customHeigh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7.25" customHeigh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7.25" customHeigh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7.25" customHeigh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7.25" customHeigh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7.25" customHeigh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7.25" customHeigh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7.25" customHeigh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7.25" customHeigh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7.25" customHeigh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7.25" customHeigh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7.25" customHeigh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7.25" customHeigh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7.25" customHeigh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7.25" customHeigh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7.25" customHeigh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7.25" customHeigh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7.25" customHeigh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7.25" customHeigh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7.25" customHeigh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7.25" customHeigh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7.25" customHeigh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7.25" customHeigh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7.25" customHeigh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7.25" customHeigh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7.25" customHeigh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7.25" customHeigh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7.25" customHeigh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7.25" customHeigh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7.25" customHeigh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7.25" customHeigh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7.25" customHeigh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7.25" customHeigh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7.25" customHeigh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7.25" customHeigh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7.25" customHeigh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7.25" customHeigh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7.25" customHeigh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7.25" customHeigh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7.25" customHeigh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7.25" customHeigh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7.25" customHeigh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7.25" customHeigh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7.25" customHeigh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7.25" customHeigh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7.25" customHeigh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7.25" customHeigh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7.25" customHeigh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7.25" customHeigh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7.25" customHeigh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7.25" customHeigh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7.25" customHeigh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7.25" customHeigh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7.25" customHeigh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7.25" customHeigh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7.25" customHeigh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7.25" customHeigh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7.25" customHeigh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7.25" customHeigh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7.25" customHeigh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7.25" customHeigh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7.25" customHeigh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7.25" customHeigh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7.25" customHeigh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7.25" customHeigh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7.25" customHeigh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7.25" customHeigh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7.25" customHeigh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7.25" customHeigh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7.25" customHeigh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7.25" customHeigh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7.25" customHeigh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7.25" customHeigh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7.25" customHeigh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7.25" customHeigh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7.25" customHeigh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7.25" customHeigh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7.25" customHeigh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7.25" customHeigh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7.25" customHeigh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7.25" customHeigh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7.25" customHeigh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7.25" customHeigh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7.25" customHeigh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7.25" customHeigh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7.25" customHeigh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7.25" customHeigh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7.25" customHeigh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7.25" customHeigh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7.25" customHeigh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7.25" customHeigh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7.25" customHeigh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7.25" customHeigh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7.25" customHeigh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7.25" customHeigh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7.25" customHeigh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7.25" customHeigh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7.25" customHeigh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7.25" customHeigh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7.25" customHeigh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7.25" customHeigh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7.25" customHeigh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7.25" customHeigh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7.25" customHeigh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7.25" customHeigh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7.25" customHeigh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7.25" customHeigh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7.25" customHeigh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7.25" customHeigh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7.25" customHeigh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7.25" customHeigh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7.25" customHeigh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7.25" customHeigh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7.25" customHeigh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7.25" customHeigh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7.25" customHeigh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7.25" customHeigh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7.25" customHeigh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7.25" customHeigh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7.25" customHeigh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7.25" customHeigh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7.25" customHeigh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7.25" customHeigh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7.25" customHeigh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7.25" customHeigh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7.25" customHeigh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7.25" customHeigh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7.25" customHeigh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7.25" customHeigh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7.25" customHeigh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7.25" customHeigh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7.25" customHeigh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7.25" customHeigh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7.25" customHeigh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7.25" customHeigh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7.25" customHeigh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7.25" customHeigh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7.25" customHeigh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7.25" customHeigh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7.25" customHeigh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7.25" customHeigh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7.25" customHeigh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7.25" customHeigh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7.25" customHeigh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7.25" customHeigh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7.25" customHeigh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7.25" customHeigh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7.25" customHeigh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7.25" customHeigh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7.25" customHeigh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7.25" customHeigh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7.25" customHeigh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7.25" customHeigh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7.25" customHeigh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7.25" customHeigh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7.25" customHeigh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7.25" customHeigh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7.25" customHeigh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7.25" customHeigh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7.25" customHeigh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7.25" customHeigh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7.25" customHeigh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7.25" customHeigh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7.25" customHeigh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7.25" customHeigh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7.25" customHeigh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7.25" customHeigh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7.25" customHeigh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7.25" customHeigh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7.25" customHeigh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7.25" customHeigh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7.25" customHeigh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7.25" customHeigh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7.25" customHeigh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7.25" customHeigh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7.25" customHeigh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7.25" customHeigh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7.25" customHeigh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7.25" customHeigh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7.25" customHeigh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7.25" customHeigh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7.25" customHeigh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7.25" customHeigh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7.25" customHeigh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7.25" customHeigh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7.25" customHeigh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7.25" customHeigh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7.25" customHeigh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7.25" customHeigh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7.25" customHeigh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7.25" customHeigh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7.25" customHeigh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7.25" customHeigh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7.25" customHeigh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7.25" customHeigh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7.25" customHeigh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7.25" customHeigh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7.25" customHeigh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7.25" customHeigh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7.25" customHeigh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7.25" customHeigh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7.25" customHeigh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7.25" customHeigh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7.25" customHeigh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7.25" customHeigh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7.25" customHeigh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7.25" customHeigh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7.25" customHeigh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7.25" customHeigh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7.25" customHeigh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7.25" customHeigh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7.25" customHeigh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7.25" customHeigh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7.25" customHeigh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7.25" customHeigh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7.25" customHeigh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7.25" customHeigh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7.25" customHeigh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7.25" customHeigh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7.25" customHeigh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7.25" customHeigh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7.25" customHeigh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7.25" customHeigh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7.25" customHeigh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7.25" customHeigh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7.25" customHeigh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7.25" customHeigh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7.25" customHeigh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7.25" customHeigh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7.25" customHeigh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7.25" customHeigh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7.25" customHeigh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7.25" customHeigh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7.25" customHeigh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7.25" customHeigh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7.25" customHeigh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7.25" customHeigh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7.25" customHeigh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7.25" customHeigh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7.25" customHeigh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7.25" customHeigh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7.25" customHeigh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7.25" customHeigh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7.25" customHeigh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7.25" customHeigh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7.25" customHeigh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7.25" customHeigh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7.25" customHeigh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7.25" customHeigh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7.25" customHeigh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7.25" customHeigh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7.25" customHeigh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7.25" customHeigh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7.25" customHeigh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7.25" customHeigh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7.25" customHeigh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7.25" customHeigh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7.25" customHeigh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7.25" customHeigh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7.25" customHeigh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7.25" customHeigh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7.25" customHeigh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7.25" customHeigh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7.25" customHeigh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7.25" customHeigh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7.25" customHeigh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7.25" customHeigh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7.25" customHeigh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7.25" customHeigh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7.25" customHeigh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7.25" customHeigh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7.25" customHeigh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7.25" customHeigh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7.25" customHeigh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7.25" customHeigh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7.25" customHeigh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7.25" customHeigh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7.25" customHeigh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7.25" customHeigh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7.25" customHeigh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7.25" customHeigh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7.25" customHeigh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7.25" customHeigh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7.25" customHeigh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7.25" customHeigh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7.25" customHeigh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7.25" customHeigh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7.25" customHeigh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7.25" customHeigh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7.25" customHeigh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7.25" customHeigh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7.25" customHeigh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7.25" customHeigh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7.25" customHeigh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7.25" customHeigh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7.25" customHeigh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7.25" customHeigh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7.25" customHeigh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7.25" customHeigh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7.25" customHeigh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7.25" customHeigh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7.25" customHeigh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7.25" customHeigh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7.25" customHeigh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7.25" customHeigh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7.25" customHeigh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7.25" customHeigh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7.25" customHeigh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7.25" customHeigh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7.25" customHeigh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7.25" customHeigh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7.25" customHeigh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7.25" customHeigh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7.25" customHeigh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7.25" customHeigh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7.25" customHeigh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7.25" customHeigh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7.25" customHeigh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7.25" customHeigh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7.25" customHeigh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7.25" customHeigh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7.25" customHeigh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7.25" customHeigh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7.25" customHeigh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7.25" customHeigh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7.25" customHeigh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7.25" customHeigh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7.25" customHeigh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7.25" customHeigh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7.25" customHeigh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7.25" customHeigh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7.25" customHeigh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7.25" customHeigh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7.25" customHeigh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7.25" customHeigh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7.25" customHeigh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7.25" customHeigh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7.25" customHeigh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7.25" customHeigh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7.25" customHeigh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7.25" customHeigh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7.25" customHeigh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7.25" customHeigh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7.25" customHeigh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7.25" customHeigh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7.25" customHeigh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7.25" customHeigh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7.25" customHeigh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7.25" customHeigh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7.25" customHeigh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7.25" customHeigh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7.25" customHeigh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7.25" customHeigh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7.25" customHeigh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7.25" customHeigh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7.25" customHeigh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7.25" customHeigh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7.25" customHeigh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7.25" customHeigh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7.25" customHeigh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7.25" customHeigh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7.25" customHeigh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7.25" customHeigh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7.25" customHeigh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7.25" customHeigh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7.25" customHeigh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7.25" customHeigh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7.25" customHeigh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7.25" customHeigh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7.25" customHeigh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7.25" customHeigh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7.25" customHeigh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7.25" customHeigh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7.25" customHeigh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7.25" customHeigh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7.25" customHeigh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7.25" customHeigh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7.25" customHeigh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7.25" customHeigh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7.25" customHeigh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7.25" customHeigh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7.25" customHeigh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7.25" customHeigh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7.25" customHeigh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7.25" customHeigh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7.25" customHeigh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7.25" customHeigh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7.25" customHeigh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7.25" customHeigh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7.25" customHeigh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7.25" customHeigh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7.25" customHeigh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7.25" customHeigh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7.25" customHeigh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7.25" customHeigh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7.25" customHeigh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7.25" customHeigh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7.25" customHeigh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7.25" customHeigh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7.25" customHeigh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7.25" customHeigh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7.25" customHeigh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7.25" customHeigh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7.25" customHeigh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7.25" customHeigh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7.25" customHeigh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7.25" customHeigh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7.25" customHeigh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7.25" customHeigh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7.25" customHeigh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7.25" customHeigh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7.25" customHeigh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7.25" customHeigh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7.25" customHeigh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7.25" customHeigh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7.25" customHeigh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7.25" customHeigh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7.25" customHeigh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7.25" customHeigh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7.25" customHeigh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7.25" customHeigh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7.25" customHeigh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7.25" customHeigh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7.25" customHeigh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7.25" customHeigh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7.25" customHeigh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7.25" customHeigh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7.25" customHeigh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7.25" customHeigh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7.25" customHeigh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7.25" customHeigh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7.25" customHeigh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7.25" customHeigh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7.25" customHeigh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7.25" customHeigh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7.25" customHeigh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7.25" customHeigh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7.25" customHeigh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7.25" customHeigh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7.25" customHeigh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7.25" customHeigh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7.25" customHeigh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7.25" customHeigh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7.25" customHeigh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7.25" customHeigh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7.25" customHeigh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7.25" customHeigh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7.25" customHeigh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7.25" customHeigh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7.25" customHeigh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7.25" customHeigh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7.25" customHeigh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7.25" customHeigh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7.25" customHeigh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7.25" customHeigh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7.25" customHeigh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7.25" customHeigh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7.25" customHeigh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7.25" customHeigh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7.25" customHeigh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7.25" customHeigh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7.25" customHeigh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7.25" customHeigh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7.25" customHeigh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7.25" customHeigh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7.25" customHeigh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7.25" customHeigh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7.25" customHeigh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7.25" customHeigh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7.25" customHeigh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7.25" customHeigh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7.25" customHeigh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7.25" customHeigh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7.25" customHeigh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7.25" customHeigh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7.25" customHeigh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7.25" customHeigh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7.25" customHeigh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7.25" customHeigh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7.25" customHeigh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7.25" customHeigh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7.25" customHeigh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7.25" customHeigh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7.25" customHeigh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7.25" customHeigh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7.25" customHeigh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7.25" customHeigh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7.25" customHeigh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7.25" customHeigh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7.25" customHeigh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7.25" customHeigh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7.25" customHeigh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7.25" customHeigh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7.25" customHeigh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7.25" customHeigh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7.25" customHeigh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7.25" customHeigh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7.25" customHeigh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7.25" customHeigh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7.25" customHeigh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7.25" customHeigh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7.25" customHeigh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7.25" customHeigh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7.25" customHeigh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7.25" customHeigh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7.25" customHeigh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7.25" customHeigh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7.25" customHeigh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7.25" customHeigh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7.25" customHeigh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7.25" customHeigh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7.25" customHeigh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7.25" customHeigh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7.25" customHeigh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7.25" customHeigh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7.25" customHeigh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7.25" customHeigh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7.25" customHeigh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7.25" customHeigh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7.25" customHeigh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7.25" customHeigh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7.25" customHeigh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7.25" customHeigh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7.25" customHeigh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7.25" customHeigh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7.25" customHeigh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7.25" customHeigh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7.25" customHeigh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7.25" customHeigh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7.25" customHeigh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7.25" customHeigh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7.25" customHeigh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7.25" customHeigh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7.25" customHeigh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7.25" customHeigh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7.25" customHeigh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7.25" customHeigh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7.25" customHeigh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7.25" customHeigh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7.25" customHeigh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7.25" customHeigh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7.25" customHeigh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7.25" customHeigh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7.25" customHeigh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7.25" customHeigh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7.25" customHeigh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7.25" customHeigh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7.25" customHeigh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7.25" customHeigh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7.25" customHeigh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7.25" customHeigh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7.25" customHeigh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7.25" customHeigh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7.25" customHeigh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7.25" customHeigh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7.25" customHeigh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7.25" customHeigh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7.25" customHeigh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7.25" customHeigh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7.25" customHeigh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7.25" customHeigh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7.25" customHeigh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7.25" customHeigh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7.25" customHeigh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7.25" customHeigh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7.25" customHeigh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7.25" customHeigh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7.25" customHeigh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7.25" customHeigh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7.25" customHeigh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7.25" customHeigh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7.25" customHeigh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7.25" customHeigh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7.25" customHeigh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7.25" customHeigh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7.25" customHeigh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7.25" customHeigh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7.25" customHeigh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7.25" customHeigh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7.25" customHeigh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7.25" customHeigh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7.25" customHeigh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7.25" customHeigh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7.25" customHeigh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7.25" customHeigh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7.25" customHeigh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7.25" customHeigh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7.25" customHeigh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7.25" customHeigh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7.25" customHeigh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7.25" customHeigh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7.25" customHeigh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7.25" customHeigh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7.25" customHeigh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7.25" customHeigh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7.25" customHeigh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7.25" customHeigh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7.25" customHeigh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7.25" customHeigh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7.25" customHeigh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7.25" customHeigh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7.25" customHeigh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7.25" customHeigh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7.25" customHeigh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7.25" customHeigh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7.25" customHeigh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7.25" customHeigh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7.25" customHeigh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7.25" customHeigh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7.25" customHeigh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7.25" customHeigh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7.25" customHeigh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7.25" customHeigh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7.25" customHeigh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7.25" customHeigh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7.25" customHeigh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7.25" customHeigh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7.25" customHeigh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7.25" customHeigh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7.25" customHeigh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7.25" customHeigh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7.25" customHeigh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7.25" customHeigh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7.25" customHeigh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7.25" customHeigh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7.25" customHeigh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7.25" customHeigh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7.25" customHeigh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7.25" customHeigh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7.25" customHeigh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7.25" customHeigh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7.25" customHeigh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7.25" customHeigh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7.25" customHeigh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7.25" customHeigh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7.25" customHeigh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7.25" customHeigh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7.25" customHeigh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7.25" customHeigh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7.25" customHeigh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7.25" customHeigh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7.25" customHeigh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7.25" customHeigh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7.25" customHeigh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7.25" customHeigh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7.25" customHeigh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7.25" customHeigh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7.25" customHeigh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7.25" customHeigh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7.25" customHeigh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7.25" customHeigh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7.25" customHeigh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7.25" customHeigh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7.25" customHeigh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7.25" customHeigh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7.25" customHeigh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7.25" customHeigh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7.25" customHeigh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7.25" customHeigh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7.25" customHeigh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7.25" customHeigh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7.25" customHeigh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7.25" customHeigh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7.25" customHeigh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7.25" customHeigh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7.25" customHeigh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7.25" customHeigh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7.25" customHeigh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7.25" customHeigh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7.25" customHeigh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7.25" customHeigh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7.25" customHeigh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7.25" customHeigh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7.25" customHeigh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7.25" customHeigh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7.25" customHeigh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7.25" customHeigh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7.25" customHeigh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7.25" customHeigh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7.25" customHeigh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7.25" customHeigh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7.25" customHeigh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7.25" customHeigh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7.25" customHeigh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7.25" customHeigh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7.25" customHeigh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7.25" customHeigh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7.25" customHeigh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7.25" customHeigh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7.25" customHeigh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7.25" customHeigh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7.25" customHeigh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7.25" customHeigh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7.25" customHeigh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7.25" customHeigh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7.25" customHeigh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7.25" customHeigh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7.25" customHeigh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7.25" customHeigh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7.25" customHeigh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7.25" customHeigh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7.25" customHeigh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7.25" customHeigh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7.25" customHeigh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7.25" customHeigh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7.25" customHeigh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7.25" customHeigh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7.25" customHeigh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7.25" customHeigh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7.25" customHeigh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7.25" customHeigh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7.25" customHeigh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7.25" customHeigh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7.25" customHeigh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7.25" customHeigh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7.25" customHeigh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7.25" customHeigh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7.25" customHeigh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7.25" customHeigh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7.25" customHeigh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7.25" customHeigh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7.25" customHeigh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7.25" customHeigh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7.25" customHeigh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7.25" customHeigh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7.25" customHeigh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7.25" customHeigh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7.25" customHeigh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7.25" customHeigh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7.25" customHeigh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7.25" customHeigh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7.25" customHeigh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7.25" customHeigh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7.25" customHeigh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7.25" customHeigh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7.25" customHeigh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7.25" customHeigh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7.25" customHeigh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7.25" customHeigh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7.25" customHeigh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7.25" customHeigh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7.25" customHeigh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7.25" customHeigh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7.25" customHeigh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7.25" customHeigh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7.25" customHeigh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7.25" customHeigh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7.25" customHeigh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7.25" customHeigh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7.25" customHeigh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7.25" customHeigh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7.25" customHeigh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7.25" customHeigh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7.25" customHeigh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7.25" customHeigh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7.25" customHeigh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7.25" customHeigh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7.25" customHeigh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7.25" customHeigh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7.25" customHeigh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7.25" customHeigh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7.25" customHeigh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7.25" customHeigh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7.25" customHeigh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7.25" customHeigh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7.25" customHeigh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7.25" customHeigh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7.25" customHeigh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7.25" customHeigh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7.25" customHeigh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7.25" customHeigh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7.25" customHeigh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7.25" customHeigh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7.25" customHeigh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7.25" customHeigh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7.25" customHeigh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7.25" customHeigh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7.25" customHeigh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7.25" customHeigh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7.25" customHeigh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7.25" customHeigh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7.25" customHeigh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7.25" customHeigh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7.25" customHeigh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7.25" customHeigh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7.25" customHeigh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7.25" customHeigh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7.25" customHeigh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7.25" customHeigh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7.25" customHeigh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7.25" customHeigh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7.25" customHeigh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7.25" customHeigh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7.25" customHeigh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7.25" customHeigh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7.25" customHeigh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7.25" customHeigh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7.25" customHeigh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7.25" customHeigh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7.25" customHeigh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7.25" customHeigh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7.25" customHeigh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7.25" customHeigh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7.25" customHeigh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7.25" customHeigh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7.25" customHeigh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7.25" customHeigh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7.25" customHeigh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7.25" customHeigh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7.25" customHeigh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7.25" customHeigh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7.25" customHeigh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7.25" customHeigh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7.25" customHeigh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7.25" customHeigh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7.25" customHeigh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7.25" customHeigh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7.25" customHeigh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7.25" customHeigh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7.25" customHeigh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7.25" customHeigh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7.25" customHeigh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7.25" customHeigh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7.25" customHeigh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7.25" customHeigh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7.25" customHeigh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7.25" customHeigh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7.25" customHeigh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7.25" customHeigh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7.25" customHeigh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7.25" customHeigh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7.25" customHeigh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7.25" customHeigh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7.25" customHeigh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7.25" customHeigh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7.25" customHeigh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7.25" customHeigh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7.25" customHeigh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7.25" customHeigh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7.25" customHeigh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7.25" customHeigh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7.25" customHeigh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7.25" customHeigh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7.25" customHeigh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7.25" customHeigh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7.25" customHeigh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7.25" customHeigh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7.25" customHeigh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7.25" customHeigh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7.25" customHeigh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7.25" customHeigh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7.25" customHeigh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7.25" customHeigh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7.25" customHeigh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7.25" customHeigh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7.25" customHeigh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7.25" customHeigh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7.25" customHeigh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7.25" customHeigh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7.25" customHeigh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7.25" customHeigh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7.25" customHeigh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7.25" customHeigh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7.25" customHeigh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7.25" customHeigh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7.25" customHeigh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7.25" customHeigh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7.25" customHeigh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7.25" customHeigh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7.25" customHeigh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7.25" customHeigh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7.25" customHeigh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7.25" customHeigh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7.25" customHeigh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7.25" customHeigh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7.25" customHeigh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7.25" customHeigh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7.25" customHeigh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7.25" customHeigh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7.25" customHeigh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7.25" customHeigh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7.25" customHeigh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7.25" customHeigh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7.25" customHeigh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7.25" customHeigh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7.25" customHeigh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7.25" customHeigh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7.25" customHeigh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7.25" customHeight="1" x14ac:dyDescent="0.3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8"/>
  <sheetViews>
    <sheetView workbookViewId="0"/>
  </sheetViews>
  <sheetFormatPr defaultColWidth="14.453125" defaultRowHeight="15" customHeight="1" x14ac:dyDescent="0.35"/>
  <cols>
    <col min="1" max="1" width="13.453125" customWidth="1"/>
    <col min="2" max="2" width="17.7265625" customWidth="1"/>
    <col min="3" max="3" width="9.08984375" customWidth="1"/>
    <col min="4" max="4" width="12.26953125" customWidth="1"/>
    <col min="5" max="5" width="11.81640625" customWidth="1"/>
    <col min="6" max="6" width="9.08984375" customWidth="1"/>
    <col min="7" max="26" width="8.7265625" customWidth="1"/>
  </cols>
  <sheetData>
    <row r="1" spans="1:26" ht="29" x14ac:dyDescent="0.35">
      <c r="A1" s="1" t="s">
        <v>218</v>
      </c>
      <c r="B1" s="1" t="s">
        <v>219</v>
      </c>
      <c r="C1" s="1" t="s">
        <v>2</v>
      </c>
      <c r="D1" s="1" t="s">
        <v>220</v>
      </c>
      <c r="E1" s="1" t="s">
        <v>221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5" x14ac:dyDescent="0.35">
      <c r="A2" s="19" t="str">
        <f t="shared" ref="A2:A6" si="0">CHOOSE(ROW(A1), "Januari", "Februari", "Maret", "April", "Mei", "Juni", "Juli", "Agustus", "September", "Oktober", "November", "Desember")</f>
        <v>Januari</v>
      </c>
      <c r="B2" s="19">
        <f>1454*11</f>
        <v>15994</v>
      </c>
      <c r="C2" s="19" t="s">
        <v>20</v>
      </c>
      <c r="D2" s="26">
        <v>1450306.3560255961</v>
      </c>
      <c r="E2" s="38">
        <f t="shared" ref="E2:E6" si="1">B2/D2</f>
        <v>1.1028014828418586E-2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4.5" x14ac:dyDescent="0.35">
      <c r="A3" s="19" t="str">
        <f t="shared" si="0"/>
        <v>Februari</v>
      </c>
      <c r="B3" s="19">
        <f>961*11</f>
        <v>10571</v>
      </c>
      <c r="C3" s="19" t="s">
        <v>20</v>
      </c>
      <c r="D3" s="26">
        <v>1396181.4520379901</v>
      </c>
      <c r="E3" s="38">
        <f t="shared" si="1"/>
        <v>7.5713654443479621E-3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4.5" x14ac:dyDescent="0.35">
      <c r="A4" s="19" t="str">
        <f t="shared" si="0"/>
        <v>Maret</v>
      </c>
      <c r="B4" s="19">
        <f>1470*11</f>
        <v>16170</v>
      </c>
      <c r="C4" s="19" t="s">
        <v>20</v>
      </c>
      <c r="D4" s="26">
        <v>1436159.9864347195</v>
      </c>
      <c r="E4" s="38">
        <f t="shared" si="1"/>
        <v>1.1259191282819525E-2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4.5" x14ac:dyDescent="0.35">
      <c r="A5" s="19" t="str">
        <f t="shared" si="0"/>
        <v>April</v>
      </c>
      <c r="B5" s="19">
        <f>1148*11</f>
        <v>12628</v>
      </c>
      <c r="C5" s="19" t="s">
        <v>20</v>
      </c>
      <c r="D5" s="26">
        <v>1600806.0239046516</v>
      </c>
      <c r="E5" s="38">
        <f t="shared" si="1"/>
        <v>7.888526037150994E-3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4.5" x14ac:dyDescent="0.35">
      <c r="A6" s="19" t="str">
        <f t="shared" si="0"/>
        <v>Mei</v>
      </c>
      <c r="B6" s="19">
        <f>1530*11</f>
        <v>16830</v>
      </c>
      <c r="C6" s="19" t="s">
        <v>20</v>
      </c>
      <c r="D6" s="26">
        <v>1225149.1480115757</v>
      </c>
      <c r="E6" s="38">
        <f t="shared" si="1"/>
        <v>1.3737102970128322E-2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4.5" x14ac:dyDescent="0.35">
      <c r="A7" s="39" t="s">
        <v>222</v>
      </c>
      <c r="B7" s="40">
        <f>AVERAGE(B2:B6)</f>
        <v>14438.6</v>
      </c>
      <c r="C7" s="39" t="s">
        <v>20</v>
      </c>
      <c r="D7" s="41">
        <f t="shared" ref="D7:E7" si="2">AVERAGE(D2:D6)</f>
        <v>1421720.5932829066</v>
      </c>
      <c r="E7" s="42">
        <f t="shared" si="2"/>
        <v>1.0296840112573077E-2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4.5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4.5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4.5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4.5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4.5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.5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5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5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4.5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4.5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4.5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 x14ac:dyDescent="0.3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 x14ac:dyDescent="0.3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 x14ac:dyDescent="0.3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 x14ac:dyDescent="0.3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 x14ac:dyDescent="0.3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 x14ac:dyDescent="0.3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 x14ac:dyDescent="0.3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 x14ac:dyDescent="0.3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 x14ac:dyDescent="0.3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 x14ac:dyDescent="0.3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 x14ac:dyDescent="0.3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 x14ac:dyDescent="0.3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 x14ac:dyDescent="0.3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 x14ac:dyDescent="0.3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 x14ac:dyDescent="0.3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 x14ac:dyDescent="0.3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 x14ac:dyDescent="0.3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 x14ac:dyDescent="0.3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 x14ac:dyDescent="0.3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 x14ac:dyDescent="0.3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 x14ac:dyDescent="0.3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 x14ac:dyDescent="0.3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 x14ac:dyDescent="0.3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 x14ac:dyDescent="0.3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 x14ac:dyDescent="0.3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 x14ac:dyDescent="0.3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 x14ac:dyDescent="0.3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 x14ac:dyDescent="0.3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 x14ac:dyDescent="0.3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 x14ac:dyDescent="0.3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 x14ac:dyDescent="0.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 x14ac:dyDescent="0.3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 x14ac:dyDescent="0.3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 x14ac:dyDescent="0.3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 x14ac:dyDescent="0.3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 x14ac:dyDescent="0.3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 x14ac:dyDescent="0.3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 x14ac:dyDescent="0.3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 x14ac:dyDescent="0.3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 x14ac:dyDescent="0.3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 x14ac:dyDescent="0.3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 x14ac:dyDescent="0.3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 x14ac:dyDescent="0.3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 x14ac:dyDescent="0.3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 x14ac:dyDescent="0.3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 x14ac:dyDescent="0.3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 x14ac:dyDescent="0.3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 x14ac:dyDescent="0.3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 x14ac:dyDescent="0.3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 x14ac:dyDescent="0.3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 x14ac:dyDescent="0.3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 x14ac:dyDescent="0.3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 x14ac:dyDescent="0.3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 x14ac:dyDescent="0.3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 x14ac:dyDescent="0.3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 x14ac:dyDescent="0.3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 x14ac:dyDescent="0.3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 x14ac:dyDescent="0.3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 x14ac:dyDescent="0.3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 x14ac:dyDescent="0.3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 x14ac:dyDescent="0.3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 x14ac:dyDescent="0.3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 x14ac:dyDescent="0.3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 x14ac:dyDescent="0.3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 x14ac:dyDescent="0.3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 x14ac:dyDescent="0.3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 x14ac:dyDescent="0.3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 x14ac:dyDescent="0.3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 x14ac:dyDescent="0.3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 x14ac:dyDescent="0.3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 x14ac:dyDescent="0.3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 x14ac:dyDescent="0.3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 x14ac:dyDescent="0.3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 x14ac:dyDescent="0.3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 x14ac:dyDescent="0.3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 x14ac:dyDescent="0.3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 x14ac:dyDescent="0.3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 x14ac:dyDescent="0.3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 x14ac:dyDescent="0.3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 x14ac:dyDescent="0.3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 x14ac:dyDescent="0.3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 x14ac:dyDescent="0.3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 x14ac:dyDescent="0.3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 x14ac:dyDescent="0.3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 x14ac:dyDescent="0.3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 x14ac:dyDescent="0.3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 x14ac:dyDescent="0.3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 x14ac:dyDescent="0.3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 x14ac:dyDescent="0.3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 x14ac:dyDescent="0.3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 x14ac:dyDescent="0.3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 x14ac:dyDescent="0.3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 x14ac:dyDescent="0.3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 x14ac:dyDescent="0.3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 x14ac:dyDescent="0.3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 x14ac:dyDescent="0.3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 x14ac:dyDescent="0.3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 x14ac:dyDescent="0.3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 x14ac:dyDescent="0.3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 x14ac:dyDescent="0.3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 x14ac:dyDescent="0.3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 x14ac:dyDescent="0.3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 x14ac:dyDescent="0.3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 x14ac:dyDescent="0.3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 x14ac:dyDescent="0.3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 x14ac:dyDescent="0.3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 x14ac:dyDescent="0.3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 x14ac:dyDescent="0.3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 x14ac:dyDescent="0.3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 x14ac:dyDescent="0.3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 x14ac:dyDescent="0.3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 x14ac:dyDescent="0.3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 x14ac:dyDescent="0.3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 x14ac:dyDescent="0.3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 x14ac:dyDescent="0.3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 x14ac:dyDescent="0.3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 x14ac:dyDescent="0.3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 x14ac:dyDescent="0.3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 x14ac:dyDescent="0.3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 x14ac:dyDescent="0.3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 x14ac:dyDescent="0.3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 x14ac:dyDescent="0.3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 x14ac:dyDescent="0.3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 x14ac:dyDescent="0.3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 x14ac:dyDescent="0.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 x14ac:dyDescent="0.3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 x14ac:dyDescent="0.3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 x14ac:dyDescent="0.3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 x14ac:dyDescent="0.3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 x14ac:dyDescent="0.3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 x14ac:dyDescent="0.3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 x14ac:dyDescent="0.3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 x14ac:dyDescent="0.3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 x14ac:dyDescent="0.3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 x14ac:dyDescent="0.3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 x14ac:dyDescent="0.3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 x14ac:dyDescent="0.3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 x14ac:dyDescent="0.3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 x14ac:dyDescent="0.3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 x14ac:dyDescent="0.3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 x14ac:dyDescent="0.3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 x14ac:dyDescent="0.3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 x14ac:dyDescent="0.3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 x14ac:dyDescent="0.3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 x14ac:dyDescent="0.3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 x14ac:dyDescent="0.3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 x14ac:dyDescent="0.3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 x14ac:dyDescent="0.3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 x14ac:dyDescent="0.3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 x14ac:dyDescent="0.3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 x14ac:dyDescent="0.3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 x14ac:dyDescent="0.3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 x14ac:dyDescent="0.3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 x14ac:dyDescent="0.3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 x14ac:dyDescent="0.3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 x14ac:dyDescent="0.3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 x14ac:dyDescent="0.3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 x14ac:dyDescent="0.3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 x14ac:dyDescent="0.3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 x14ac:dyDescent="0.3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 x14ac:dyDescent="0.3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 x14ac:dyDescent="0.3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 x14ac:dyDescent="0.3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 x14ac:dyDescent="0.3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 x14ac:dyDescent="0.3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 x14ac:dyDescent="0.3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 x14ac:dyDescent="0.3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 x14ac:dyDescent="0.3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 x14ac:dyDescent="0.3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 x14ac:dyDescent="0.3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 x14ac:dyDescent="0.3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 x14ac:dyDescent="0.3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 x14ac:dyDescent="0.3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 x14ac:dyDescent="0.3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 x14ac:dyDescent="0.3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 x14ac:dyDescent="0.3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 x14ac:dyDescent="0.3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 x14ac:dyDescent="0.3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 x14ac:dyDescent="0.3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 x14ac:dyDescent="0.3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 x14ac:dyDescent="0.3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 x14ac:dyDescent="0.3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 x14ac:dyDescent="0.3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 x14ac:dyDescent="0.3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 x14ac:dyDescent="0.3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 x14ac:dyDescent="0.3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 x14ac:dyDescent="0.3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 x14ac:dyDescent="0.3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 x14ac:dyDescent="0.3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 x14ac:dyDescent="0.3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 x14ac:dyDescent="0.3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 x14ac:dyDescent="0.3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 x14ac:dyDescent="0.3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 x14ac:dyDescent="0.3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 x14ac:dyDescent="0.3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 x14ac:dyDescent="0.3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 x14ac:dyDescent="0.3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 x14ac:dyDescent="0.3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 x14ac:dyDescent="0.3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 x14ac:dyDescent="0.3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 x14ac:dyDescent="0.3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 x14ac:dyDescent="0.3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 x14ac:dyDescent="0.3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 x14ac:dyDescent="0.3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 x14ac:dyDescent="0.3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 x14ac:dyDescent="0.3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 x14ac:dyDescent="0.3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 x14ac:dyDescent="0.3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 x14ac:dyDescent="0.3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 x14ac:dyDescent="0.3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 x14ac:dyDescent="0.3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 x14ac:dyDescent="0.3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 x14ac:dyDescent="0.3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 x14ac:dyDescent="0.3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 x14ac:dyDescent="0.3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 x14ac:dyDescent="0.3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 x14ac:dyDescent="0.3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 x14ac:dyDescent="0.3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 x14ac:dyDescent="0.3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 x14ac:dyDescent="0.3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 x14ac:dyDescent="0.3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 x14ac:dyDescent="0.3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 x14ac:dyDescent="0.3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 x14ac:dyDescent="0.3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 x14ac:dyDescent="0.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 x14ac:dyDescent="0.3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 x14ac:dyDescent="0.3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 x14ac:dyDescent="0.3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 x14ac:dyDescent="0.3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 x14ac:dyDescent="0.3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 x14ac:dyDescent="0.3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 x14ac:dyDescent="0.3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 x14ac:dyDescent="0.3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 x14ac:dyDescent="0.3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 x14ac:dyDescent="0.3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 x14ac:dyDescent="0.3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 x14ac:dyDescent="0.3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 x14ac:dyDescent="0.3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 x14ac:dyDescent="0.3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 x14ac:dyDescent="0.3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 x14ac:dyDescent="0.3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 x14ac:dyDescent="0.3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 x14ac:dyDescent="0.3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 x14ac:dyDescent="0.3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 x14ac:dyDescent="0.3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 x14ac:dyDescent="0.3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 x14ac:dyDescent="0.3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 x14ac:dyDescent="0.3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 x14ac:dyDescent="0.3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 x14ac:dyDescent="0.3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 x14ac:dyDescent="0.3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 x14ac:dyDescent="0.3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 x14ac:dyDescent="0.3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 x14ac:dyDescent="0.3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 x14ac:dyDescent="0.3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 x14ac:dyDescent="0.3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 x14ac:dyDescent="0.3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 x14ac:dyDescent="0.3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 x14ac:dyDescent="0.3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 x14ac:dyDescent="0.3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 x14ac:dyDescent="0.3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 x14ac:dyDescent="0.3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 x14ac:dyDescent="0.3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 x14ac:dyDescent="0.3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 x14ac:dyDescent="0.3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 x14ac:dyDescent="0.3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 x14ac:dyDescent="0.3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 x14ac:dyDescent="0.3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 x14ac:dyDescent="0.3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 x14ac:dyDescent="0.3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 x14ac:dyDescent="0.3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 x14ac:dyDescent="0.3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 x14ac:dyDescent="0.3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 x14ac:dyDescent="0.3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 x14ac:dyDescent="0.3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 x14ac:dyDescent="0.3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 x14ac:dyDescent="0.3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 x14ac:dyDescent="0.3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 x14ac:dyDescent="0.3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 x14ac:dyDescent="0.3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 x14ac:dyDescent="0.3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 x14ac:dyDescent="0.3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 x14ac:dyDescent="0.3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 x14ac:dyDescent="0.3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 x14ac:dyDescent="0.3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 x14ac:dyDescent="0.3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 x14ac:dyDescent="0.3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 x14ac:dyDescent="0.3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 x14ac:dyDescent="0.3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 x14ac:dyDescent="0.3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 x14ac:dyDescent="0.3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 x14ac:dyDescent="0.3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 x14ac:dyDescent="0.3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 x14ac:dyDescent="0.3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 x14ac:dyDescent="0.3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 x14ac:dyDescent="0.3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 x14ac:dyDescent="0.3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 x14ac:dyDescent="0.3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 x14ac:dyDescent="0.3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 x14ac:dyDescent="0.3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 x14ac:dyDescent="0.3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 x14ac:dyDescent="0.3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 x14ac:dyDescent="0.3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 x14ac:dyDescent="0.3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 x14ac:dyDescent="0.3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 x14ac:dyDescent="0.3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 x14ac:dyDescent="0.3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 x14ac:dyDescent="0.3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 x14ac:dyDescent="0.3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 x14ac:dyDescent="0.3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 x14ac:dyDescent="0.3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 x14ac:dyDescent="0.3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 x14ac:dyDescent="0.3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 x14ac:dyDescent="0.3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 x14ac:dyDescent="0.3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 x14ac:dyDescent="0.3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 x14ac:dyDescent="0.3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 x14ac:dyDescent="0.3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 x14ac:dyDescent="0.3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 x14ac:dyDescent="0.3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 x14ac:dyDescent="0.3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 x14ac:dyDescent="0.3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 x14ac:dyDescent="0.3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 x14ac:dyDescent="0.3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 x14ac:dyDescent="0.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 x14ac:dyDescent="0.3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 x14ac:dyDescent="0.3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 x14ac:dyDescent="0.3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 x14ac:dyDescent="0.3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 x14ac:dyDescent="0.3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 x14ac:dyDescent="0.3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 x14ac:dyDescent="0.3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 x14ac:dyDescent="0.3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 x14ac:dyDescent="0.3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 x14ac:dyDescent="0.3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 x14ac:dyDescent="0.3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 x14ac:dyDescent="0.3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 x14ac:dyDescent="0.3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 x14ac:dyDescent="0.3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 x14ac:dyDescent="0.3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 x14ac:dyDescent="0.3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 x14ac:dyDescent="0.3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 x14ac:dyDescent="0.3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 x14ac:dyDescent="0.3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 x14ac:dyDescent="0.3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 x14ac:dyDescent="0.3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 x14ac:dyDescent="0.3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 x14ac:dyDescent="0.3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 x14ac:dyDescent="0.3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 x14ac:dyDescent="0.3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 x14ac:dyDescent="0.3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 x14ac:dyDescent="0.3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 x14ac:dyDescent="0.3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 x14ac:dyDescent="0.3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 x14ac:dyDescent="0.3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 x14ac:dyDescent="0.3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 x14ac:dyDescent="0.3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 x14ac:dyDescent="0.3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 x14ac:dyDescent="0.3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 x14ac:dyDescent="0.3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 x14ac:dyDescent="0.3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 x14ac:dyDescent="0.3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 x14ac:dyDescent="0.3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 x14ac:dyDescent="0.3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 x14ac:dyDescent="0.3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 x14ac:dyDescent="0.3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 x14ac:dyDescent="0.3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 x14ac:dyDescent="0.3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 x14ac:dyDescent="0.3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 x14ac:dyDescent="0.3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 x14ac:dyDescent="0.3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 x14ac:dyDescent="0.3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 x14ac:dyDescent="0.3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 x14ac:dyDescent="0.3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 x14ac:dyDescent="0.3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 x14ac:dyDescent="0.3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 x14ac:dyDescent="0.3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 x14ac:dyDescent="0.3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 x14ac:dyDescent="0.3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 x14ac:dyDescent="0.3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 x14ac:dyDescent="0.3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 x14ac:dyDescent="0.3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 x14ac:dyDescent="0.3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 x14ac:dyDescent="0.3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 x14ac:dyDescent="0.3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 x14ac:dyDescent="0.3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 x14ac:dyDescent="0.3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 x14ac:dyDescent="0.3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 x14ac:dyDescent="0.3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 x14ac:dyDescent="0.3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 x14ac:dyDescent="0.3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 x14ac:dyDescent="0.3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 x14ac:dyDescent="0.3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 x14ac:dyDescent="0.3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 x14ac:dyDescent="0.3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 x14ac:dyDescent="0.3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 x14ac:dyDescent="0.3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 x14ac:dyDescent="0.3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 x14ac:dyDescent="0.3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 x14ac:dyDescent="0.3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 x14ac:dyDescent="0.3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 x14ac:dyDescent="0.3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 x14ac:dyDescent="0.3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 x14ac:dyDescent="0.3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 x14ac:dyDescent="0.3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 x14ac:dyDescent="0.3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 x14ac:dyDescent="0.3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 x14ac:dyDescent="0.3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 x14ac:dyDescent="0.3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 x14ac:dyDescent="0.3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 x14ac:dyDescent="0.3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 x14ac:dyDescent="0.3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 x14ac:dyDescent="0.3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 x14ac:dyDescent="0.3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 x14ac:dyDescent="0.3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 x14ac:dyDescent="0.3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 x14ac:dyDescent="0.3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 x14ac:dyDescent="0.3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 x14ac:dyDescent="0.3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 x14ac:dyDescent="0.3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 x14ac:dyDescent="0.3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 x14ac:dyDescent="0.3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 x14ac:dyDescent="0.3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 x14ac:dyDescent="0.3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 x14ac:dyDescent="0.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 x14ac:dyDescent="0.3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 x14ac:dyDescent="0.3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 x14ac:dyDescent="0.3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 x14ac:dyDescent="0.3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 x14ac:dyDescent="0.3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 x14ac:dyDescent="0.3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 x14ac:dyDescent="0.3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 x14ac:dyDescent="0.3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 x14ac:dyDescent="0.3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 x14ac:dyDescent="0.3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 x14ac:dyDescent="0.3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 x14ac:dyDescent="0.3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 x14ac:dyDescent="0.3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 x14ac:dyDescent="0.3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 x14ac:dyDescent="0.3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 x14ac:dyDescent="0.3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 x14ac:dyDescent="0.3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 x14ac:dyDescent="0.3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 x14ac:dyDescent="0.3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 x14ac:dyDescent="0.3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 x14ac:dyDescent="0.3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 x14ac:dyDescent="0.3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 x14ac:dyDescent="0.3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 x14ac:dyDescent="0.3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 x14ac:dyDescent="0.3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 x14ac:dyDescent="0.3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 x14ac:dyDescent="0.3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 x14ac:dyDescent="0.3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 x14ac:dyDescent="0.3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 x14ac:dyDescent="0.3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 x14ac:dyDescent="0.3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 x14ac:dyDescent="0.3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 x14ac:dyDescent="0.3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 x14ac:dyDescent="0.3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 x14ac:dyDescent="0.3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 x14ac:dyDescent="0.3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 x14ac:dyDescent="0.3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 x14ac:dyDescent="0.3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 x14ac:dyDescent="0.3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 x14ac:dyDescent="0.3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 x14ac:dyDescent="0.3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 x14ac:dyDescent="0.3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 x14ac:dyDescent="0.3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 x14ac:dyDescent="0.3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 x14ac:dyDescent="0.3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 x14ac:dyDescent="0.3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 x14ac:dyDescent="0.3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 x14ac:dyDescent="0.3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 x14ac:dyDescent="0.3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 x14ac:dyDescent="0.3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 x14ac:dyDescent="0.3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 x14ac:dyDescent="0.3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 x14ac:dyDescent="0.3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 x14ac:dyDescent="0.3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 x14ac:dyDescent="0.3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 x14ac:dyDescent="0.3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 x14ac:dyDescent="0.3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 x14ac:dyDescent="0.3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 x14ac:dyDescent="0.3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 x14ac:dyDescent="0.3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 x14ac:dyDescent="0.3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 x14ac:dyDescent="0.3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 x14ac:dyDescent="0.3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Mei</vt:lpstr>
      <vt:lpstr>Juni</vt:lpstr>
      <vt:lpstr>Juli</vt:lpstr>
      <vt:lpstr>Inventory Cost</vt:lpstr>
      <vt:lpstr>Reject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MT07</dc:creator>
  <cp:lastModifiedBy>Juli Yandi Rahman</cp:lastModifiedBy>
  <dcterms:created xsi:type="dcterms:W3CDTF">2024-09-05T09:06:14Z</dcterms:created>
  <dcterms:modified xsi:type="dcterms:W3CDTF">2024-09-12T14:42:43Z</dcterms:modified>
</cp:coreProperties>
</file>