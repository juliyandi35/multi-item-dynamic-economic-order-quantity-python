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Kerjaan\Project P36320824 (Multi-item Dynamic Economic Order Quantity)\"/>
    </mc:Choice>
  </mc:AlternateContent>
  <xr:revisionPtr revIDLastSave="0" documentId="13_ncr:1_{5EFDA14E-37DE-4915-824B-066BB9D38A68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Jan (plastik)" sheetId="1" r:id="rId1"/>
    <sheet name="Feb (plastik)" sheetId="2" r:id="rId2"/>
    <sheet name="Mar (plastik)" sheetId="3" r:id="rId3"/>
    <sheet name="Apr (plastik)" sheetId="4" r:id="rId4"/>
    <sheet name="Mei (plastik)" sheetId="5" r:id="rId5"/>
    <sheet name="Juni (plastik)" sheetId="6" r:id="rId6"/>
    <sheet name="Juli (plastik)" sheetId="7" r:id="rId7"/>
    <sheet name="Inventory Cost" sheetId="8" r:id="rId8"/>
    <sheet name="Rejec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uXyhWLBIXo2tlkUqY62f2Rhrk9A3yOoaT1RBzcKZ5Xc="/>
    </ext>
  </extLst>
</workbook>
</file>

<file path=xl/calcChain.xml><?xml version="1.0" encoding="utf-8"?>
<calcChain xmlns="http://schemas.openxmlformats.org/spreadsheetml/2006/main">
  <c r="W95" i="7" l="1"/>
  <c r="V1" i="7"/>
  <c r="T7" i="1" l="1"/>
  <c r="U5" i="1"/>
  <c r="D5" i="9"/>
  <c r="D4" i="9"/>
  <c r="D6" i="9" s="1"/>
  <c r="D3" i="9"/>
  <c r="D2" i="9"/>
  <c r="R95" i="7"/>
  <c r="Q95" i="7"/>
  <c r="P95" i="7"/>
  <c r="L95" i="7"/>
  <c r="J95" i="7"/>
  <c r="I95" i="7"/>
  <c r="N95" i="7" s="1"/>
  <c r="H95" i="7"/>
  <c r="G95" i="7"/>
  <c r="F95" i="7"/>
  <c r="E95" i="7"/>
  <c r="V94" i="7"/>
  <c r="U94" i="7"/>
  <c r="N94" i="7"/>
  <c r="K94" i="7"/>
  <c r="V93" i="7"/>
  <c r="U93" i="7"/>
  <c r="N93" i="7"/>
  <c r="K93" i="7"/>
  <c r="V92" i="7"/>
  <c r="U92" i="7"/>
  <c r="N92" i="7"/>
  <c r="K92" i="7"/>
  <c r="V91" i="7"/>
  <c r="U91" i="7"/>
  <c r="N91" i="7"/>
  <c r="K91" i="7"/>
  <c r="V90" i="7"/>
  <c r="U90" i="7"/>
  <c r="N90" i="7"/>
  <c r="K90" i="7"/>
  <c r="V89" i="7"/>
  <c r="U89" i="7"/>
  <c r="N89" i="7"/>
  <c r="K89" i="7"/>
  <c r="V88" i="7"/>
  <c r="U88" i="7"/>
  <c r="K88" i="7"/>
  <c r="V87" i="7"/>
  <c r="U87" i="7"/>
  <c r="N87" i="7"/>
  <c r="K87" i="7"/>
  <c r="V86" i="7"/>
  <c r="U86" i="7"/>
  <c r="N86" i="7"/>
  <c r="K86" i="7"/>
  <c r="V85" i="7"/>
  <c r="U85" i="7"/>
  <c r="N85" i="7"/>
  <c r="K85" i="7"/>
  <c r="V84" i="7"/>
  <c r="U84" i="7"/>
  <c r="N84" i="7"/>
  <c r="K84" i="7"/>
  <c r="V83" i="7"/>
  <c r="U83" i="7"/>
  <c r="N83" i="7"/>
  <c r="K83" i="7"/>
  <c r="V82" i="7"/>
  <c r="U82" i="7"/>
  <c r="K82" i="7"/>
  <c r="V81" i="7"/>
  <c r="U81" i="7"/>
  <c r="N81" i="7"/>
  <c r="K81" i="7"/>
  <c r="V80" i="7"/>
  <c r="U80" i="7"/>
  <c r="N80" i="7"/>
  <c r="K80" i="7"/>
  <c r="V79" i="7"/>
  <c r="U79" i="7"/>
  <c r="N79" i="7"/>
  <c r="K79" i="7"/>
  <c r="V78" i="7"/>
  <c r="U78" i="7"/>
  <c r="N78" i="7"/>
  <c r="K78" i="7"/>
  <c r="V77" i="7"/>
  <c r="U77" i="7"/>
  <c r="N77" i="7"/>
  <c r="K77" i="7"/>
  <c r="V76" i="7"/>
  <c r="U76" i="7"/>
  <c r="N76" i="7"/>
  <c r="K76" i="7"/>
  <c r="V75" i="7"/>
  <c r="U75" i="7"/>
  <c r="N75" i="7"/>
  <c r="K75" i="7"/>
  <c r="V74" i="7"/>
  <c r="U74" i="7"/>
  <c r="N74" i="7"/>
  <c r="K74" i="7"/>
  <c r="V73" i="7"/>
  <c r="U73" i="7"/>
  <c r="N73" i="7"/>
  <c r="K73" i="7"/>
  <c r="V72" i="7"/>
  <c r="U72" i="7"/>
  <c r="N72" i="7"/>
  <c r="K72" i="7"/>
  <c r="V71" i="7"/>
  <c r="U71" i="7"/>
  <c r="N71" i="7"/>
  <c r="K71" i="7"/>
  <c r="V70" i="7"/>
  <c r="U70" i="7"/>
  <c r="N70" i="7"/>
  <c r="K70" i="7"/>
  <c r="V69" i="7"/>
  <c r="U69" i="7"/>
  <c r="N69" i="7"/>
  <c r="K69" i="7"/>
  <c r="V68" i="7"/>
  <c r="U68" i="7"/>
  <c r="N68" i="7"/>
  <c r="K68" i="7"/>
  <c r="V67" i="7"/>
  <c r="U67" i="7"/>
  <c r="K67" i="7"/>
  <c r="V66" i="7"/>
  <c r="U66" i="7"/>
  <c r="N66" i="7"/>
  <c r="K66" i="7"/>
  <c r="V65" i="7"/>
  <c r="U65" i="7"/>
  <c r="N65" i="7"/>
  <c r="K65" i="7"/>
  <c r="V64" i="7"/>
  <c r="U64" i="7"/>
  <c r="N64" i="7"/>
  <c r="K64" i="7"/>
  <c r="V63" i="7"/>
  <c r="U63" i="7"/>
  <c r="N63" i="7"/>
  <c r="K63" i="7"/>
  <c r="V62" i="7"/>
  <c r="U62" i="7"/>
  <c r="N62" i="7"/>
  <c r="K62" i="7"/>
  <c r="V61" i="7"/>
  <c r="U61" i="7"/>
  <c r="K61" i="7"/>
  <c r="V60" i="7"/>
  <c r="U60" i="7"/>
  <c r="N60" i="7"/>
  <c r="K60" i="7"/>
  <c r="V59" i="7"/>
  <c r="U59" i="7"/>
  <c r="N59" i="7"/>
  <c r="K59" i="7"/>
  <c r="V58" i="7"/>
  <c r="U58" i="7"/>
  <c r="K58" i="7"/>
  <c r="V57" i="7"/>
  <c r="U57" i="7"/>
  <c r="N57" i="7"/>
  <c r="K57" i="7"/>
  <c r="V56" i="7"/>
  <c r="U56" i="7"/>
  <c r="N56" i="7"/>
  <c r="K56" i="7"/>
  <c r="V55" i="7"/>
  <c r="U55" i="7"/>
  <c r="N55" i="7"/>
  <c r="K55" i="7"/>
  <c r="V54" i="7"/>
  <c r="U54" i="7"/>
  <c r="N54" i="7"/>
  <c r="K54" i="7"/>
  <c r="V53" i="7"/>
  <c r="U53" i="7"/>
  <c r="N53" i="7"/>
  <c r="K53" i="7"/>
  <c r="V52" i="7"/>
  <c r="U52" i="7"/>
  <c r="N52" i="7"/>
  <c r="K52" i="7"/>
  <c r="V51" i="7"/>
  <c r="U51" i="7"/>
  <c r="N51" i="7"/>
  <c r="K51" i="7"/>
  <c r="V50" i="7"/>
  <c r="U50" i="7"/>
  <c r="K50" i="7"/>
  <c r="V49" i="7"/>
  <c r="U49" i="7"/>
  <c r="N49" i="7"/>
  <c r="K49" i="7"/>
  <c r="V48" i="7"/>
  <c r="U48" i="7"/>
  <c r="K48" i="7"/>
  <c r="V47" i="7"/>
  <c r="U47" i="7"/>
  <c r="K47" i="7"/>
  <c r="V46" i="7"/>
  <c r="U46" i="7"/>
  <c r="N46" i="7"/>
  <c r="K46" i="7"/>
  <c r="V45" i="7"/>
  <c r="U45" i="7"/>
  <c r="N45" i="7"/>
  <c r="K45" i="7"/>
  <c r="V44" i="7"/>
  <c r="U44" i="7"/>
  <c r="N44" i="7"/>
  <c r="K44" i="7"/>
  <c r="V43" i="7"/>
  <c r="U43" i="7"/>
  <c r="N43" i="7"/>
  <c r="K43" i="7"/>
  <c r="V42" i="7"/>
  <c r="U42" i="7"/>
  <c r="N42" i="7"/>
  <c r="K42" i="7"/>
  <c r="V41" i="7"/>
  <c r="U41" i="7"/>
  <c r="N41" i="7"/>
  <c r="K41" i="7"/>
  <c r="V40" i="7"/>
  <c r="U40" i="7"/>
  <c r="N40" i="7"/>
  <c r="K40" i="7"/>
  <c r="V39" i="7"/>
  <c r="U39" i="7"/>
  <c r="N39" i="7"/>
  <c r="K39" i="7"/>
  <c r="V38" i="7"/>
  <c r="U38" i="7"/>
  <c r="N38" i="7"/>
  <c r="K38" i="7"/>
  <c r="V37" i="7"/>
  <c r="U37" i="7"/>
  <c r="N37" i="7"/>
  <c r="K37" i="7"/>
  <c r="V36" i="7"/>
  <c r="U36" i="7"/>
  <c r="N36" i="7"/>
  <c r="K36" i="7"/>
  <c r="V35" i="7"/>
  <c r="U35" i="7"/>
  <c r="N35" i="7"/>
  <c r="K35" i="7"/>
  <c r="V34" i="7"/>
  <c r="U34" i="7"/>
  <c r="N34" i="7"/>
  <c r="K34" i="7"/>
  <c r="V33" i="7"/>
  <c r="U33" i="7"/>
  <c r="N33" i="7"/>
  <c r="K33" i="7"/>
  <c r="V32" i="7"/>
  <c r="U32" i="7"/>
  <c r="K32" i="7"/>
  <c r="V31" i="7"/>
  <c r="U31" i="7"/>
  <c r="N31" i="7"/>
  <c r="K31" i="7"/>
  <c r="V30" i="7"/>
  <c r="U30" i="7"/>
  <c r="N30" i="7"/>
  <c r="K30" i="7"/>
  <c r="V29" i="7"/>
  <c r="U29" i="7"/>
  <c r="N29" i="7"/>
  <c r="K29" i="7"/>
  <c r="V28" i="7"/>
  <c r="U28" i="7"/>
  <c r="N28" i="7"/>
  <c r="K28" i="7"/>
  <c r="V27" i="7"/>
  <c r="U27" i="7"/>
  <c r="K27" i="7"/>
  <c r="V26" i="7"/>
  <c r="U26" i="7"/>
  <c r="K26" i="7"/>
  <c r="V25" i="7"/>
  <c r="U25" i="7"/>
  <c r="N25" i="7"/>
  <c r="K25" i="7"/>
  <c r="V24" i="7"/>
  <c r="U24" i="7"/>
  <c r="N24" i="7"/>
  <c r="K24" i="7"/>
  <c r="V23" i="7"/>
  <c r="U23" i="7"/>
  <c r="N23" i="7"/>
  <c r="K23" i="7"/>
  <c r="V22" i="7"/>
  <c r="U22" i="7"/>
  <c r="N22" i="7"/>
  <c r="K22" i="7"/>
  <c r="V21" i="7"/>
  <c r="U21" i="7"/>
  <c r="N21" i="7"/>
  <c r="K21" i="7"/>
  <c r="V20" i="7"/>
  <c r="U20" i="7"/>
  <c r="N20" i="7"/>
  <c r="K20" i="7"/>
  <c r="V19" i="7"/>
  <c r="U19" i="7"/>
  <c r="N19" i="7"/>
  <c r="K19" i="7"/>
  <c r="V18" i="7"/>
  <c r="U18" i="7"/>
  <c r="N18" i="7"/>
  <c r="K18" i="7"/>
  <c r="V17" i="7"/>
  <c r="U17" i="7"/>
  <c r="N17" i="7"/>
  <c r="K17" i="7"/>
  <c r="V16" i="7"/>
  <c r="U16" i="7"/>
  <c r="N16" i="7"/>
  <c r="K16" i="7"/>
  <c r="V15" i="7"/>
  <c r="U15" i="7"/>
  <c r="K15" i="7"/>
  <c r="V14" i="7"/>
  <c r="U14" i="7"/>
  <c r="N14" i="7"/>
  <c r="K14" i="7"/>
  <c r="V13" i="7"/>
  <c r="U13" i="7"/>
  <c r="K13" i="7"/>
  <c r="V12" i="7"/>
  <c r="U12" i="7"/>
  <c r="N12" i="7"/>
  <c r="K12" i="7"/>
  <c r="V11" i="7"/>
  <c r="U11" i="7"/>
  <c r="N11" i="7"/>
  <c r="K11" i="7"/>
  <c r="V10" i="7"/>
  <c r="U10" i="7"/>
  <c r="K10" i="7"/>
  <c r="V9" i="7"/>
  <c r="U9" i="7"/>
  <c r="N9" i="7"/>
  <c r="K9" i="7"/>
  <c r="V8" i="7"/>
  <c r="U8" i="7"/>
  <c r="N8" i="7"/>
  <c r="K8" i="7"/>
  <c r="V7" i="7"/>
  <c r="U7" i="7"/>
  <c r="N7" i="7"/>
  <c r="K7" i="7"/>
  <c r="V6" i="7"/>
  <c r="U6" i="7"/>
  <c r="N6" i="7"/>
  <c r="K6" i="7"/>
  <c r="V5" i="7"/>
  <c r="V95" i="7" s="1"/>
  <c r="U5" i="7"/>
  <c r="N5" i="7"/>
  <c r="K5" i="7"/>
  <c r="V4" i="7"/>
  <c r="U4" i="7"/>
  <c r="U95" i="7" s="1"/>
  <c r="N4" i="7"/>
  <c r="K4" i="7"/>
  <c r="K95" i="7" s="1"/>
  <c r="O95" i="7" s="1"/>
  <c r="R87" i="6"/>
  <c r="Q87" i="6"/>
  <c r="P87" i="6"/>
  <c r="L87" i="6"/>
  <c r="J87" i="6"/>
  <c r="I87" i="6"/>
  <c r="I88" i="6" s="1"/>
  <c r="H87" i="6"/>
  <c r="G87" i="6"/>
  <c r="F87" i="6"/>
  <c r="E87" i="6"/>
  <c r="V86" i="6"/>
  <c r="U86" i="6"/>
  <c r="N86" i="6"/>
  <c r="K86" i="6"/>
  <c r="V85" i="6"/>
  <c r="U85" i="6"/>
  <c r="N85" i="6"/>
  <c r="K85" i="6"/>
  <c r="V84" i="6"/>
  <c r="U84" i="6"/>
  <c r="N84" i="6"/>
  <c r="K84" i="6"/>
  <c r="V83" i="6"/>
  <c r="U83" i="6"/>
  <c r="N83" i="6"/>
  <c r="K83" i="6"/>
  <c r="V82" i="6"/>
  <c r="U82" i="6"/>
  <c r="N82" i="6"/>
  <c r="K82" i="6"/>
  <c r="V81" i="6"/>
  <c r="U81" i="6"/>
  <c r="N81" i="6"/>
  <c r="K81" i="6"/>
  <c r="V80" i="6"/>
  <c r="U80" i="6"/>
  <c r="N80" i="6"/>
  <c r="K80" i="6"/>
  <c r="V79" i="6"/>
  <c r="U79" i="6"/>
  <c r="N79" i="6"/>
  <c r="K79" i="6"/>
  <c r="V78" i="6"/>
  <c r="U78" i="6"/>
  <c r="N78" i="6"/>
  <c r="K78" i="6"/>
  <c r="V77" i="6"/>
  <c r="U77" i="6"/>
  <c r="K77" i="6"/>
  <c r="V76" i="6"/>
  <c r="U76" i="6"/>
  <c r="N76" i="6"/>
  <c r="K76" i="6"/>
  <c r="V75" i="6"/>
  <c r="U75" i="6"/>
  <c r="N75" i="6"/>
  <c r="K75" i="6"/>
  <c r="V74" i="6"/>
  <c r="U74" i="6"/>
  <c r="N74" i="6"/>
  <c r="K74" i="6"/>
  <c r="V73" i="6"/>
  <c r="U73" i="6"/>
  <c r="N73" i="6"/>
  <c r="K73" i="6"/>
  <c r="V72" i="6"/>
  <c r="U72" i="6"/>
  <c r="N72" i="6"/>
  <c r="K72" i="6"/>
  <c r="V71" i="6"/>
  <c r="U71" i="6"/>
  <c r="N71" i="6"/>
  <c r="K71" i="6"/>
  <c r="V70" i="6"/>
  <c r="U70" i="6"/>
  <c r="N70" i="6"/>
  <c r="K70" i="6"/>
  <c r="V69" i="6"/>
  <c r="U69" i="6"/>
  <c r="N69" i="6"/>
  <c r="K69" i="6"/>
  <c r="V68" i="6"/>
  <c r="U68" i="6"/>
  <c r="N68" i="6"/>
  <c r="K68" i="6"/>
  <c r="V67" i="6"/>
  <c r="U67" i="6"/>
  <c r="N67" i="6"/>
  <c r="K67" i="6"/>
  <c r="V66" i="6"/>
  <c r="U66" i="6"/>
  <c r="N66" i="6"/>
  <c r="K66" i="6"/>
  <c r="V65" i="6"/>
  <c r="U65" i="6"/>
  <c r="N65" i="6"/>
  <c r="K65" i="6"/>
  <c r="V64" i="6"/>
  <c r="U64" i="6"/>
  <c r="K64" i="6"/>
  <c r="V63" i="6"/>
  <c r="U63" i="6"/>
  <c r="N63" i="6"/>
  <c r="K63" i="6"/>
  <c r="V62" i="6"/>
  <c r="U62" i="6"/>
  <c r="N62" i="6"/>
  <c r="K62" i="6"/>
  <c r="V61" i="6"/>
  <c r="U61" i="6"/>
  <c r="N61" i="6"/>
  <c r="K61" i="6"/>
  <c r="V60" i="6"/>
  <c r="U60" i="6"/>
  <c r="N60" i="6"/>
  <c r="K60" i="6"/>
  <c r="V59" i="6"/>
  <c r="U59" i="6"/>
  <c r="N59" i="6"/>
  <c r="K59" i="6"/>
  <c r="V58" i="6"/>
  <c r="U58" i="6"/>
  <c r="N58" i="6"/>
  <c r="K58" i="6"/>
  <c r="V57" i="6"/>
  <c r="U57" i="6"/>
  <c r="N57" i="6"/>
  <c r="K57" i="6"/>
  <c r="V56" i="6"/>
  <c r="U56" i="6"/>
  <c r="N56" i="6"/>
  <c r="K56" i="6"/>
  <c r="V55" i="6"/>
  <c r="U55" i="6"/>
  <c r="N55" i="6"/>
  <c r="K55" i="6"/>
  <c r="V54" i="6"/>
  <c r="U54" i="6"/>
  <c r="K54" i="6"/>
  <c r="V53" i="6"/>
  <c r="U53" i="6"/>
  <c r="N53" i="6"/>
  <c r="K53" i="6"/>
  <c r="V52" i="6"/>
  <c r="U52" i="6"/>
  <c r="N52" i="6"/>
  <c r="K52" i="6"/>
  <c r="V51" i="6"/>
  <c r="U51" i="6"/>
  <c r="N51" i="6"/>
  <c r="K51" i="6"/>
  <c r="V50" i="6"/>
  <c r="U50" i="6"/>
  <c r="K50" i="6"/>
  <c r="V49" i="6"/>
  <c r="U49" i="6"/>
  <c r="N49" i="6"/>
  <c r="K49" i="6"/>
  <c r="V48" i="6"/>
  <c r="U48" i="6"/>
  <c r="K48" i="6"/>
  <c r="V47" i="6"/>
  <c r="U47" i="6"/>
  <c r="K47" i="6"/>
  <c r="V46" i="6"/>
  <c r="U46" i="6"/>
  <c r="N46" i="6"/>
  <c r="K46" i="6"/>
  <c r="V45" i="6"/>
  <c r="U45" i="6"/>
  <c r="N45" i="6"/>
  <c r="K45" i="6"/>
  <c r="V44" i="6"/>
  <c r="U44" i="6"/>
  <c r="N44" i="6"/>
  <c r="K44" i="6"/>
  <c r="V43" i="6"/>
  <c r="U43" i="6"/>
  <c r="N43" i="6"/>
  <c r="K43" i="6"/>
  <c r="V42" i="6"/>
  <c r="U42" i="6"/>
  <c r="N42" i="6"/>
  <c r="K42" i="6"/>
  <c r="V41" i="6"/>
  <c r="U41" i="6"/>
  <c r="N41" i="6"/>
  <c r="K41" i="6"/>
  <c r="V40" i="6"/>
  <c r="U40" i="6"/>
  <c r="K40" i="6"/>
  <c r="V39" i="6"/>
  <c r="U39" i="6"/>
  <c r="N39" i="6"/>
  <c r="K39" i="6"/>
  <c r="V38" i="6"/>
  <c r="U38" i="6"/>
  <c r="N38" i="6"/>
  <c r="K38" i="6"/>
  <c r="V37" i="6"/>
  <c r="U37" i="6"/>
  <c r="N37" i="6"/>
  <c r="K37" i="6"/>
  <c r="V36" i="6"/>
  <c r="U36" i="6"/>
  <c r="N36" i="6"/>
  <c r="K36" i="6"/>
  <c r="V35" i="6"/>
  <c r="U35" i="6"/>
  <c r="N35" i="6"/>
  <c r="K35" i="6"/>
  <c r="V34" i="6"/>
  <c r="U34" i="6"/>
  <c r="N34" i="6"/>
  <c r="K34" i="6"/>
  <c r="V33" i="6"/>
  <c r="U33" i="6"/>
  <c r="K33" i="6"/>
  <c r="V32" i="6"/>
  <c r="U32" i="6"/>
  <c r="N32" i="6"/>
  <c r="K32" i="6"/>
  <c r="V31" i="6"/>
  <c r="U31" i="6"/>
  <c r="N31" i="6"/>
  <c r="K31" i="6"/>
  <c r="V30" i="6"/>
  <c r="U30" i="6"/>
  <c r="N30" i="6"/>
  <c r="K30" i="6"/>
  <c r="V29" i="6"/>
  <c r="U29" i="6"/>
  <c r="N29" i="6"/>
  <c r="K29" i="6"/>
  <c r="V28" i="6"/>
  <c r="U28" i="6"/>
  <c r="N28" i="6"/>
  <c r="K28" i="6"/>
  <c r="V27" i="6"/>
  <c r="U27" i="6"/>
  <c r="N27" i="6"/>
  <c r="K27" i="6"/>
  <c r="V26" i="6"/>
  <c r="U26" i="6"/>
  <c r="N26" i="6"/>
  <c r="K26" i="6"/>
  <c r="V25" i="6"/>
  <c r="U25" i="6"/>
  <c r="N25" i="6"/>
  <c r="K25" i="6"/>
  <c r="V24" i="6"/>
  <c r="U24" i="6"/>
  <c r="K24" i="6"/>
  <c r="V23" i="6"/>
  <c r="U23" i="6"/>
  <c r="N23" i="6"/>
  <c r="K23" i="6"/>
  <c r="V22" i="6"/>
  <c r="U22" i="6"/>
  <c r="N22" i="6"/>
  <c r="K22" i="6"/>
  <c r="V21" i="6"/>
  <c r="U21" i="6"/>
  <c r="N21" i="6"/>
  <c r="K21" i="6"/>
  <c r="V20" i="6"/>
  <c r="U20" i="6"/>
  <c r="K20" i="6"/>
  <c r="V19" i="6"/>
  <c r="U19" i="6"/>
  <c r="N19" i="6"/>
  <c r="K19" i="6"/>
  <c r="V18" i="6"/>
  <c r="U18" i="6"/>
  <c r="N18" i="6"/>
  <c r="K18" i="6"/>
  <c r="V17" i="6"/>
  <c r="U17" i="6"/>
  <c r="N17" i="6"/>
  <c r="K17" i="6"/>
  <c r="V16" i="6"/>
  <c r="U16" i="6"/>
  <c r="N16" i="6"/>
  <c r="K16" i="6"/>
  <c r="V15" i="6"/>
  <c r="U15" i="6"/>
  <c r="N15" i="6"/>
  <c r="K15" i="6"/>
  <c r="V14" i="6"/>
  <c r="U14" i="6"/>
  <c r="N14" i="6"/>
  <c r="K14" i="6"/>
  <c r="V13" i="6"/>
  <c r="U13" i="6"/>
  <c r="N13" i="6"/>
  <c r="K13" i="6"/>
  <c r="V12" i="6"/>
  <c r="U12" i="6"/>
  <c r="K12" i="6"/>
  <c r="V11" i="6"/>
  <c r="U11" i="6"/>
  <c r="N11" i="6"/>
  <c r="K11" i="6"/>
  <c r="V10" i="6"/>
  <c r="U10" i="6"/>
  <c r="N10" i="6"/>
  <c r="K10" i="6"/>
  <c r="V9" i="6"/>
  <c r="U9" i="6"/>
  <c r="N9" i="6"/>
  <c r="K9" i="6"/>
  <c r="V8" i="6"/>
  <c r="U8" i="6"/>
  <c r="N8" i="6"/>
  <c r="K8" i="6"/>
  <c r="V7" i="6"/>
  <c r="U7" i="6"/>
  <c r="N7" i="6"/>
  <c r="K7" i="6"/>
  <c r="V6" i="6"/>
  <c r="U6" i="6"/>
  <c r="N6" i="6"/>
  <c r="K6" i="6"/>
  <c r="V5" i="6"/>
  <c r="U5" i="6"/>
  <c r="N5" i="6"/>
  <c r="K5" i="6"/>
  <c r="V4" i="6"/>
  <c r="V87" i="6" s="1"/>
  <c r="U4" i="6"/>
  <c r="U87" i="6" s="1"/>
  <c r="N4" i="6"/>
  <c r="K4" i="6"/>
  <c r="K87" i="6" s="1"/>
  <c r="O87" i="6" s="1"/>
  <c r="R100" i="5"/>
  <c r="Q100" i="5"/>
  <c r="P100" i="5"/>
  <c r="L100" i="5"/>
  <c r="N100" i="5" s="1"/>
  <c r="J100" i="5"/>
  <c r="I100" i="5"/>
  <c r="I101" i="5" s="1"/>
  <c r="H100" i="5"/>
  <c r="G100" i="5"/>
  <c r="F100" i="5"/>
  <c r="E100" i="5"/>
  <c r="V99" i="5"/>
  <c r="U99" i="5"/>
  <c r="N99" i="5"/>
  <c r="K99" i="5"/>
  <c r="V98" i="5"/>
  <c r="U98" i="5"/>
  <c r="N98" i="5"/>
  <c r="K98" i="5"/>
  <c r="V97" i="5"/>
  <c r="U97" i="5"/>
  <c r="N97" i="5"/>
  <c r="K97" i="5"/>
  <c r="V96" i="5"/>
  <c r="U96" i="5"/>
  <c r="N96" i="5"/>
  <c r="K96" i="5"/>
  <c r="V95" i="5"/>
  <c r="U95" i="5"/>
  <c r="N95" i="5"/>
  <c r="K95" i="5"/>
  <c r="V94" i="5"/>
  <c r="U94" i="5"/>
  <c r="N94" i="5"/>
  <c r="K94" i="5"/>
  <c r="V93" i="5"/>
  <c r="U93" i="5"/>
  <c r="K93" i="5"/>
  <c r="V92" i="5"/>
  <c r="U92" i="5"/>
  <c r="N92" i="5"/>
  <c r="K92" i="5"/>
  <c r="V91" i="5"/>
  <c r="U91" i="5"/>
  <c r="N91" i="5"/>
  <c r="K91" i="5"/>
  <c r="V90" i="5"/>
  <c r="U90" i="5"/>
  <c r="N90" i="5"/>
  <c r="K90" i="5"/>
  <c r="V89" i="5"/>
  <c r="U89" i="5"/>
  <c r="N89" i="5"/>
  <c r="K89" i="5"/>
  <c r="V88" i="5"/>
  <c r="U88" i="5"/>
  <c r="N88" i="5"/>
  <c r="K88" i="5"/>
  <c r="V87" i="5"/>
  <c r="U87" i="5"/>
  <c r="N87" i="5"/>
  <c r="K87" i="5"/>
  <c r="V86" i="5"/>
  <c r="U86" i="5"/>
  <c r="N86" i="5"/>
  <c r="K86" i="5"/>
  <c r="V85" i="5"/>
  <c r="U85" i="5"/>
  <c r="N85" i="5"/>
  <c r="K85" i="5"/>
  <c r="V84" i="5"/>
  <c r="U84" i="5"/>
  <c r="N84" i="5"/>
  <c r="K84" i="5"/>
  <c r="V83" i="5"/>
  <c r="U83" i="5"/>
  <c r="N83" i="5"/>
  <c r="K83" i="5"/>
  <c r="V82" i="5"/>
  <c r="U82" i="5"/>
  <c r="N82" i="5"/>
  <c r="K82" i="5"/>
  <c r="V81" i="5"/>
  <c r="U81" i="5"/>
  <c r="N81" i="5"/>
  <c r="K81" i="5"/>
  <c r="V80" i="5"/>
  <c r="U80" i="5"/>
  <c r="N80" i="5"/>
  <c r="K80" i="5"/>
  <c r="V79" i="5"/>
  <c r="U79" i="5"/>
  <c r="N79" i="5"/>
  <c r="K79" i="5"/>
  <c r="V78" i="5"/>
  <c r="U78" i="5"/>
  <c r="N78" i="5"/>
  <c r="K78" i="5"/>
  <c r="V77" i="5"/>
  <c r="U77" i="5"/>
  <c r="N77" i="5"/>
  <c r="K77" i="5"/>
  <c r="V76" i="5"/>
  <c r="U76" i="5"/>
  <c r="N76" i="5"/>
  <c r="K76" i="5"/>
  <c r="V75" i="5"/>
  <c r="U75" i="5"/>
  <c r="N75" i="5"/>
  <c r="K75" i="5"/>
  <c r="V74" i="5"/>
  <c r="U74" i="5"/>
  <c r="N74" i="5"/>
  <c r="K74" i="5"/>
  <c r="V73" i="5"/>
  <c r="U73" i="5"/>
  <c r="N73" i="5"/>
  <c r="K73" i="5"/>
  <c r="V72" i="5"/>
  <c r="U72" i="5"/>
  <c r="N72" i="5"/>
  <c r="K72" i="5"/>
  <c r="V71" i="5"/>
  <c r="U71" i="5"/>
  <c r="N71" i="5"/>
  <c r="K71" i="5"/>
  <c r="V70" i="5"/>
  <c r="U70" i="5"/>
  <c r="N70" i="5"/>
  <c r="K70" i="5"/>
  <c r="V69" i="5"/>
  <c r="U69" i="5"/>
  <c r="N69" i="5"/>
  <c r="K69" i="5"/>
  <c r="V68" i="5"/>
  <c r="U68" i="5"/>
  <c r="N68" i="5"/>
  <c r="K68" i="5"/>
  <c r="V67" i="5"/>
  <c r="U67" i="5"/>
  <c r="K67" i="5"/>
  <c r="V66" i="5"/>
  <c r="U66" i="5"/>
  <c r="N66" i="5"/>
  <c r="K66" i="5"/>
  <c r="V65" i="5"/>
  <c r="U65" i="5"/>
  <c r="N65" i="5"/>
  <c r="K65" i="5"/>
  <c r="V64" i="5"/>
  <c r="U64" i="5"/>
  <c r="N64" i="5"/>
  <c r="K64" i="5"/>
  <c r="V63" i="5"/>
  <c r="U63" i="5"/>
  <c r="N63" i="5"/>
  <c r="K63" i="5"/>
  <c r="V62" i="5"/>
  <c r="U62" i="5"/>
  <c r="N62" i="5"/>
  <c r="K62" i="5"/>
  <c r="V61" i="5"/>
  <c r="U61" i="5"/>
  <c r="N61" i="5"/>
  <c r="K61" i="5"/>
  <c r="V60" i="5"/>
  <c r="U60" i="5"/>
  <c r="N60" i="5"/>
  <c r="K60" i="5"/>
  <c r="V59" i="5"/>
  <c r="U59" i="5"/>
  <c r="K59" i="5"/>
  <c r="V58" i="5"/>
  <c r="U58" i="5"/>
  <c r="N58" i="5"/>
  <c r="K58" i="5"/>
  <c r="V57" i="5"/>
  <c r="U57" i="5"/>
  <c r="N57" i="5"/>
  <c r="K57" i="5"/>
  <c r="V56" i="5"/>
  <c r="U56" i="5"/>
  <c r="N56" i="5"/>
  <c r="K56" i="5"/>
  <c r="V55" i="5"/>
  <c r="U55" i="5"/>
  <c r="N55" i="5"/>
  <c r="K55" i="5"/>
  <c r="V54" i="5"/>
  <c r="U54" i="5"/>
  <c r="N54" i="5"/>
  <c r="K54" i="5"/>
  <c r="V53" i="5"/>
  <c r="U53" i="5"/>
  <c r="K53" i="5"/>
  <c r="V52" i="5"/>
  <c r="U52" i="5"/>
  <c r="N52" i="5"/>
  <c r="K52" i="5"/>
  <c r="V51" i="5"/>
  <c r="U51" i="5"/>
  <c r="K51" i="5"/>
  <c r="V50" i="5"/>
  <c r="U50" i="5"/>
  <c r="N50" i="5"/>
  <c r="K50" i="5"/>
  <c r="V49" i="5"/>
  <c r="U49" i="5"/>
  <c r="N49" i="5"/>
  <c r="K49" i="5"/>
  <c r="V48" i="5"/>
  <c r="U48" i="5"/>
  <c r="N48" i="5"/>
  <c r="K48" i="5"/>
  <c r="V47" i="5"/>
  <c r="U47" i="5"/>
  <c r="K47" i="5"/>
  <c r="V46" i="5"/>
  <c r="U46" i="5"/>
  <c r="N46" i="5"/>
  <c r="K46" i="5"/>
  <c r="V45" i="5"/>
  <c r="U45" i="5"/>
  <c r="K45" i="5"/>
  <c r="V44" i="5"/>
  <c r="U44" i="5"/>
  <c r="N44" i="5"/>
  <c r="K44" i="5"/>
  <c r="V43" i="5"/>
  <c r="U43" i="5"/>
  <c r="N43" i="5"/>
  <c r="K43" i="5"/>
  <c r="V42" i="5"/>
  <c r="U42" i="5"/>
  <c r="N42" i="5"/>
  <c r="K42" i="5"/>
  <c r="V41" i="5"/>
  <c r="U41" i="5"/>
  <c r="N41" i="5"/>
  <c r="K41" i="5"/>
  <c r="V40" i="5"/>
  <c r="U40" i="5"/>
  <c r="N40" i="5"/>
  <c r="K40" i="5"/>
  <c r="V39" i="5"/>
  <c r="U39" i="5"/>
  <c r="N39" i="5"/>
  <c r="K39" i="5"/>
  <c r="V38" i="5"/>
  <c r="U38" i="5"/>
  <c r="N38" i="5"/>
  <c r="K38" i="5"/>
  <c r="V37" i="5"/>
  <c r="U37" i="5"/>
  <c r="N37" i="5"/>
  <c r="K37" i="5"/>
  <c r="V36" i="5"/>
  <c r="U36" i="5"/>
  <c r="N36" i="5"/>
  <c r="K36" i="5"/>
  <c r="V35" i="5"/>
  <c r="U35" i="5"/>
  <c r="N35" i="5"/>
  <c r="K35" i="5"/>
  <c r="V34" i="5"/>
  <c r="U34" i="5"/>
  <c r="N34" i="5"/>
  <c r="K34" i="5"/>
  <c r="V33" i="5"/>
  <c r="U33" i="5"/>
  <c r="K33" i="5"/>
  <c r="V32" i="5"/>
  <c r="U32" i="5"/>
  <c r="N32" i="5"/>
  <c r="K32" i="5"/>
  <c r="V31" i="5"/>
  <c r="U31" i="5"/>
  <c r="N31" i="5"/>
  <c r="K31" i="5"/>
  <c r="V30" i="5"/>
  <c r="U30" i="5"/>
  <c r="N30" i="5"/>
  <c r="K30" i="5"/>
  <c r="V29" i="5"/>
  <c r="U29" i="5"/>
  <c r="N29" i="5"/>
  <c r="K29" i="5"/>
  <c r="V28" i="5"/>
  <c r="U28" i="5"/>
  <c r="N28" i="5"/>
  <c r="K28" i="5"/>
  <c r="V27" i="5"/>
  <c r="U27" i="5"/>
  <c r="N27" i="5"/>
  <c r="K27" i="5"/>
  <c r="V26" i="5"/>
  <c r="U26" i="5"/>
  <c r="N26" i="5"/>
  <c r="K26" i="5"/>
  <c r="V25" i="5"/>
  <c r="U25" i="5"/>
  <c r="N25" i="5"/>
  <c r="K25" i="5"/>
  <c r="V24" i="5"/>
  <c r="U24" i="5"/>
  <c r="N24" i="5"/>
  <c r="K24" i="5"/>
  <c r="V23" i="5"/>
  <c r="U23" i="5"/>
  <c r="N23" i="5"/>
  <c r="K23" i="5"/>
  <c r="V22" i="5"/>
  <c r="U22" i="5"/>
  <c r="N22" i="5"/>
  <c r="K22" i="5"/>
  <c r="V21" i="5"/>
  <c r="U21" i="5"/>
  <c r="K21" i="5"/>
  <c r="K100" i="5" s="1"/>
  <c r="O100" i="5" s="1"/>
  <c r="V20" i="5"/>
  <c r="U20" i="5"/>
  <c r="K20" i="5"/>
  <c r="V19" i="5"/>
  <c r="U19" i="5"/>
  <c r="K19" i="5"/>
  <c r="V18" i="5"/>
  <c r="U18" i="5"/>
  <c r="N18" i="5"/>
  <c r="K18" i="5"/>
  <c r="V17" i="5"/>
  <c r="U17" i="5"/>
  <c r="N17" i="5"/>
  <c r="K17" i="5"/>
  <c r="V16" i="5"/>
  <c r="U16" i="5"/>
  <c r="N16" i="5"/>
  <c r="K16" i="5"/>
  <c r="V15" i="5"/>
  <c r="U15" i="5"/>
  <c r="N15" i="5"/>
  <c r="K15" i="5"/>
  <c r="V14" i="5"/>
  <c r="U14" i="5"/>
  <c r="N14" i="5"/>
  <c r="K14" i="5"/>
  <c r="V13" i="5"/>
  <c r="U13" i="5"/>
  <c r="N13" i="5"/>
  <c r="K13" i="5"/>
  <c r="V12" i="5"/>
  <c r="U12" i="5"/>
  <c r="N12" i="5"/>
  <c r="K12" i="5"/>
  <c r="V11" i="5"/>
  <c r="U11" i="5"/>
  <c r="N11" i="5"/>
  <c r="K11" i="5"/>
  <c r="V10" i="5"/>
  <c r="U10" i="5"/>
  <c r="N10" i="5"/>
  <c r="K10" i="5"/>
  <c r="V9" i="5"/>
  <c r="U9" i="5"/>
  <c r="N9" i="5"/>
  <c r="K9" i="5"/>
  <c r="V8" i="5"/>
  <c r="U8" i="5"/>
  <c r="N8" i="5"/>
  <c r="K8" i="5"/>
  <c r="V7" i="5"/>
  <c r="U7" i="5"/>
  <c r="N7" i="5"/>
  <c r="K7" i="5"/>
  <c r="V6" i="5"/>
  <c r="U6" i="5"/>
  <c r="N6" i="5"/>
  <c r="K6" i="5"/>
  <c r="V5" i="5"/>
  <c r="U5" i="5"/>
  <c r="N5" i="5"/>
  <c r="K5" i="5"/>
  <c r="V4" i="5"/>
  <c r="V100" i="5" s="1"/>
  <c r="U4" i="5"/>
  <c r="U100" i="5" s="1"/>
  <c r="N4" i="5"/>
  <c r="K4" i="5"/>
  <c r="R96" i="4"/>
  <c r="Q96" i="4"/>
  <c r="P96" i="4"/>
  <c r="M96" i="4"/>
  <c r="L96" i="4"/>
  <c r="J96" i="4"/>
  <c r="I96" i="4"/>
  <c r="N96" i="4" s="1"/>
  <c r="H96" i="4"/>
  <c r="G96" i="4"/>
  <c r="F96" i="4"/>
  <c r="E96" i="4"/>
  <c r="V95" i="4"/>
  <c r="U95" i="4"/>
  <c r="N95" i="4"/>
  <c r="K95" i="4"/>
  <c r="V94" i="4"/>
  <c r="U94" i="4"/>
  <c r="N94" i="4"/>
  <c r="K94" i="4"/>
  <c r="V93" i="4"/>
  <c r="U93" i="4"/>
  <c r="K93" i="4"/>
  <c r="V92" i="4"/>
  <c r="U92" i="4"/>
  <c r="N92" i="4"/>
  <c r="K92" i="4"/>
  <c r="V91" i="4"/>
  <c r="U91" i="4"/>
  <c r="N91" i="4"/>
  <c r="K91" i="4"/>
  <c r="V90" i="4"/>
  <c r="U90" i="4"/>
  <c r="N90" i="4"/>
  <c r="K90" i="4"/>
  <c r="V89" i="4"/>
  <c r="U89" i="4"/>
  <c r="N89" i="4"/>
  <c r="K89" i="4"/>
  <c r="V88" i="4"/>
  <c r="U88" i="4"/>
  <c r="N88" i="4"/>
  <c r="K88" i="4"/>
  <c r="V87" i="4"/>
  <c r="U87" i="4"/>
  <c r="N87" i="4"/>
  <c r="K87" i="4"/>
  <c r="V86" i="4"/>
  <c r="U86" i="4"/>
  <c r="N86" i="4"/>
  <c r="K86" i="4"/>
  <c r="V85" i="4"/>
  <c r="U85" i="4"/>
  <c r="N85" i="4"/>
  <c r="K85" i="4"/>
  <c r="V84" i="4"/>
  <c r="U84" i="4"/>
  <c r="K84" i="4"/>
  <c r="V83" i="4"/>
  <c r="U83" i="4"/>
  <c r="N83" i="4"/>
  <c r="K83" i="4"/>
  <c r="V82" i="4"/>
  <c r="U82" i="4"/>
  <c r="N82" i="4"/>
  <c r="K82" i="4"/>
  <c r="V81" i="4"/>
  <c r="U81" i="4"/>
  <c r="N81" i="4"/>
  <c r="K81" i="4"/>
  <c r="V80" i="4"/>
  <c r="U80" i="4"/>
  <c r="N80" i="4"/>
  <c r="K80" i="4"/>
  <c r="V79" i="4"/>
  <c r="U79" i="4"/>
  <c r="N79" i="4"/>
  <c r="K79" i="4"/>
  <c r="V78" i="4"/>
  <c r="U78" i="4"/>
  <c r="N78" i="4"/>
  <c r="K78" i="4"/>
  <c r="V77" i="4"/>
  <c r="U77" i="4"/>
  <c r="N77" i="4"/>
  <c r="K77" i="4"/>
  <c r="V76" i="4"/>
  <c r="U76" i="4"/>
  <c r="N76" i="4"/>
  <c r="K76" i="4"/>
  <c r="V75" i="4"/>
  <c r="U75" i="4"/>
  <c r="N75" i="4"/>
  <c r="K75" i="4"/>
  <c r="V74" i="4"/>
  <c r="U74" i="4"/>
  <c r="N74" i="4"/>
  <c r="K74" i="4"/>
  <c r="V73" i="4"/>
  <c r="U73" i="4"/>
  <c r="K73" i="4"/>
  <c r="V72" i="4"/>
  <c r="U72" i="4"/>
  <c r="N72" i="4"/>
  <c r="K72" i="4"/>
  <c r="V71" i="4"/>
  <c r="U71" i="4"/>
  <c r="K71" i="4"/>
  <c r="V70" i="4"/>
  <c r="U70" i="4"/>
  <c r="N70" i="4"/>
  <c r="K70" i="4"/>
  <c r="V69" i="4"/>
  <c r="U69" i="4"/>
  <c r="N69" i="4"/>
  <c r="K69" i="4"/>
  <c r="V68" i="4"/>
  <c r="U68" i="4"/>
  <c r="N68" i="4"/>
  <c r="K68" i="4"/>
  <c r="V67" i="4"/>
  <c r="U67" i="4"/>
  <c r="N67" i="4"/>
  <c r="K67" i="4"/>
  <c r="V66" i="4"/>
  <c r="U66" i="4"/>
  <c r="K66" i="4"/>
  <c r="V65" i="4"/>
  <c r="U65" i="4"/>
  <c r="N65" i="4"/>
  <c r="K65" i="4"/>
  <c r="V64" i="4"/>
  <c r="U64" i="4"/>
  <c r="N64" i="4"/>
  <c r="K64" i="4"/>
  <c r="V63" i="4"/>
  <c r="U63" i="4"/>
  <c r="N63" i="4"/>
  <c r="K63" i="4"/>
  <c r="V62" i="4"/>
  <c r="U62" i="4"/>
  <c r="N62" i="4"/>
  <c r="K62" i="4"/>
  <c r="V61" i="4"/>
  <c r="U61" i="4"/>
  <c r="N61" i="4"/>
  <c r="K61" i="4"/>
  <c r="V60" i="4"/>
  <c r="U60" i="4"/>
  <c r="N60" i="4"/>
  <c r="K60" i="4"/>
  <c r="V59" i="4"/>
  <c r="U59" i="4"/>
  <c r="K59" i="4"/>
  <c r="V58" i="4"/>
  <c r="U58" i="4"/>
  <c r="N58" i="4"/>
  <c r="K58" i="4"/>
  <c r="V57" i="4"/>
  <c r="U57" i="4"/>
  <c r="K57" i="4"/>
  <c r="V56" i="4"/>
  <c r="U56" i="4"/>
  <c r="N56" i="4"/>
  <c r="K56" i="4"/>
  <c r="V55" i="4"/>
  <c r="U55" i="4"/>
  <c r="N55" i="4"/>
  <c r="K55" i="4"/>
  <c r="V54" i="4"/>
  <c r="U54" i="4"/>
  <c r="N54" i="4"/>
  <c r="K54" i="4"/>
  <c r="V53" i="4"/>
  <c r="U53" i="4"/>
  <c r="N53" i="4"/>
  <c r="K53" i="4"/>
  <c r="V52" i="4"/>
  <c r="U52" i="4"/>
  <c r="N52" i="4"/>
  <c r="K52" i="4"/>
  <c r="V51" i="4"/>
  <c r="U51" i="4"/>
  <c r="N51" i="4"/>
  <c r="K51" i="4"/>
  <c r="V50" i="4"/>
  <c r="U50" i="4"/>
  <c r="K50" i="4"/>
  <c r="V49" i="4"/>
  <c r="U49" i="4"/>
  <c r="N49" i="4"/>
  <c r="K49" i="4"/>
  <c r="V48" i="4"/>
  <c r="U48" i="4"/>
  <c r="N48" i="4"/>
  <c r="K48" i="4"/>
  <c r="V47" i="4"/>
  <c r="U47" i="4"/>
  <c r="N47" i="4"/>
  <c r="K47" i="4"/>
  <c r="V46" i="4"/>
  <c r="U46" i="4"/>
  <c r="K46" i="4"/>
  <c r="V45" i="4"/>
  <c r="U45" i="4"/>
  <c r="K45" i="4"/>
  <c r="V44" i="4"/>
  <c r="U44" i="4"/>
  <c r="K44" i="4"/>
  <c r="V43" i="4"/>
  <c r="U43" i="4"/>
  <c r="N43" i="4"/>
  <c r="K43" i="4"/>
  <c r="V42" i="4"/>
  <c r="U42" i="4"/>
  <c r="N42" i="4"/>
  <c r="K42" i="4"/>
  <c r="V41" i="4"/>
  <c r="U41" i="4"/>
  <c r="N41" i="4"/>
  <c r="K41" i="4"/>
  <c r="V40" i="4"/>
  <c r="U40" i="4"/>
  <c r="N40" i="4"/>
  <c r="K40" i="4"/>
  <c r="V39" i="4"/>
  <c r="U39" i="4"/>
  <c r="N39" i="4"/>
  <c r="K39" i="4"/>
  <c r="V38" i="4"/>
  <c r="U38" i="4"/>
  <c r="N38" i="4"/>
  <c r="K38" i="4"/>
  <c r="V37" i="4"/>
  <c r="U37" i="4"/>
  <c r="N37" i="4"/>
  <c r="K37" i="4"/>
  <c r="V36" i="4"/>
  <c r="U36" i="4"/>
  <c r="N36" i="4"/>
  <c r="K36" i="4"/>
  <c r="V35" i="4"/>
  <c r="U35" i="4"/>
  <c r="N35" i="4"/>
  <c r="K35" i="4"/>
  <c r="V34" i="4"/>
  <c r="U34" i="4"/>
  <c r="N34" i="4"/>
  <c r="K34" i="4"/>
  <c r="V33" i="4"/>
  <c r="U33" i="4"/>
  <c r="N33" i="4"/>
  <c r="K33" i="4"/>
  <c r="V32" i="4"/>
  <c r="U32" i="4"/>
  <c r="N32" i="4"/>
  <c r="K32" i="4"/>
  <c r="V31" i="4"/>
  <c r="U31" i="4"/>
  <c r="N31" i="4"/>
  <c r="K31" i="4"/>
  <c r="V30" i="4"/>
  <c r="U30" i="4"/>
  <c r="N30" i="4"/>
  <c r="K30" i="4"/>
  <c r="V29" i="4"/>
  <c r="U29" i="4"/>
  <c r="N29" i="4"/>
  <c r="K29" i="4"/>
  <c r="V28" i="4"/>
  <c r="U28" i="4"/>
  <c r="N28" i="4"/>
  <c r="K28" i="4"/>
  <c r="V27" i="4"/>
  <c r="U27" i="4"/>
  <c r="N27" i="4"/>
  <c r="K27" i="4"/>
  <c r="V26" i="4"/>
  <c r="U26" i="4"/>
  <c r="K26" i="4"/>
  <c r="V25" i="4"/>
  <c r="U25" i="4"/>
  <c r="N25" i="4"/>
  <c r="K25" i="4"/>
  <c r="V24" i="4"/>
  <c r="U24" i="4"/>
  <c r="N24" i="4"/>
  <c r="K24" i="4"/>
  <c r="V23" i="4"/>
  <c r="U23" i="4"/>
  <c r="N23" i="4"/>
  <c r="K23" i="4"/>
  <c r="V22" i="4"/>
  <c r="U22" i="4"/>
  <c r="N22" i="4"/>
  <c r="K22" i="4"/>
  <c r="V21" i="4"/>
  <c r="U21" i="4"/>
  <c r="N21" i="4"/>
  <c r="K21" i="4"/>
  <c r="V20" i="4"/>
  <c r="U20" i="4"/>
  <c r="N20" i="4"/>
  <c r="K20" i="4"/>
  <c r="V19" i="4"/>
  <c r="U19" i="4"/>
  <c r="K19" i="4"/>
  <c r="V18" i="4"/>
  <c r="U18" i="4"/>
  <c r="K18" i="4"/>
  <c r="V17" i="4"/>
  <c r="U17" i="4"/>
  <c r="N17" i="4"/>
  <c r="K17" i="4"/>
  <c r="V16" i="4"/>
  <c r="U16" i="4"/>
  <c r="N16" i="4"/>
  <c r="K16" i="4"/>
  <c r="V15" i="4"/>
  <c r="U15" i="4"/>
  <c r="N15" i="4"/>
  <c r="K15" i="4"/>
  <c r="V14" i="4"/>
  <c r="U14" i="4"/>
  <c r="K14" i="4"/>
  <c r="V13" i="4"/>
  <c r="U13" i="4"/>
  <c r="N13" i="4"/>
  <c r="K13" i="4"/>
  <c r="V12" i="4"/>
  <c r="U12" i="4"/>
  <c r="K12" i="4"/>
  <c r="V11" i="4"/>
  <c r="U11" i="4"/>
  <c r="K11" i="4"/>
  <c r="V10" i="4"/>
  <c r="U10" i="4"/>
  <c r="N10" i="4"/>
  <c r="K10" i="4"/>
  <c r="V9" i="4"/>
  <c r="U9" i="4"/>
  <c r="N9" i="4"/>
  <c r="K9" i="4"/>
  <c r="V8" i="4"/>
  <c r="U8" i="4"/>
  <c r="N8" i="4"/>
  <c r="K8" i="4"/>
  <c r="V7" i="4"/>
  <c r="U7" i="4"/>
  <c r="N7" i="4"/>
  <c r="K7" i="4"/>
  <c r="V6" i="4"/>
  <c r="U6" i="4"/>
  <c r="N6" i="4"/>
  <c r="K6" i="4"/>
  <c r="V5" i="4"/>
  <c r="U5" i="4"/>
  <c r="K5" i="4"/>
  <c r="V4" i="4"/>
  <c r="V96" i="4" s="1"/>
  <c r="U4" i="4"/>
  <c r="U96" i="4" s="1"/>
  <c r="N4" i="4"/>
  <c r="K4" i="4"/>
  <c r="K96" i="4" s="1"/>
  <c r="O96" i="4" s="1"/>
  <c r="R97" i="3"/>
  <c r="Q97" i="3"/>
  <c r="P97" i="3"/>
  <c r="L97" i="3"/>
  <c r="N97" i="3" s="1"/>
  <c r="J97" i="3"/>
  <c r="I97" i="3"/>
  <c r="I98" i="3" s="1"/>
  <c r="H97" i="3"/>
  <c r="G97" i="3"/>
  <c r="F97" i="3"/>
  <c r="E97" i="3"/>
  <c r="V96" i="3"/>
  <c r="U96" i="3"/>
  <c r="K96" i="3"/>
  <c r="V95" i="3"/>
  <c r="U95" i="3"/>
  <c r="N95" i="3"/>
  <c r="K95" i="3"/>
  <c r="V94" i="3"/>
  <c r="U94" i="3"/>
  <c r="N94" i="3"/>
  <c r="K94" i="3"/>
  <c r="V93" i="3"/>
  <c r="U93" i="3"/>
  <c r="K93" i="3"/>
  <c r="V92" i="3"/>
  <c r="U92" i="3"/>
  <c r="N92" i="3"/>
  <c r="K92" i="3"/>
  <c r="V91" i="3"/>
  <c r="U91" i="3"/>
  <c r="N91" i="3"/>
  <c r="K91" i="3"/>
  <c r="V90" i="3"/>
  <c r="U90" i="3"/>
  <c r="K90" i="3"/>
  <c r="V89" i="3"/>
  <c r="U89" i="3"/>
  <c r="N89" i="3"/>
  <c r="K89" i="3"/>
  <c r="V88" i="3"/>
  <c r="U88" i="3"/>
  <c r="N88" i="3"/>
  <c r="K88" i="3"/>
  <c r="V87" i="3"/>
  <c r="U87" i="3"/>
  <c r="N87" i="3"/>
  <c r="K87" i="3"/>
  <c r="V86" i="3"/>
  <c r="U86" i="3"/>
  <c r="N86" i="3"/>
  <c r="K86" i="3"/>
  <c r="V85" i="3"/>
  <c r="U85" i="3"/>
  <c r="N85" i="3"/>
  <c r="K85" i="3"/>
  <c r="V84" i="3"/>
  <c r="U84" i="3"/>
  <c r="N84" i="3"/>
  <c r="K84" i="3"/>
  <c r="V83" i="3"/>
  <c r="U83" i="3"/>
  <c r="N83" i="3"/>
  <c r="K83" i="3"/>
  <c r="V82" i="3"/>
  <c r="U82" i="3"/>
  <c r="N82" i="3"/>
  <c r="K82" i="3"/>
  <c r="V81" i="3"/>
  <c r="U81" i="3"/>
  <c r="N81" i="3"/>
  <c r="K81" i="3"/>
  <c r="V80" i="3"/>
  <c r="U80" i="3"/>
  <c r="K80" i="3"/>
  <c r="V79" i="3"/>
  <c r="U79" i="3"/>
  <c r="N79" i="3"/>
  <c r="K79" i="3"/>
  <c r="V78" i="3"/>
  <c r="U78" i="3"/>
  <c r="N78" i="3"/>
  <c r="K78" i="3"/>
  <c r="V77" i="3"/>
  <c r="U77" i="3"/>
  <c r="N77" i="3"/>
  <c r="K77" i="3"/>
  <c r="V76" i="3"/>
  <c r="U76" i="3"/>
  <c r="N76" i="3"/>
  <c r="K76" i="3"/>
  <c r="V75" i="3"/>
  <c r="U75" i="3"/>
  <c r="N75" i="3"/>
  <c r="K75" i="3"/>
  <c r="V74" i="3"/>
  <c r="U74" i="3"/>
  <c r="N74" i="3"/>
  <c r="K74" i="3"/>
  <c r="V73" i="3"/>
  <c r="U73" i="3"/>
  <c r="K73" i="3"/>
  <c r="V72" i="3"/>
  <c r="U72" i="3"/>
  <c r="K72" i="3"/>
  <c r="V71" i="3"/>
  <c r="U71" i="3"/>
  <c r="N71" i="3"/>
  <c r="K71" i="3"/>
  <c r="V70" i="3"/>
  <c r="U70" i="3"/>
  <c r="N70" i="3"/>
  <c r="K70" i="3"/>
  <c r="V69" i="3"/>
  <c r="U69" i="3"/>
  <c r="N69" i="3"/>
  <c r="K69" i="3"/>
  <c r="V68" i="3"/>
  <c r="U68" i="3"/>
  <c r="N68" i="3"/>
  <c r="K68" i="3"/>
  <c r="V67" i="3"/>
  <c r="U67" i="3"/>
  <c r="N67" i="3"/>
  <c r="K67" i="3"/>
  <c r="V66" i="3"/>
  <c r="U66" i="3"/>
  <c r="N66" i="3"/>
  <c r="K66" i="3"/>
  <c r="V65" i="3"/>
  <c r="U65" i="3"/>
  <c r="K65" i="3"/>
  <c r="V64" i="3"/>
  <c r="U64" i="3"/>
  <c r="N64" i="3"/>
  <c r="K64" i="3"/>
  <c r="V63" i="3"/>
  <c r="U63" i="3"/>
  <c r="K63" i="3"/>
  <c r="V62" i="3"/>
  <c r="U62" i="3"/>
  <c r="N62" i="3"/>
  <c r="K62" i="3"/>
  <c r="V61" i="3"/>
  <c r="U61" i="3"/>
  <c r="N61" i="3"/>
  <c r="K61" i="3"/>
  <c r="V60" i="3"/>
  <c r="U60" i="3"/>
  <c r="N60" i="3"/>
  <c r="K60" i="3"/>
  <c r="V59" i="3"/>
  <c r="U59" i="3"/>
  <c r="K59" i="3"/>
  <c r="V58" i="3"/>
  <c r="U58" i="3"/>
  <c r="N58" i="3"/>
  <c r="K58" i="3"/>
  <c r="V57" i="3"/>
  <c r="U57" i="3"/>
  <c r="N57" i="3"/>
  <c r="K57" i="3"/>
  <c r="V56" i="3"/>
  <c r="U56" i="3"/>
  <c r="N56" i="3"/>
  <c r="K56" i="3"/>
  <c r="V55" i="3"/>
  <c r="U55" i="3"/>
  <c r="K55" i="3"/>
  <c r="V54" i="3"/>
  <c r="U54" i="3"/>
  <c r="N54" i="3"/>
  <c r="K54" i="3"/>
  <c r="V53" i="3"/>
  <c r="U53" i="3"/>
  <c r="K53" i="3"/>
  <c r="V52" i="3"/>
  <c r="U52" i="3"/>
  <c r="N52" i="3"/>
  <c r="K52" i="3"/>
  <c r="V51" i="3"/>
  <c r="U51" i="3"/>
  <c r="N51" i="3"/>
  <c r="K51" i="3"/>
  <c r="V50" i="3"/>
  <c r="U50" i="3"/>
  <c r="N50" i="3"/>
  <c r="K50" i="3"/>
  <c r="V49" i="3"/>
  <c r="U49" i="3"/>
  <c r="N49" i="3"/>
  <c r="K49" i="3"/>
  <c r="V48" i="3"/>
  <c r="U48" i="3"/>
  <c r="N48" i="3"/>
  <c r="K48" i="3"/>
  <c r="V47" i="3"/>
  <c r="U47" i="3"/>
  <c r="N47" i="3"/>
  <c r="K47" i="3"/>
  <c r="V46" i="3"/>
  <c r="U46" i="3"/>
  <c r="K46" i="3"/>
  <c r="V45" i="3"/>
  <c r="U45" i="3"/>
  <c r="N45" i="3"/>
  <c r="K45" i="3"/>
  <c r="V44" i="3"/>
  <c r="U44" i="3"/>
  <c r="N44" i="3"/>
  <c r="K44" i="3"/>
  <c r="V43" i="3"/>
  <c r="U43" i="3"/>
  <c r="N43" i="3"/>
  <c r="K43" i="3"/>
  <c r="V42" i="3"/>
  <c r="U42" i="3"/>
  <c r="N42" i="3"/>
  <c r="K42" i="3"/>
  <c r="V41" i="3"/>
  <c r="U41" i="3"/>
  <c r="N41" i="3"/>
  <c r="K41" i="3"/>
  <c r="V40" i="3"/>
  <c r="U40" i="3"/>
  <c r="N40" i="3"/>
  <c r="K40" i="3"/>
  <c r="V39" i="3"/>
  <c r="U39" i="3"/>
  <c r="N39" i="3"/>
  <c r="K39" i="3"/>
  <c r="V38" i="3"/>
  <c r="U38" i="3"/>
  <c r="N38" i="3"/>
  <c r="K38" i="3"/>
  <c r="V37" i="3"/>
  <c r="U37" i="3"/>
  <c r="N37" i="3"/>
  <c r="K37" i="3"/>
  <c r="V36" i="3"/>
  <c r="U36" i="3"/>
  <c r="N36" i="3"/>
  <c r="K36" i="3"/>
  <c r="V35" i="3"/>
  <c r="U35" i="3"/>
  <c r="N35" i="3"/>
  <c r="K35" i="3"/>
  <c r="V34" i="3"/>
  <c r="U34" i="3"/>
  <c r="N34" i="3"/>
  <c r="K34" i="3"/>
  <c r="V33" i="3"/>
  <c r="U33" i="3"/>
  <c r="K33" i="3"/>
  <c r="V32" i="3"/>
  <c r="U32" i="3"/>
  <c r="N32" i="3"/>
  <c r="K32" i="3"/>
  <c r="V31" i="3"/>
  <c r="U31" i="3"/>
  <c r="N31" i="3"/>
  <c r="K31" i="3"/>
  <c r="V30" i="3"/>
  <c r="U30" i="3"/>
  <c r="N30" i="3"/>
  <c r="K30" i="3"/>
  <c r="V29" i="3"/>
  <c r="U29" i="3"/>
  <c r="N29" i="3"/>
  <c r="K29" i="3"/>
  <c r="V28" i="3"/>
  <c r="U28" i="3"/>
  <c r="N28" i="3"/>
  <c r="K28" i="3"/>
  <c r="V27" i="3"/>
  <c r="U27" i="3"/>
  <c r="N27" i="3"/>
  <c r="K27" i="3"/>
  <c r="V26" i="3"/>
  <c r="U26" i="3"/>
  <c r="N26" i="3"/>
  <c r="K26" i="3"/>
  <c r="V25" i="3"/>
  <c r="U25" i="3"/>
  <c r="N25" i="3"/>
  <c r="K25" i="3"/>
  <c r="V24" i="3"/>
  <c r="U24" i="3"/>
  <c r="N24" i="3"/>
  <c r="K24" i="3"/>
  <c r="V23" i="3"/>
  <c r="U23" i="3"/>
  <c r="N23" i="3"/>
  <c r="K23" i="3"/>
  <c r="V22" i="3"/>
  <c r="U22" i="3"/>
  <c r="N22" i="3"/>
  <c r="K22" i="3"/>
  <c r="V21" i="3"/>
  <c r="U21" i="3"/>
  <c r="N21" i="3"/>
  <c r="K21" i="3"/>
  <c r="V20" i="3"/>
  <c r="U20" i="3"/>
  <c r="N20" i="3"/>
  <c r="K20" i="3"/>
  <c r="V19" i="3"/>
  <c r="U19" i="3"/>
  <c r="N19" i="3"/>
  <c r="K19" i="3"/>
  <c r="V18" i="3"/>
  <c r="U18" i="3"/>
  <c r="N18" i="3"/>
  <c r="K18" i="3"/>
  <c r="V17" i="3"/>
  <c r="U17" i="3"/>
  <c r="N17" i="3"/>
  <c r="K17" i="3"/>
  <c r="V16" i="3"/>
  <c r="U16" i="3"/>
  <c r="N16" i="3"/>
  <c r="K16" i="3"/>
  <c r="V15" i="3"/>
  <c r="U15" i="3"/>
  <c r="N15" i="3"/>
  <c r="K15" i="3"/>
  <c r="V14" i="3"/>
  <c r="U14" i="3"/>
  <c r="N14" i="3"/>
  <c r="K14" i="3"/>
  <c r="V13" i="3"/>
  <c r="U13" i="3"/>
  <c r="N13" i="3"/>
  <c r="K13" i="3"/>
  <c r="V12" i="3"/>
  <c r="U12" i="3"/>
  <c r="N12" i="3"/>
  <c r="K12" i="3"/>
  <c r="V11" i="3"/>
  <c r="U11" i="3"/>
  <c r="N11" i="3"/>
  <c r="K11" i="3"/>
  <c r="V10" i="3"/>
  <c r="U10" i="3"/>
  <c r="N10" i="3"/>
  <c r="K10" i="3"/>
  <c r="V9" i="3"/>
  <c r="U9" i="3"/>
  <c r="N9" i="3"/>
  <c r="K9" i="3"/>
  <c r="V8" i="3"/>
  <c r="U8" i="3"/>
  <c r="N8" i="3"/>
  <c r="K8" i="3"/>
  <c r="V7" i="3"/>
  <c r="U7" i="3"/>
  <c r="N7" i="3"/>
  <c r="K7" i="3"/>
  <c r="V6" i="3"/>
  <c r="U6" i="3"/>
  <c r="N6" i="3"/>
  <c r="K6" i="3"/>
  <c r="V5" i="3"/>
  <c r="U5" i="3"/>
  <c r="K5" i="3"/>
  <c r="V4" i="3"/>
  <c r="V97" i="3" s="1"/>
  <c r="U4" i="3"/>
  <c r="U97" i="3" s="1"/>
  <c r="N4" i="3"/>
  <c r="K4" i="3"/>
  <c r="K97" i="3" s="1"/>
  <c r="O97" i="3" s="1"/>
  <c r="R84" i="2"/>
  <c r="Q84" i="2"/>
  <c r="P84" i="2"/>
  <c r="L84" i="2"/>
  <c r="J84" i="2"/>
  <c r="I84" i="2"/>
  <c r="N84" i="2" s="1"/>
  <c r="H84" i="2"/>
  <c r="G84" i="2"/>
  <c r="F84" i="2"/>
  <c r="E84" i="2"/>
  <c r="V83" i="2"/>
  <c r="U83" i="2"/>
  <c r="N83" i="2"/>
  <c r="K83" i="2"/>
  <c r="V82" i="2"/>
  <c r="U82" i="2"/>
  <c r="N82" i="2"/>
  <c r="K82" i="2"/>
  <c r="V81" i="2"/>
  <c r="U81" i="2"/>
  <c r="N81" i="2"/>
  <c r="K81" i="2"/>
  <c r="V80" i="2"/>
  <c r="U80" i="2"/>
  <c r="N80" i="2"/>
  <c r="K80" i="2"/>
  <c r="V79" i="2"/>
  <c r="U79" i="2"/>
  <c r="N79" i="2"/>
  <c r="K79" i="2"/>
  <c r="V78" i="2"/>
  <c r="U78" i="2"/>
  <c r="N78" i="2"/>
  <c r="K78" i="2"/>
  <c r="V77" i="2"/>
  <c r="U77" i="2"/>
  <c r="N77" i="2"/>
  <c r="K77" i="2"/>
  <c r="V76" i="2"/>
  <c r="U76" i="2"/>
  <c r="N76" i="2"/>
  <c r="K76" i="2"/>
  <c r="V75" i="2"/>
  <c r="U75" i="2"/>
  <c r="N75" i="2"/>
  <c r="K75" i="2"/>
  <c r="V74" i="2"/>
  <c r="U74" i="2"/>
  <c r="N74" i="2"/>
  <c r="K74" i="2"/>
  <c r="V73" i="2"/>
  <c r="U73" i="2"/>
  <c r="N73" i="2"/>
  <c r="K73" i="2"/>
  <c r="V72" i="2"/>
  <c r="U72" i="2"/>
  <c r="N72" i="2"/>
  <c r="K72" i="2"/>
  <c r="V71" i="2"/>
  <c r="U71" i="2"/>
  <c r="N71" i="2"/>
  <c r="K71" i="2"/>
  <c r="V70" i="2"/>
  <c r="U70" i="2"/>
  <c r="N70" i="2"/>
  <c r="K70" i="2"/>
  <c r="V69" i="2"/>
  <c r="U69" i="2"/>
  <c r="N69" i="2"/>
  <c r="K69" i="2"/>
  <c r="V68" i="2"/>
  <c r="U68" i="2"/>
  <c r="N68" i="2"/>
  <c r="K68" i="2"/>
  <c r="V67" i="2"/>
  <c r="U67" i="2"/>
  <c r="N67" i="2"/>
  <c r="K67" i="2"/>
  <c r="V66" i="2"/>
  <c r="U66" i="2"/>
  <c r="N66" i="2"/>
  <c r="K66" i="2"/>
  <c r="V65" i="2"/>
  <c r="U65" i="2"/>
  <c r="N65" i="2"/>
  <c r="K65" i="2"/>
  <c r="V64" i="2"/>
  <c r="U64" i="2"/>
  <c r="N64" i="2"/>
  <c r="K64" i="2"/>
  <c r="V63" i="2"/>
  <c r="U63" i="2"/>
  <c r="N63" i="2"/>
  <c r="K63" i="2"/>
  <c r="V62" i="2"/>
  <c r="U62" i="2"/>
  <c r="N62" i="2"/>
  <c r="K62" i="2"/>
  <c r="V61" i="2"/>
  <c r="U61" i="2"/>
  <c r="N61" i="2"/>
  <c r="K61" i="2"/>
  <c r="V60" i="2"/>
  <c r="U60" i="2"/>
  <c r="N60" i="2"/>
  <c r="K60" i="2"/>
  <c r="V59" i="2"/>
  <c r="U59" i="2"/>
  <c r="N59" i="2"/>
  <c r="K59" i="2"/>
  <c r="V58" i="2"/>
  <c r="U58" i="2"/>
  <c r="N58" i="2"/>
  <c r="K58" i="2"/>
  <c r="V57" i="2"/>
  <c r="U57" i="2"/>
  <c r="N57" i="2"/>
  <c r="K57" i="2"/>
  <c r="V56" i="2"/>
  <c r="U56" i="2"/>
  <c r="N56" i="2"/>
  <c r="K56" i="2"/>
  <c r="V55" i="2"/>
  <c r="U55" i="2"/>
  <c r="N55" i="2"/>
  <c r="K55" i="2"/>
  <c r="V54" i="2"/>
  <c r="U54" i="2"/>
  <c r="N54" i="2"/>
  <c r="K54" i="2"/>
  <c r="V53" i="2"/>
  <c r="U53" i="2"/>
  <c r="N53" i="2"/>
  <c r="K53" i="2"/>
  <c r="V52" i="2"/>
  <c r="U52" i="2"/>
  <c r="N52" i="2"/>
  <c r="K52" i="2"/>
  <c r="V51" i="2"/>
  <c r="U51" i="2"/>
  <c r="N51" i="2"/>
  <c r="K51" i="2"/>
  <c r="V50" i="2"/>
  <c r="U50" i="2"/>
  <c r="N50" i="2"/>
  <c r="K50" i="2"/>
  <c r="V49" i="2"/>
  <c r="U49" i="2"/>
  <c r="N49" i="2"/>
  <c r="K49" i="2"/>
  <c r="V48" i="2"/>
  <c r="U48" i="2"/>
  <c r="N48" i="2"/>
  <c r="K48" i="2"/>
  <c r="V47" i="2"/>
  <c r="U47" i="2"/>
  <c r="N47" i="2"/>
  <c r="K47" i="2"/>
  <c r="V46" i="2"/>
  <c r="U46" i="2"/>
  <c r="N46" i="2"/>
  <c r="K46" i="2"/>
  <c r="V45" i="2"/>
  <c r="U45" i="2"/>
  <c r="N45" i="2"/>
  <c r="K45" i="2"/>
  <c r="V44" i="2"/>
  <c r="U44" i="2"/>
  <c r="N44" i="2"/>
  <c r="K44" i="2"/>
  <c r="V43" i="2"/>
  <c r="U43" i="2"/>
  <c r="N43" i="2"/>
  <c r="K43" i="2"/>
  <c r="V42" i="2"/>
  <c r="U42" i="2"/>
  <c r="K42" i="2"/>
  <c r="V41" i="2"/>
  <c r="U41" i="2"/>
  <c r="N41" i="2"/>
  <c r="K41" i="2"/>
  <c r="V40" i="2"/>
  <c r="U40" i="2"/>
  <c r="N40" i="2"/>
  <c r="K40" i="2"/>
  <c r="V39" i="2"/>
  <c r="U39" i="2"/>
  <c r="N39" i="2"/>
  <c r="K39" i="2"/>
  <c r="V38" i="2"/>
  <c r="U38" i="2"/>
  <c r="N38" i="2"/>
  <c r="K38" i="2"/>
  <c r="V37" i="2"/>
  <c r="U37" i="2"/>
  <c r="N37" i="2"/>
  <c r="K37" i="2"/>
  <c r="V36" i="2"/>
  <c r="U36" i="2"/>
  <c r="N36" i="2"/>
  <c r="K36" i="2"/>
  <c r="V35" i="2"/>
  <c r="U35" i="2"/>
  <c r="N35" i="2"/>
  <c r="K35" i="2"/>
  <c r="V34" i="2"/>
  <c r="U34" i="2"/>
  <c r="N34" i="2"/>
  <c r="K34" i="2"/>
  <c r="V33" i="2"/>
  <c r="U33" i="2"/>
  <c r="N33" i="2"/>
  <c r="K33" i="2"/>
  <c r="V32" i="2"/>
  <c r="U32" i="2"/>
  <c r="N32" i="2"/>
  <c r="K32" i="2"/>
  <c r="V31" i="2"/>
  <c r="U31" i="2"/>
  <c r="N31" i="2"/>
  <c r="K31" i="2"/>
  <c r="V30" i="2"/>
  <c r="U30" i="2"/>
  <c r="N30" i="2"/>
  <c r="K30" i="2"/>
  <c r="V29" i="2"/>
  <c r="U29" i="2"/>
  <c r="N29" i="2"/>
  <c r="K29" i="2"/>
  <c r="V28" i="2"/>
  <c r="U28" i="2"/>
  <c r="N28" i="2"/>
  <c r="K28" i="2"/>
  <c r="V27" i="2"/>
  <c r="U27" i="2"/>
  <c r="N27" i="2"/>
  <c r="K27" i="2"/>
  <c r="V26" i="2"/>
  <c r="U26" i="2"/>
  <c r="N26" i="2"/>
  <c r="K26" i="2"/>
  <c r="V25" i="2"/>
  <c r="U25" i="2"/>
  <c r="N25" i="2"/>
  <c r="K25" i="2"/>
  <c r="V24" i="2"/>
  <c r="U24" i="2"/>
  <c r="N24" i="2"/>
  <c r="K24" i="2"/>
  <c r="V23" i="2"/>
  <c r="U23" i="2"/>
  <c r="N23" i="2"/>
  <c r="K23" i="2"/>
  <c r="V22" i="2"/>
  <c r="U22" i="2"/>
  <c r="N22" i="2"/>
  <c r="K22" i="2"/>
  <c r="V21" i="2"/>
  <c r="U21" i="2"/>
  <c r="N21" i="2"/>
  <c r="K21" i="2"/>
  <c r="V20" i="2"/>
  <c r="U20" i="2"/>
  <c r="N20" i="2"/>
  <c r="K20" i="2"/>
  <c r="V19" i="2"/>
  <c r="U19" i="2"/>
  <c r="N19" i="2"/>
  <c r="K19" i="2"/>
  <c r="V18" i="2"/>
  <c r="U18" i="2"/>
  <c r="N18" i="2"/>
  <c r="K18" i="2"/>
  <c r="V17" i="2"/>
  <c r="U17" i="2"/>
  <c r="N17" i="2"/>
  <c r="K17" i="2"/>
  <c r="V16" i="2"/>
  <c r="U16" i="2"/>
  <c r="N16" i="2"/>
  <c r="K16" i="2"/>
  <c r="V15" i="2"/>
  <c r="U15" i="2"/>
  <c r="N15" i="2"/>
  <c r="K15" i="2"/>
  <c r="V14" i="2"/>
  <c r="U14" i="2"/>
  <c r="N14" i="2"/>
  <c r="K14" i="2"/>
  <c r="V13" i="2"/>
  <c r="U13" i="2"/>
  <c r="N13" i="2"/>
  <c r="K13" i="2"/>
  <c r="V12" i="2"/>
  <c r="U12" i="2"/>
  <c r="N12" i="2"/>
  <c r="K12" i="2"/>
  <c r="V11" i="2"/>
  <c r="U11" i="2"/>
  <c r="K11" i="2"/>
  <c r="V10" i="2"/>
  <c r="U10" i="2"/>
  <c r="N10" i="2"/>
  <c r="K10" i="2"/>
  <c r="V9" i="2"/>
  <c r="U9" i="2"/>
  <c r="N9" i="2"/>
  <c r="K9" i="2"/>
  <c r="V8" i="2"/>
  <c r="U8" i="2"/>
  <c r="N8" i="2"/>
  <c r="K8" i="2"/>
  <c r="V7" i="2"/>
  <c r="U7" i="2"/>
  <c r="N7" i="2"/>
  <c r="K7" i="2"/>
  <c r="V6" i="2"/>
  <c r="U6" i="2"/>
  <c r="N6" i="2"/>
  <c r="K6" i="2"/>
  <c r="V5" i="2"/>
  <c r="U5" i="2"/>
  <c r="N5" i="2"/>
  <c r="K5" i="2"/>
  <c r="V4" i="2"/>
  <c r="V84" i="2" s="1"/>
  <c r="U4" i="2"/>
  <c r="U84" i="2" s="1"/>
  <c r="N4" i="2"/>
  <c r="K4" i="2"/>
  <c r="K84" i="2" s="1"/>
  <c r="O84" i="2" s="1"/>
  <c r="Q73" i="1"/>
  <c r="P73" i="1"/>
  <c r="O73" i="1"/>
  <c r="M73" i="1"/>
  <c r="K73" i="1"/>
  <c r="I73" i="1"/>
  <c r="H73" i="1"/>
  <c r="G73" i="1"/>
  <c r="F73" i="1"/>
  <c r="E73" i="1"/>
  <c r="D73" i="1"/>
  <c r="U72" i="1"/>
  <c r="T72" i="1"/>
  <c r="M72" i="1"/>
  <c r="J72" i="1"/>
  <c r="U71" i="1"/>
  <c r="T71" i="1"/>
  <c r="M71" i="1"/>
  <c r="J71" i="1"/>
  <c r="U70" i="1"/>
  <c r="T70" i="1"/>
  <c r="M70" i="1"/>
  <c r="J70" i="1"/>
  <c r="U69" i="1"/>
  <c r="T69" i="1"/>
  <c r="M69" i="1"/>
  <c r="J69" i="1"/>
  <c r="U68" i="1"/>
  <c r="T68" i="1"/>
  <c r="M68" i="1"/>
  <c r="J68" i="1"/>
  <c r="U67" i="1"/>
  <c r="T67" i="1"/>
  <c r="M67" i="1"/>
  <c r="J67" i="1"/>
  <c r="U66" i="1"/>
  <c r="T66" i="1"/>
  <c r="M66" i="1"/>
  <c r="J66" i="1"/>
  <c r="U65" i="1"/>
  <c r="T65" i="1"/>
  <c r="M65" i="1"/>
  <c r="J65" i="1"/>
  <c r="U64" i="1"/>
  <c r="T64" i="1"/>
  <c r="M64" i="1"/>
  <c r="J64" i="1"/>
  <c r="U63" i="1"/>
  <c r="T63" i="1"/>
  <c r="M63" i="1"/>
  <c r="J63" i="1"/>
  <c r="U62" i="1"/>
  <c r="T62" i="1"/>
  <c r="M62" i="1"/>
  <c r="J62" i="1"/>
  <c r="U61" i="1"/>
  <c r="T61" i="1"/>
  <c r="M61" i="1"/>
  <c r="J61" i="1"/>
  <c r="U60" i="1"/>
  <c r="T60" i="1"/>
  <c r="M60" i="1"/>
  <c r="J60" i="1"/>
  <c r="U59" i="1"/>
  <c r="T59" i="1"/>
  <c r="J59" i="1"/>
  <c r="U58" i="1"/>
  <c r="T58" i="1"/>
  <c r="M58" i="1"/>
  <c r="J58" i="1"/>
  <c r="U57" i="1"/>
  <c r="T57" i="1"/>
  <c r="M57" i="1"/>
  <c r="J57" i="1"/>
  <c r="U56" i="1"/>
  <c r="T56" i="1"/>
  <c r="M56" i="1"/>
  <c r="J56" i="1"/>
  <c r="U55" i="1"/>
  <c r="T55" i="1"/>
  <c r="M55" i="1"/>
  <c r="J55" i="1"/>
  <c r="U54" i="1"/>
  <c r="T54" i="1"/>
  <c r="M54" i="1"/>
  <c r="J54" i="1"/>
  <c r="U53" i="1"/>
  <c r="T53" i="1"/>
  <c r="M53" i="1"/>
  <c r="J53" i="1"/>
  <c r="U52" i="1"/>
  <c r="T52" i="1"/>
  <c r="M52" i="1"/>
  <c r="J52" i="1"/>
  <c r="U51" i="1"/>
  <c r="T51" i="1"/>
  <c r="M51" i="1"/>
  <c r="J51" i="1"/>
  <c r="U50" i="1"/>
  <c r="T50" i="1"/>
  <c r="M50" i="1"/>
  <c r="J50" i="1"/>
  <c r="U49" i="1"/>
  <c r="T49" i="1"/>
  <c r="J49" i="1"/>
  <c r="U48" i="1"/>
  <c r="T48" i="1"/>
  <c r="M48" i="1"/>
  <c r="J48" i="1"/>
  <c r="U47" i="1"/>
  <c r="T47" i="1"/>
  <c r="M47" i="1"/>
  <c r="J47" i="1"/>
  <c r="U46" i="1"/>
  <c r="T46" i="1"/>
  <c r="J46" i="1"/>
  <c r="U45" i="1"/>
  <c r="T45" i="1"/>
  <c r="M45" i="1"/>
  <c r="J45" i="1"/>
  <c r="U44" i="1"/>
  <c r="T44" i="1"/>
  <c r="M44" i="1"/>
  <c r="J44" i="1"/>
  <c r="U43" i="1"/>
  <c r="T43" i="1"/>
  <c r="M43" i="1"/>
  <c r="J43" i="1"/>
  <c r="U42" i="1"/>
  <c r="T42" i="1"/>
  <c r="M42" i="1"/>
  <c r="J42" i="1"/>
  <c r="U41" i="1"/>
  <c r="T41" i="1"/>
  <c r="M41" i="1"/>
  <c r="J41" i="1"/>
  <c r="U40" i="1"/>
  <c r="T40" i="1"/>
  <c r="M40" i="1"/>
  <c r="J40" i="1"/>
  <c r="U39" i="1"/>
  <c r="T39" i="1"/>
  <c r="M39" i="1"/>
  <c r="J39" i="1"/>
  <c r="U38" i="1"/>
  <c r="T38" i="1"/>
  <c r="M38" i="1"/>
  <c r="J38" i="1"/>
  <c r="U37" i="1"/>
  <c r="T37" i="1"/>
  <c r="M37" i="1"/>
  <c r="J37" i="1"/>
  <c r="U36" i="1"/>
  <c r="T36" i="1"/>
  <c r="J36" i="1"/>
  <c r="U35" i="1"/>
  <c r="T35" i="1"/>
  <c r="M35" i="1"/>
  <c r="J35" i="1"/>
  <c r="U34" i="1"/>
  <c r="T34" i="1"/>
  <c r="M34" i="1"/>
  <c r="J34" i="1"/>
  <c r="U33" i="1"/>
  <c r="T33" i="1"/>
  <c r="M33" i="1"/>
  <c r="J33" i="1"/>
  <c r="U32" i="1"/>
  <c r="T32" i="1"/>
  <c r="M32" i="1"/>
  <c r="J32" i="1"/>
  <c r="U31" i="1"/>
  <c r="T31" i="1"/>
  <c r="M31" i="1"/>
  <c r="J31" i="1"/>
  <c r="U30" i="1"/>
  <c r="T30" i="1"/>
  <c r="M30" i="1"/>
  <c r="J30" i="1"/>
  <c r="U29" i="1"/>
  <c r="T29" i="1"/>
  <c r="M29" i="1"/>
  <c r="J29" i="1"/>
  <c r="U28" i="1"/>
  <c r="T28" i="1"/>
  <c r="M28" i="1"/>
  <c r="J28" i="1"/>
  <c r="U27" i="1"/>
  <c r="T27" i="1"/>
  <c r="M27" i="1"/>
  <c r="J27" i="1"/>
  <c r="U26" i="1"/>
  <c r="T26" i="1"/>
  <c r="M26" i="1"/>
  <c r="J26" i="1"/>
  <c r="U25" i="1"/>
  <c r="T25" i="1"/>
  <c r="M25" i="1"/>
  <c r="J25" i="1"/>
  <c r="U24" i="1"/>
  <c r="T24" i="1"/>
  <c r="M24" i="1"/>
  <c r="J24" i="1"/>
  <c r="U23" i="1"/>
  <c r="T23" i="1"/>
  <c r="M23" i="1"/>
  <c r="J23" i="1"/>
  <c r="U22" i="1"/>
  <c r="T22" i="1"/>
  <c r="M22" i="1"/>
  <c r="J22" i="1"/>
  <c r="U21" i="1"/>
  <c r="T21" i="1"/>
  <c r="M21" i="1"/>
  <c r="J21" i="1"/>
  <c r="U20" i="1"/>
  <c r="T20" i="1"/>
  <c r="M20" i="1"/>
  <c r="J20" i="1"/>
  <c r="U19" i="1"/>
  <c r="T19" i="1"/>
  <c r="M19" i="1"/>
  <c r="J19" i="1"/>
  <c r="U18" i="1"/>
  <c r="T18" i="1"/>
  <c r="M18" i="1"/>
  <c r="J18" i="1"/>
  <c r="U17" i="1"/>
  <c r="T17" i="1"/>
  <c r="M17" i="1"/>
  <c r="J17" i="1"/>
  <c r="U16" i="1"/>
  <c r="T16" i="1"/>
  <c r="M16" i="1"/>
  <c r="J16" i="1"/>
  <c r="U15" i="1"/>
  <c r="T15" i="1"/>
  <c r="M15" i="1"/>
  <c r="J15" i="1"/>
  <c r="U14" i="1"/>
  <c r="T14" i="1"/>
  <c r="M14" i="1"/>
  <c r="J14" i="1"/>
  <c r="U13" i="1"/>
  <c r="T13" i="1"/>
  <c r="M13" i="1"/>
  <c r="J13" i="1"/>
  <c r="U12" i="1"/>
  <c r="T12" i="1"/>
  <c r="M12" i="1"/>
  <c r="J12" i="1"/>
  <c r="U11" i="1"/>
  <c r="T11" i="1"/>
  <c r="M11" i="1"/>
  <c r="J11" i="1"/>
  <c r="U10" i="1"/>
  <c r="T10" i="1"/>
  <c r="M10" i="1"/>
  <c r="J10" i="1"/>
  <c r="U9" i="1"/>
  <c r="T9" i="1"/>
  <c r="M9" i="1"/>
  <c r="J9" i="1"/>
  <c r="U8" i="1"/>
  <c r="T8" i="1"/>
  <c r="M8" i="1"/>
  <c r="J8" i="1"/>
  <c r="U7" i="1"/>
  <c r="M7" i="1"/>
  <c r="J7" i="1"/>
  <c r="U6" i="1"/>
  <c r="T6" i="1"/>
  <c r="M6" i="1"/>
  <c r="J6" i="1"/>
  <c r="T5" i="1"/>
  <c r="M5" i="1"/>
  <c r="J5" i="1"/>
  <c r="U4" i="1"/>
  <c r="U73" i="1" s="1"/>
  <c r="T4" i="1"/>
  <c r="T73" i="1" s="1"/>
  <c r="M4" i="1"/>
  <c r="J4" i="1"/>
  <c r="J73" i="1" s="1"/>
  <c r="N73" i="1" s="1"/>
  <c r="V1" i="2" l="1"/>
  <c r="W84" i="2"/>
  <c r="V1" i="5"/>
  <c r="W100" i="5"/>
  <c r="V1" i="4"/>
  <c r="W96" i="4"/>
  <c r="V73" i="1"/>
  <c r="U1" i="1"/>
  <c r="V1" i="3"/>
  <c r="W97" i="3"/>
  <c r="W87" i="6"/>
  <c r="V1" i="6"/>
  <c r="N8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ID#AAABVePuklA
MT07    (2024-09-06 08:32:40)
Unit of Measurement</t>
        </r>
      </text>
    </comment>
    <comment ref="C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ID#AAABU9nRlvg
Oreo Caramel    (2024-09-09 02:02:50)
Jarak atau durasi waktu pengiriman dari supplier ke pabrik</t>
        </r>
      </text>
    </comment>
    <comment ref="M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======
ID#AAABVePukk8
MT07    (2024-09-06 08:32:40)
Days of Inventory
lama waktu barang disimpan digudang</t>
        </r>
      </text>
    </comment>
    <comment ref="O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ID#AAABVePuklE
MT07    (2024-09-06 08:32:40)
Sisa PO (Purchase Order)
yg belum dikirim supplier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AlI3y8pcuwrE98hCRgCwkdb8A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======
ID#AAABVvlRc3o
Oreo Caramel    (2024-09-09 07:22:52)
Inventory Cost 1 ROL Plastik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/0jZwJs5fly6hJ//3RsHxzMmoA=="/>
    </ext>
  </extLst>
</comments>
</file>

<file path=xl/sharedStrings.xml><?xml version="1.0" encoding="utf-8"?>
<sst xmlns="http://schemas.openxmlformats.org/spreadsheetml/2006/main" count="1433" uniqueCount="182">
  <si>
    <t xml:space="preserve">Bunga Bank BI = </t>
  </si>
  <si>
    <t>Ratio CC =</t>
  </si>
  <si>
    <t xml:space="preserve">Periode Bulan : </t>
  </si>
  <si>
    <t>'JANUARI 2024</t>
  </si>
  <si>
    <t>PLASTIK</t>
  </si>
  <si>
    <t>ITEM DESCRIPTION</t>
  </si>
  <si>
    <t>UOM</t>
  </si>
  <si>
    <t>LEAD TIME (HARI)</t>
  </si>
  <si>
    <t>SALDO AWAL</t>
  </si>
  <si>
    <t>MASUK 1</t>
  </si>
  <si>
    <t>MASUK 2</t>
  </si>
  <si>
    <t>KOREKSI</t>
  </si>
  <si>
    <t>KELUAR 1</t>
  </si>
  <si>
    <t>KELUAR 2</t>
  </si>
  <si>
    <t>SALDO AKHIR</t>
  </si>
  <si>
    <t>SALDO
RATA-RATA</t>
  </si>
  <si>
    <t>HARI KERJA</t>
  </si>
  <si>
    <t>DOI
(HARI)</t>
  </si>
  <si>
    <t>AVAL
(HARI)</t>
  </si>
  <si>
    <t>SISA PO 
BERJALAN</t>
  </si>
  <si>
    <t>SISA PO
&lt; 28 HR</t>
  </si>
  <si>
    <t>SISA PO
&gt; 28 HR</t>
  </si>
  <si>
    <t>ORDERING COST</t>
  </si>
  <si>
    <t>KELUAR (in value)</t>
  </si>
  <si>
    <t>SALDO RATA-RATA (in value)</t>
  </si>
  <si>
    <t>Plastik A</t>
  </si>
  <si>
    <t>ROL</t>
  </si>
  <si>
    <t>Plastik B</t>
  </si>
  <si>
    <t>Plastik C</t>
  </si>
  <si>
    <t>Plastik D</t>
  </si>
  <si>
    <t>Plastik E</t>
  </si>
  <si>
    <t>Plastik F</t>
  </si>
  <si>
    <t>Plastik G</t>
  </si>
  <si>
    <t>Plastik H</t>
  </si>
  <si>
    <t>Plastik I</t>
  </si>
  <si>
    <t>Plastik J</t>
  </si>
  <si>
    <t>Plastik K</t>
  </si>
  <si>
    <t>Plastik L</t>
  </si>
  <si>
    <t>Plastik M</t>
  </si>
  <si>
    <t>Plastik N</t>
  </si>
  <si>
    <t>Plastik O</t>
  </si>
  <si>
    <t>Plastik P</t>
  </si>
  <si>
    <t>Plastik Q</t>
  </si>
  <si>
    <t>Plastik R</t>
  </si>
  <si>
    <t>Plastik S</t>
  </si>
  <si>
    <t>Plastik T</t>
  </si>
  <si>
    <t>Plastik U</t>
  </si>
  <si>
    <t>Plastik V</t>
  </si>
  <si>
    <t>Plastik W</t>
  </si>
  <si>
    <t>Plastik X</t>
  </si>
  <si>
    <t>Plastik Y</t>
  </si>
  <si>
    <t>Plastik Z</t>
  </si>
  <si>
    <t>Plastik AA</t>
  </si>
  <si>
    <t>Plastik AB</t>
  </si>
  <si>
    <t>Plastik AC</t>
  </si>
  <si>
    <t>Plastik AD</t>
  </si>
  <si>
    <t>Plastik AE</t>
  </si>
  <si>
    <t>Plastik AF</t>
  </si>
  <si>
    <t>Plastik AG</t>
  </si>
  <si>
    <t>Plastik AH</t>
  </si>
  <si>
    <t>Plastik AI</t>
  </si>
  <si>
    <t>Plastik AJ</t>
  </si>
  <si>
    <t>Plastik AK</t>
  </si>
  <si>
    <t>Plastik AL</t>
  </si>
  <si>
    <t>Plastik AM</t>
  </si>
  <si>
    <t>Plastik AN</t>
  </si>
  <si>
    <t>Plastik AO</t>
  </si>
  <si>
    <t>Plastik AP</t>
  </si>
  <si>
    <t>Plastik AQ</t>
  </si>
  <si>
    <t>Plastik AR</t>
  </si>
  <si>
    <t>Plastik AS</t>
  </si>
  <si>
    <t>Plastik AT</t>
  </si>
  <si>
    <t>Plastik AU</t>
  </si>
  <si>
    <t>Plastik AV</t>
  </si>
  <si>
    <t>Plastik AW</t>
  </si>
  <si>
    <t>Plastik AX</t>
  </si>
  <si>
    <t>Plastik AY</t>
  </si>
  <si>
    <t>Plastik AZ</t>
  </si>
  <si>
    <t>Plastik BA</t>
  </si>
  <si>
    <t>Plastik BB</t>
  </si>
  <si>
    <t>Plastik BC</t>
  </si>
  <si>
    <t>Plastik BD</t>
  </si>
  <si>
    <t>Plastik BE</t>
  </si>
  <si>
    <t>Plastik BF</t>
  </si>
  <si>
    <t>Plastik BG</t>
  </si>
  <si>
    <t>Plastik BH</t>
  </si>
  <si>
    <t>Plastik BI</t>
  </si>
  <si>
    <t>Plastik BJ</t>
  </si>
  <si>
    <t>Plastik BK</t>
  </si>
  <si>
    <t>Plastik BL</t>
  </si>
  <si>
    <t>Plastik BM</t>
  </si>
  <si>
    <t>Plastik BN</t>
  </si>
  <si>
    <t>Plastik BO</t>
  </si>
  <si>
    <t>Plastik BP</t>
  </si>
  <si>
    <t>Plastik BQ</t>
  </si>
  <si>
    <t>DOI JAN 2024</t>
  </si>
  <si>
    <t>GRAND TOTAL</t>
  </si>
  <si>
    <t>Target DOI 2024</t>
  </si>
  <si>
    <t>hari</t>
  </si>
  <si>
    <t>'Februari 2024</t>
  </si>
  <si>
    <t>Plastik BR</t>
  </si>
  <si>
    <t>Plastik BS</t>
  </si>
  <si>
    <t>Plastik BT</t>
  </si>
  <si>
    <t>Plastik BU</t>
  </si>
  <si>
    <t>Plastik BV</t>
  </si>
  <si>
    <t>Plastik BW</t>
  </si>
  <si>
    <t>Plastik BX</t>
  </si>
  <si>
    <t>Plastik BY</t>
  </si>
  <si>
    <t>Plastik BZ</t>
  </si>
  <si>
    <t>Plastik CA</t>
  </si>
  <si>
    <t>Plastik CB</t>
  </si>
  <si>
    <t>Plastik CC</t>
  </si>
  <si>
    <t>Plastik CD</t>
  </si>
  <si>
    <t>Plastik CE</t>
  </si>
  <si>
    <t>DOI FEB 2024</t>
  </si>
  <si>
    <t>'Maret 2024</t>
  </si>
  <si>
    <t>Plastik CF</t>
  </si>
  <si>
    <t>Plastik CG</t>
  </si>
  <si>
    <t>Plastik CH</t>
  </si>
  <si>
    <t>Plastik CI</t>
  </si>
  <si>
    <t>Plastik CJ</t>
  </si>
  <si>
    <t>Plastik CK</t>
  </si>
  <si>
    <t>Plastik CL</t>
  </si>
  <si>
    <t>Plastik CM</t>
  </si>
  <si>
    <t>Plastik CN</t>
  </si>
  <si>
    <t>Plastik CO</t>
  </si>
  <si>
    <t>Plastik CP</t>
  </si>
  <si>
    <t>Plastik CQ</t>
  </si>
  <si>
    <t>Plastik CR</t>
  </si>
  <si>
    <t>Plastik CS</t>
  </si>
  <si>
    <t>Plastik CT</t>
  </si>
  <si>
    <t>Plastik CU</t>
  </si>
  <si>
    <t>Plastik CV</t>
  </si>
  <si>
    <t>Plastik CW</t>
  </si>
  <si>
    <t>Plastik CX</t>
  </si>
  <si>
    <t>Plastik CY</t>
  </si>
  <si>
    <t>Plastik CZ</t>
  </si>
  <si>
    <t>Plastik DA</t>
  </si>
  <si>
    <t>Plastik DB</t>
  </si>
  <si>
    <t>DOI MAR 2024</t>
  </si>
  <si>
    <t>'April 2024</t>
  </si>
  <si>
    <t>Plastik DC</t>
  </si>
  <si>
    <t>Plastik DD</t>
  </si>
  <si>
    <t>Plastik DE</t>
  </si>
  <si>
    <t>Plastik DF</t>
  </si>
  <si>
    <t>Plastik DG</t>
  </si>
  <si>
    <t>Plastik DH</t>
  </si>
  <si>
    <t>DOI APR 2024</t>
  </si>
  <si>
    <t>'Mei 2024</t>
  </si>
  <si>
    <t>Plastik DI</t>
  </si>
  <si>
    <t>Plastik DJ</t>
  </si>
  <si>
    <t>Plastik DK</t>
  </si>
  <si>
    <t>Plastik DL</t>
  </si>
  <si>
    <t>Plastik DM</t>
  </si>
  <si>
    <t>Plastik DN</t>
  </si>
  <si>
    <t>DOI MEI 2024</t>
  </si>
  <si>
    <t>'Juni 2024</t>
  </si>
  <si>
    <t>Plastik DO</t>
  </si>
  <si>
    <t>DOI JUNI 2024</t>
  </si>
  <si>
    <t>'Juli 2024</t>
  </si>
  <si>
    <t>Plastik DP</t>
  </si>
  <si>
    <t>Plastik DQ</t>
  </si>
  <si>
    <t>Plastik DR</t>
  </si>
  <si>
    <t>DOI JULI 2024</t>
  </si>
  <si>
    <t>Januari</t>
  </si>
  <si>
    <t>Februari</t>
  </si>
  <si>
    <t>Maret</t>
  </si>
  <si>
    <t>April</t>
  </si>
  <si>
    <t>Mei</t>
  </si>
  <si>
    <t>Juni</t>
  </si>
  <si>
    <t>Juli</t>
  </si>
  <si>
    <t>Outbound (ROL)</t>
  </si>
  <si>
    <t>Outbound (IDR)</t>
  </si>
  <si>
    <t>AVERAGE</t>
  </si>
  <si>
    <t>Inventory Cost</t>
  </si>
  <si>
    <t>Ratio Inventory Cost</t>
  </si>
  <si>
    <t>Bulan</t>
  </si>
  <si>
    <t>Hasil Produksi (pcs)</t>
  </si>
  <si>
    <t>Reject (pcs)</t>
  </si>
  <si>
    <t>Persentase</t>
  </si>
  <si>
    <t>Agustus</t>
  </si>
  <si>
    <t>Rata-rata Reject Plastik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</si>
</sst>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0.000%"/>
    <numFmt numFmtId="166" formatCode="#,###\ "/>
    <numFmt numFmtId="167" formatCode="_(* #,##0.00_);_(* \(#,##0.00\);_(* &quot;-&quot;_);_(@_)"/>
    <numFmt numFmtId="168" formatCode="#,##0.00\ "/>
    <numFmt numFmtId="169" formatCode="_-* #,##0_-;\-* #,##0_-;_-* &quot;-&quot;??_-;_-@"/>
    <numFmt numFmtId="170" formatCode="[$Rp]#,##0"/>
    <numFmt numFmtId="171" formatCode="_-&quot;Rp&quot;* #,##0_-;\-&quot;Rp&quot;* #,##0_-;_-&quot;Rp&quot;* &quot;-&quot;??_-;_-@"/>
  </numFmts>
  <fonts count="12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C00000"/>
      <name val="Calibri"/>
      <family val="2"/>
    </font>
    <font>
      <sz val="10"/>
      <color theme="1"/>
      <name val="Calibri"/>
      <family val="2"/>
    </font>
    <font>
      <b/>
      <sz val="11"/>
      <color rgb="FFC00000"/>
      <name val="Calibri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166" fontId="4" fillId="2" borderId="1" xfId="0" applyNumberFormat="1" applyFont="1" applyFill="1" applyBorder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 wrapText="1"/>
    </xf>
    <xf numFmtId="166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8" fontId="7" fillId="3" borderId="2" xfId="0" applyNumberFormat="1" applyFont="1" applyFill="1" applyBorder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right" vertical="center" wrapText="1"/>
    </xf>
    <xf numFmtId="170" fontId="1" fillId="0" borderId="0" xfId="0" applyNumberFormat="1" applyFont="1" applyAlignment="1">
      <alignment horizontal="left"/>
    </xf>
    <xf numFmtId="171" fontId="1" fillId="0" borderId="0" xfId="0" applyNumberFormat="1" applyFont="1"/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vertical="center"/>
    </xf>
    <xf numFmtId="4" fontId="2" fillId="3" borderId="3" xfId="0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169" fontId="2" fillId="3" borderId="3" xfId="0" applyNumberFormat="1" applyFont="1" applyFill="1" applyBorder="1" applyAlignment="1">
      <alignment vertical="center"/>
    </xf>
    <xf numFmtId="169" fontId="4" fillId="3" borderId="3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71" fontId="2" fillId="3" borderId="3" xfId="0" applyNumberFormat="1" applyFont="1" applyFill="1" applyBorder="1" applyAlignment="1">
      <alignment vertical="center"/>
    </xf>
    <xf numFmtId="4" fontId="1" fillId="0" borderId="0" xfId="0" applyNumberFormat="1" applyFont="1"/>
    <xf numFmtId="168" fontId="3" fillId="0" borderId="0" xfId="0" applyNumberFormat="1" applyFont="1" applyAlignment="1">
      <alignment vertical="center"/>
    </xf>
    <xf numFmtId="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65" fontId="2" fillId="0" borderId="0" xfId="0" applyNumberFormat="1" applyFont="1"/>
    <xf numFmtId="164" fontId="4" fillId="3" borderId="2" xfId="0" applyNumberFormat="1" applyFont="1" applyFill="1" applyBorder="1" applyAlignment="1">
      <alignment horizontal="center" vertical="center" wrapText="1"/>
    </xf>
    <xf numFmtId="168" fontId="3" fillId="0" borderId="0" xfId="0" applyNumberFormat="1" applyFont="1" applyAlignment="1">
      <alignment horizontal="right" vertical="center" wrapText="1"/>
    </xf>
    <xf numFmtId="168" fontId="4" fillId="3" borderId="3" xfId="0" applyNumberFormat="1" applyFont="1" applyFill="1" applyBorder="1" applyAlignment="1">
      <alignment vertical="center"/>
    </xf>
    <xf numFmtId="3" fontId="2" fillId="3" borderId="3" xfId="0" applyNumberFormat="1" applyFont="1" applyFill="1" applyBorder="1" applyAlignment="1">
      <alignment vertical="center"/>
    </xf>
    <xf numFmtId="10" fontId="1" fillId="0" borderId="0" xfId="0" applyNumberFormat="1" applyFont="1"/>
    <xf numFmtId="169" fontId="1" fillId="0" borderId="0" xfId="0" applyNumberFormat="1" applyFont="1"/>
    <xf numFmtId="168" fontId="4" fillId="3" borderId="2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9" fillId="0" borderId="4" xfId="0" applyNumberFormat="1" applyFont="1" applyBorder="1" applyAlignment="1">
      <alignment horizontal="center" vertical="center"/>
    </xf>
    <xf numFmtId="171" fontId="9" fillId="0" borderId="4" xfId="0" applyNumberFormat="1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70" fontId="9" fillId="0" borderId="4" xfId="0" applyNumberFormat="1" applyFont="1" applyBorder="1" applyAlignment="1">
      <alignment horizontal="center" vertical="center"/>
    </xf>
    <xf numFmtId="170" fontId="9" fillId="6" borderId="4" xfId="0" applyNumberFormat="1" applyFont="1" applyFill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10" fontId="11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11" sqref="I11"/>
    </sheetView>
  </sheetViews>
  <sheetFormatPr defaultColWidth="14.453125" defaultRowHeight="15" customHeight="1" x14ac:dyDescent="0.35"/>
  <cols>
    <col min="1" max="1" width="17.81640625" customWidth="1"/>
    <col min="2" max="2" width="15" customWidth="1"/>
    <col min="3" max="3" width="11.08984375" customWidth="1"/>
    <col min="4" max="4" width="17.26953125" customWidth="1"/>
    <col min="5" max="6" width="11.81640625" customWidth="1"/>
    <col min="7" max="7" width="9.54296875" customWidth="1"/>
    <col min="8" max="8" width="13.26953125" customWidth="1"/>
    <col min="9" max="9" width="10.26953125" customWidth="1"/>
    <col min="10" max="10" width="12.7265625" customWidth="1"/>
    <col min="11" max="11" width="11.54296875" customWidth="1"/>
    <col min="12" max="12" width="11.453125" customWidth="1"/>
    <col min="13" max="13" width="9.26953125" customWidth="1"/>
    <col min="14" max="14" width="8.81640625" customWidth="1"/>
    <col min="15" max="16" width="13.26953125" customWidth="1"/>
    <col min="17" max="17" width="7.81640625" customWidth="1"/>
    <col min="18" max="18" width="16.453125" customWidth="1"/>
    <col min="19" max="19" width="14.26953125" customWidth="1"/>
    <col min="20" max="20" width="18.453125" customWidth="1"/>
    <col min="21" max="21" width="18.81640625" customWidth="1"/>
    <col min="22" max="22" width="13.81640625" customWidth="1"/>
    <col min="23" max="26" width="8.7265625" customWidth="1"/>
  </cols>
  <sheetData>
    <row r="1" spans="1:26" ht="12.7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2"/>
      <c r="N1" s="2"/>
      <c r="O1" s="2"/>
      <c r="P1" s="2"/>
      <c r="Q1" s="2"/>
      <c r="R1" s="4" t="s">
        <v>0</v>
      </c>
      <c r="S1" s="5">
        <v>5.1999999999999998E-3</v>
      </c>
      <c r="T1" s="4" t="s">
        <v>1</v>
      </c>
      <c r="U1" s="6">
        <f>(U73*S1)/T73</f>
        <v>7.0048330945191644E-3</v>
      </c>
      <c r="V1" s="2"/>
      <c r="W1" s="2"/>
      <c r="X1" s="2"/>
      <c r="Y1" s="2"/>
      <c r="Z1" s="2"/>
    </row>
    <row r="2" spans="1:26" ht="12.75" customHeight="1" x14ac:dyDescent="0.35">
      <c r="A2" s="7"/>
      <c r="B2" s="8" t="s">
        <v>2</v>
      </c>
      <c r="C2" s="8"/>
      <c r="D2" s="9" t="s">
        <v>3</v>
      </c>
      <c r="E2" s="10"/>
      <c r="F2" s="11" t="s">
        <v>4</v>
      </c>
      <c r="G2" s="10"/>
      <c r="H2" s="10"/>
      <c r="I2" s="12"/>
      <c r="J2" s="10"/>
      <c r="K2" s="10"/>
      <c r="L2" s="13"/>
      <c r="M2" s="8"/>
      <c r="N2" s="14"/>
      <c r="O2" s="14"/>
      <c r="P2" s="10"/>
      <c r="Q2" s="10"/>
      <c r="R2" s="10"/>
      <c r="S2" s="15"/>
      <c r="T2" s="2"/>
      <c r="U2" s="2"/>
      <c r="V2" s="2"/>
      <c r="W2" s="2"/>
      <c r="X2" s="2"/>
      <c r="Y2" s="2"/>
      <c r="Z2" s="2"/>
    </row>
    <row r="3" spans="1:26" ht="12.75" customHeight="1" x14ac:dyDescent="0.35">
      <c r="A3" s="16" t="s">
        <v>5</v>
      </c>
      <c r="B3" s="16" t="s">
        <v>6</v>
      </c>
      <c r="C3" s="17" t="s">
        <v>7</v>
      </c>
      <c r="D3" s="17" t="s">
        <v>8</v>
      </c>
      <c r="E3" s="17" t="s">
        <v>9</v>
      </c>
      <c r="F3" s="17" t="s">
        <v>10</v>
      </c>
      <c r="G3" s="18" t="s">
        <v>11</v>
      </c>
      <c r="H3" s="17" t="s">
        <v>12</v>
      </c>
      <c r="I3" s="17" t="s">
        <v>13</v>
      </c>
      <c r="J3" s="17" t="s">
        <v>14</v>
      </c>
      <c r="K3" s="17" t="s">
        <v>15</v>
      </c>
      <c r="L3" s="19" t="s">
        <v>16</v>
      </c>
      <c r="M3" s="20" t="s">
        <v>17</v>
      </c>
      <c r="N3" s="20" t="s">
        <v>18</v>
      </c>
      <c r="O3" s="19" t="s">
        <v>19</v>
      </c>
      <c r="P3" s="19" t="s">
        <v>20</v>
      </c>
      <c r="Q3" s="19" t="s">
        <v>21</v>
      </c>
      <c r="R3" s="2"/>
      <c r="S3" s="17" t="s">
        <v>22</v>
      </c>
      <c r="T3" s="19" t="s">
        <v>23</v>
      </c>
      <c r="U3" s="19" t="s">
        <v>24</v>
      </c>
      <c r="V3" s="2"/>
      <c r="W3" s="2"/>
      <c r="X3" s="2"/>
      <c r="Y3" s="2"/>
      <c r="Z3" s="2"/>
    </row>
    <row r="4" spans="1:26" ht="12.75" customHeight="1" x14ac:dyDescent="0.35">
      <c r="A4" s="8" t="s">
        <v>25</v>
      </c>
      <c r="B4" s="8" t="s">
        <v>26</v>
      </c>
      <c r="C4" s="8">
        <v>14</v>
      </c>
      <c r="D4" s="21">
        <v>57</v>
      </c>
      <c r="E4" s="21">
        <v>0</v>
      </c>
      <c r="F4" s="21">
        <v>0</v>
      </c>
      <c r="G4" s="22">
        <v>0</v>
      </c>
      <c r="H4" s="21">
        <v>57</v>
      </c>
      <c r="I4" s="21">
        <v>0</v>
      </c>
      <c r="J4" s="21">
        <f t="shared" ref="J4:J72" si="0">(D4+E4+F4)-(H4+I4)</f>
        <v>0</v>
      </c>
      <c r="K4" s="21">
        <v>18</v>
      </c>
      <c r="L4" s="23">
        <v>26</v>
      </c>
      <c r="M4" s="21">
        <f t="shared" ref="M4:M35" si="1">(K4/(H4+I4))*L4</f>
        <v>8.2105263157894726</v>
      </c>
      <c r="N4" s="24">
        <v>0</v>
      </c>
      <c r="O4" s="21">
        <v>0</v>
      </c>
      <c r="P4" s="21">
        <v>0</v>
      </c>
      <c r="Q4" s="21">
        <v>0</v>
      </c>
      <c r="R4" s="2"/>
      <c r="S4" s="25">
        <v>1631375</v>
      </c>
      <c r="T4" s="26">
        <f t="shared" ref="T4:T72" si="2">S4*(H4+I4)</f>
        <v>92988375</v>
      </c>
      <c r="U4" s="26">
        <f t="shared" ref="U4:U72" si="3">K4*S4</f>
        <v>29364750</v>
      </c>
      <c r="V4" s="2"/>
      <c r="W4" s="2"/>
      <c r="X4" s="2"/>
      <c r="Y4" s="2"/>
      <c r="Z4" s="2"/>
    </row>
    <row r="5" spans="1:26" ht="12.75" customHeight="1" x14ac:dyDescent="0.35">
      <c r="A5" s="8" t="s">
        <v>27</v>
      </c>
      <c r="B5" s="8" t="s">
        <v>26</v>
      </c>
      <c r="C5" s="8">
        <v>14</v>
      </c>
      <c r="D5" s="21">
        <v>69</v>
      </c>
      <c r="E5" s="21">
        <v>124</v>
      </c>
      <c r="F5" s="21">
        <v>0</v>
      </c>
      <c r="G5" s="22">
        <v>0</v>
      </c>
      <c r="H5" s="21">
        <v>69</v>
      </c>
      <c r="I5" s="21">
        <v>0</v>
      </c>
      <c r="J5" s="21">
        <f t="shared" si="0"/>
        <v>124</v>
      </c>
      <c r="K5" s="21">
        <v>145.75</v>
      </c>
      <c r="L5" s="23">
        <v>26</v>
      </c>
      <c r="M5" s="21">
        <f t="shared" si="1"/>
        <v>54.920289855072461</v>
      </c>
      <c r="N5" s="24">
        <v>48.521739130434781</v>
      </c>
      <c r="O5" s="21">
        <v>0</v>
      </c>
      <c r="P5" s="21">
        <v>0</v>
      </c>
      <c r="Q5" s="21">
        <v>0</v>
      </c>
      <c r="R5" s="2"/>
      <c r="S5" s="25">
        <v>844750</v>
      </c>
      <c r="T5" s="26">
        <f t="shared" si="2"/>
        <v>58287750</v>
      </c>
      <c r="U5" s="26">
        <f>K5*S5</f>
        <v>123122312.5</v>
      </c>
      <c r="V5" s="2"/>
      <c r="W5" s="2"/>
      <c r="X5" s="2"/>
      <c r="Y5" s="2"/>
      <c r="Z5" s="2"/>
    </row>
    <row r="6" spans="1:26" ht="12.75" customHeight="1" x14ac:dyDescent="0.35">
      <c r="A6" s="8" t="s">
        <v>28</v>
      </c>
      <c r="B6" s="8" t="s">
        <v>26</v>
      </c>
      <c r="C6" s="8">
        <v>14</v>
      </c>
      <c r="D6" s="21">
        <v>135</v>
      </c>
      <c r="E6" s="21">
        <v>99</v>
      </c>
      <c r="F6" s="21">
        <v>0</v>
      </c>
      <c r="G6" s="22">
        <v>0</v>
      </c>
      <c r="H6" s="21">
        <v>20</v>
      </c>
      <c r="I6" s="21">
        <v>0</v>
      </c>
      <c r="J6" s="21">
        <f t="shared" si="0"/>
        <v>214</v>
      </c>
      <c r="K6" s="21">
        <v>151.333333333333</v>
      </c>
      <c r="L6" s="23">
        <v>26</v>
      </c>
      <c r="M6" s="21">
        <f t="shared" si="1"/>
        <v>196.73333333333292</v>
      </c>
      <c r="N6" s="24">
        <v>288.89999999999998</v>
      </c>
      <c r="O6" s="21">
        <v>7</v>
      </c>
      <c r="P6" s="21">
        <v>0</v>
      </c>
      <c r="Q6" s="21">
        <v>0</v>
      </c>
      <c r="R6" s="2"/>
      <c r="S6" s="25">
        <v>928605</v>
      </c>
      <c r="T6" s="26">
        <f t="shared" si="2"/>
        <v>18572100</v>
      </c>
      <c r="U6" s="26">
        <f t="shared" si="3"/>
        <v>140528889.9999997</v>
      </c>
      <c r="V6" s="2"/>
      <c r="W6" s="2"/>
      <c r="X6" s="2"/>
      <c r="Y6" s="2"/>
      <c r="Z6" s="2"/>
    </row>
    <row r="7" spans="1:26" ht="12.75" customHeight="1" x14ac:dyDescent="0.35">
      <c r="A7" s="8" t="s">
        <v>29</v>
      </c>
      <c r="B7" s="8" t="s">
        <v>26</v>
      </c>
      <c r="C7" s="8">
        <v>14</v>
      </c>
      <c r="D7" s="21">
        <v>44</v>
      </c>
      <c r="E7" s="21">
        <v>151</v>
      </c>
      <c r="F7" s="21">
        <v>0</v>
      </c>
      <c r="G7" s="22">
        <v>0</v>
      </c>
      <c r="H7" s="21">
        <v>142</v>
      </c>
      <c r="I7" s="21">
        <v>0</v>
      </c>
      <c r="J7" s="21">
        <f t="shared" si="0"/>
        <v>53</v>
      </c>
      <c r="K7" s="21">
        <v>133.833333333333</v>
      </c>
      <c r="L7" s="23">
        <v>26</v>
      </c>
      <c r="M7" s="21">
        <f t="shared" si="1"/>
        <v>24.504694835680692</v>
      </c>
      <c r="N7" s="24">
        <v>10.077464788732394</v>
      </c>
      <c r="O7" s="21">
        <v>1</v>
      </c>
      <c r="P7" s="21">
        <v>100</v>
      </c>
      <c r="Q7" s="21">
        <v>0</v>
      </c>
      <c r="R7" s="2"/>
      <c r="S7" s="25">
        <v>1329900</v>
      </c>
      <c r="T7" s="26">
        <f>S7*(H7+I7)</f>
        <v>188845800</v>
      </c>
      <c r="U7" s="26">
        <f t="shared" si="3"/>
        <v>177984949.99999955</v>
      </c>
      <c r="V7" s="2"/>
      <c r="W7" s="2"/>
      <c r="X7" s="2"/>
      <c r="Y7" s="2"/>
      <c r="Z7" s="2"/>
    </row>
    <row r="8" spans="1:26" ht="12.75" customHeight="1" x14ac:dyDescent="0.35">
      <c r="A8" s="8" t="s">
        <v>30</v>
      </c>
      <c r="B8" s="8" t="s">
        <v>26</v>
      </c>
      <c r="C8" s="8">
        <v>14</v>
      </c>
      <c r="D8" s="21">
        <v>10</v>
      </c>
      <c r="E8" s="21">
        <v>700</v>
      </c>
      <c r="F8" s="21">
        <v>0</v>
      </c>
      <c r="G8" s="22">
        <v>0</v>
      </c>
      <c r="H8" s="21">
        <v>214</v>
      </c>
      <c r="I8" s="21">
        <v>0</v>
      </c>
      <c r="J8" s="21">
        <f t="shared" si="0"/>
        <v>496</v>
      </c>
      <c r="K8" s="21">
        <v>564.4</v>
      </c>
      <c r="L8" s="23">
        <v>26</v>
      </c>
      <c r="M8" s="21">
        <f t="shared" si="1"/>
        <v>68.571962616822432</v>
      </c>
      <c r="N8" s="24">
        <v>62.579439252336442</v>
      </c>
      <c r="O8" s="21">
        <v>0</v>
      </c>
      <c r="P8" s="21">
        <v>0</v>
      </c>
      <c r="Q8" s="21">
        <v>0</v>
      </c>
      <c r="R8" s="2"/>
      <c r="S8" s="25">
        <v>841116</v>
      </c>
      <c r="T8" s="26">
        <f t="shared" si="2"/>
        <v>179998824</v>
      </c>
      <c r="U8" s="26">
        <f t="shared" si="3"/>
        <v>474725870.39999998</v>
      </c>
      <c r="V8" s="2"/>
      <c r="W8" s="2"/>
      <c r="X8" s="2"/>
      <c r="Y8" s="2"/>
      <c r="Z8" s="2"/>
    </row>
    <row r="9" spans="1:26" ht="12.75" customHeight="1" x14ac:dyDescent="0.35">
      <c r="A9" s="8" t="s">
        <v>31</v>
      </c>
      <c r="B9" s="8" t="s">
        <v>26</v>
      </c>
      <c r="C9" s="8">
        <v>14</v>
      </c>
      <c r="D9" s="21">
        <v>84</v>
      </c>
      <c r="E9" s="21">
        <v>0</v>
      </c>
      <c r="F9" s="21">
        <v>0</v>
      </c>
      <c r="G9" s="22">
        <v>0</v>
      </c>
      <c r="H9" s="21">
        <v>18</v>
      </c>
      <c r="I9" s="21">
        <v>0</v>
      </c>
      <c r="J9" s="21">
        <f t="shared" si="0"/>
        <v>66</v>
      </c>
      <c r="K9" s="21">
        <v>66</v>
      </c>
      <c r="L9" s="23">
        <v>26</v>
      </c>
      <c r="M9" s="21">
        <f t="shared" si="1"/>
        <v>95.333333333333329</v>
      </c>
      <c r="N9" s="24">
        <v>99</v>
      </c>
      <c r="O9" s="21">
        <v>0</v>
      </c>
      <c r="P9" s="21">
        <v>0</v>
      </c>
      <c r="Q9" s="21">
        <v>0</v>
      </c>
      <c r="R9" s="2"/>
      <c r="S9" s="25">
        <v>928605</v>
      </c>
      <c r="T9" s="26">
        <f t="shared" si="2"/>
        <v>16714890</v>
      </c>
      <c r="U9" s="26">
        <f t="shared" si="3"/>
        <v>61287930</v>
      </c>
      <c r="V9" s="2"/>
      <c r="W9" s="2"/>
      <c r="X9" s="2"/>
      <c r="Y9" s="2"/>
      <c r="Z9" s="2"/>
    </row>
    <row r="10" spans="1:26" ht="12.75" customHeight="1" x14ac:dyDescent="0.35">
      <c r="A10" s="8" t="s">
        <v>32</v>
      </c>
      <c r="B10" s="8" t="s">
        <v>26</v>
      </c>
      <c r="C10" s="8">
        <v>14</v>
      </c>
      <c r="D10" s="21">
        <v>54</v>
      </c>
      <c r="E10" s="21">
        <v>183</v>
      </c>
      <c r="F10" s="21">
        <v>0</v>
      </c>
      <c r="G10" s="22">
        <v>0</v>
      </c>
      <c r="H10" s="21">
        <v>72</v>
      </c>
      <c r="I10" s="21">
        <v>0</v>
      </c>
      <c r="J10" s="21">
        <f t="shared" si="0"/>
        <v>165</v>
      </c>
      <c r="K10" s="21">
        <v>118.875</v>
      </c>
      <c r="L10" s="23">
        <v>26</v>
      </c>
      <c r="M10" s="21">
        <f t="shared" si="1"/>
        <v>42.927083333333336</v>
      </c>
      <c r="N10" s="24">
        <v>61.874999999999993</v>
      </c>
      <c r="O10" s="21">
        <v>0</v>
      </c>
      <c r="P10" s="21">
        <v>0</v>
      </c>
      <c r="Q10" s="21">
        <v>0</v>
      </c>
      <c r="R10" s="2"/>
      <c r="S10" s="25">
        <v>3438210</v>
      </c>
      <c r="T10" s="26">
        <f t="shared" si="2"/>
        <v>247551120</v>
      </c>
      <c r="U10" s="26">
        <f t="shared" si="3"/>
        <v>408717213.75</v>
      </c>
      <c r="V10" s="2"/>
      <c r="W10" s="2"/>
      <c r="X10" s="2"/>
      <c r="Y10" s="2"/>
      <c r="Z10" s="2"/>
    </row>
    <row r="11" spans="1:26" ht="12.75" customHeight="1" x14ac:dyDescent="0.35">
      <c r="A11" s="8" t="s">
        <v>33</v>
      </c>
      <c r="B11" s="8" t="s">
        <v>26</v>
      </c>
      <c r="C11" s="8">
        <v>14</v>
      </c>
      <c r="D11" s="21">
        <v>590</v>
      </c>
      <c r="E11" s="21">
        <v>2258</v>
      </c>
      <c r="F11" s="21">
        <v>0</v>
      </c>
      <c r="G11" s="22">
        <v>0</v>
      </c>
      <c r="H11" s="21">
        <v>1063</v>
      </c>
      <c r="I11" s="21">
        <v>0</v>
      </c>
      <c r="J11" s="21">
        <f t="shared" si="0"/>
        <v>1785</v>
      </c>
      <c r="K11" s="21">
        <v>1213.6363636363601</v>
      </c>
      <c r="L11" s="23">
        <v>26</v>
      </c>
      <c r="M11" s="21">
        <f t="shared" si="1"/>
        <v>29.684426580005045</v>
      </c>
      <c r="N11" s="24">
        <v>45.338664158043272</v>
      </c>
      <c r="O11" s="21">
        <v>154</v>
      </c>
      <c r="P11" s="21">
        <v>0</v>
      </c>
      <c r="Q11" s="21">
        <v>0</v>
      </c>
      <c r="R11" s="2"/>
      <c r="S11" s="25">
        <v>165230</v>
      </c>
      <c r="T11" s="26">
        <f t="shared" si="2"/>
        <v>175639490</v>
      </c>
      <c r="U11" s="26">
        <f t="shared" si="3"/>
        <v>200529136.36363578</v>
      </c>
      <c r="V11" s="2"/>
      <c r="W11" s="2"/>
      <c r="X11" s="2"/>
      <c r="Y11" s="2"/>
      <c r="Z11" s="2"/>
    </row>
    <row r="12" spans="1:26" ht="12.75" customHeight="1" x14ac:dyDescent="0.35">
      <c r="A12" s="8" t="s">
        <v>34</v>
      </c>
      <c r="B12" s="8" t="s">
        <v>26</v>
      </c>
      <c r="C12" s="8">
        <v>14</v>
      </c>
      <c r="D12" s="21">
        <v>230</v>
      </c>
      <c r="E12" s="21">
        <v>32</v>
      </c>
      <c r="F12" s="21">
        <v>0</v>
      </c>
      <c r="G12" s="22">
        <v>0</v>
      </c>
      <c r="H12" s="21">
        <v>30</v>
      </c>
      <c r="I12" s="21">
        <v>0</v>
      </c>
      <c r="J12" s="21">
        <f t="shared" si="0"/>
        <v>232</v>
      </c>
      <c r="K12" s="21">
        <v>237.75</v>
      </c>
      <c r="L12" s="23">
        <v>26</v>
      </c>
      <c r="M12" s="21">
        <f t="shared" si="1"/>
        <v>206.04999999999998</v>
      </c>
      <c r="N12" s="24">
        <v>208.8</v>
      </c>
      <c r="O12" s="21">
        <v>0</v>
      </c>
      <c r="P12" s="21">
        <v>60</v>
      </c>
      <c r="Q12" s="21">
        <v>0</v>
      </c>
      <c r="R12" s="2"/>
      <c r="S12" s="25">
        <v>1516675</v>
      </c>
      <c r="T12" s="26">
        <f t="shared" si="2"/>
        <v>45500250</v>
      </c>
      <c r="U12" s="26">
        <f t="shared" si="3"/>
        <v>360589481.25</v>
      </c>
      <c r="V12" s="2"/>
      <c r="W12" s="2"/>
      <c r="X12" s="2"/>
      <c r="Y12" s="2"/>
      <c r="Z12" s="2"/>
    </row>
    <row r="13" spans="1:26" ht="12.75" customHeight="1" x14ac:dyDescent="0.35">
      <c r="A13" s="8" t="s">
        <v>35</v>
      </c>
      <c r="B13" s="8" t="s">
        <v>26</v>
      </c>
      <c r="C13" s="8">
        <v>14</v>
      </c>
      <c r="D13" s="21">
        <v>72</v>
      </c>
      <c r="E13" s="21">
        <v>0</v>
      </c>
      <c r="F13" s="21">
        <v>0</v>
      </c>
      <c r="G13" s="22">
        <v>0</v>
      </c>
      <c r="H13" s="21">
        <v>3</v>
      </c>
      <c r="I13" s="21">
        <v>0</v>
      </c>
      <c r="J13" s="21">
        <f t="shared" si="0"/>
        <v>69</v>
      </c>
      <c r="K13" s="21">
        <v>69.5</v>
      </c>
      <c r="L13" s="23">
        <v>26</v>
      </c>
      <c r="M13" s="21">
        <f t="shared" si="1"/>
        <v>602.33333333333337</v>
      </c>
      <c r="N13" s="24">
        <v>621</v>
      </c>
      <c r="O13" s="21">
        <v>0</v>
      </c>
      <c r="P13" s="21">
        <v>0</v>
      </c>
      <c r="Q13" s="21">
        <v>0</v>
      </c>
      <c r="R13" s="2"/>
      <c r="S13" s="25">
        <v>1516675</v>
      </c>
      <c r="T13" s="26">
        <f t="shared" si="2"/>
        <v>4550025</v>
      </c>
      <c r="U13" s="26">
        <f t="shared" si="3"/>
        <v>105408912.5</v>
      </c>
      <c r="V13" s="2"/>
      <c r="W13" s="2"/>
      <c r="X13" s="2"/>
      <c r="Y13" s="2"/>
      <c r="Z13" s="2"/>
    </row>
    <row r="14" spans="1:26" ht="12.75" customHeight="1" x14ac:dyDescent="0.35">
      <c r="A14" s="8" t="s">
        <v>36</v>
      </c>
      <c r="B14" s="8" t="s">
        <v>26</v>
      </c>
      <c r="C14" s="8">
        <v>14</v>
      </c>
      <c r="D14" s="21">
        <v>37</v>
      </c>
      <c r="E14" s="21">
        <v>0</v>
      </c>
      <c r="F14" s="21">
        <v>0</v>
      </c>
      <c r="G14" s="22">
        <v>0</v>
      </c>
      <c r="H14" s="21">
        <v>10</v>
      </c>
      <c r="I14" s="21">
        <v>0</v>
      </c>
      <c r="J14" s="21">
        <f t="shared" si="0"/>
        <v>27</v>
      </c>
      <c r="K14" s="21">
        <v>30.5</v>
      </c>
      <c r="L14" s="23">
        <v>26</v>
      </c>
      <c r="M14" s="21">
        <f t="shared" si="1"/>
        <v>79.3</v>
      </c>
      <c r="N14" s="24">
        <v>72.900000000000006</v>
      </c>
      <c r="O14" s="21">
        <v>0</v>
      </c>
      <c r="P14" s="21">
        <v>0</v>
      </c>
      <c r="Q14" s="21">
        <v>0</v>
      </c>
      <c r="R14" s="2"/>
      <c r="S14" s="25">
        <v>1516675</v>
      </c>
      <c r="T14" s="26">
        <f t="shared" si="2"/>
        <v>15166750</v>
      </c>
      <c r="U14" s="26">
        <f t="shared" si="3"/>
        <v>46258587.5</v>
      </c>
      <c r="V14" s="2"/>
      <c r="W14" s="2"/>
      <c r="X14" s="2"/>
      <c r="Y14" s="2"/>
      <c r="Z14" s="2"/>
    </row>
    <row r="15" spans="1:26" ht="12.75" customHeight="1" x14ac:dyDescent="0.35">
      <c r="A15" s="8" t="s">
        <v>37</v>
      </c>
      <c r="B15" s="8" t="s">
        <v>26</v>
      </c>
      <c r="C15" s="8">
        <v>14</v>
      </c>
      <c r="D15" s="21">
        <v>47</v>
      </c>
      <c r="E15" s="21">
        <v>15</v>
      </c>
      <c r="F15" s="21">
        <v>0</v>
      </c>
      <c r="G15" s="22">
        <v>0</v>
      </c>
      <c r="H15" s="21">
        <v>16</v>
      </c>
      <c r="I15" s="21">
        <v>0</v>
      </c>
      <c r="J15" s="21">
        <f t="shared" si="0"/>
        <v>46</v>
      </c>
      <c r="K15" s="21">
        <v>50.571428571428598</v>
      </c>
      <c r="L15" s="23">
        <v>26</v>
      </c>
      <c r="M15" s="21">
        <f t="shared" si="1"/>
        <v>82.178571428571473</v>
      </c>
      <c r="N15" s="24">
        <v>77.625</v>
      </c>
      <c r="O15" s="21">
        <v>0</v>
      </c>
      <c r="P15" s="21">
        <v>15</v>
      </c>
      <c r="Q15" s="21">
        <v>0</v>
      </c>
      <c r="R15" s="2"/>
      <c r="S15" s="25">
        <v>1516675</v>
      </c>
      <c r="T15" s="26">
        <f t="shared" si="2"/>
        <v>24266800</v>
      </c>
      <c r="U15" s="26">
        <f t="shared" si="3"/>
        <v>76700421.428571463</v>
      </c>
      <c r="V15" s="2"/>
      <c r="W15" s="2"/>
      <c r="X15" s="2"/>
      <c r="Y15" s="2"/>
      <c r="Z15" s="2"/>
    </row>
    <row r="16" spans="1:26" ht="12.75" customHeight="1" x14ac:dyDescent="0.35">
      <c r="A16" s="8" t="s">
        <v>38</v>
      </c>
      <c r="B16" s="8" t="s">
        <v>26</v>
      </c>
      <c r="C16" s="8">
        <v>14</v>
      </c>
      <c r="D16" s="21">
        <v>37</v>
      </c>
      <c r="E16" s="21">
        <v>87</v>
      </c>
      <c r="F16" s="21">
        <v>0</v>
      </c>
      <c r="G16" s="22">
        <v>0</v>
      </c>
      <c r="H16" s="21">
        <v>63</v>
      </c>
      <c r="I16" s="21">
        <v>0</v>
      </c>
      <c r="J16" s="21">
        <f t="shared" si="0"/>
        <v>61</v>
      </c>
      <c r="K16" s="21">
        <v>36.642857142857096</v>
      </c>
      <c r="L16" s="23">
        <v>26</v>
      </c>
      <c r="M16" s="21">
        <f t="shared" si="1"/>
        <v>15.12244897959182</v>
      </c>
      <c r="N16" s="24">
        <v>26.142857142857142</v>
      </c>
      <c r="O16" s="21">
        <v>3</v>
      </c>
      <c r="P16" s="21">
        <v>0</v>
      </c>
      <c r="Q16" s="21">
        <v>0</v>
      </c>
      <c r="R16" s="2"/>
      <c r="S16" s="25">
        <v>1516675</v>
      </c>
      <c r="T16" s="26">
        <f t="shared" si="2"/>
        <v>95550525</v>
      </c>
      <c r="U16" s="26">
        <f t="shared" si="3"/>
        <v>55575305.357142784</v>
      </c>
      <c r="V16" s="2"/>
      <c r="W16" s="2"/>
      <c r="X16" s="2"/>
      <c r="Y16" s="2"/>
      <c r="Z16" s="2"/>
    </row>
    <row r="17" spans="1:26" ht="12.75" customHeight="1" x14ac:dyDescent="0.35">
      <c r="A17" s="8" t="s">
        <v>39</v>
      </c>
      <c r="B17" s="8" t="s">
        <v>26</v>
      </c>
      <c r="C17" s="8">
        <v>14</v>
      </c>
      <c r="D17" s="21">
        <v>38</v>
      </c>
      <c r="E17" s="21">
        <v>37</v>
      </c>
      <c r="F17" s="21">
        <v>0</v>
      </c>
      <c r="G17" s="22">
        <v>0</v>
      </c>
      <c r="H17" s="21">
        <v>4</v>
      </c>
      <c r="I17" s="21">
        <v>0</v>
      </c>
      <c r="J17" s="21">
        <f t="shared" si="0"/>
        <v>71</v>
      </c>
      <c r="K17" s="21">
        <v>73</v>
      </c>
      <c r="L17" s="23">
        <v>26</v>
      </c>
      <c r="M17" s="21">
        <f t="shared" si="1"/>
        <v>474.5</v>
      </c>
      <c r="N17" s="24">
        <v>479.25</v>
      </c>
      <c r="O17" s="21">
        <v>0</v>
      </c>
      <c r="P17" s="21">
        <v>0</v>
      </c>
      <c r="Q17" s="21">
        <v>0</v>
      </c>
      <c r="R17" s="2"/>
      <c r="S17" s="25">
        <v>1516675</v>
      </c>
      <c r="T17" s="26">
        <f t="shared" si="2"/>
        <v>6066700</v>
      </c>
      <c r="U17" s="26">
        <f t="shared" si="3"/>
        <v>110717275</v>
      </c>
      <c r="V17" s="2"/>
      <c r="W17" s="2"/>
      <c r="X17" s="2"/>
      <c r="Y17" s="2"/>
      <c r="Z17" s="2"/>
    </row>
    <row r="18" spans="1:26" ht="12.75" customHeight="1" x14ac:dyDescent="0.35">
      <c r="A18" s="8" t="s">
        <v>40</v>
      </c>
      <c r="B18" s="8" t="s">
        <v>26</v>
      </c>
      <c r="C18" s="8">
        <v>14</v>
      </c>
      <c r="D18" s="21">
        <v>117</v>
      </c>
      <c r="E18" s="21">
        <v>183</v>
      </c>
      <c r="F18" s="21">
        <v>0</v>
      </c>
      <c r="G18" s="22">
        <v>0</v>
      </c>
      <c r="H18" s="21">
        <v>200</v>
      </c>
      <c r="I18" s="21">
        <v>0</v>
      </c>
      <c r="J18" s="21">
        <f t="shared" si="0"/>
        <v>100</v>
      </c>
      <c r="K18" s="21">
        <v>143.666666666667</v>
      </c>
      <c r="L18" s="23">
        <v>26</v>
      </c>
      <c r="M18" s="21">
        <f t="shared" si="1"/>
        <v>18.676666666666712</v>
      </c>
      <c r="N18" s="24">
        <v>13.5</v>
      </c>
      <c r="O18" s="21">
        <v>8</v>
      </c>
      <c r="P18" s="21">
        <v>200</v>
      </c>
      <c r="Q18" s="21">
        <v>0</v>
      </c>
      <c r="R18" s="2"/>
      <c r="S18" s="25">
        <v>1345865</v>
      </c>
      <c r="T18" s="26">
        <f t="shared" si="2"/>
        <v>269173000</v>
      </c>
      <c r="U18" s="26">
        <f t="shared" si="3"/>
        <v>193355938.33333379</v>
      </c>
      <c r="V18" s="2"/>
      <c r="W18" s="2"/>
      <c r="X18" s="2"/>
      <c r="Y18" s="2"/>
      <c r="Z18" s="2"/>
    </row>
    <row r="19" spans="1:26" ht="12.75" customHeight="1" x14ac:dyDescent="0.35">
      <c r="A19" s="8" t="s">
        <v>41</v>
      </c>
      <c r="B19" s="8" t="s">
        <v>26</v>
      </c>
      <c r="C19" s="8">
        <v>14</v>
      </c>
      <c r="D19" s="21">
        <v>20</v>
      </c>
      <c r="E19" s="21">
        <v>0</v>
      </c>
      <c r="F19" s="21">
        <v>0</v>
      </c>
      <c r="G19" s="22">
        <v>0</v>
      </c>
      <c r="H19" s="21">
        <v>6</v>
      </c>
      <c r="I19" s="21">
        <v>0</v>
      </c>
      <c r="J19" s="21">
        <f t="shared" si="0"/>
        <v>14</v>
      </c>
      <c r="K19" s="21">
        <v>15.5</v>
      </c>
      <c r="L19" s="23">
        <v>26</v>
      </c>
      <c r="M19" s="21">
        <f t="shared" si="1"/>
        <v>67.166666666666671</v>
      </c>
      <c r="N19" s="24">
        <v>63.000000000000007</v>
      </c>
      <c r="O19" s="21">
        <v>0</v>
      </c>
      <c r="P19" s="21">
        <v>0</v>
      </c>
      <c r="Q19" s="21">
        <v>0</v>
      </c>
      <c r="R19" s="2"/>
      <c r="S19" s="25">
        <v>1326180</v>
      </c>
      <c r="T19" s="26">
        <f t="shared" si="2"/>
        <v>7957080</v>
      </c>
      <c r="U19" s="26">
        <f t="shared" si="3"/>
        <v>20555790</v>
      </c>
      <c r="V19" s="2"/>
      <c r="W19" s="2"/>
      <c r="X19" s="2"/>
      <c r="Y19" s="2"/>
      <c r="Z19" s="2"/>
    </row>
    <row r="20" spans="1:26" ht="12.75" customHeight="1" x14ac:dyDescent="0.35">
      <c r="A20" s="8" t="s">
        <v>42</v>
      </c>
      <c r="B20" s="8" t="s">
        <v>26</v>
      </c>
      <c r="C20" s="8">
        <v>14</v>
      </c>
      <c r="D20" s="21">
        <v>41</v>
      </c>
      <c r="E20" s="21">
        <v>100</v>
      </c>
      <c r="F20" s="21">
        <v>0</v>
      </c>
      <c r="G20" s="22">
        <v>0</v>
      </c>
      <c r="H20" s="21">
        <v>72</v>
      </c>
      <c r="I20" s="21">
        <v>0</v>
      </c>
      <c r="J20" s="21">
        <f t="shared" si="0"/>
        <v>69</v>
      </c>
      <c r="K20" s="21">
        <v>59.5</v>
      </c>
      <c r="L20" s="23">
        <v>26</v>
      </c>
      <c r="M20" s="21">
        <f t="shared" si="1"/>
        <v>21.486111111111111</v>
      </c>
      <c r="N20" s="24">
        <v>25.875</v>
      </c>
      <c r="O20" s="21">
        <v>0</v>
      </c>
      <c r="P20" s="21">
        <v>0</v>
      </c>
      <c r="Q20" s="21">
        <v>0</v>
      </c>
      <c r="R20" s="2"/>
      <c r="S20" s="25">
        <v>542345</v>
      </c>
      <c r="T20" s="26">
        <f t="shared" si="2"/>
        <v>39048840</v>
      </c>
      <c r="U20" s="26">
        <f t="shared" si="3"/>
        <v>32269527.5</v>
      </c>
      <c r="V20" s="2"/>
      <c r="W20" s="2"/>
      <c r="X20" s="2"/>
      <c r="Y20" s="2"/>
      <c r="Z20" s="2"/>
    </row>
    <row r="21" spans="1:26" ht="12.75" customHeight="1" x14ac:dyDescent="0.35">
      <c r="A21" s="8" t="s">
        <v>43</v>
      </c>
      <c r="B21" s="8" t="s">
        <v>26</v>
      </c>
      <c r="C21" s="8">
        <v>14</v>
      </c>
      <c r="D21" s="21">
        <v>702</v>
      </c>
      <c r="E21" s="21">
        <v>2765</v>
      </c>
      <c r="F21" s="21">
        <v>0</v>
      </c>
      <c r="G21" s="22">
        <v>0</v>
      </c>
      <c r="H21" s="21">
        <v>1335</v>
      </c>
      <c r="I21" s="21">
        <v>0</v>
      </c>
      <c r="J21" s="21">
        <f t="shared" si="0"/>
        <v>2132</v>
      </c>
      <c r="K21" s="21">
        <v>1666.5833333333301</v>
      </c>
      <c r="L21" s="23">
        <v>26</v>
      </c>
      <c r="M21" s="21">
        <f t="shared" si="1"/>
        <v>32.457802746566728</v>
      </c>
      <c r="N21" s="24">
        <v>43.119101123595506</v>
      </c>
      <c r="O21" s="21">
        <v>0</v>
      </c>
      <c r="P21" s="21">
        <v>0</v>
      </c>
      <c r="Q21" s="21">
        <v>0</v>
      </c>
      <c r="R21" s="2"/>
      <c r="S21" s="25">
        <v>1054620</v>
      </c>
      <c r="T21" s="26">
        <f t="shared" si="2"/>
        <v>1407917700</v>
      </c>
      <c r="U21" s="26">
        <f t="shared" si="3"/>
        <v>1757612114.9999967</v>
      </c>
      <c r="V21" s="2"/>
      <c r="W21" s="2"/>
      <c r="X21" s="2"/>
      <c r="Y21" s="2"/>
      <c r="Z21" s="2"/>
    </row>
    <row r="22" spans="1:26" ht="12.75" customHeight="1" x14ac:dyDescent="0.35">
      <c r="A22" s="8" t="s">
        <v>44</v>
      </c>
      <c r="B22" s="8" t="s">
        <v>26</v>
      </c>
      <c r="C22" s="8">
        <v>14</v>
      </c>
      <c r="D22" s="21">
        <v>432</v>
      </c>
      <c r="E22" s="21">
        <v>735</v>
      </c>
      <c r="F22" s="21">
        <v>0</v>
      </c>
      <c r="G22" s="22">
        <v>0</v>
      </c>
      <c r="H22" s="21">
        <v>486</v>
      </c>
      <c r="I22" s="21">
        <v>0</v>
      </c>
      <c r="J22" s="21">
        <f t="shared" si="0"/>
        <v>681</v>
      </c>
      <c r="K22" s="21">
        <v>539.18181818181802</v>
      </c>
      <c r="L22" s="23">
        <v>26</v>
      </c>
      <c r="M22" s="21">
        <f t="shared" si="1"/>
        <v>28.845117845117834</v>
      </c>
      <c r="N22" s="24">
        <v>37.833333333333336</v>
      </c>
      <c r="O22" s="21">
        <v>0</v>
      </c>
      <c r="P22" s="21">
        <v>0</v>
      </c>
      <c r="Q22" s="21">
        <v>0</v>
      </c>
      <c r="R22" s="2"/>
      <c r="S22" s="25">
        <v>848935</v>
      </c>
      <c r="T22" s="26">
        <f t="shared" si="2"/>
        <v>412582410</v>
      </c>
      <c r="U22" s="26">
        <f t="shared" si="3"/>
        <v>457730316.81818169</v>
      </c>
      <c r="V22" s="2"/>
      <c r="W22" s="2"/>
      <c r="X22" s="2"/>
      <c r="Y22" s="2"/>
      <c r="Z22" s="2"/>
    </row>
    <row r="23" spans="1:26" ht="12.75" customHeight="1" x14ac:dyDescent="0.35">
      <c r="A23" s="8" t="s">
        <v>45</v>
      </c>
      <c r="B23" s="8" t="s">
        <v>26</v>
      </c>
      <c r="C23" s="8">
        <v>14</v>
      </c>
      <c r="D23" s="21">
        <v>1253.17</v>
      </c>
      <c r="E23" s="21">
        <v>1975</v>
      </c>
      <c r="F23" s="21">
        <v>0</v>
      </c>
      <c r="G23" s="22">
        <v>0</v>
      </c>
      <c r="H23" s="21">
        <v>1144</v>
      </c>
      <c r="I23" s="21">
        <v>0</v>
      </c>
      <c r="J23" s="21">
        <f t="shared" si="0"/>
        <v>2084.17</v>
      </c>
      <c r="K23" s="21">
        <v>1829.89</v>
      </c>
      <c r="L23" s="23">
        <v>26</v>
      </c>
      <c r="M23" s="21">
        <f t="shared" si="1"/>
        <v>41.588409090909096</v>
      </c>
      <c r="N23" s="24">
        <v>49.189326923076919</v>
      </c>
      <c r="O23" s="21">
        <v>17.43</v>
      </c>
      <c r="P23" s="21">
        <v>0</v>
      </c>
      <c r="Q23" s="21">
        <v>0</v>
      </c>
      <c r="R23" s="2"/>
      <c r="S23" s="25">
        <v>2021820</v>
      </c>
      <c r="T23" s="26">
        <f t="shared" si="2"/>
        <v>2312962080</v>
      </c>
      <c r="U23" s="26">
        <f t="shared" si="3"/>
        <v>3699708199.8000002</v>
      </c>
      <c r="V23" s="2"/>
      <c r="W23" s="2"/>
      <c r="X23" s="2"/>
      <c r="Y23" s="2"/>
      <c r="Z23" s="2"/>
    </row>
    <row r="24" spans="1:26" ht="12.75" customHeight="1" x14ac:dyDescent="0.35">
      <c r="A24" s="8" t="s">
        <v>46</v>
      </c>
      <c r="B24" s="8" t="s">
        <v>26</v>
      </c>
      <c r="C24" s="8">
        <v>14</v>
      </c>
      <c r="D24" s="21">
        <v>108</v>
      </c>
      <c r="E24" s="21">
        <v>1404</v>
      </c>
      <c r="F24" s="21">
        <v>0</v>
      </c>
      <c r="G24" s="22">
        <v>0</v>
      </c>
      <c r="H24" s="21">
        <v>864</v>
      </c>
      <c r="I24" s="21">
        <v>0</v>
      </c>
      <c r="J24" s="21">
        <f t="shared" si="0"/>
        <v>648</v>
      </c>
      <c r="K24" s="21">
        <v>513</v>
      </c>
      <c r="L24" s="23">
        <v>26</v>
      </c>
      <c r="M24" s="21">
        <f t="shared" si="1"/>
        <v>15.4375</v>
      </c>
      <c r="N24" s="24">
        <v>20.25</v>
      </c>
      <c r="O24" s="21">
        <v>0</v>
      </c>
      <c r="P24" s="21">
        <v>400</v>
      </c>
      <c r="Q24" s="21">
        <v>0</v>
      </c>
      <c r="R24" s="2"/>
      <c r="S24" s="25">
        <v>819485</v>
      </c>
      <c r="T24" s="26">
        <f t="shared" si="2"/>
        <v>708035040</v>
      </c>
      <c r="U24" s="26">
        <f t="shared" si="3"/>
        <v>420395805</v>
      </c>
      <c r="V24" s="2"/>
      <c r="W24" s="2"/>
      <c r="X24" s="2"/>
      <c r="Y24" s="2"/>
      <c r="Z24" s="2"/>
    </row>
    <row r="25" spans="1:26" ht="12.75" customHeight="1" x14ac:dyDescent="0.35">
      <c r="A25" s="8" t="s">
        <v>47</v>
      </c>
      <c r="B25" s="8" t="s">
        <v>26</v>
      </c>
      <c r="C25" s="8">
        <v>14</v>
      </c>
      <c r="D25" s="21">
        <v>90</v>
      </c>
      <c r="E25" s="21">
        <v>105</v>
      </c>
      <c r="F25" s="21">
        <v>0</v>
      </c>
      <c r="G25" s="22">
        <v>0</v>
      </c>
      <c r="H25" s="21">
        <v>144</v>
      </c>
      <c r="I25" s="21">
        <v>0</v>
      </c>
      <c r="J25" s="21">
        <f t="shared" si="0"/>
        <v>51</v>
      </c>
      <c r="K25" s="21">
        <v>68</v>
      </c>
      <c r="L25" s="23">
        <v>26</v>
      </c>
      <c r="M25" s="21">
        <f t="shared" si="1"/>
        <v>12.277777777777777</v>
      </c>
      <c r="N25" s="24">
        <v>9.5625</v>
      </c>
      <c r="O25" s="21">
        <v>0</v>
      </c>
      <c r="P25" s="21">
        <v>100</v>
      </c>
      <c r="Q25" s="21">
        <v>0</v>
      </c>
      <c r="R25" s="2"/>
      <c r="S25" s="25">
        <v>1272550</v>
      </c>
      <c r="T25" s="26">
        <f t="shared" si="2"/>
        <v>183247200</v>
      </c>
      <c r="U25" s="26">
        <f t="shared" si="3"/>
        <v>86533400</v>
      </c>
      <c r="V25" s="2"/>
      <c r="W25" s="2"/>
      <c r="X25" s="2"/>
      <c r="Y25" s="2"/>
      <c r="Z25" s="2"/>
    </row>
    <row r="26" spans="1:26" ht="12.75" customHeight="1" x14ac:dyDescent="0.35">
      <c r="A26" s="8" t="s">
        <v>48</v>
      </c>
      <c r="B26" s="8" t="s">
        <v>26</v>
      </c>
      <c r="C26" s="8">
        <v>14</v>
      </c>
      <c r="D26" s="21">
        <v>213</v>
      </c>
      <c r="E26" s="21">
        <v>105</v>
      </c>
      <c r="F26" s="21">
        <v>0</v>
      </c>
      <c r="G26" s="22">
        <v>0</v>
      </c>
      <c r="H26" s="21">
        <v>108</v>
      </c>
      <c r="I26" s="21">
        <v>0</v>
      </c>
      <c r="J26" s="21">
        <f t="shared" si="0"/>
        <v>210</v>
      </c>
      <c r="K26" s="21">
        <v>194.5</v>
      </c>
      <c r="L26" s="23">
        <v>26</v>
      </c>
      <c r="M26" s="21">
        <f t="shared" si="1"/>
        <v>46.824074074074069</v>
      </c>
      <c r="N26" s="24">
        <v>52.5</v>
      </c>
      <c r="O26" s="21">
        <v>0</v>
      </c>
      <c r="P26" s="21">
        <v>100</v>
      </c>
      <c r="Q26" s="21">
        <v>0</v>
      </c>
      <c r="R26" s="2"/>
      <c r="S26" s="25">
        <v>1272550</v>
      </c>
      <c r="T26" s="26">
        <f t="shared" si="2"/>
        <v>137435400</v>
      </c>
      <c r="U26" s="26">
        <f t="shared" si="3"/>
        <v>247510975</v>
      </c>
      <c r="V26" s="2"/>
      <c r="W26" s="2"/>
      <c r="X26" s="2"/>
      <c r="Y26" s="2"/>
      <c r="Z26" s="2"/>
    </row>
    <row r="27" spans="1:26" ht="12.75" customHeight="1" x14ac:dyDescent="0.35">
      <c r="A27" s="8" t="s">
        <v>49</v>
      </c>
      <c r="B27" s="8" t="s">
        <v>26</v>
      </c>
      <c r="C27" s="8">
        <v>14</v>
      </c>
      <c r="D27" s="21">
        <v>262</v>
      </c>
      <c r="E27" s="21">
        <v>1148</v>
      </c>
      <c r="F27" s="21">
        <v>0</v>
      </c>
      <c r="G27" s="22">
        <v>0</v>
      </c>
      <c r="H27" s="21">
        <v>922</v>
      </c>
      <c r="I27" s="21">
        <v>0</v>
      </c>
      <c r="J27" s="21">
        <f t="shared" si="0"/>
        <v>488</v>
      </c>
      <c r="K27" s="21">
        <v>506.22222222222206</v>
      </c>
      <c r="L27" s="23">
        <v>26</v>
      </c>
      <c r="M27" s="21">
        <f t="shared" si="1"/>
        <v>14.275247047481315</v>
      </c>
      <c r="N27" s="24">
        <v>14.290672451193059</v>
      </c>
      <c r="O27" s="21">
        <v>0</v>
      </c>
      <c r="P27" s="21">
        <v>500</v>
      </c>
      <c r="Q27" s="21">
        <v>0</v>
      </c>
      <c r="R27" s="2"/>
      <c r="S27" s="25">
        <v>819485</v>
      </c>
      <c r="T27" s="26">
        <f t="shared" si="2"/>
        <v>755565170</v>
      </c>
      <c r="U27" s="26">
        <f t="shared" si="3"/>
        <v>414841517.77777767</v>
      </c>
      <c r="V27" s="2"/>
      <c r="W27" s="2"/>
      <c r="X27" s="2"/>
      <c r="Y27" s="2"/>
      <c r="Z27" s="2"/>
    </row>
    <row r="28" spans="1:26" ht="12.75" customHeight="1" x14ac:dyDescent="0.35">
      <c r="A28" s="8" t="s">
        <v>50</v>
      </c>
      <c r="B28" s="8" t="s">
        <v>26</v>
      </c>
      <c r="C28" s="8">
        <v>14</v>
      </c>
      <c r="D28" s="21">
        <v>179</v>
      </c>
      <c r="E28" s="21">
        <v>92</v>
      </c>
      <c r="F28" s="21">
        <v>0</v>
      </c>
      <c r="G28" s="22">
        <v>0</v>
      </c>
      <c r="H28" s="21">
        <v>180</v>
      </c>
      <c r="I28" s="21">
        <v>0</v>
      </c>
      <c r="J28" s="21">
        <f t="shared" si="0"/>
        <v>91</v>
      </c>
      <c r="K28" s="21">
        <v>102</v>
      </c>
      <c r="L28" s="23">
        <v>26</v>
      </c>
      <c r="M28" s="21">
        <f t="shared" si="1"/>
        <v>14.733333333333333</v>
      </c>
      <c r="N28" s="24">
        <v>13.649999999999999</v>
      </c>
      <c r="O28" s="21">
        <v>8</v>
      </c>
      <c r="P28" s="21">
        <v>0</v>
      </c>
      <c r="Q28" s="21">
        <v>0</v>
      </c>
      <c r="R28" s="2"/>
      <c r="S28" s="25">
        <v>1445220</v>
      </c>
      <c r="T28" s="26">
        <f t="shared" si="2"/>
        <v>260139600</v>
      </c>
      <c r="U28" s="26">
        <f t="shared" si="3"/>
        <v>147412440</v>
      </c>
      <c r="V28" s="2"/>
      <c r="W28" s="2"/>
      <c r="X28" s="2"/>
      <c r="Y28" s="2"/>
      <c r="Z28" s="2"/>
    </row>
    <row r="29" spans="1:26" ht="12.75" customHeight="1" x14ac:dyDescent="0.35">
      <c r="A29" s="8" t="s">
        <v>51</v>
      </c>
      <c r="B29" s="8" t="s">
        <v>26</v>
      </c>
      <c r="C29" s="8">
        <v>14</v>
      </c>
      <c r="D29" s="21">
        <v>201</v>
      </c>
      <c r="E29" s="21">
        <v>107</v>
      </c>
      <c r="F29" s="21">
        <v>0</v>
      </c>
      <c r="G29" s="22">
        <v>0</v>
      </c>
      <c r="H29" s="21">
        <v>151</v>
      </c>
      <c r="I29" s="21">
        <v>0</v>
      </c>
      <c r="J29" s="21">
        <f t="shared" si="0"/>
        <v>157</v>
      </c>
      <c r="K29" s="21">
        <v>162.4</v>
      </c>
      <c r="L29" s="23">
        <v>26</v>
      </c>
      <c r="M29" s="21">
        <f t="shared" si="1"/>
        <v>27.962913907284769</v>
      </c>
      <c r="N29" s="24">
        <v>28.072847682119203</v>
      </c>
      <c r="O29" s="21">
        <v>0</v>
      </c>
      <c r="P29" s="21">
        <v>0</v>
      </c>
      <c r="Q29" s="21">
        <v>0</v>
      </c>
      <c r="R29" s="2"/>
      <c r="S29" s="25">
        <v>1445220</v>
      </c>
      <c r="T29" s="26">
        <f t="shared" si="2"/>
        <v>218228220</v>
      </c>
      <c r="U29" s="26">
        <f t="shared" si="3"/>
        <v>234703728</v>
      </c>
      <c r="V29" s="2"/>
      <c r="W29" s="2"/>
      <c r="X29" s="2"/>
      <c r="Y29" s="2"/>
      <c r="Z29" s="2"/>
    </row>
    <row r="30" spans="1:26" ht="12.75" customHeight="1" x14ac:dyDescent="0.35">
      <c r="A30" s="8" t="s">
        <v>52</v>
      </c>
      <c r="B30" s="8" t="s">
        <v>26</v>
      </c>
      <c r="C30" s="8">
        <v>14</v>
      </c>
      <c r="D30" s="21">
        <v>388</v>
      </c>
      <c r="E30" s="21">
        <v>85</v>
      </c>
      <c r="F30" s="21">
        <v>0</v>
      </c>
      <c r="G30" s="22">
        <v>0</v>
      </c>
      <c r="H30" s="21">
        <v>148</v>
      </c>
      <c r="I30" s="21">
        <v>0</v>
      </c>
      <c r="J30" s="21">
        <f t="shared" si="0"/>
        <v>325</v>
      </c>
      <c r="K30" s="21">
        <v>317.66666666666703</v>
      </c>
      <c r="L30" s="23">
        <v>26</v>
      </c>
      <c r="M30" s="21">
        <f t="shared" si="1"/>
        <v>55.806306306306375</v>
      </c>
      <c r="N30" s="24">
        <v>59.29054054054054</v>
      </c>
      <c r="O30" s="21">
        <v>15</v>
      </c>
      <c r="P30" s="21">
        <v>0</v>
      </c>
      <c r="Q30" s="21">
        <v>0</v>
      </c>
      <c r="R30" s="2"/>
      <c r="S30" s="25">
        <v>1445220</v>
      </c>
      <c r="T30" s="26">
        <f t="shared" si="2"/>
        <v>213892560</v>
      </c>
      <c r="U30" s="26">
        <f t="shared" si="3"/>
        <v>459098220.00000054</v>
      </c>
      <c r="V30" s="2"/>
      <c r="W30" s="2"/>
      <c r="X30" s="2"/>
      <c r="Y30" s="2"/>
      <c r="Z30" s="2"/>
    </row>
    <row r="31" spans="1:26" ht="12.75" customHeight="1" x14ac:dyDescent="0.35">
      <c r="A31" s="8" t="s">
        <v>53</v>
      </c>
      <c r="B31" s="8" t="s">
        <v>26</v>
      </c>
      <c r="C31" s="8">
        <v>14</v>
      </c>
      <c r="D31" s="21">
        <v>207</v>
      </c>
      <c r="E31" s="21">
        <v>141</v>
      </c>
      <c r="F31" s="21">
        <v>0</v>
      </c>
      <c r="G31" s="22">
        <v>0</v>
      </c>
      <c r="H31" s="21">
        <v>152</v>
      </c>
      <c r="I31" s="21">
        <v>0</v>
      </c>
      <c r="J31" s="21">
        <f t="shared" si="0"/>
        <v>196</v>
      </c>
      <c r="K31" s="21">
        <v>199.4</v>
      </c>
      <c r="L31" s="23">
        <v>26</v>
      </c>
      <c r="M31" s="21">
        <f t="shared" si="1"/>
        <v>34.107894736842105</v>
      </c>
      <c r="N31" s="24">
        <v>34.815789473684212</v>
      </c>
      <c r="O31" s="21">
        <v>0</v>
      </c>
      <c r="P31" s="21">
        <v>100</v>
      </c>
      <c r="Q31" s="21">
        <v>0</v>
      </c>
      <c r="R31" s="2"/>
      <c r="S31" s="25">
        <v>1272550</v>
      </c>
      <c r="T31" s="26">
        <f t="shared" si="2"/>
        <v>193427600</v>
      </c>
      <c r="U31" s="26">
        <f t="shared" si="3"/>
        <v>253746470</v>
      </c>
      <c r="V31" s="2"/>
      <c r="W31" s="2"/>
      <c r="X31" s="2"/>
      <c r="Y31" s="2"/>
      <c r="Z31" s="2"/>
    </row>
    <row r="32" spans="1:26" ht="12.75" customHeight="1" x14ac:dyDescent="0.35">
      <c r="A32" s="8" t="s">
        <v>54</v>
      </c>
      <c r="B32" s="8" t="s">
        <v>26</v>
      </c>
      <c r="C32" s="8">
        <v>14</v>
      </c>
      <c r="D32" s="21">
        <v>49</v>
      </c>
      <c r="E32" s="21">
        <v>0</v>
      </c>
      <c r="F32" s="21">
        <v>0</v>
      </c>
      <c r="G32" s="22">
        <v>0</v>
      </c>
      <c r="H32" s="21">
        <v>49</v>
      </c>
      <c r="I32" s="21">
        <v>0</v>
      </c>
      <c r="J32" s="21">
        <f t="shared" si="0"/>
        <v>0</v>
      </c>
      <c r="K32" s="21">
        <v>0</v>
      </c>
      <c r="L32" s="23">
        <v>26</v>
      </c>
      <c r="M32" s="21">
        <f t="shared" si="1"/>
        <v>0</v>
      </c>
      <c r="N32" s="24">
        <v>0</v>
      </c>
      <c r="O32" s="21">
        <v>0</v>
      </c>
      <c r="P32" s="21">
        <v>0</v>
      </c>
      <c r="Q32" s="21">
        <v>0</v>
      </c>
      <c r="R32" s="2"/>
      <c r="S32" s="25">
        <v>819485</v>
      </c>
      <c r="T32" s="26">
        <f t="shared" si="2"/>
        <v>40154765</v>
      </c>
      <c r="U32" s="26">
        <f t="shared" si="3"/>
        <v>0</v>
      </c>
      <c r="V32" s="2"/>
      <c r="W32" s="2"/>
      <c r="X32" s="2"/>
      <c r="Y32" s="2"/>
      <c r="Z32" s="2"/>
    </row>
    <row r="33" spans="1:26" ht="12.75" customHeight="1" x14ac:dyDescent="0.35">
      <c r="A33" s="8" t="s">
        <v>55</v>
      </c>
      <c r="B33" s="8" t="s">
        <v>26</v>
      </c>
      <c r="C33" s="8">
        <v>14</v>
      </c>
      <c r="D33" s="21">
        <v>139</v>
      </c>
      <c r="E33" s="21">
        <v>0</v>
      </c>
      <c r="F33" s="21">
        <v>0</v>
      </c>
      <c r="G33" s="22">
        <v>0</v>
      </c>
      <c r="H33" s="21">
        <v>67</v>
      </c>
      <c r="I33" s="21">
        <v>0</v>
      </c>
      <c r="J33" s="21">
        <f t="shared" si="0"/>
        <v>72</v>
      </c>
      <c r="K33" s="21">
        <v>87</v>
      </c>
      <c r="L33" s="23">
        <v>26</v>
      </c>
      <c r="M33" s="21">
        <f t="shared" si="1"/>
        <v>33.761194029850742</v>
      </c>
      <c r="N33" s="24">
        <v>29.014925373134329</v>
      </c>
      <c r="O33" s="21">
        <v>0</v>
      </c>
      <c r="P33" s="21">
        <v>0</v>
      </c>
      <c r="Q33" s="21">
        <v>0</v>
      </c>
      <c r="R33" s="2"/>
      <c r="S33" s="25">
        <v>819485</v>
      </c>
      <c r="T33" s="26">
        <f t="shared" si="2"/>
        <v>54905495</v>
      </c>
      <c r="U33" s="26">
        <f t="shared" si="3"/>
        <v>71295195</v>
      </c>
      <c r="V33" s="2"/>
      <c r="W33" s="2"/>
      <c r="X33" s="2"/>
      <c r="Y33" s="2"/>
      <c r="Z33" s="2"/>
    </row>
    <row r="34" spans="1:26" ht="12.75" customHeight="1" x14ac:dyDescent="0.35">
      <c r="A34" s="8" t="s">
        <v>56</v>
      </c>
      <c r="B34" s="8" t="s">
        <v>26</v>
      </c>
      <c r="C34" s="8">
        <v>14</v>
      </c>
      <c r="D34" s="21">
        <v>387</v>
      </c>
      <c r="E34" s="21">
        <v>105</v>
      </c>
      <c r="F34" s="21">
        <v>0</v>
      </c>
      <c r="G34" s="22">
        <v>0</v>
      </c>
      <c r="H34" s="21">
        <v>207</v>
      </c>
      <c r="I34" s="21">
        <v>0</v>
      </c>
      <c r="J34" s="21">
        <f t="shared" si="0"/>
        <v>285</v>
      </c>
      <c r="K34" s="21">
        <v>283.5</v>
      </c>
      <c r="L34" s="23">
        <v>26</v>
      </c>
      <c r="M34" s="21">
        <f t="shared" si="1"/>
        <v>35.608695652173914</v>
      </c>
      <c r="N34" s="24">
        <v>37.173913043478258</v>
      </c>
      <c r="O34" s="21">
        <v>0</v>
      </c>
      <c r="P34" s="21">
        <v>0</v>
      </c>
      <c r="Q34" s="21">
        <v>0</v>
      </c>
      <c r="R34" s="2"/>
      <c r="S34" s="25">
        <v>819485</v>
      </c>
      <c r="T34" s="26">
        <f t="shared" si="2"/>
        <v>169633395</v>
      </c>
      <c r="U34" s="26">
        <f t="shared" si="3"/>
        <v>232323997.5</v>
      </c>
      <c r="V34" s="2"/>
      <c r="W34" s="2"/>
      <c r="X34" s="2"/>
      <c r="Y34" s="2"/>
      <c r="Z34" s="2"/>
    </row>
    <row r="35" spans="1:26" ht="12.75" customHeight="1" x14ac:dyDescent="0.35">
      <c r="A35" s="8" t="s">
        <v>57</v>
      </c>
      <c r="B35" s="8" t="s">
        <v>26</v>
      </c>
      <c r="C35" s="8">
        <v>14</v>
      </c>
      <c r="D35" s="21">
        <v>203</v>
      </c>
      <c r="E35" s="21">
        <v>1156</v>
      </c>
      <c r="F35" s="21">
        <v>0</v>
      </c>
      <c r="G35" s="22">
        <v>0</v>
      </c>
      <c r="H35" s="21">
        <v>1038</v>
      </c>
      <c r="I35" s="21">
        <v>0</v>
      </c>
      <c r="J35" s="21">
        <f t="shared" si="0"/>
        <v>321</v>
      </c>
      <c r="K35" s="21">
        <v>425.3125</v>
      </c>
      <c r="L35" s="23">
        <v>26</v>
      </c>
      <c r="M35" s="21">
        <f t="shared" si="1"/>
        <v>10.653299614643545</v>
      </c>
      <c r="N35" s="24">
        <v>8.3497109826589586</v>
      </c>
      <c r="O35" s="21">
        <v>8.11</v>
      </c>
      <c r="P35" s="21">
        <v>300</v>
      </c>
      <c r="Q35" s="21">
        <v>0</v>
      </c>
      <c r="R35" s="2"/>
      <c r="S35" s="25">
        <v>819485</v>
      </c>
      <c r="T35" s="26">
        <f t="shared" si="2"/>
        <v>850625430</v>
      </c>
      <c r="U35" s="26">
        <f t="shared" si="3"/>
        <v>348537214.0625</v>
      </c>
      <c r="V35" s="2"/>
      <c r="W35" s="2"/>
      <c r="X35" s="2"/>
      <c r="Y35" s="2"/>
      <c r="Z35" s="2"/>
    </row>
    <row r="36" spans="1:26" ht="12.75" customHeight="1" x14ac:dyDescent="0.35">
      <c r="A36" s="8" t="s">
        <v>58</v>
      </c>
      <c r="B36" s="8" t="s">
        <v>26</v>
      </c>
      <c r="C36" s="8">
        <v>14</v>
      </c>
      <c r="D36" s="21">
        <v>114</v>
      </c>
      <c r="E36" s="21">
        <v>0</v>
      </c>
      <c r="F36" s="21">
        <v>0</v>
      </c>
      <c r="G36" s="22">
        <v>0</v>
      </c>
      <c r="H36" s="21">
        <v>0</v>
      </c>
      <c r="I36" s="21">
        <v>0</v>
      </c>
      <c r="J36" s="21">
        <f t="shared" si="0"/>
        <v>114</v>
      </c>
      <c r="K36" s="21">
        <v>0</v>
      </c>
      <c r="L36" s="23">
        <v>26</v>
      </c>
      <c r="M36" s="21">
        <v>0</v>
      </c>
      <c r="N36" s="24">
        <v>0</v>
      </c>
      <c r="O36" s="21">
        <v>0</v>
      </c>
      <c r="P36" s="21">
        <v>25</v>
      </c>
      <c r="Q36" s="21">
        <v>0</v>
      </c>
      <c r="R36" s="2"/>
      <c r="S36" s="25">
        <v>1481800</v>
      </c>
      <c r="T36" s="26">
        <f t="shared" si="2"/>
        <v>0</v>
      </c>
      <c r="U36" s="26">
        <f t="shared" si="3"/>
        <v>0</v>
      </c>
      <c r="V36" s="2"/>
      <c r="W36" s="2"/>
      <c r="X36" s="2"/>
      <c r="Y36" s="2"/>
      <c r="Z36" s="2"/>
    </row>
    <row r="37" spans="1:26" ht="12.75" customHeight="1" x14ac:dyDescent="0.35">
      <c r="A37" s="8" t="s">
        <v>59</v>
      </c>
      <c r="B37" s="8" t="s">
        <v>26</v>
      </c>
      <c r="C37" s="8">
        <v>14</v>
      </c>
      <c r="D37" s="21">
        <v>2</v>
      </c>
      <c r="E37" s="21">
        <v>26</v>
      </c>
      <c r="F37" s="21">
        <v>0</v>
      </c>
      <c r="G37" s="22">
        <v>0</v>
      </c>
      <c r="H37" s="21">
        <v>6</v>
      </c>
      <c r="I37" s="21">
        <v>0</v>
      </c>
      <c r="J37" s="21">
        <f t="shared" si="0"/>
        <v>22</v>
      </c>
      <c r="K37" s="21">
        <v>18</v>
      </c>
      <c r="L37" s="23">
        <v>26</v>
      </c>
      <c r="M37" s="21">
        <f t="shared" ref="M37:M45" si="4">(K37/(H37+I37))*L37</f>
        <v>78</v>
      </c>
      <c r="N37" s="24">
        <v>99</v>
      </c>
      <c r="O37" s="21">
        <v>0</v>
      </c>
      <c r="P37" s="21">
        <v>0</v>
      </c>
      <c r="Q37" s="21">
        <v>0</v>
      </c>
      <c r="R37" s="2"/>
      <c r="S37" s="25">
        <v>1481800</v>
      </c>
      <c r="T37" s="26">
        <f t="shared" si="2"/>
        <v>8890800</v>
      </c>
      <c r="U37" s="26">
        <f t="shared" si="3"/>
        <v>26672400</v>
      </c>
      <c r="V37" s="2"/>
      <c r="W37" s="2"/>
      <c r="X37" s="2"/>
      <c r="Y37" s="2"/>
      <c r="Z37" s="2"/>
    </row>
    <row r="38" spans="1:26" ht="12.75" customHeight="1" x14ac:dyDescent="0.35">
      <c r="A38" s="8" t="s">
        <v>60</v>
      </c>
      <c r="B38" s="8" t="s">
        <v>26</v>
      </c>
      <c r="C38" s="8">
        <v>14</v>
      </c>
      <c r="D38" s="21">
        <v>31</v>
      </c>
      <c r="E38" s="21">
        <v>0</v>
      </c>
      <c r="F38" s="21">
        <v>0</v>
      </c>
      <c r="G38" s="22">
        <v>0</v>
      </c>
      <c r="H38" s="21">
        <v>10</v>
      </c>
      <c r="I38" s="21">
        <v>0</v>
      </c>
      <c r="J38" s="21">
        <f t="shared" si="0"/>
        <v>21</v>
      </c>
      <c r="K38" s="21">
        <v>24.5</v>
      </c>
      <c r="L38" s="23">
        <v>26</v>
      </c>
      <c r="M38" s="21">
        <f t="shared" si="4"/>
        <v>63.7</v>
      </c>
      <c r="N38" s="24">
        <v>56.7</v>
      </c>
      <c r="O38" s="21">
        <v>0</v>
      </c>
      <c r="P38" s="21">
        <v>0</v>
      </c>
      <c r="Q38" s="21">
        <v>0</v>
      </c>
      <c r="R38" s="2"/>
      <c r="S38" s="25">
        <v>1481800</v>
      </c>
      <c r="T38" s="26">
        <f t="shared" si="2"/>
        <v>14818000</v>
      </c>
      <c r="U38" s="26">
        <f t="shared" si="3"/>
        <v>36304100</v>
      </c>
      <c r="V38" s="2"/>
      <c r="W38" s="2"/>
      <c r="X38" s="2"/>
      <c r="Y38" s="2"/>
      <c r="Z38" s="2"/>
    </row>
    <row r="39" spans="1:26" ht="12.75" customHeight="1" x14ac:dyDescent="0.35">
      <c r="A39" s="8" t="s">
        <v>61</v>
      </c>
      <c r="B39" s="8" t="s">
        <v>26</v>
      </c>
      <c r="C39" s="8">
        <v>14</v>
      </c>
      <c r="D39" s="21">
        <v>13</v>
      </c>
      <c r="E39" s="21">
        <v>52</v>
      </c>
      <c r="F39" s="21">
        <v>0</v>
      </c>
      <c r="G39" s="22">
        <v>0</v>
      </c>
      <c r="H39" s="21">
        <v>4</v>
      </c>
      <c r="I39" s="21">
        <v>0</v>
      </c>
      <c r="J39" s="21">
        <f t="shared" si="0"/>
        <v>61</v>
      </c>
      <c r="K39" s="21">
        <v>35</v>
      </c>
      <c r="L39" s="23">
        <v>26</v>
      </c>
      <c r="M39" s="21">
        <f t="shared" si="4"/>
        <v>227.5</v>
      </c>
      <c r="N39" s="24">
        <v>411.75</v>
      </c>
      <c r="O39" s="21">
        <v>0</v>
      </c>
      <c r="P39" s="21">
        <v>0</v>
      </c>
      <c r="Q39" s="21">
        <v>0</v>
      </c>
      <c r="R39" s="2"/>
      <c r="S39" s="25">
        <v>1481800</v>
      </c>
      <c r="T39" s="26">
        <f t="shared" si="2"/>
        <v>5927200</v>
      </c>
      <c r="U39" s="26">
        <f t="shared" si="3"/>
        <v>51863000</v>
      </c>
      <c r="V39" s="2"/>
      <c r="W39" s="2"/>
      <c r="X39" s="2"/>
      <c r="Y39" s="2"/>
      <c r="Z39" s="2"/>
    </row>
    <row r="40" spans="1:26" ht="12.75" customHeight="1" x14ac:dyDescent="0.35">
      <c r="A40" s="8" t="s">
        <v>62</v>
      </c>
      <c r="B40" s="8" t="s">
        <v>26</v>
      </c>
      <c r="C40" s="8">
        <v>14</v>
      </c>
      <c r="D40" s="21">
        <v>30</v>
      </c>
      <c r="E40" s="21">
        <v>24</v>
      </c>
      <c r="F40" s="21">
        <v>0</v>
      </c>
      <c r="G40" s="22">
        <v>0</v>
      </c>
      <c r="H40" s="21">
        <v>2</v>
      </c>
      <c r="I40" s="21">
        <v>0</v>
      </c>
      <c r="J40" s="21">
        <f t="shared" si="0"/>
        <v>52</v>
      </c>
      <c r="K40" s="21">
        <v>53</v>
      </c>
      <c r="L40" s="23">
        <v>26</v>
      </c>
      <c r="M40" s="21">
        <f t="shared" si="4"/>
        <v>689</v>
      </c>
      <c r="N40" s="24">
        <v>702</v>
      </c>
      <c r="O40" s="21">
        <v>1</v>
      </c>
      <c r="P40" s="21">
        <v>0</v>
      </c>
      <c r="Q40" s="21">
        <v>0</v>
      </c>
      <c r="R40" s="2"/>
      <c r="S40" s="25">
        <v>1481800</v>
      </c>
      <c r="T40" s="26">
        <f t="shared" si="2"/>
        <v>2963600</v>
      </c>
      <c r="U40" s="26">
        <f t="shared" si="3"/>
        <v>78535400</v>
      </c>
      <c r="V40" s="2"/>
      <c r="W40" s="2"/>
      <c r="X40" s="2"/>
      <c r="Y40" s="2"/>
      <c r="Z40" s="2"/>
    </row>
    <row r="41" spans="1:26" ht="12.75" customHeight="1" x14ac:dyDescent="0.35">
      <c r="A41" s="8" t="s">
        <v>63</v>
      </c>
      <c r="B41" s="8" t="s">
        <v>26</v>
      </c>
      <c r="C41" s="8">
        <v>14</v>
      </c>
      <c r="D41" s="21">
        <v>71</v>
      </c>
      <c r="E41" s="21">
        <v>105</v>
      </c>
      <c r="F41" s="21">
        <v>0</v>
      </c>
      <c r="G41" s="22">
        <v>0</v>
      </c>
      <c r="H41" s="21">
        <v>31</v>
      </c>
      <c r="I41" s="21">
        <v>0</v>
      </c>
      <c r="J41" s="21">
        <f t="shared" si="0"/>
        <v>145</v>
      </c>
      <c r="K41" s="21">
        <v>162.333333333333</v>
      </c>
      <c r="L41" s="23">
        <v>26</v>
      </c>
      <c r="M41" s="21">
        <f t="shared" si="4"/>
        <v>136.15053763440832</v>
      </c>
      <c r="N41" s="24">
        <v>126.29032258064517</v>
      </c>
      <c r="O41" s="21">
        <v>0</v>
      </c>
      <c r="P41" s="21">
        <v>0</v>
      </c>
      <c r="Q41" s="21">
        <v>0</v>
      </c>
      <c r="R41" s="2"/>
      <c r="S41" s="25">
        <v>942555</v>
      </c>
      <c r="T41" s="26">
        <f t="shared" si="2"/>
        <v>29219205</v>
      </c>
      <c r="U41" s="26">
        <f t="shared" si="3"/>
        <v>153008094.9999997</v>
      </c>
      <c r="V41" s="2"/>
      <c r="W41" s="2"/>
      <c r="X41" s="2"/>
      <c r="Y41" s="2"/>
      <c r="Z41" s="2"/>
    </row>
    <row r="42" spans="1:26" ht="12.75" customHeight="1" x14ac:dyDescent="0.35">
      <c r="A42" s="8" t="s">
        <v>64</v>
      </c>
      <c r="B42" s="8" t="s">
        <v>26</v>
      </c>
      <c r="C42" s="8">
        <v>14</v>
      </c>
      <c r="D42" s="21">
        <v>2</v>
      </c>
      <c r="E42" s="21">
        <v>184</v>
      </c>
      <c r="F42" s="21">
        <v>0</v>
      </c>
      <c r="G42" s="22">
        <v>0</v>
      </c>
      <c r="H42" s="21">
        <v>74</v>
      </c>
      <c r="I42" s="21">
        <v>0</v>
      </c>
      <c r="J42" s="21">
        <f t="shared" si="0"/>
        <v>112</v>
      </c>
      <c r="K42" s="21">
        <v>80</v>
      </c>
      <c r="L42" s="23">
        <v>26</v>
      </c>
      <c r="M42" s="21">
        <f t="shared" si="4"/>
        <v>28.108108108108109</v>
      </c>
      <c r="N42" s="24">
        <v>40.86486486486487</v>
      </c>
      <c r="O42" s="21">
        <v>0</v>
      </c>
      <c r="P42" s="21">
        <v>0</v>
      </c>
      <c r="Q42" s="21">
        <v>0</v>
      </c>
      <c r="R42" s="2"/>
      <c r="S42" s="25">
        <v>958675</v>
      </c>
      <c r="T42" s="26">
        <f t="shared" si="2"/>
        <v>70941950</v>
      </c>
      <c r="U42" s="26">
        <f t="shared" si="3"/>
        <v>76694000</v>
      </c>
      <c r="V42" s="2"/>
      <c r="W42" s="2"/>
      <c r="X42" s="2"/>
      <c r="Y42" s="2"/>
      <c r="Z42" s="2"/>
    </row>
    <row r="43" spans="1:26" ht="12.75" customHeight="1" x14ac:dyDescent="0.35">
      <c r="A43" s="8" t="s">
        <v>65</v>
      </c>
      <c r="B43" s="8" t="s">
        <v>26</v>
      </c>
      <c r="C43" s="8">
        <v>14</v>
      </c>
      <c r="D43" s="21">
        <v>185</v>
      </c>
      <c r="E43" s="21">
        <v>159</v>
      </c>
      <c r="F43" s="21">
        <v>0</v>
      </c>
      <c r="G43" s="22">
        <v>0</v>
      </c>
      <c r="H43" s="21">
        <v>238</v>
      </c>
      <c r="I43" s="21">
        <v>0</v>
      </c>
      <c r="J43" s="21">
        <f t="shared" si="0"/>
        <v>106</v>
      </c>
      <c r="K43" s="21">
        <v>100.333333333333</v>
      </c>
      <c r="L43" s="23">
        <v>26</v>
      </c>
      <c r="M43" s="21">
        <f t="shared" si="4"/>
        <v>10.960784313725455</v>
      </c>
      <c r="N43" s="24">
        <v>12.025210084033613</v>
      </c>
      <c r="O43" s="21">
        <v>0</v>
      </c>
      <c r="P43" s="21">
        <v>0</v>
      </c>
      <c r="Q43" s="21">
        <v>0</v>
      </c>
      <c r="R43" s="2"/>
      <c r="S43" s="25">
        <v>848935</v>
      </c>
      <c r="T43" s="26">
        <f t="shared" si="2"/>
        <v>202046530</v>
      </c>
      <c r="U43" s="26">
        <f t="shared" si="3"/>
        <v>85176478.333333045</v>
      </c>
      <c r="V43" s="2"/>
      <c r="W43" s="2"/>
      <c r="X43" s="2"/>
      <c r="Y43" s="2"/>
      <c r="Z43" s="2"/>
    </row>
    <row r="44" spans="1:26" ht="12.75" customHeight="1" x14ac:dyDescent="0.35">
      <c r="A44" s="8" t="s">
        <v>66</v>
      </c>
      <c r="B44" s="8" t="s">
        <v>26</v>
      </c>
      <c r="C44" s="8">
        <v>14</v>
      </c>
      <c r="D44" s="21">
        <v>799</v>
      </c>
      <c r="E44" s="21">
        <v>0</v>
      </c>
      <c r="F44" s="21">
        <v>0</v>
      </c>
      <c r="G44" s="22">
        <v>0</v>
      </c>
      <c r="H44" s="21">
        <v>178</v>
      </c>
      <c r="I44" s="21">
        <v>0</v>
      </c>
      <c r="J44" s="21">
        <f t="shared" si="0"/>
        <v>621</v>
      </c>
      <c r="K44" s="21">
        <v>687.5</v>
      </c>
      <c r="L44" s="23">
        <v>26</v>
      </c>
      <c r="M44" s="21">
        <f t="shared" si="4"/>
        <v>100.42134831460673</v>
      </c>
      <c r="N44" s="24">
        <v>94.196629213483149</v>
      </c>
      <c r="O44" s="21">
        <v>0</v>
      </c>
      <c r="P44" s="21">
        <v>0</v>
      </c>
      <c r="Q44" s="21">
        <v>0</v>
      </c>
      <c r="R44" s="2"/>
      <c r="S44" s="25">
        <v>1012770</v>
      </c>
      <c r="T44" s="26">
        <f t="shared" si="2"/>
        <v>180273060</v>
      </c>
      <c r="U44" s="26">
        <f t="shared" si="3"/>
        <v>696279375</v>
      </c>
      <c r="V44" s="2"/>
      <c r="W44" s="2"/>
      <c r="X44" s="2"/>
      <c r="Y44" s="2"/>
      <c r="Z44" s="2"/>
    </row>
    <row r="45" spans="1:26" ht="12.75" customHeight="1" x14ac:dyDescent="0.35">
      <c r="A45" s="8" t="s">
        <v>67</v>
      </c>
      <c r="B45" s="8" t="s">
        <v>26</v>
      </c>
      <c r="C45" s="8">
        <v>14</v>
      </c>
      <c r="D45" s="21">
        <v>869</v>
      </c>
      <c r="E45" s="21">
        <v>0</v>
      </c>
      <c r="F45" s="21">
        <v>0</v>
      </c>
      <c r="G45" s="22">
        <v>0</v>
      </c>
      <c r="H45" s="21">
        <v>510</v>
      </c>
      <c r="I45" s="21">
        <v>0</v>
      </c>
      <c r="J45" s="21">
        <f t="shared" si="0"/>
        <v>359</v>
      </c>
      <c r="K45" s="21">
        <v>580.5</v>
      </c>
      <c r="L45" s="23">
        <v>26</v>
      </c>
      <c r="M45" s="21">
        <f t="shared" si="4"/>
        <v>29.594117647058823</v>
      </c>
      <c r="N45" s="24">
        <v>19.005882352941178</v>
      </c>
      <c r="O45" s="21">
        <v>0</v>
      </c>
      <c r="P45" s="21">
        <v>0</v>
      </c>
      <c r="Q45" s="21">
        <v>0</v>
      </c>
      <c r="R45" s="2"/>
      <c r="S45" s="25">
        <v>1012770</v>
      </c>
      <c r="T45" s="26">
        <f t="shared" si="2"/>
        <v>516512700</v>
      </c>
      <c r="U45" s="26">
        <f t="shared" si="3"/>
        <v>587912985</v>
      </c>
      <c r="V45" s="2"/>
      <c r="W45" s="2"/>
      <c r="X45" s="2"/>
      <c r="Y45" s="2"/>
      <c r="Z45" s="2"/>
    </row>
    <row r="46" spans="1:26" ht="12.75" customHeight="1" x14ac:dyDescent="0.35">
      <c r="A46" s="8" t="s">
        <v>68</v>
      </c>
      <c r="B46" s="8" t="s">
        <v>26</v>
      </c>
      <c r="C46" s="8">
        <v>14</v>
      </c>
      <c r="D46" s="21">
        <v>20</v>
      </c>
      <c r="E46" s="21">
        <v>0</v>
      </c>
      <c r="F46" s="21">
        <v>0</v>
      </c>
      <c r="G46" s="22">
        <v>0</v>
      </c>
      <c r="H46" s="21">
        <v>0</v>
      </c>
      <c r="I46" s="21">
        <v>0</v>
      </c>
      <c r="J46" s="21">
        <f t="shared" si="0"/>
        <v>20</v>
      </c>
      <c r="K46" s="21">
        <v>0</v>
      </c>
      <c r="L46" s="23">
        <v>26</v>
      </c>
      <c r="M46" s="21">
        <v>0</v>
      </c>
      <c r="N46" s="24">
        <v>0</v>
      </c>
      <c r="O46" s="21">
        <v>0</v>
      </c>
      <c r="P46" s="21">
        <v>0</v>
      </c>
      <c r="Q46" s="21">
        <v>0</v>
      </c>
      <c r="R46" s="2"/>
      <c r="S46" s="25">
        <v>1237210</v>
      </c>
      <c r="T46" s="26">
        <f t="shared" si="2"/>
        <v>0</v>
      </c>
      <c r="U46" s="26">
        <f t="shared" si="3"/>
        <v>0</v>
      </c>
      <c r="V46" s="2"/>
      <c r="W46" s="2"/>
      <c r="X46" s="2"/>
      <c r="Y46" s="2"/>
      <c r="Z46" s="2"/>
    </row>
    <row r="47" spans="1:26" ht="12.75" customHeight="1" x14ac:dyDescent="0.35">
      <c r="A47" s="8" t="s">
        <v>69</v>
      </c>
      <c r="B47" s="8" t="s">
        <v>26</v>
      </c>
      <c r="C47" s="8">
        <v>14</v>
      </c>
      <c r="D47" s="21">
        <v>12</v>
      </c>
      <c r="E47" s="21">
        <v>51</v>
      </c>
      <c r="F47" s="21">
        <v>0</v>
      </c>
      <c r="G47" s="22">
        <v>0</v>
      </c>
      <c r="H47" s="21">
        <v>4</v>
      </c>
      <c r="I47" s="21">
        <v>0</v>
      </c>
      <c r="J47" s="21">
        <f t="shared" si="0"/>
        <v>59</v>
      </c>
      <c r="K47" s="21">
        <v>36.6666666666667</v>
      </c>
      <c r="L47" s="23">
        <v>26</v>
      </c>
      <c r="M47" s="21">
        <f t="shared" ref="M47:M48" si="5">(K47/(H47+I47))*L47</f>
        <v>238.33333333333354</v>
      </c>
      <c r="N47" s="24">
        <v>398.25</v>
      </c>
      <c r="O47" s="21">
        <v>0</v>
      </c>
      <c r="P47" s="21">
        <v>0</v>
      </c>
      <c r="Q47" s="21">
        <v>0</v>
      </c>
      <c r="R47" s="2"/>
      <c r="S47" s="25">
        <v>1436695</v>
      </c>
      <c r="T47" s="26">
        <f t="shared" si="2"/>
        <v>5746780</v>
      </c>
      <c r="U47" s="26">
        <f t="shared" si="3"/>
        <v>52678816.666666716</v>
      </c>
      <c r="V47" s="2"/>
      <c r="W47" s="2"/>
      <c r="X47" s="2"/>
      <c r="Y47" s="2"/>
      <c r="Z47" s="2"/>
    </row>
    <row r="48" spans="1:26" ht="12.75" customHeight="1" x14ac:dyDescent="0.35">
      <c r="A48" s="8" t="s">
        <v>70</v>
      </c>
      <c r="B48" s="8" t="s">
        <v>26</v>
      </c>
      <c r="C48" s="8">
        <v>14</v>
      </c>
      <c r="D48" s="21">
        <v>1048</v>
      </c>
      <c r="E48" s="21">
        <v>626</v>
      </c>
      <c r="F48" s="21">
        <v>0</v>
      </c>
      <c r="G48" s="22">
        <v>0</v>
      </c>
      <c r="H48" s="21">
        <v>780</v>
      </c>
      <c r="I48" s="21">
        <v>0</v>
      </c>
      <c r="J48" s="21">
        <f t="shared" si="0"/>
        <v>894</v>
      </c>
      <c r="K48" s="21">
        <v>997.44444444444412</v>
      </c>
      <c r="L48" s="23">
        <v>26</v>
      </c>
      <c r="M48" s="21">
        <f t="shared" si="5"/>
        <v>33.24814814814814</v>
      </c>
      <c r="N48" s="24">
        <v>30.946153846153845</v>
      </c>
      <c r="O48" s="21">
        <v>0</v>
      </c>
      <c r="P48" s="21">
        <v>200</v>
      </c>
      <c r="Q48" s="21">
        <v>0</v>
      </c>
      <c r="R48" s="2"/>
      <c r="S48" s="25">
        <v>848935</v>
      </c>
      <c r="T48" s="26">
        <f t="shared" si="2"/>
        <v>662169300</v>
      </c>
      <c r="U48" s="26">
        <f t="shared" si="3"/>
        <v>846765499.44444418</v>
      </c>
      <c r="V48" s="2"/>
      <c r="W48" s="2"/>
      <c r="X48" s="2"/>
      <c r="Y48" s="2"/>
      <c r="Z48" s="2"/>
    </row>
    <row r="49" spans="1:26" ht="12.75" customHeight="1" x14ac:dyDescent="0.35">
      <c r="A49" s="8" t="s">
        <v>71</v>
      </c>
      <c r="B49" s="8" t="s">
        <v>26</v>
      </c>
      <c r="C49" s="8">
        <v>14</v>
      </c>
      <c r="D49" s="21">
        <v>59</v>
      </c>
      <c r="E49" s="21">
        <v>0</v>
      </c>
      <c r="F49" s="21">
        <v>0</v>
      </c>
      <c r="G49" s="22">
        <v>0</v>
      </c>
      <c r="H49" s="21">
        <v>0</v>
      </c>
      <c r="I49" s="21">
        <v>0</v>
      </c>
      <c r="J49" s="21">
        <f t="shared" si="0"/>
        <v>59</v>
      </c>
      <c r="K49" s="21">
        <v>0</v>
      </c>
      <c r="L49" s="23">
        <v>26</v>
      </c>
      <c r="M49" s="21">
        <v>0</v>
      </c>
      <c r="N49" s="24">
        <v>0</v>
      </c>
      <c r="O49" s="21">
        <v>0</v>
      </c>
      <c r="P49" s="21">
        <v>0</v>
      </c>
      <c r="Q49" s="21">
        <v>0</v>
      </c>
      <c r="R49" s="2"/>
      <c r="S49" s="25">
        <v>1497718</v>
      </c>
      <c r="T49" s="26">
        <f t="shared" si="2"/>
        <v>0</v>
      </c>
      <c r="U49" s="26">
        <f t="shared" si="3"/>
        <v>0</v>
      </c>
      <c r="V49" s="2"/>
      <c r="W49" s="2"/>
      <c r="X49" s="2"/>
      <c r="Y49" s="2"/>
      <c r="Z49" s="2"/>
    </row>
    <row r="50" spans="1:26" ht="12.75" customHeight="1" x14ac:dyDescent="0.35">
      <c r="A50" s="8" t="s">
        <v>72</v>
      </c>
      <c r="B50" s="8" t="s">
        <v>26</v>
      </c>
      <c r="C50" s="8">
        <v>14</v>
      </c>
      <c r="D50" s="21">
        <v>278</v>
      </c>
      <c r="E50" s="21">
        <v>961</v>
      </c>
      <c r="F50" s="21">
        <v>0</v>
      </c>
      <c r="G50" s="22">
        <v>0</v>
      </c>
      <c r="H50" s="21">
        <v>590</v>
      </c>
      <c r="I50" s="21">
        <v>0</v>
      </c>
      <c r="J50" s="21">
        <f t="shared" si="0"/>
        <v>649</v>
      </c>
      <c r="K50" s="21">
        <v>570.88235294117601</v>
      </c>
      <c r="L50" s="23">
        <v>26</v>
      </c>
      <c r="M50" s="21">
        <f t="shared" ref="M50:M58" si="6">(K50/(H50+I50))*L50</f>
        <v>25.157527417746739</v>
      </c>
      <c r="N50" s="24">
        <v>29.700000000000003</v>
      </c>
      <c r="O50" s="21">
        <v>41</v>
      </c>
      <c r="P50" s="21">
        <v>0</v>
      </c>
      <c r="Q50" s="21">
        <v>0</v>
      </c>
      <c r="R50" s="2"/>
      <c r="S50" s="25">
        <v>1396550</v>
      </c>
      <c r="T50" s="26">
        <f t="shared" si="2"/>
        <v>823964500</v>
      </c>
      <c r="U50" s="26">
        <f t="shared" si="3"/>
        <v>797265749.9999994</v>
      </c>
      <c r="V50" s="2"/>
      <c r="W50" s="2"/>
      <c r="X50" s="2"/>
      <c r="Y50" s="2"/>
      <c r="Z50" s="2"/>
    </row>
    <row r="51" spans="1:26" ht="12.75" customHeight="1" x14ac:dyDescent="0.35">
      <c r="A51" s="8" t="s">
        <v>73</v>
      </c>
      <c r="B51" s="8" t="s">
        <v>26</v>
      </c>
      <c r="C51" s="8">
        <v>14</v>
      </c>
      <c r="D51" s="21">
        <v>54</v>
      </c>
      <c r="E51" s="21">
        <v>84</v>
      </c>
      <c r="F51" s="21">
        <v>0</v>
      </c>
      <c r="G51" s="22">
        <v>0</v>
      </c>
      <c r="H51" s="21">
        <v>54</v>
      </c>
      <c r="I51" s="21">
        <v>0</v>
      </c>
      <c r="J51" s="21">
        <f t="shared" si="0"/>
        <v>84</v>
      </c>
      <c r="K51" s="21">
        <v>45.5555555555556</v>
      </c>
      <c r="L51" s="23">
        <v>26</v>
      </c>
      <c r="M51" s="21">
        <f t="shared" si="6"/>
        <v>21.934156378600843</v>
      </c>
      <c r="N51" s="24">
        <v>42</v>
      </c>
      <c r="O51" s="21">
        <v>0</v>
      </c>
      <c r="P51" s="21">
        <v>0</v>
      </c>
      <c r="Q51" s="21">
        <v>0</v>
      </c>
      <c r="R51" s="2"/>
      <c r="S51" s="25">
        <v>1143590</v>
      </c>
      <c r="T51" s="26">
        <f t="shared" si="2"/>
        <v>61753860</v>
      </c>
      <c r="U51" s="26">
        <f t="shared" si="3"/>
        <v>52096877.777777828</v>
      </c>
      <c r="V51" s="2"/>
      <c r="W51" s="2"/>
      <c r="X51" s="2"/>
      <c r="Y51" s="2"/>
      <c r="Z51" s="2"/>
    </row>
    <row r="52" spans="1:26" ht="12.75" customHeight="1" x14ac:dyDescent="0.35">
      <c r="A52" s="8" t="s">
        <v>74</v>
      </c>
      <c r="B52" s="8" t="s">
        <v>26</v>
      </c>
      <c r="C52" s="8">
        <v>14</v>
      </c>
      <c r="D52" s="21">
        <v>88</v>
      </c>
      <c r="E52" s="21">
        <v>99</v>
      </c>
      <c r="F52" s="21">
        <v>0</v>
      </c>
      <c r="G52" s="22">
        <v>0</v>
      </c>
      <c r="H52" s="21">
        <v>88</v>
      </c>
      <c r="I52" s="21">
        <v>0</v>
      </c>
      <c r="J52" s="21">
        <f t="shared" si="0"/>
        <v>99</v>
      </c>
      <c r="K52" s="21">
        <v>79.5</v>
      </c>
      <c r="L52" s="23">
        <v>26</v>
      </c>
      <c r="M52" s="21">
        <f t="shared" si="6"/>
        <v>23.488636363636363</v>
      </c>
      <c r="N52" s="24">
        <v>30.375</v>
      </c>
      <c r="O52" s="21">
        <v>0</v>
      </c>
      <c r="P52" s="21">
        <v>0</v>
      </c>
      <c r="Q52" s="21">
        <v>0</v>
      </c>
      <c r="R52" s="2"/>
      <c r="S52" s="25">
        <v>954645</v>
      </c>
      <c r="T52" s="26">
        <f t="shared" si="2"/>
        <v>84008760</v>
      </c>
      <c r="U52" s="26">
        <f t="shared" si="3"/>
        <v>75894277.5</v>
      </c>
      <c r="V52" s="2"/>
      <c r="W52" s="2"/>
      <c r="X52" s="2"/>
      <c r="Y52" s="2"/>
      <c r="Z52" s="2"/>
    </row>
    <row r="53" spans="1:26" ht="12.75" customHeight="1" x14ac:dyDescent="0.35">
      <c r="A53" s="8" t="s">
        <v>75</v>
      </c>
      <c r="B53" s="8" t="s">
        <v>26</v>
      </c>
      <c r="C53" s="8">
        <v>14</v>
      </c>
      <c r="D53" s="21">
        <v>160</v>
      </c>
      <c r="E53" s="21">
        <v>0</v>
      </c>
      <c r="F53" s="21">
        <v>0</v>
      </c>
      <c r="G53" s="22">
        <v>0</v>
      </c>
      <c r="H53" s="21">
        <v>20</v>
      </c>
      <c r="I53" s="21">
        <v>0</v>
      </c>
      <c r="J53" s="21">
        <f t="shared" si="0"/>
        <v>140</v>
      </c>
      <c r="K53" s="21">
        <v>146.4</v>
      </c>
      <c r="L53" s="23">
        <v>26</v>
      </c>
      <c r="M53" s="21">
        <f t="shared" si="6"/>
        <v>190.32</v>
      </c>
      <c r="N53" s="24">
        <v>189</v>
      </c>
      <c r="O53" s="21">
        <v>0</v>
      </c>
      <c r="P53" s="21">
        <v>0</v>
      </c>
      <c r="Q53" s="21">
        <v>0</v>
      </c>
      <c r="R53" s="2"/>
      <c r="S53" s="25">
        <v>771202</v>
      </c>
      <c r="T53" s="26">
        <f t="shared" si="2"/>
        <v>15424040</v>
      </c>
      <c r="U53" s="26">
        <f t="shared" si="3"/>
        <v>112903972.8</v>
      </c>
      <c r="V53" s="2"/>
      <c r="W53" s="2"/>
      <c r="X53" s="2"/>
      <c r="Y53" s="2"/>
      <c r="Z53" s="2"/>
    </row>
    <row r="54" spans="1:26" ht="12.75" customHeight="1" x14ac:dyDescent="0.35">
      <c r="A54" s="8" t="s">
        <v>76</v>
      </c>
      <c r="B54" s="8" t="s">
        <v>26</v>
      </c>
      <c r="C54" s="8">
        <v>14</v>
      </c>
      <c r="D54" s="21">
        <v>72</v>
      </c>
      <c r="E54" s="21">
        <v>0</v>
      </c>
      <c r="F54" s="21">
        <v>0</v>
      </c>
      <c r="G54" s="22">
        <v>0</v>
      </c>
      <c r="H54" s="21">
        <v>16</v>
      </c>
      <c r="I54" s="21">
        <v>0</v>
      </c>
      <c r="J54" s="21">
        <f t="shared" si="0"/>
        <v>56</v>
      </c>
      <c r="K54" s="21">
        <v>63.3333333333333</v>
      </c>
      <c r="L54" s="23">
        <v>26</v>
      </c>
      <c r="M54" s="21">
        <f t="shared" si="6"/>
        <v>102.91666666666661</v>
      </c>
      <c r="N54" s="24">
        <v>94.5</v>
      </c>
      <c r="O54" s="21">
        <v>0</v>
      </c>
      <c r="P54" s="21">
        <v>0</v>
      </c>
      <c r="Q54" s="21">
        <v>0</v>
      </c>
      <c r="R54" s="2"/>
      <c r="S54" s="25">
        <v>1497718</v>
      </c>
      <c r="T54" s="26">
        <f t="shared" si="2"/>
        <v>23963488</v>
      </c>
      <c r="U54" s="26">
        <f t="shared" si="3"/>
        <v>94855473.333333284</v>
      </c>
      <c r="V54" s="2"/>
      <c r="W54" s="2"/>
      <c r="X54" s="2"/>
      <c r="Y54" s="2"/>
      <c r="Z54" s="2"/>
    </row>
    <row r="55" spans="1:26" ht="12.75" customHeight="1" x14ac:dyDescent="0.35">
      <c r="A55" s="8" t="s">
        <v>77</v>
      </c>
      <c r="B55" s="8" t="s">
        <v>26</v>
      </c>
      <c r="C55" s="8">
        <v>14</v>
      </c>
      <c r="D55" s="21">
        <v>163</v>
      </c>
      <c r="E55" s="21">
        <v>242</v>
      </c>
      <c r="F55" s="21">
        <v>0</v>
      </c>
      <c r="G55" s="22">
        <v>0</v>
      </c>
      <c r="H55" s="21">
        <v>100</v>
      </c>
      <c r="I55" s="21">
        <v>0</v>
      </c>
      <c r="J55" s="21">
        <f t="shared" si="0"/>
        <v>305</v>
      </c>
      <c r="K55" s="21">
        <v>167.333333333333</v>
      </c>
      <c r="L55" s="23">
        <v>26</v>
      </c>
      <c r="M55" s="21">
        <f t="shared" si="6"/>
        <v>43.506666666666582</v>
      </c>
      <c r="N55" s="24">
        <v>82.35</v>
      </c>
      <c r="O55" s="21">
        <v>0</v>
      </c>
      <c r="P55" s="21">
        <v>0</v>
      </c>
      <c r="Q55" s="21">
        <v>0</v>
      </c>
      <c r="R55" s="2"/>
      <c r="S55" s="25">
        <v>907060</v>
      </c>
      <c r="T55" s="26">
        <f t="shared" si="2"/>
        <v>90706000</v>
      </c>
      <c r="U55" s="26">
        <f t="shared" si="3"/>
        <v>151781373.33333305</v>
      </c>
      <c r="V55" s="2"/>
      <c r="W55" s="2"/>
      <c r="X55" s="2"/>
      <c r="Y55" s="2"/>
      <c r="Z55" s="2"/>
    </row>
    <row r="56" spans="1:26" ht="12.75" customHeight="1" x14ac:dyDescent="0.35">
      <c r="A56" s="8" t="s">
        <v>78</v>
      </c>
      <c r="B56" s="8" t="s">
        <v>26</v>
      </c>
      <c r="C56" s="8">
        <v>14</v>
      </c>
      <c r="D56" s="21">
        <v>584</v>
      </c>
      <c r="E56" s="21">
        <v>0</v>
      </c>
      <c r="F56" s="21">
        <v>0</v>
      </c>
      <c r="G56" s="22">
        <v>0</v>
      </c>
      <c r="H56" s="21">
        <v>374</v>
      </c>
      <c r="I56" s="21">
        <v>0</v>
      </c>
      <c r="J56" s="21">
        <f t="shared" si="0"/>
        <v>210</v>
      </c>
      <c r="K56" s="21">
        <v>376</v>
      </c>
      <c r="L56" s="23">
        <v>26</v>
      </c>
      <c r="M56" s="21">
        <f t="shared" si="6"/>
        <v>26.139037433155082</v>
      </c>
      <c r="N56" s="24">
        <v>15.160427807486631</v>
      </c>
      <c r="O56" s="21">
        <v>0.35000000000000003</v>
      </c>
      <c r="P56" s="21">
        <v>280</v>
      </c>
      <c r="Q56" s="21">
        <v>0</v>
      </c>
      <c r="R56" s="2"/>
      <c r="S56" s="25">
        <v>823515</v>
      </c>
      <c r="T56" s="26">
        <f t="shared" si="2"/>
        <v>307994610</v>
      </c>
      <c r="U56" s="26">
        <f t="shared" si="3"/>
        <v>309641640</v>
      </c>
      <c r="V56" s="2"/>
      <c r="W56" s="2"/>
      <c r="X56" s="2"/>
      <c r="Y56" s="2"/>
      <c r="Z56" s="2"/>
    </row>
    <row r="57" spans="1:26" ht="12.75" customHeight="1" x14ac:dyDescent="0.35">
      <c r="A57" s="8" t="s">
        <v>79</v>
      </c>
      <c r="B57" s="8" t="s">
        <v>26</v>
      </c>
      <c r="C57" s="8">
        <v>14</v>
      </c>
      <c r="D57" s="21">
        <v>467.38</v>
      </c>
      <c r="E57" s="21">
        <v>0</v>
      </c>
      <c r="F57" s="21">
        <v>0</v>
      </c>
      <c r="G57" s="22">
        <v>0</v>
      </c>
      <c r="H57" s="21">
        <v>288</v>
      </c>
      <c r="I57" s="21">
        <v>0</v>
      </c>
      <c r="J57" s="21">
        <f t="shared" si="0"/>
        <v>179.38</v>
      </c>
      <c r="K57" s="21">
        <v>305.38</v>
      </c>
      <c r="L57" s="23">
        <v>26</v>
      </c>
      <c r="M57" s="21">
        <f t="shared" si="6"/>
        <v>27.569027777777777</v>
      </c>
      <c r="N57" s="24">
        <v>16.816875</v>
      </c>
      <c r="O57" s="21">
        <v>0.38</v>
      </c>
      <c r="P57" s="21">
        <v>0</v>
      </c>
      <c r="Q57" s="21">
        <v>0</v>
      </c>
      <c r="R57" s="2"/>
      <c r="S57" s="25">
        <v>823515</v>
      </c>
      <c r="T57" s="26">
        <f t="shared" si="2"/>
        <v>237172320</v>
      </c>
      <c r="U57" s="26">
        <f t="shared" si="3"/>
        <v>251485010.69999999</v>
      </c>
      <c r="V57" s="2"/>
      <c r="W57" s="2"/>
      <c r="X57" s="2"/>
      <c r="Y57" s="2"/>
      <c r="Z57" s="2"/>
    </row>
    <row r="58" spans="1:26" ht="12.75" customHeight="1" x14ac:dyDescent="0.35">
      <c r="A58" s="8" t="s">
        <v>80</v>
      </c>
      <c r="B58" s="8" t="s">
        <v>26</v>
      </c>
      <c r="C58" s="8">
        <v>14</v>
      </c>
      <c r="D58" s="21">
        <v>515</v>
      </c>
      <c r="E58" s="21">
        <v>5</v>
      </c>
      <c r="F58" s="21">
        <v>0</v>
      </c>
      <c r="G58" s="22">
        <v>0</v>
      </c>
      <c r="H58" s="21">
        <v>162</v>
      </c>
      <c r="I58" s="21">
        <v>0</v>
      </c>
      <c r="J58" s="21">
        <f t="shared" si="0"/>
        <v>358</v>
      </c>
      <c r="K58" s="21">
        <v>394.75</v>
      </c>
      <c r="L58" s="23">
        <v>26</v>
      </c>
      <c r="M58" s="21">
        <f t="shared" si="6"/>
        <v>63.354938271604937</v>
      </c>
      <c r="N58" s="24">
        <v>59.666666666666671</v>
      </c>
      <c r="O58" s="21">
        <v>0</v>
      </c>
      <c r="P58" s="21">
        <v>229</v>
      </c>
      <c r="Q58" s="21">
        <v>0</v>
      </c>
      <c r="R58" s="2"/>
      <c r="S58" s="25">
        <v>823515</v>
      </c>
      <c r="T58" s="26">
        <f t="shared" si="2"/>
        <v>133409430</v>
      </c>
      <c r="U58" s="26">
        <f t="shared" si="3"/>
        <v>325082546.25</v>
      </c>
      <c r="V58" s="2"/>
      <c r="W58" s="2"/>
      <c r="X58" s="2"/>
      <c r="Y58" s="2"/>
      <c r="Z58" s="2"/>
    </row>
    <row r="59" spans="1:26" ht="12.75" customHeight="1" x14ac:dyDescent="0.35">
      <c r="A59" s="8" t="s">
        <v>81</v>
      </c>
      <c r="B59" s="8" t="s">
        <v>26</v>
      </c>
      <c r="C59" s="8">
        <v>14</v>
      </c>
      <c r="D59" s="21">
        <v>26.03</v>
      </c>
      <c r="E59" s="21">
        <v>0</v>
      </c>
      <c r="F59" s="21">
        <v>0</v>
      </c>
      <c r="G59" s="22">
        <v>0</v>
      </c>
      <c r="H59" s="21">
        <v>0</v>
      </c>
      <c r="I59" s="21">
        <v>0</v>
      </c>
      <c r="J59" s="21">
        <f t="shared" si="0"/>
        <v>26.03</v>
      </c>
      <c r="K59" s="21">
        <v>0</v>
      </c>
      <c r="L59" s="23">
        <v>26</v>
      </c>
      <c r="M59" s="21">
        <v>0</v>
      </c>
      <c r="N59" s="24">
        <v>0</v>
      </c>
      <c r="O59" s="21">
        <v>0</v>
      </c>
      <c r="P59" s="21">
        <v>0</v>
      </c>
      <c r="Q59" s="21">
        <v>0</v>
      </c>
      <c r="R59" s="2"/>
      <c r="S59" s="25">
        <v>823515</v>
      </c>
      <c r="T59" s="26">
        <f t="shared" si="2"/>
        <v>0</v>
      </c>
      <c r="U59" s="26">
        <f t="shared" si="3"/>
        <v>0</v>
      </c>
      <c r="V59" s="2"/>
      <c r="W59" s="2"/>
      <c r="X59" s="2"/>
      <c r="Y59" s="2"/>
      <c r="Z59" s="2"/>
    </row>
    <row r="60" spans="1:26" ht="12.75" customHeight="1" x14ac:dyDescent="0.35">
      <c r="A60" s="8" t="s">
        <v>82</v>
      </c>
      <c r="B60" s="8" t="s">
        <v>26</v>
      </c>
      <c r="C60" s="8">
        <v>14</v>
      </c>
      <c r="D60" s="21">
        <v>56</v>
      </c>
      <c r="E60" s="21">
        <v>0</v>
      </c>
      <c r="F60" s="21">
        <v>0</v>
      </c>
      <c r="G60" s="22">
        <v>0</v>
      </c>
      <c r="H60" s="21">
        <v>12</v>
      </c>
      <c r="I60" s="21">
        <v>0</v>
      </c>
      <c r="J60" s="21">
        <f t="shared" si="0"/>
        <v>44</v>
      </c>
      <c r="K60" s="21">
        <v>49.6</v>
      </c>
      <c r="L60" s="23">
        <v>26</v>
      </c>
      <c r="M60" s="21">
        <f t="shared" ref="M60:M72" si="7">(K60/(H60+I60))*L60</f>
        <v>107.46666666666668</v>
      </c>
      <c r="N60" s="24">
        <v>99</v>
      </c>
      <c r="O60" s="21">
        <v>0</v>
      </c>
      <c r="P60" s="21">
        <v>0</v>
      </c>
      <c r="Q60" s="21">
        <v>0</v>
      </c>
      <c r="R60" s="2"/>
      <c r="S60" s="25">
        <v>604345</v>
      </c>
      <c r="T60" s="26">
        <f t="shared" si="2"/>
        <v>7252140</v>
      </c>
      <c r="U60" s="26">
        <f t="shared" si="3"/>
        <v>29975512</v>
      </c>
      <c r="V60" s="2"/>
      <c r="W60" s="2"/>
      <c r="X60" s="2"/>
      <c r="Y60" s="2"/>
      <c r="Z60" s="2"/>
    </row>
    <row r="61" spans="1:26" ht="12.75" customHeight="1" x14ac:dyDescent="0.35">
      <c r="A61" s="8" t="s">
        <v>83</v>
      </c>
      <c r="B61" s="8" t="s">
        <v>26</v>
      </c>
      <c r="C61" s="8">
        <v>14</v>
      </c>
      <c r="D61" s="21">
        <v>941</v>
      </c>
      <c r="E61" s="21">
        <v>683</v>
      </c>
      <c r="F61" s="21">
        <v>0</v>
      </c>
      <c r="G61" s="22">
        <v>0</v>
      </c>
      <c r="H61" s="21">
        <v>915</v>
      </c>
      <c r="I61" s="21">
        <v>0</v>
      </c>
      <c r="J61" s="21">
        <f t="shared" si="0"/>
        <v>709</v>
      </c>
      <c r="K61" s="21">
        <v>1124.57142857143</v>
      </c>
      <c r="L61" s="23">
        <v>26</v>
      </c>
      <c r="M61" s="21">
        <f t="shared" si="7"/>
        <v>31.955035128805658</v>
      </c>
      <c r="N61" s="24">
        <v>20.921311475409833</v>
      </c>
      <c r="O61" s="21">
        <v>1333</v>
      </c>
      <c r="P61" s="21">
        <v>0</v>
      </c>
      <c r="Q61" s="21">
        <v>0</v>
      </c>
      <c r="R61" s="2"/>
      <c r="S61" s="25">
        <v>597835</v>
      </c>
      <c r="T61" s="26">
        <f t="shared" si="2"/>
        <v>547019025</v>
      </c>
      <c r="U61" s="26">
        <f t="shared" si="3"/>
        <v>672308160.00000083</v>
      </c>
      <c r="V61" s="2"/>
      <c r="W61" s="2"/>
      <c r="X61" s="2"/>
      <c r="Y61" s="2"/>
      <c r="Z61" s="2"/>
    </row>
    <row r="62" spans="1:26" ht="12.75" customHeight="1" x14ac:dyDescent="0.35">
      <c r="A62" s="8" t="s">
        <v>84</v>
      </c>
      <c r="B62" s="8" t="s">
        <v>26</v>
      </c>
      <c r="C62" s="8">
        <v>14</v>
      </c>
      <c r="D62" s="21">
        <v>192</v>
      </c>
      <c r="E62" s="21">
        <v>556</v>
      </c>
      <c r="F62" s="21">
        <v>0</v>
      </c>
      <c r="G62" s="22">
        <v>0</v>
      </c>
      <c r="H62" s="21">
        <v>318</v>
      </c>
      <c r="I62" s="21">
        <v>0</v>
      </c>
      <c r="J62" s="21">
        <f t="shared" si="0"/>
        <v>430</v>
      </c>
      <c r="K62" s="21">
        <v>432.72727272727309</v>
      </c>
      <c r="L62" s="23">
        <v>26</v>
      </c>
      <c r="M62" s="21">
        <f t="shared" si="7"/>
        <v>35.380217267009748</v>
      </c>
      <c r="N62" s="24">
        <v>36.509433962264147</v>
      </c>
      <c r="O62" s="21">
        <v>0</v>
      </c>
      <c r="P62" s="21">
        <v>200</v>
      </c>
      <c r="Q62" s="21">
        <v>0</v>
      </c>
      <c r="R62" s="2"/>
      <c r="S62" s="25">
        <v>937285</v>
      </c>
      <c r="T62" s="26">
        <f t="shared" si="2"/>
        <v>298056630</v>
      </c>
      <c r="U62" s="26">
        <f t="shared" si="3"/>
        <v>405588781.81818217</v>
      </c>
      <c r="V62" s="2"/>
      <c r="W62" s="2"/>
      <c r="X62" s="2"/>
      <c r="Y62" s="2"/>
      <c r="Z62" s="2"/>
    </row>
    <row r="63" spans="1:26" ht="12.75" customHeight="1" x14ac:dyDescent="0.35">
      <c r="A63" s="8" t="s">
        <v>85</v>
      </c>
      <c r="B63" s="8" t="s">
        <v>26</v>
      </c>
      <c r="C63" s="8">
        <v>14</v>
      </c>
      <c r="D63" s="21">
        <v>56</v>
      </c>
      <c r="E63" s="21">
        <v>10</v>
      </c>
      <c r="F63" s="21">
        <v>0</v>
      </c>
      <c r="G63" s="22">
        <v>0</v>
      </c>
      <c r="H63" s="21">
        <v>8</v>
      </c>
      <c r="I63" s="21">
        <v>0</v>
      </c>
      <c r="J63" s="21">
        <f t="shared" si="0"/>
        <v>58</v>
      </c>
      <c r="K63" s="21">
        <v>58</v>
      </c>
      <c r="L63" s="23">
        <v>26</v>
      </c>
      <c r="M63" s="21">
        <f t="shared" si="7"/>
        <v>188.5</v>
      </c>
      <c r="N63" s="24">
        <v>195.75</v>
      </c>
      <c r="O63" s="21">
        <v>0</v>
      </c>
      <c r="P63" s="21">
        <v>0</v>
      </c>
      <c r="Q63" s="21">
        <v>0</v>
      </c>
      <c r="R63" s="2"/>
      <c r="S63" s="25">
        <v>10957105</v>
      </c>
      <c r="T63" s="26">
        <f t="shared" si="2"/>
        <v>87656840</v>
      </c>
      <c r="U63" s="26">
        <f t="shared" si="3"/>
        <v>635512090</v>
      </c>
      <c r="V63" s="2"/>
      <c r="W63" s="2"/>
      <c r="X63" s="2"/>
      <c r="Y63" s="2"/>
      <c r="Z63" s="2"/>
    </row>
    <row r="64" spans="1:26" ht="12.75" customHeight="1" x14ac:dyDescent="0.35">
      <c r="A64" s="8" t="s">
        <v>86</v>
      </c>
      <c r="B64" s="8" t="s">
        <v>26</v>
      </c>
      <c r="C64" s="8">
        <v>14</v>
      </c>
      <c r="D64" s="21">
        <v>724</v>
      </c>
      <c r="E64" s="21">
        <v>800</v>
      </c>
      <c r="F64" s="21">
        <v>0</v>
      </c>
      <c r="G64" s="22">
        <v>0</v>
      </c>
      <c r="H64" s="21">
        <v>356</v>
      </c>
      <c r="I64" s="21">
        <v>0</v>
      </c>
      <c r="J64" s="21">
        <f t="shared" si="0"/>
        <v>1168</v>
      </c>
      <c r="K64" s="21">
        <v>973.69230769230808</v>
      </c>
      <c r="L64" s="23">
        <v>26</v>
      </c>
      <c r="M64" s="21">
        <f t="shared" si="7"/>
        <v>71.11235955056182</v>
      </c>
      <c r="N64" s="24">
        <v>88.584269662921344</v>
      </c>
      <c r="O64" s="21">
        <v>5</v>
      </c>
      <c r="P64" s="21">
        <v>0</v>
      </c>
      <c r="Q64" s="21">
        <v>0</v>
      </c>
      <c r="R64" s="2"/>
      <c r="S64" s="25">
        <v>1322925</v>
      </c>
      <c r="T64" s="26">
        <f t="shared" si="2"/>
        <v>470961300</v>
      </c>
      <c r="U64" s="26">
        <f t="shared" si="3"/>
        <v>1288121896.1538467</v>
      </c>
      <c r="V64" s="2"/>
      <c r="W64" s="2"/>
      <c r="X64" s="2"/>
      <c r="Y64" s="2"/>
      <c r="Z64" s="2"/>
    </row>
    <row r="65" spans="1:26" ht="12.75" customHeight="1" x14ac:dyDescent="0.35">
      <c r="A65" s="8" t="s">
        <v>87</v>
      </c>
      <c r="B65" s="8" t="s">
        <v>26</v>
      </c>
      <c r="C65" s="8">
        <v>14</v>
      </c>
      <c r="D65" s="21">
        <v>80</v>
      </c>
      <c r="E65" s="21">
        <v>0</v>
      </c>
      <c r="F65" s="21">
        <v>0</v>
      </c>
      <c r="G65" s="22">
        <v>0</v>
      </c>
      <c r="H65" s="21">
        <v>10</v>
      </c>
      <c r="I65" s="21">
        <v>0</v>
      </c>
      <c r="J65" s="21">
        <f t="shared" si="0"/>
        <v>70</v>
      </c>
      <c r="K65" s="21">
        <v>73</v>
      </c>
      <c r="L65" s="23">
        <v>26</v>
      </c>
      <c r="M65" s="21">
        <f t="shared" si="7"/>
        <v>189.79999999999998</v>
      </c>
      <c r="N65" s="24">
        <v>189</v>
      </c>
      <c r="O65" s="21">
        <v>0</v>
      </c>
      <c r="P65" s="21">
        <v>0</v>
      </c>
      <c r="Q65" s="21">
        <v>0</v>
      </c>
      <c r="R65" s="2"/>
      <c r="S65" s="25">
        <v>1027805</v>
      </c>
      <c r="T65" s="26">
        <f t="shared" si="2"/>
        <v>10278050</v>
      </c>
      <c r="U65" s="26">
        <f t="shared" si="3"/>
        <v>75029765</v>
      </c>
      <c r="V65" s="2"/>
      <c r="W65" s="2"/>
      <c r="X65" s="2"/>
      <c r="Y65" s="2"/>
      <c r="Z65" s="2"/>
    </row>
    <row r="66" spans="1:26" ht="12.75" customHeight="1" x14ac:dyDescent="0.35">
      <c r="A66" s="8" t="s">
        <v>88</v>
      </c>
      <c r="B66" s="8" t="s">
        <v>26</v>
      </c>
      <c r="C66" s="8">
        <v>14</v>
      </c>
      <c r="D66" s="21">
        <v>350</v>
      </c>
      <c r="E66" s="21">
        <v>229</v>
      </c>
      <c r="F66" s="21">
        <v>0</v>
      </c>
      <c r="G66" s="22">
        <v>0</v>
      </c>
      <c r="H66" s="21">
        <v>349</v>
      </c>
      <c r="I66" s="21">
        <v>0</v>
      </c>
      <c r="J66" s="21">
        <f t="shared" si="0"/>
        <v>230</v>
      </c>
      <c r="K66" s="21">
        <v>323.8</v>
      </c>
      <c r="L66" s="23">
        <v>26</v>
      </c>
      <c r="M66" s="21">
        <f t="shared" si="7"/>
        <v>24.122636103151862</v>
      </c>
      <c r="N66" s="24">
        <v>17.793696275071632</v>
      </c>
      <c r="O66" s="21">
        <v>0</v>
      </c>
      <c r="P66" s="21">
        <v>200</v>
      </c>
      <c r="Q66" s="21">
        <v>0</v>
      </c>
      <c r="R66" s="2"/>
      <c r="S66" s="25">
        <v>1372215</v>
      </c>
      <c r="T66" s="26">
        <f t="shared" si="2"/>
        <v>478903035</v>
      </c>
      <c r="U66" s="26">
        <f t="shared" si="3"/>
        <v>444323217</v>
      </c>
      <c r="V66" s="2"/>
      <c r="W66" s="2"/>
      <c r="X66" s="2"/>
      <c r="Y66" s="2"/>
      <c r="Z66" s="2"/>
    </row>
    <row r="67" spans="1:26" ht="12.75" customHeight="1" x14ac:dyDescent="0.35">
      <c r="A67" s="8" t="s">
        <v>89</v>
      </c>
      <c r="B67" s="8" t="s">
        <v>26</v>
      </c>
      <c r="C67" s="8">
        <v>14</v>
      </c>
      <c r="D67" s="21">
        <v>152</v>
      </c>
      <c r="E67" s="21">
        <v>0</v>
      </c>
      <c r="F67" s="21">
        <v>0</v>
      </c>
      <c r="G67" s="22">
        <v>0</v>
      </c>
      <c r="H67" s="21">
        <v>32</v>
      </c>
      <c r="I67" s="21">
        <v>0</v>
      </c>
      <c r="J67" s="21">
        <f t="shared" si="0"/>
        <v>120</v>
      </c>
      <c r="K67" s="21">
        <v>134</v>
      </c>
      <c r="L67" s="23">
        <v>26</v>
      </c>
      <c r="M67" s="21">
        <f t="shared" si="7"/>
        <v>108.875</v>
      </c>
      <c r="N67" s="24">
        <v>101.25</v>
      </c>
      <c r="O67" s="21">
        <v>0</v>
      </c>
      <c r="P67" s="21">
        <v>0</v>
      </c>
      <c r="Q67" s="21">
        <v>0</v>
      </c>
      <c r="R67" s="2"/>
      <c r="S67" s="25">
        <v>6276182</v>
      </c>
      <c r="T67" s="26">
        <f t="shared" si="2"/>
        <v>200837824</v>
      </c>
      <c r="U67" s="26">
        <f t="shared" si="3"/>
        <v>841008388</v>
      </c>
      <c r="V67" s="2"/>
      <c r="W67" s="2"/>
      <c r="X67" s="2"/>
      <c r="Y67" s="2"/>
      <c r="Z67" s="2"/>
    </row>
    <row r="68" spans="1:26" ht="12.75" customHeight="1" x14ac:dyDescent="0.35">
      <c r="A68" s="8" t="s">
        <v>90</v>
      </c>
      <c r="B68" s="8" t="s">
        <v>26</v>
      </c>
      <c r="C68" s="8">
        <v>14</v>
      </c>
      <c r="D68" s="21">
        <v>54</v>
      </c>
      <c r="E68" s="21">
        <v>128</v>
      </c>
      <c r="F68" s="21">
        <v>0</v>
      </c>
      <c r="G68" s="22">
        <v>0</v>
      </c>
      <c r="H68" s="21">
        <v>27</v>
      </c>
      <c r="I68" s="21">
        <v>0</v>
      </c>
      <c r="J68" s="21">
        <f t="shared" si="0"/>
        <v>155</v>
      </c>
      <c r="K68" s="21">
        <v>91</v>
      </c>
      <c r="L68" s="23">
        <v>26</v>
      </c>
      <c r="M68" s="21">
        <f t="shared" si="7"/>
        <v>87.629629629629619</v>
      </c>
      <c r="N68" s="24">
        <v>155</v>
      </c>
      <c r="O68" s="21">
        <v>0</v>
      </c>
      <c r="P68" s="21">
        <v>100</v>
      </c>
      <c r="Q68" s="21">
        <v>0</v>
      </c>
      <c r="R68" s="2"/>
      <c r="S68" s="25">
        <v>848935</v>
      </c>
      <c r="T68" s="26">
        <f t="shared" si="2"/>
        <v>22921245</v>
      </c>
      <c r="U68" s="26">
        <f t="shared" si="3"/>
        <v>77253085</v>
      </c>
      <c r="V68" s="2"/>
      <c r="W68" s="2"/>
      <c r="X68" s="2"/>
      <c r="Y68" s="2"/>
      <c r="Z68" s="2"/>
    </row>
    <row r="69" spans="1:26" ht="12.75" customHeight="1" x14ac:dyDescent="0.35">
      <c r="A69" s="8" t="s">
        <v>91</v>
      </c>
      <c r="B69" s="8" t="s">
        <v>26</v>
      </c>
      <c r="C69" s="8">
        <v>14</v>
      </c>
      <c r="D69" s="21">
        <v>302</v>
      </c>
      <c r="E69" s="21">
        <v>294</v>
      </c>
      <c r="F69" s="21">
        <v>0</v>
      </c>
      <c r="G69" s="22">
        <v>0</v>
      </c>
      <c r="H69" s="21">
        <v>227</v>
      </c>
      <c r="I69" s="21">
        <v>0</v>
      </c>
      <c r="J69" s="21">
        <f t="shared" si="0"/>
        <v>369</v>
      </c>
      <c r="K69" s="21">
        <v>302.625</v>
      </c>
      <c r="L69" s="23">
        <v>26</v>
      </c>
      <c r="M69" s="21">
        <f t="shared" si="7"/>
        <v>34.661894273127757</v>
      </c>
      <c r="N69" s="24">
        <v>43.889867841409689</v>
      </c>
      <c r="O69" s="21">
        <v>0</v>
      </c>
      <c r="P69" s="21">
        <v>0</v>
      </c>
      <c r="Q69" s="21">
        <v>0</v>
      </c>
      <c r="R69" s="2"/>
      <c r="S69" s="25">
        <v>923955</v>
      </c>
      <c r="T69" s="26">
        <f t="shared" si="2"/>
        <v>209737785</v>
      </c>
      <c r="U69" s="26">
        <f t="shared" si="3"/>
        <v>279611881.875</v>
      </c>
      <c r="V69" s="2"/>
      <c r="W69" s="2"/>
      <c r="X69" s="2"/>
      <c r="Y69" s="2"/>
      <c r="Z69" s="2"/>
    </row>
    <row r="70" spans="1:26" ht="12.75" customHeight="1" x14ac:dyDescent="0.35">
      <c r="A70" s="8" t="s">
        <v>92</v>
      </c>
      <c r="B70" s="8" t="s">
        <v>26</v>
      </c>
      <c r="C70" s="8">
        <v>14</v>
      </c>
      <c r="D70" s="21">
        <v>256</v>
      </c>
      <c r="E70" s="21">
        <v>649</v>
      </c>
      <c r="F70" s="21">
        <v>0</v>
      </c>
      <c r="G70" s="22">
        <v>0</v>
      </c>
      <c r="H70" s="21">
        <v>583</v>
      </c>
      <c r="I70" s="21">
        <v>0</v>
      </c>
      <c r="J70" s="21">
        <f t="shared" si="0"/>
        <v>322</v>
      </c>
      <c r="K70" s="21">
        <v>322.066666666667</v>
      </c>
      <c r="L70" s="23">
        <v>26</v>
      </c>
      <c r="M70" s="21">
        <f t="shared" si="7"/>
        <v>14.36317895940539</v>
      </c>
      <c r="N70" s="24">
        <v>14.912521440823326</v>
      </c>
      <c r="O70" s="21">
        <v>0</v>
      </c>
      <c r="P70" s="21">
        <v>200</v>
      </c>
      <c r="Q70" s="21">
        <v>0</v>
      </c>
      <c r="R70" s="2"/>
      <c r="S70" s="25">
        <v>923955</v>
      </c>
      <c r="T70" s="26">
        <f t="shared" si="2"/>
        <v>538665765</v>
      </c>
      <c r="U70" s="26">
        <f t="shared" si="3"/>
        <v>297575107.0000003</v>
      </c>
      <c r="V70" s="2"/>
      <c r="W70" s="2"/>
      <c r="X70" s="2"/>
      <c r="Y70" s="2"/>
      <c r="Z70" s="2"/>
    </row>
    <row r="71" spans="1:26" ht="12.75" customHeight="1" x14ac:dyDescent="0.35">
      <c r="A71" s="8" t="s">
        <v>93</v>
      </c>
      <c r="B71" s="8" t="s">
        <v>26</v>
      </c>
      <c r="C71" s="8">
        <v>14</v>
      </c>
      <c r="D71" s="21">
        <v>37</v>
      </c>
      <c r="E71" s="21">
        <v>0</v>
      </c>
      <c r="F71" s="21">
        <v>0</v>
      </c>
      <c r="G71" s="22">
        <v>0</v>
      </c>
      <c r="H71" s="21">
        <v>12</v>
      </c>
      <c r="I71" s="21">
        <v>0</v>
      </c>
      <c r="J71" s="21">
        <f t="shared" si="0"/>
        <v>25</v>
      </c>
      <c r="K71" s="21">
        <v>28</v>
      </c>
      <c r="L71" s="23">
        <v>26</v>
      </c>
      <c r="M71" s="21">
        <f t="shared" si="7"/>
        <v>60.666666666666671</v>
      </c>
      <c r="N71" s="24">
        <v>56.250000000000007</v>
      </c>
      <c r="O71" s="21">
        <v>0</v>
      </c>
      <c r="P71" s="21">
        <v>0</v>
      </c>
      <c r="Q71" s="21">
        <v>0</v>
      </c>
      <c r="R71" s="2"/>
      <c r="S71" s="25">
        <v>504525</v>
      </c>
      <c r="T71" s="26">
        <f t="shared" si="2"/>
        <v>6054300</v>
      </c>
      <c r="U71" s="26">
        <f t="shared" si="3"/>
        <v>14126700</v>
      </c>
      <c r="V71" s="2"/>
      <c r="W71" s="2"/>
      <c r="X71" s="2"/>
      <c r="Y71" s="2"/>
      <c r="Z71" s="2"/>
    </row>
    <row r="72" spans="1:26" ht="12.75" customHeight="1" x14ac:dyDescent="0.35">
      <c r="A72" s="8" t="s">
        <v>94</v>
      </c>
      <c r="B72" s="8" t="s">
        <v>26</v>
      </c>
      <c r="C72" s="8">
        <v>14</v>
      </c>
      <c r="D72" s="21">
        <v>334</v>
      </c>
      <c r="E72" s="21">
        <v>500</v>
      </c>
      <c r="F72" s="21">
        <v>0</v>
      </c>
      <c r="G72" s="22">
        <v>0</v>
      </c>
      <c r="H72" s="21">
        <v>444</v>
      </c>
      <c r="I72" s="21">
        <v>0</v>
      </c>
      <c r="J72" s="21">
        <f t="shared" si="0"/>
        <v>390</v>
      </c>
      <c r="K72" s="21">
        <v>431.71428571428601</v>
      </c>
      <c r="L72" s="23">
        <v>26</v>
      </c>
      <c r="M72" s="21">
        <f t="shared" si="7"/>
        <v>25.280566280566298</v>
      </c>
      <c r="N72" s="24">
        <v>23.716216216216218</v>
      </c>
      <c r="O72" s="21">
        <v>0</v>
      </c>
      <c r="P72" s="21">
        <v>500</v>
      </c>
      <c r="Q72" s="21">
        <v>0</v>
      </c>
      <c r="R72" s="2"/>
      <c r="S72" s="25">
        <v>848935</v>
      </c>
      <c r="T72" s="26">
        <f t="shared" si="2"/>
        <v>376927140</v>
      </c>
      <c r="U72" s="26">
        <f t="shared" si="3"/>
        <v>366497367.14285737</v>
      </c>
      <c r="V72" s="4" t="s">
        <v>95</v>
      </c>
      <c r="W72" s="2"/>
      <c r="X72" s="2"/>
      <c r="Y72" s="2"/>
      <c r="Z72" s="2"/>
    </row>
    <row r="73" spans="1:26" ht="18.75" customHeight="1" x14ac:dyDescent="0.35">
      <c r="A73" s="27" t="s">
        <v>96</v>
      </c>
      <c r="B73" s="28"/>
      <c r="C73" s="28"/>
      <c r="D73" s="29">
        <f t="shared" ref="D73:K73" si="8">SUM(D4:D72)</f>
        <v>15691.58</v>
      </c>
      <c r="E73" s="29">
        <f t="shared" si="8"/>
        <v>20359</v>
      </c>
      <c r="F73" s="29">
        <f t="shared" si="8"/>
        <v>0</v>
      </c>
      <c r="G73" s="29">
        <f t="shared" si="8"/>
        <v>0</v>
      </c>
      <c r="H73" s="29">
        <f t="shared" si="8"/>
        <v>15876</v>
      </c>
      <c r="I73" s="29">
        <f t="shared" si="8"/>
        <v>0</v>
      </c>
      <c r="J73" s="29">
        <f t="shared" si="8"/>
        <v>20174.580000000002</v>
      </c>
      <c r="K73" s="29">
        <f t="shared" si="8"/>
        <v>19292.324837401149</v>
      </c>
      <c r="L73" s="30"/>
      <c r="M73" s="31">
        <f>+K73/($H73+$I73)*$L$4</f>
        <v>31.594888244673083</v>
      </c>
      <c r="N73" s="32">
        <f>+J73/($H73+$I73)*$L$4</f>
        <v>33.039750566893431</v>
      </c>
      <c r="O73" s="29">
        <f t="shared" ref="O73:Q73" si="9">SUM(O4:O72)</f>
        <v>1602.27</v>
      </c>
      <c r="P73" s="29">
        <f t="shared" si="9"/>
        <v>3809</v>
      </c>
      <c r="Q73" s="29">
        <f t="shared" si="9"/>
        <v>0</v>
      </c>
      <c r="R73" s="33"/>
      <c r="S73" s="34"/>
      <c r="T73" s="35">
        <f t="shared" ref="T73:U73" si="10">SUM(T4:T72)</f>
        <v>16137807596</v>
      </c>
      <c r="U73" s="35">
        <f t="shared" si="10"/>
        <v>21738970907.969917</v>
      </c>
      <c r="V73" s="29">
        <f>(U73/T73)*L72</f>
        <v>35.024165472595826</v>
      </c>
      <c r="W73" s="33"/>
      <c r="X73" s="33"/>
      <c r="Y73" s="33"/>
      <c r="Z73" s="33"/>
    </row>
    <row r="74" spans="1:26" ht="18.75" customHeight="1" x14ac:dyDescent="0.35">
      <c r="A74" s="1"/>
      <c r="B74" s="2"/>
      <c r="C74" s="2"/>
      <c r="D74" s="36"/>
      <c r="E74" s="36"/>
      <c r="F74" s="36"/>
      <c r="G74" s="36"/>
      <c r="H74" s="36"/>
      <c r="I74" s="36"/>
      <c r="J74" s="36"/>
      <c r="K74" s="36"/>
      <c r="L74" s="3"/>
      <c r="M74" s="36"/>
      <c r="N74" s="36"/>
      <c r="O74" s="37"/>
      <c r="P74" s="36"/>
      <c r="Q74" s="36"/>
      <c r="R74" s="36"/>
      <c r="S74" s="38"/>
      <c r="T74" s="2"/>
      <c r="U74" s="2"/>
      <c r="V74" s="2"/>
      <c r="W74" s="2"/>
      <c r="X74" s="2"/>
      <c r="Y74" s="2"/>
      <c r="Z74" s="2"/>
    </row>
    <row r="75" spans="1:26" ht="12.75" customHeight="1" x14ac:dyDescent="0.35">
      <c r="A75" s="2" t="s">
        <v>97</v>
      </c>
      <c r="B75" s="39">
        <v>24.9</v>
      </c>
      <c r="C75" s="2" t="s">
        <v>98</v>
      </c>
      <c r="D75" s="2"/>
      <c r="E75" s="2"/>
      <c r="F75" s="2"/>
      <c r="G75" s="2"/>
      <c r="H75" s="2"/>
      <c r="I75" s="2"/>
      <c r="J75" s="2"/>
      <c r="K75" s="2"/>
      <c r="L75" s="3"/>
      <c r="M75" s="2"/>
      <c r="N75" s="2"/>
      <c r="O75" s="2"/>
      <c r="P75" s="2"/>
      <c r="Q75" s="2"/>
      <c r="R75" s="2"/>
      <c r="S75" s="1"/>
      <c r="T75" s="2"/>
      <c r="U75" s="2"/>
      <c r="V75" s="2"/>
      <c r="W75" s="2"/>
      <c r="X75" s="2"/>
      <c r="Y75" s="2"/>
      <c r="Z75" s="2"/>
    </row>
    <row r="76" spans="1:26" ht="12.75" customHeight="1" x14ac:dyDescent="0.3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2"/>
      <c r="N76" s="2"/>
      <c r="O76" s="2"/>
      <c r="P76" s="2"/>
      <c r="Q76" s="2"/>
      <c r="R76" s="2"/>
      <c r="S76" s="25"/>
      <c r="T76" s="2"/>
      <c r="U76" s="2"/>
      <c r="V76" s="2"/>
      <c r="W76" s="2"/>
      <c r="X76" s="2"/>
      <c r="Y76" s="2"/>
      <c r="Z76" s="2"/>
    </row>
    <row r="77" spans="1:26" ht="12.75" customHeight="1" x14ac:dyDescent="0.3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2"/>
      <c r="N77" s="2"/>
      <c r="O77" s="2"/>
      <c r="P77" s="2"/>
      <c r="Q77" s="2"/>
      <c r="R77" s="2"/>
      <c r="S77" s="25"/>
      <c r="T77" s="2"/>
      <c r="U77" s="2"/>
      <c r="V77" s="2"/>
      <c r="W77" s="2"/>
      <c r="X77" s="2"/>
      <c r="Y77" s="2"/>
      <c r="Z77" s="2"/>
    </row>
    <row r="78" spans="1:26" ht="12.75" customHeight="1" x14ac:dyDescent="0.35">
      <c r="A78" s="1"/>
      <c r="B78" s="40"/>
      <c r="C78" s="40"/>
      <c r="D78" s="2"/>
      <c r="E78" s="2"/>
      <c r="F78" s="2"/>
      <c r="G78" s="2"/>
      <c r="H78" s="2"/>
      <c r="I78" s="2"/>
      <c r="J78" s="2"/>
      <c r="K78" s="2"/>
      <c r="L78" s="3"/>
      <c r="M78" s="2"/>
      <c r="N78" s="2"/>
      <c r="O78" s="2"/>
      <c r="P78" s="2"/>
      <c r="Q78" s="2"/>
      <c r="R78" s="2"/>
      <c r="S78" s="25"/>
      <c r="T78" s="2"/>
      <c r="U78" s="2"/>
      <c r="V78" s="2"/>
      <c r="W78" s="2"/>
      <c r="X78" s="2"/>
      <c r="Y78" s="2"/>
      <c r="Z78" s="2"/>
    </row>
    <row r="79" spans="1:26" ht="12.75" customHeight="1" x14ac:dyDescent="0.3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2"/>
      <c r="N79" s="2"/>
      <c r="O79" s="2"/>
      <c r="P79" s="2"/>
      <c r="Q79" s="2"/>
      <c r="R79" s="2"/>
      <c r="S79" s="25"/>
      <c r="T79" s="2"/>
      <c r="U79" s="2"/>
      <c r="V79" s="2"/>
      <c r="W79" s="2"/>
      <c r="X79" s="2"/>
      <c r="Y79" s="2"/>
      <c r="Z79" s="2"/>
    </row>
    <row r="80" spans="1:26" ht="12.75" customHeight="1" x14ac:dyDescent="0.3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2"/>
      <c r="N80" s="2"/>
      <c r="O80" s="2"/>
      <c r="P80" s="2"/>
      <c r="Q80" s="2"/>
      <c r="R80" s="2"/>
      <c r="S80" s="1"/>
      <c r="T80" s="2"/>
      <c r="U80" s="2"/>
      <c r="V80" s="2"/>
      <c r="W80" s="2"/>
      <c r="X80" s="2"/>
      <c r="Y80" s="2"/>
      <c r="Z80" s="2"/>
    </row>
    <row r="81" spans="1:26" ht="12.75" customHeight="1" x14ac:dyDescent="0.3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2"/>
      <c r="N81" s="2"/>
      <c r="O81" s="2"/>
      <c r="P81" s="2"/>
      <c r="Q81" s="2"/>
      <c r="R81" s="2"/>
      <c r="S81" s="1"/>
      <c r="T81" s="2"/>
      <c r="U81" s="2"/>
      <c r="V81" s="2"/>
      <c r="W81" s="2"/>
      <c r="X81" s="2"/>
      <c r="Y81" s="2"/>
      <c r="Z81" s="2"/>
    </row>
    <row r="82" spans="1:26" ht="12.75" customHeight="1" x14ac:dyDescent="0.3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2"/>
      <c r="N82" s="2"/>
      <c r="O82" s="2"/>
      <c r="P82" s="2"/>
      <c r="Q82" s="2"/>
      <c r="R82" s="2"/>
      <c r="S82" s="1"/>
      <c r="T82" s="2"/>
      <c r="U82" s="2"/>
      <c r="V82" s="2"/>
      <c r="W82" s="2"/>
      <c r="X82" s="2"/>
      <c r="Y82" s="2"/>
      <c r="Z82" s="2"/>
    </row>
    <row r="83" spans="1:26" ht="12.75" customHeight="1" x14ac:dyDescent="0.3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2"/>
      <c r="N83" s="2"/>
      <c r="O83" s="2"/>
      <c r="P83" s="2"/>
      <c r="Q83" s="2"/>
      <c r="R83" s="2"/>
      <c r="S83" s="1"/>
      <c r="T83" s="2"/>
      <c r="U83" s="2"/>
      <c r="V83" s="2"/>
      <c r="W83" s="2"/>
      <c r="X83" s="2"/>
      <c r="Y83" s="2"/>
      <c r="Z83" s="2"/>
    </row>
    <row r="84" spans="1:26" ht="12.75" customHeight="1" x14ac:dyDescent="0.3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2"/>
      <c r="N84" s="2"/>
      <c r="O84" s="2"/>
      <c r="P84" s="2"/>
      <c r="Q84" s="2"/>
      <c r="R84" s="2"/>
      <c r="S84" s="1"/>
      <c r="T84" s="2"/>
      <c r="U84" s="2"/>
      <c r="V84" s="2"/>
      <c r="W84" s="2"/>
      <c r="X84" s="2"/>
      <c r="Y84" s="2"/>
      <c r="Z84" s="2"/>
    </row>
    <row r="85" spans="1:26" ht="12.75" customHeight="1" x14ac:dyDescent="0.3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2"/>
      <c r="N85" s="2"/>
      <c r="O85" s="2"/>
      <c r="P85" s="2"/>
      <c r="Q85" s="2"/>
      <c r="R85" s="2"/>
      <c r="S85" s="1"/>
      <c r="T85" s="2"/>
      <c r="U85" s="2"/>
      <c r="V85" s="2"/>
      <c r="W85" s="2"/>
      <c r="X85" s="2"/>
      <c r="Y85" s="2"/>
      <c r="Z85" s="2"/>
    </row>
    <row r="86" spans="1:26" ht="12.75" customHeight="1" x14ac:dyDescent="0.3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2"/>
      <c r="N86" s="2"/>
      <c r="O86" s="2"/>
      <c r="P86" s="2"/>
      <c r="Q86" s="2"/>
      <c r="R86" s="2"/>
      <c r="S86" s="1"/>
      <c r="T86" s="2"/>
      <c r="U86" s="2"/>
      <c r="V86" s="2"/>
      <c r="W86" s="2"/>
      <c r="X86" s="2"/>
      <c r="Y86" s="2"/>
      <c r="Z86" s="2"/>
    </row>
    <row r="87" spans="1:26" ht="12.75" customHeight="1" x14ac:dyDescent="0.3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2"/>
      <c r="N87" s="2"/>
      <c r="O87" s="2"/>
      <c r="P87" s="2"/>
      <c r="Q87" s="2"/>
      <c r="R87" s="2"/>
      <c r="S87" s="1"/>
      <c r="T87" s="2"/>
      <c r="U87" s="2"/>
      <c r="V87" s="2"/>
      <c r="W87" s="2"/>
      <c r="X87" s="2"/>
      <c r="Y87" s="2"/>
      <c r="Z87" s="2"/>
    </row>
    <row r="88" spans="1:26" ht="12.75" customHeight="1" x14ac:dyDescent="0.3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2"/>
      <c r="N88" s="2"/>
      <c r="O88" s="2"/>
      <c r="P88" s="2"/>
      <c r="Q88" s="2"/>
      <c r="R88" s="2"/>
      <c r="S88" s="1"/>
      <c r="T88" s="2"/>
      <c r="U88" s="2"/>
      <c r="V88" s="2"/>
      <c r="W88" s="2"/>
      <c r="X88" s="2"/>
      <c r="Y88" s="2"/>
      <c r="Z88" s="2"/>
    </row>
    <row r="89" spans="1:26" ht="12.75" customHeight="1" x14ac:dyDescent="0.3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2"/>
      <c r="N89" s="2"/>
      <c r="O89" s="2"/>
      <c r="P89" s="2"/>
      <c r="Q89" s="2"/>
      <c r="R89" s="2"/>
      <c r="S89" s="1"/>
      <c r="T89" s="2"/>
      <c r="U89" s="2"/>
      <c r="V89" s="2"/>
      <c r="W89" s="2"/>
      <c r="X89" s="2"/>
      <c r="Y89" s="2"/>
      <c r="Z89" s="2"/>
    </row>
    <row r="90" spans="1:26" ht="12.75" customHeight="1" x14ac:dyDescent="0.3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2"/>
      <c r="N90" s="2"/>
      <c r="O90" s="2"/>
      <c r="P90" s="2"/>
      <c r="Q90" s="2"/>
      <c r="R90" s="2"/>
      <c r="S90" s="1"/>
      <c r="T90" s="2"/>
      <c r="U90" s="2"/>
      <c r="V90" s="2"/>
      <c r="W90" s="2"/>
      <c r="X90" s="2"/>
      <c r="Y90" s="2"/>
      <c r="Z90" s="2"/>
    </row>
    <row r="91" spans="1:26" ht="12.75" customHeight="1" x14ac:dyDescent="0.3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2"/>
      <c r="N91" s="2"/>
      <c r="O91" s="2"/>
      <c r="P91" s="2"/>
      <c r="Q91" s="2"/>
      <c r="R91" s="2"/>
      <c r="S91" s="1"/>
      <c r="T91" s="2"/>
      <c r="U91" s="2"/>
      <c r="V91" s="2"/>
      <c r="W91" s="2"/>
      <c r="X91" s="2"/>
      <c r="Y91" s="2"/>
      <c r="Z91" s="2"/>
    </row>
    <row r="92" spans="1:26" ht="12.75" customHeight="1" x14ac:dyDescent="0.3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2"/>
      <c r="N92" s="2"/>
      <c r="O92" s="2"/>
      <c r="P92" s="2"/>
      <c r="Q92" s="2"/>
      <c r="R92" s="2"/>
      <c r="S92" s="1"/>
      <c r="T92" s="2"/>
      <c r="U92" s="2"/>
      <c r="V92" s="2"/>
      <c r="W92" s="2"/>
      <c r="X92" s="2"/>
      <c r="Y92" s="2"/>
      <c r="Z92" s="2"/>
    </row>
    <row r="93" spans="1:26" ht="12.75" customHeight="1" x14ac:dyDescent="0.3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2"/>
      <c r="N93" s="2"/>
      <c r="O93" s="2"/>
      <c r="P93" s="2"/>
      <c r="Q93" s="2"/>
      <c r="R93" s="2"/>
      <c r="S93" s="1"/>
      <c r="T93" s="2"/>
      <c r="U93" s="2"/>
      <c r="V93" s="2"/>
      <c r="W93" s="2"/>
      <c r="X93" s="2"/>
      <c r="Y93" s="2"/>
      <c r="Z93" s="2"/>
    </row>
    <row r="94" spans="1:26" ht="12.75" customHeight="1" x14ac:dyDescent="0.3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2"/>
      <c r="N94" s="2"/>
      <c r="O94" s="2"/>
      <c r="P94" s="2"/>
      <c r="Q94" s="2"/>
      <c r="R94" s="2"/>
      <c r="S94" s="1"/>
      <c r="T94" s="2"/>
      <c r="U94" s="2"/>
      <c r="V94" s="2"/>
      <c r="W94" s="2"/>
      <c r="X94" s="2"/>
      <c r="Y94" s="2"/>
      <c r="Z94" s="2"/>
    </row>
    <row r="95" spans="1:26" ht="12.75" customHeight="1" x14ac:dyDescent="0.3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2"/>
      <c r="N95" s="2"/>
      <c r="O95" s="2"/>
      <c r="P95" s="2"/>
      <c r="Q95" s="2"/>
      <c r="R95" s="2"/>
      <c r="S95" s="1"/>
      <c r="T95" s="2"/>
      <c r="U95" s="2"/>
      <c r="V95" s="2"/>
      <c r="W95" s="2"/>
      <c r="X95" s="2"/>
      <c r="Y95" s="2"/>
      <c r="Z95" s="2"/>
    </row>
    <row r="96" spans="1:26" ht="12.75" customHeight="1" x14ac:dyDescent="0.3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2"/>
      <c r="N96" s="2"/>
      <c r="O96" s="2"/>
      <c r="P96" s="2"/>
      <c r="Q96" s="2"/>
      <c r="R96" s="2"/>
      <c r="S96" s="1"/>
      <c r="T96" s="2"/>
      <c r="U96" s="2"/>
      <c r="V96" s="2"/>
      <c r="W96" s="2"/>
      <c r="X96" s="2"/>
      <c r="Y96" s="2"/>
      <c r="Z96" s="2"/>
    </row>
    <row r="97" spans="1:26" ht="12.75" customHeight="1" x14ac:dyDescent="0.3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2"/>
      <c r="N97" s="2"/>
      <c r="O97" s="2"/>
      <c r="P97" s="2"/>
      <c r="Q97" s="2"/>
      <c r="R97" s="2"/>
      <c r="S97" s="1"/>
      <c r="T97" s="2"/>
      <c r="U97" s="2"/>
      <c r="V97" s="2"/>
      <c r="W97" s="2"/>
      <c r="X97" s="2"/>
      <c r="Y97" s="2"/>
      <c r="Z97" s="2"/>
    </row>
    <row r="98" spans="1:26" ht="12.75" customHeight="1" x14ac:dyDescent="0.3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2"/>
      <c r="N98" s="2"/>
      <c r="O98" s="2"/>
      <c r="P98" s="2"/>
      <c r="Q98" s="2"/>
      <c r="R98" s="2"/>
      <c r="S98" s="1"/>
      <c r="T98" s="2"/>
      <c r="U98" s="2"/>
      <c r="V98" s="2"/>
      <c r="W98" s="2"/>
      <c r="X98" s="2"/>
      <c r="Y98" s="2"/>
      <c r="Z98" s="2"/>
    </row>
    <row r="99" spans="1:26" ht="12.75" customHeight="1" x14ac:dyDescent="0.3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2"/>
      <c r="N99" s="2"/>
      <c r="O99" s="2"/>
      <c r="P99" s="2"/>
      <c r="Q99" s="2"/>
      <c r="R99" s="2"/>
      <c r="S99" s="1"/>
      <c r="T99" s="2"/>
      <c r="U99" s="2"/>
      <c r="V99" s="2"/>
      <c r="W99" s="2"/>
      <c r="X99" s="2"/>
      <c r="Y99" s="2"/>
      <c r="Z99" s="2"/>
    </row>
    <row r="100" spans="1:26" ht="12.75" customHeight="1" x14ac:dyDescent="0.3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2"/>
      <c r="N100" s="2"/>
      <c r="O100" s="2"/>
      <c r="P100" s="2"/>
      <c r="Q100" s="2"/>
      <c r="R100" s="2"/>
      <c r="S100" s="1"/>
      <c r="T100" s="2"/>
      <c r="U100" s="2"/>
      <c r="V100" s="2"/>
      <c r="W100" s="2"/>
      <c r="X100" s="2"/>
      <c r="Y100" s="2"/>
      <c r="Z100" s="2"/>
    </row>
    <row r="101" spans="1:26" ht="12.75" customHeight="1" x14ac:dyDescent="0.3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2"/>
      <c r="N101" s="2"/>
      <c r="O101" s="2"/>
      <c r="P101" s="2"/>
      <c r="Q101" s="2"/>
      <c r="R101" s="2"/>
      <c r="S101" s="1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2"/>
      <c r="N102" s="2"/>
      <c r="O102" s="2"/>
      <c r="P102" s="2"/>
      <c r="Q102" s="2"/>
      <c r="R102" s="2"/>
      <c r="S102" s="1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2"/>
      <c r="N103" s="2"/>
      <c r="O103" s="2"/>
      <c r="P103" s="2"/>
      <c r="Q103" s="2"/>
      <c r="R103" s="2"/>
      <c r="S103" s="1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2"/>
      <c r="N104" s="2"/>
      <c r="O104" s="2"/>
      <c r="P104" s="2"/>
      <c r="Q104" s="2"/>
      <c r="R104" s="2"/>
      <c r="S104" s="1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2"/>
      <c r="N105" s="2"/>
      <c r="O105" s="2"/>
      <c r="P105" s="2"/>
      <c r="Q105" s="2"/>
      <c r="R105" s="2"/>
      <c r="S105" s="1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2"/>
      <c r="N106" s="2"/>
      <c r="O106" s="2"/>
      <c r="P106" s="2"/>
      <c r="Q106" s="2"/>
      <c r="R106" s="2"/>
      <c r="S106" s="1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2"/>
      <c r="N107" s="2"/>
      <c r="O107" s="2"/>
      <c r="P107" s="2"/>
      <c r="Q107" s="2"/>
      <c r="R107" s="2"/>
      <c r="S107" s="1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2"/>
      <c r="N108" s="2"/>
      <c r="O108" s="2"/>
      <c r="P108" s="2"/>
      <c r="Q108" s="2"/>
      <c r="R108" s="2"/>
      <c r="S108" s="1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2"/>
      <c r="N109" s="2"/>
      <c r="O109" s="2"/>
      <c r="P109" s="2"/>
      <c r="Q109" s="2"/>
      <c r="R109" s="2"/>
      <c r="S109" s="1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2"/>
      <c r="N110" s="2"/>
      <c r="O110" s="2"/>
      <c r="P110" s="2"/>
      <c r="Q110" s="2"/>
      <c r="R110" s="2"/>
      <c r="S110" s="1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2"/>
      <c r="N111" s="2"/>
      <c r="O111" s="2"/>
      <c r="P111" s="2"/>
      <c r="Q111" s="2"/>
      <c r="R111" s="2"/>
      <c r="S111" s="1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2"/>
      <c r="N112" s="2"/>
      <c r="O112" s="2"/>
      <c r="P112" s="2"/>
      <c r="Q112" s="2"/>
      <c r="R112" s="2"/>
      <c r="S112" s="1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2"/>
      <c r="N113" s="2"/>
      <c r="O113" s="2"/>
      <c r="P113" s="2"/>
      <c r="Q113" s="2"/>
      <c r="R113" s="2"/>
      <c r="S113" s="1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2"/>
      <c r="N114" s="2"/>
      <c r="O114" s="2"/>
      <c r="P114" s="2"/>
      <c r="Q114" s="2"/>
      <c r="R114" s="2"/>
      <c r="S114" s="1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2"/>
      <c r="N115" s="2"/>
      <c r="O115" s="2"/>
      <c r="P115" s="2"/>
      <c r="Q115" s="2"/>
      <c r="R115" s="2"/>
      <c r="S115" s="1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2"/>
      <c r="N116" s="2"/>
      <c r="O116" s="2"/>
      <c r="P116" s="2"/>
      <c r="Q116" s="2"/>
      <c r="R116" s="2"/>
      <c r="S116" s="1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2"/>
      <c r="N117" s="2"/>
      <c r="O117" s="2"/>
      <c r="P117" s="2"/>
      <c r="Q117" s="2"/>
      <c r="R117" s="2"/>
      <c r="S117" s="1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2"/>
      <c r="N118" s="2"/>
      <c r="O118" s="2"/>
      <c r="P118" s="2"/>
      <c r="Q118" s="2"/>
      <c r="R118" s="2"/>
      <c r="S118" s="1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2"/>
      <c r="N119" s="2"/>
      <c r="O119" s="2"/>
      <c r="P119" s="2"/>
      <c r="Q119" s="2"/>
      <c r="R119" s="2"/>
      <c r="S119" s="1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2"/>
      <c r="N120" s="2"/>
      <c r="O120" s="2"/>
      <c r="P120" s="2"/>
      <c r="Q120" s="2"/>
      <c r="R120" s="2"/>
      <c r="S120" s="1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2"/>
      <c r="N121" s="2"/>
      <c r="O121" s="2"/>
      <c r="P121" s="2"/>
      <c r="Q121" s="2"/>
      <c r="R121" s="2"/>
      <c r="S121" s="1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2"/>
      <c r="N122" s="2"/>
      <c r="O122" s="2"/>
      <c r="P122" s="2"/>
      <c r="Q122" s="2"/>
      <c r="R122" s="2"/>
      <c r="S122" s="1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2"/>
      <c r="N123" s="2"/>
      <c r="O123" s="2"/>
      <c r="P123" s="2"/>
      <c r="Q123" s="2"/>
      <c r="R123" s="2"/>
      <c r="S123" s="1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2"/>
      <c r="N124" s="2"/>
      <c r="O124" s="2"/>
      <c r="P124" s="2"/>
      <c r="Q124" s="2"/>
      <c r="R124" s="2"/>
      <c r="S124" s="1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2"/>
      <c r="N125" s="2"/>
      <c r="O125" s="2"/>
      <c r="P125" s="2"/>
      <c r="Q125" s="2"/>
      <c r="R125" s="2"/>
      <c r="S125" s="1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2"/>
      <c r="N126" s="2"/>
      <c r="O126" s="2"/>
      <c r="P126" s="2"/>
      <c r="Q126" s="2"/>
      <c r="R126" s="2"/>
      <c r="S126" s="1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2"/>
      <c r="N127" s="2"/>
      <c r="O127" s="2"/>
      <c r="P127" s="2"/>
      <c r="Q127" s="2"/>
      <c r="R127" s="2"/>
      <c r="S127" s="1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2"/>
      <c r="N128" s="2"/>
      <c r="O128" s="2"/>
      <c r="P128" s="2"/>
      <c r="Q128" s="2"/>
      <c r="R128" s="2"/>
      <c r="S128" s="1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2"/>
      <c r="N129" s="2"/>
      <c r="O129" s="2"/>
      <c r="P129" s="2"/>
      <c r="Q129" s="2"/>
      <c r="R129" s="2"/>
      <c r="S129" s="1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2"/>
      <c r="N130" s="2"/>
      <c r="O130" s="2"/>
      <c r="P130" s="2"/>
      <c r="Q130" s="2"/>
      <c r="R130" s="2"/>
      <c r="S130" s="1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2"/>
      <c r="N131" s="2"/>
      <c r="O131" s="2"/>
      <c r="P131" s="2"/>
      <c r="Q131" s="2"/>
      <c r="R131" s="2"/>
      <c r="S131" s="1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2"/>
      <c r="N132" s="2"/>
      <c r="O132" s="2"/>
      <c r="P132" s="2"/>
      <c r="Q132" s="2"/>
      <c r="R132" s="2"/>
      <c r="S132" s="1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2"/>
      <c r="N133" s="2"/>
      <c r="O133" s="2"/>
      <c r="P133" s="2"/>
      <c r="Q133" s="2"/>
      <c r="R133" s="2"/>
      <c r="S133" s="1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2"/>
      <c r="N134" s="2"/>
      <c r="O134" s="2"/>
      <c r="P134" s="2"/>
      <c r="Q134" s="2"/>
      <c r="R134" s="2"/>
      <c r="S134" s="1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2"/>
      <c r="N135" s="2"/>
      <c r="O135" s="2"/>
      <c r="P135" s="2"/>
      <c r="Q135" s="2"/>
      <c r="R135" s="2"/>
      <c r="S135" s="1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2"/>
      <c r="N136" s="2"/>
      <c r="O136" s="2"/>
      <c r="P136" s="2"/>
      <c r="Q136" s="2"/>
      <c r="R136" s="2"/>
      <c r="S136" s="1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2"/>
      <c r="N137" s="2"/>
      <c r="O137" s="2"/>
      <c r="P137" s="2"/>
      <c r="Q137" s="2"/>
      <c r="R137" s="2"/>
      <c r="S137" s="1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2"/>
      <c r="N138" s="2"/>
      <c r="O138" s="2"/>
      <c r="P138" s="2"/>
      <c r="Q138" s="2"/>
      <c r="R138" s="2"/>
      <c r="S138" s="1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2"/>
      <c r="N139" s="2"/>
      <c r="O139" s="2"/>
      <c r="P139" s="2"/>
      <c r="Q139" s="2"/>
      <c r="R139" s="2"/>
      <c r="S139" s="1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2"/>
      <c r="N140" s="2"/>
      <c r="O140" s="2"/>
      <c r="P140" s="2"/>
      <c r="Q140" s="2"/>
      <c r="R140" s="2"/>
      <c r="S140" s="1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2"/>
      <c r="N141" s="2"/>
      <c r="O141" s="2"/>
      <c r="P141" s="2"/>
      <c r="Q141" s="2"/>
      <c r="R141" s="2"/>
      <c r="S141" s="1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2"/>
      <c r="N142" s="2"/>
      <c r="O142" s="2"/>
      <c r="P142" s="2"/>
      <c r="Q142" s="2"/>
      <c r="R142" s="2"/>
      <c r="S142" s="1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2"/>
      <c r="N143" s="2"/>
      <c r="O143" s="2"/>
      <c r="P143" s="2"/>
      <c r="Q143" s="2"/>
      <c r="R143" s="2"/>
      <c r="S143" s="1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2"/>
      <c r="N144" s="2"/>
      <c r="O144" s="2"/>
      <c r="P144" s="2"/>
      <c r="Q144" s="2"/>
      <c r="R144" s="2"/>
      <c r="S144" s="1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2"/>
      <c r="N145" s="2"/>
      <c r="O145" s="2"/>
      <c r="P145" s="2"/>
      <c r="Q145" s="2"/>
      <c r="R145" s="2"/>
      <c r="S145" s="1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2"/>
      <c r="N146" s="2"/>
      <c r="O146" s="2"/>
      <c r="P146" s="2"/>
      <c r="Q146" s="2"/>
      <c r="R146" s="2"/>
      <c r="S146" s="1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2"/>
      <c r="N147" s="2"/>
      <c r="O147" s="2"/>
      <c r="P147" s="2"/>
      <c r="Q147" s="2"/>
      <c r="R147" s="2"/>
      <c r="S147" s="1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2"/>
      <c r="N148" s="2"/>
      <c r="O148" s="2"/>
      <c r="P148" s="2"/>
      <c r="Q148" s="2"/>
      <c r="R148" s="2"/>
      <c r="S148" s="1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2"/>
      <c r="N149" s="2"/>
      <c r="O149" s="2"/>
      <c r="P149" s="2"/>
      <c r="Q149" s="2"/>
      <c r="R149" s="2"/>
      <c r="S149" s="1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2"/>
      <c r="N150" s="2"/>
      <c r="O150" s="2"/>
      <c r="P150" s="2"/>
      <c r="Q150" s="2"/>
      <c r="R150" s="2"/>
      <c r="S150" s="1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2"/>
      <c r="N151" s="2"/>
      <c r="O151" s="2"/>
      <c r="P151" s="2"/>
      <c r="Q151" s="2"/>
      <c r="R151" s="2"/>
      <c r="S151" s="1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2"/>
      <c r="N152" s="2"/>
      <c r="O152" s="2"/>
      <c r="P152" s="2"/>
      <c r="Q152" s="2"/>
      <c r="R152" s="2"/>
      <c r="S152" s="1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2"/>
      <c r="N153" s="2"/>
      <c r="O153" s="2"/>
      <c r="P153" s="2"/>
      <c r="Q153" s="2"/>
      <c r="R153" s="2"/>
      <c r="S153" s="1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2"/>
      <c r="N154" s="2"/>
      <c r="O154" s="2"/>
      <c r="P154" s="2"/>
      <c r="Q154" s="2"/>
      <c r="R154" s="2"/>
      <c r="S154" s="1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2"/>
      <c r="N155" s="2"/>
      <c r="O155" s="2"/>
      <c r="P155" s="2"/>
      <c r="Q155" s="2"/>
      <c r="R155" s="2"/>
      <c r="S155" s="1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2"/>
      <c r="N156" s="2"/>
      <c r="O156" s="2"/>
      <c r="P156" s="2"/>
      <c r="Q156" s="2"/>
      <c r="R156" s="2"/>
      <c r="S156" s="1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2"/>
      <c r="N157" s="2"/>
      <c r="O157" s="2"/>
      <c r="P157" s="2"/>
      <c r="Q157" s="2"/>
      <c r="R157" s="2"/>
      <c r="S157" s="1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2"/>
      <c r="N158" s="2"/>
      <c r="O158" s="2"/>
      <c r="P158" s="2"/>
      <c r="Q158" s="2"/>
      <c r="R158" s="2"/>
      <c r="S158" s="1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2"/>
      <c r="N159" s="2"/>
      <c r="O159" s="2"/>
      <c r="P159" s="2"/>
      <c r="Q159" s="2"/>
      <c r="R159" s="2"/>
      <c r="S159" s="1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2"/>
      <c r="N160" s="2"/>
      <c r="O160" s="2"/>
      <c r="P160" s="2"/>
      <c r="Q160" s="2"/>
      <c r="R160" s="2"/>
      <c r="S160" s="1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2"/>
      <c r="N161" s="2"/>
      <c r="O161" s="2"/>
      <c r="P161" s="2"/>
      <c r="Q161" s="2"/>
      <c r="R161" s="2"/>
      <c r="S161" s="1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2"/>
      <c r="N162" s="2"/>
      <c r="O162" s="2"/>
      <c r="P162" s="2"/>
      <c r="Q162" s="2"/>
      <c r="R162" s="2"/>
      <c r="S162" s="1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2"/>
      <c r="N163" s="2"/>
      <c r="O163" s="2"/>
      <c r="P163" s="2"/>
      <c r="Q163" s="2"/>
      <c r="R163" s="2"/>
      <c r="S163" s="1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2"/>
      <c r="N164" s="2"/>
      <c r="O164" s="2"/>
      <c r="P164" s="2"/>
      <c r="Q164" s="2"/>
      <c r="R164" s="2"/>
      <c r="S164" s="1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2"/>
      <c r="N165" s="2"/>
      <c r="O165" s="2"/>
      <c r="P165" s="2"/>
      <c r="Q165" s="2"/>
      <c r="R165" s="2"/>
      <c r="S165" s="1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2"/>
      <c r="N166" s="2"/>
      <c r="O166" s="2"/>
      <c r="P166" s="2"/>
      <c r="Q166" s="2"/>
      <c r="R166" s="2"/>
      <c r="S166" s="1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2"/>
      <c r="N167" s="2"/>
      <c r="O167" s="2"/>
      <c r="P167" s="2"/>
      <c r="Q167" s="2"/>
      <c r="R167" s="2"/>
      <c r="S167" s="1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2"/>
      <c r="N168" s="2"/>
      <c r="O168" s="2"/>
      <c r="P168" s="2"/>
      <c r="Q168" s="2"/>
      <c r="R168" s="2"/>
      <c r="S168" s="1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2"/>
      <c r="N169" s="2"/>
      <c r="O169" s="2"/>
      <c r="P169" s="2"/>
      <c r="Q169" s="2"/>
      <c r="R169" s="2"/>
      <c r="S169" s="1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2"/>
      <c r="N170" s="2"/>
      <c r="O170" s="2"/>
      <c r="P170" s="2"/>
      <c r="Q170" s="2"/>
      <c r="R170" s="2"/>
      <c r="S170" s="1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2"/>
      <c r="N171" s="2"/>
      <c r="O171" s="2"/>
      <c r="P171" s="2"/>
      <c r="Q171" s="2"/>
      <c r="R171" s="2"/>
      <c r="S171" s="1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2"/>
      <c r="N172" s="2"/>
      <c r="O172" s="2"/>
      <c r="P172" s="2"/>
      <c r="Q172" s="2"/>
      <c r="R172" s="2"/>
      <c r="S172" s="1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2"/>
      <c r="N173" s="2"/>
      <c r="O173" s="2"/>
      <c r="P173" s="2"/>
      <c r="Q173" s="2"/>
      <c r="R173" s="2"/>
      <c r="S173" s="1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2"/>
      <c r="N174" s="2"/>
      <c r="O174" s="2"/>
      <c r="P174" s="2"/>
      <c r="Q174" s="2"/>
      <c r="R174" s="2"/>
      <c r="S174" s="1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2"/>
      <c r="N175" s="2"/>
      <c r="O175" s="2"/>
      <c r="P175" s="2"/>
      <c r="Q175" s="2"/>
      <c r="R175" s="2"/>
      <c r="S175" s="1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2"/>
      <c r="N176" s="2"/>
      <c r="O176" s="2"/>
      <c r="P176" s="2"/>
      <c r="Q176" s="2"/>
      <c r="R176" s="2"/>
      <c r="S176" s="1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2"/>
      <c r="N177" s="2"/>
      <c r="O177" s="2"/>
      <c r="P177" s="2"/>
      <c r="Q177" s="2"/>
      <c r="R177" s="2"/>
      <c r="S177" s="1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2"/>
      <c r="N178" s="2"/>
      <c r="O178" s="2"/>
      <c r="P178" s="2"/>
      <c r="Q178" s="2"/>
      <c r="R178" s="2"/>
      <c r="S178" s="1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2"/>
      <c r="N179" s="2"/>
      <c r="O179" s="2"/>
      <c r="P179" s="2"/>
      <c r="Q179" s="2"/>
      <c r="R179" s="2"/>
      <c r="S179" s="1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2"/>
      <c r="N180" s="2"/>
      <c r="O180" s="2"/>
      <c r="P180" s="2"/>
      <c r="Q180" s="2"/>
      <c r="R180" s="2"/>
      <c r="S180" s="1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2"/>
      <c r="N181" s="2"/>
      <c r="O181" s="2"/>
      <c r="P181" s="2"/>
      <c r="Q181" s="2"/>
      <c r="R181" s="2"/>
      <c r="S181" s="1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2"/>
      <c r="N182" s="2"/>
      <c r="O182" s="2"/>
      <c r="P182" s="2"/>
      <c r="Q182" s="2"/>
      <c r="R182" s="2"/>
      <c r="S182" s="1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2"/>
      <c r="N183" s="2"/>
      <c r="O183" s="2"/>
      <c r="P183" s="2"/>
      <c r="Q183" s="2"/>
      <c r="R183" s="2"/>
      <c r="S183" s="1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2"/>
      <c r="N184" s="2"/>
      <c r="O184" s="2"/>
      <c r="P184" s="2"/>
      <c r="Q184" s="2"/>
      <c r="R184" s="2"/>
      <c r="S184" s="1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2"/>
      <c r="N185" s="2"/>
      <c r="O185" s="2"/>
      <c r="P185" s="2"/>
      <c r="Q185" s="2"/>
      <c r="R185" s="2"/>
      <c r="S185" s="1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2"/>
      <c r="N186" s="2"/>
      <c r="O186" s="2"/>
      <c r="P186" s="2"/>
      <c r="Q186" s="2"/>
      <c r="R186" s="2"/>
      <c r="S186" s="1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2"/>
      <c r="N187" s="2"/>
      <c r="O187" s="2"/>
      <c r="P187" s="2"/>
      <c r="Q187" s="2"/>
      <c r="R187" s="2"/>
      <c r="S187" s="1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2"/>
      <c r="N188" s="2"/>
      <c r="O188" s="2"/>
      <c r="P188" s="2"/>
      <c r="Q188" s="2"/>
      <c r="R188" s="2"/>
      <c r="S188" s="1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2"/>
      <c r="N189" s="2"/>
      <c r="O189" s="2"/>
      <c r="P189" s="2"/>
      <c r="Q189" s="2"/>
      <c r="R189" s="2"/>
      <c r="S189" s="1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2"/>
      <c r="N190" s="2"/>
      <c r="O190" s="2"/>
      <c r="P190" s="2"/>
      <c r="Q190" s="2"/>
      <c r="R190" s="2"/>
      <c r="S190" s="1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2"/>
      <c r="N191" s="2"/>
      <c r="O191" s="2"/>
      <c r="P191" s="2"/>
      <c r="Q191" s="2"/>
      <c r="R191" s="2"/>
      <c r="S191" s="1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2"/>
      <c r="N192" s="2"/>
      <c r="O192" s="2"/>
      <c r="P192" s="2"/>
      <c r="Q192" s="2"/>
      <c r="R192" s="2"/>
      <c r="S192" s="1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2"/>
      <c r="N193" s="2"/>
      <c r="O193" s="2"/>
      <c r="P193" s="2"/>
      <c r="Q193" s="2"/>
      <c r="R193" s="2"/>
      <c r="S193" s="1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2"/>
      <c r="N194" s="2"/>
      <c r="O194" s="2"/>
      <c r="P194" s="2"/>
      <c r="Q194" s="2"/>
      <c r="R194" s="2"/>
      <c r="S194" s="1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2"/>
      <c r="N195" s="2"/>
      <c r="O195" s="2"/>
      <c r="P195" s="2"/>
      <c r="Q195" s="2"/>
      <c r="R195" s="2"/>
      <c r="S195" s="1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2"/>
      <c r="N196" s="2"/>
      <c r="O196" s="2"/>
      <c r="P196" s="2"/>
      <c r="Q196" s="2"/>
      <c r="R196" s="2"/>
      <c r="S196" s="1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2"/>
      <c r="N197" s="2"/>
      <c r="O197" s="2"/>
      <c r="P197" s="2"/>
      <c r="Q197" s="2"/>
      <c r="R197" s="2"/>
      <c r="S197" s="1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2"/>
      <c r="N198" s="2"/>
      <c r="O198" s="2"/>
      <c r="P198" s="2"/>
      <c r="Q198" s="2"/>
      <c r="R198" s="2"/>
      <c r="S198" s="1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2"/>
      <c r="N199" s="2"/>
      <c r="O199" s="2"/>
      <c r="P199" s="2"/>
      <c r="Q199" s="2"/>
      <c r="R199" s="2"/>
      <c r="S199" s="1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2"/>
      <c r="N200" s="2"/>
      <c r="O200" s="2"/>
      <c r="P200" s="2"/>
      <c r="Q200" s="2"/>
      <c r="R200" s="2"/>
      <c r="S200" s="1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2"/>
      <c r="N201" s="2"/>
      <c r="O201" s="2"/>
      <c r="P201" s="2"/>
      <c r="Q201" s="2"/>
      <c r="R201" s="2"/>
      <c r="S201" s="1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2"/>
      <c r="N202" s="2"/>
      <c r="O202" s="2"/>
      <c r="P202" s="2"/>
      <c r="Q202" s="2"/>
      <c r="R202" s="2"/>
      <c r="S202" s="1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2"/>
      <c r="N203" s="2"/>
      <c r="O203" s="2"/>
      <c r="P203" s="2"/>
      <c r="Q203" s="2"/>
      <c r="R203" s="2"/>
      <c r="S203" s="1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2"/>
      <c r="N204" s="2"/>
      <c r="O204" s="2"/>
      <c r="P204" s="2"/>
      <c r="Q204" s="2"/>
      <c r="R204" s="2"/>
      <c r="S204" s="1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2"/>
      <c r="N205" s="2"/>
      <c r="O205" s="2"/>
      <c r="P205" s="2"/>
      <c r="Q205" s="2"/>
      <c r="R205" s="2"/>
      <c r="S205" s="1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2"/>
      <c r="N206" s="2"/>
      <c r="O206" s="2"/>
      <c r="P206" s="2"/>
      <c r="Q206" s="2"/>
      <c r="R206" s="2"/>
      <c r="S206" s="1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2"/>
      <c r="N207" s="2"/>
      <c r="O207" s="2"/>
      <c r="P207" s="2"/>
      <c r="Q207" s="2"/>
      <c r="R207" s="2"/>
      <c r="S207" s="1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2"/>
      <c r="N208" s="2"/>
      <c r="O208" s="2"/>
      <c r="P208" s="2"/>
      <c r="Q208" s="2"/>
      <c r="R208" s="2"/>
      <c r="S208" s="1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2"/>
      <c r="N209" s="2"/>
      <c r="O209" s="2"/>
      <c r="P209" s="2"/>
      <c r="Q209" s="2"/>
      <c r="R209" s="2"/>
      <c r="S209" s="1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2"/>
      <c r="N210" s="2"/>
      <c r="O210" s="2"/>
      <c r="P210" s="2"/>
      <c r="Q210" s="2"/>
      <c r="R210" s="2"/>
      <c r="S210" s="1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2"/>
      <c r="N211" s="2"/>
      <c r="O211" s="2"/>
      <c r="P211" s="2"/>
      <c r="Q211" s="2"/>
      <c r="R211" s="2"/>
      <c r="S211" s="1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2"/>
      <c r="N212" s="2"/>
      <c r="O212" s="2"/>
      <c r="P212" s="2"/>
      <c r="Q212" s="2"/>
      <c r="R212" s="2"/>
      <c r="S212" s="1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2"/>
      <c r="N213" s="2"/>
      <c r="O213" s="2"/>
      <c r="P213" s="2"/>
      <c r="Q213" s="2"/>
      <c r="R213" s="2"/>
      <c r="S213" s="1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2"/>
      <c r="N214" s="2"/>
      <c r="O214" s="2"/>
      <c r="P214" s="2"/>
      <c r="Q214" s="2"/>
      <c r="R214" s="2"/>
      <c r="S214" s="1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2"/>
      <c r="N215" s="2"/>
      <c r="O215" s="2"/>
      <c r="P215" s="2"/>
      <c r="Q215" s="2"/>
      <c r="R215" s="2"/>
      <c r="S215" s="1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2"/>
      <c r="N216" s="2"/>
      <c r="O216" s="2"/>
      <c r="P216" s="2"/>
      <c r="Q216" s="2"/>
      <c r="R216" s="2"/>
      <c r="S216" s="1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2"/>
      <c r="N217" s="2"/>
      <c r="O217" s="2"/>
      <c r="P217" s="2"/>
      <c r="Q217" s="2"/>
      <c r="R217" s="2"/>
      <c r="S217" s="1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2"/>
      <c r="N218" s="2"/>
      <c r="O218" s="2"/>
      <c r="P218" s="2"/>
      <c r="Q218" s="2"/>
      <c r="R218" s="2"/>
      <c r="S218" s="1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2"/>
      <c r="N219" s="2"/>
      <c r="O219" s="2"/>
      <c r="P219" s="2"/>
      <c r="Q219" s="2"/>
      <c r="R219" s="2"/>
      <c r="S219" s="1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2"/>
      <c r="N220" s="2"/>
      <c r="O220" s="2"/>
      <c r="P220" s="2"/>
      <c r="Q220" s="2"/>
      <c r="R220" s="2"/>
      <c r="S220" s="1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2"/>
      <c r="N221" s="2"/>
      <c r="O221" s="2"/>
      <c r="P221" s="2"/>
      <c r="Q221" s="2"/>
      <c r="R221" s="2"/>
      <c r="S221" s="1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2"/>
      <c r="N222" s="2"/>
      <c r="O222" s="2"/>
      <c r="P222" s="2"/>
      <c r="Q222" s="2"/>
      <c r="R222" s="2"/>
      <c r="S222" s="1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2"/>
      <c r="N223" s="2"/>
      <c r="O223" s="2"/>
      <c r="P223" s="2"/>
      <c r="Q223" s="2"/>
      <c r="R223" s="2"/>
      <c r="S223" s="1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2"/>
      <c r="N224" s="2"/>
      <c r="O224" s="2"/>
      <c r="P224" s="2"/>
      <c r="Q224" s="2"/>
      <c r="R224" s="2"/>
      <c r="S224" s="1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2"/>
      <c r="N225" s="2"/>
      <c r="O225" s="2"/>
      <c r="P225" s="2"/>
      <c r="Q225" s="2"/>
      <c r="R225" s="2"/>
      <c r="S225" s="1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2"/>
      <c r="N226" s="2"/>
      <c r="O226" s="2"/>
      <c r="P226" s="2"/>
      <c r="Q226" s="2"/>
      <c r="R226" s="2"/>
      <c r="S226" s="1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2"/>
      <c r="N227" s="2"/>
      <c r="O227" s="2"/>
      <c r="P227" s="2"/>
      <c r="Q227" s="2"/>
      <c r="R227" s="2"/>
      <c r="S227" s="1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2"/>
      <c r="N228" s="2"/>
      <c r="O228" s="2"/>
      <c r="P228" s="2"/>
      <c r="Q228" s="2"/>
      <c r="R228" s="2"/>
      <c r="S228" s="1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2"/>
      <c r="N229" s="2"/>
      <c r="O229" s="2"/>
      <c r="P229" s="2"/>
      <c r="Q229" s="2"/>
      <c r="R229" s="2"/>
      <c r="S229" s="1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2"/>
      <c r="N230" s="2"/>
      <c r="O230" s="2"/>
      <c r="P230" s="2"/>
      <c r="Q230" s="2"/>
      <c r="R230" s="2"/>
      <c r="S230" s="1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2"/>
      <c r="N231" s="2"/>
      <c r="O231" s="2"/>
      <c r="P231" s="2"/>
      <c r="Q231" s="2"/>
      <c r="R231" s="2"/>
      <c r="S231" s="1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2"/>
      <c r="N232" s="2"/>
      <c r="O232" s="2"/>
      <c r="P232" s="2"/>
      <c r="Q232" s="2"/>
      <c r="R232" s="2"/>
      <c r="S232" s="1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2"/>
      <c r="N233" s="2"/>
      <c r="O233" s="2"/>
      <c r="P233" s="2"/>
      <c r="Q233" s="2"/>
      <c r="R233" s="2"/>
      <c r="S233" s="1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2"/>
      <c r="N234" s="2"/>
      <c r="O234" s="2"/>
      <c r="P234" s="2"/>
      <c r="Q234" s="2"/>
      <c r="R234" s="2"/>
      <c r="S234" s="1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2"/>
      <c r="N235" s="2"/>
      <c r="O235" s="2"/>
      <c r="P235" s="2"/>
      <c r="Q235" s="2"/>
      <c r="R235" s="2"/>
      <c r="S235" s="1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2"/>
      <c r="N236" s="2"/>
      <c r="O236" s="2"/>
      <c r="P236" s="2"/>
      <c r="Q236" s="2"/>
      <c r="R236" s="2"/>
      <c r="S236" s="1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2"/>
      <c r="N237" s="2"/>
      <c r="O237" s="2"/>
      <c r="P237" s="2"/>
      <c r="Q237" s="2"/>
      <c r="R237" s="2"/>
      <c r="S237" s="1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2"/>
      <c r="N238" s="2"/>
      <c r="O238" s="2"/>
      <c r="P238" s="2"/>
      <c r="Q238" s="2"/>
      <c r="R238" s="2"/>
      <c r="S238" s="1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2"/>
      <c r="N239" s="2"/>
      <c r="O239" s="2"/>
      <c r="P239" s="2"/>
      <c r="Q239" s="2"/>
      <c r="R239" s="2"/>
      <c r="S239" s="1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2"/>
      <c r="N240" s="2"/>
      <c r="O240" s="2"/>
      <c r="P240" s="2"/>
      <c r="Q240" s="2"/>
      <c r="R240" s="2"/>
      <c r="S240" s="1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2"/>
      <c r="N241" s="2"/>
      <c r="O241" s="2"/>
      <c r="P241" s="2"/>
      <c r="Q241" s="2"/>
      <c r="R241" s="2"/>
      <c r="S241" s="1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2"/>
      <c r="N242" s="2"/>
      <c r="O242" s="2"/>
      <c r="P242" s="2"/>
      <c r="Q242" s="2"/>
      <c r="R242" s="2"/>
      <c r="S242" s="1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2"/>
      <c r="N243" s="2"/>
      <c r="O243" s="2"/>
      <c r="P243" s="2"/>
      <c r="Q243" s="2"/>
      <c r="R243" s="2"/>
      <c r="S243" s="1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2"/>
      <c r="N244" s="2"/>
      <c r="O244" s="2"/>
      <c r="P244" s="2"/>
      <c r="Q244" s="2"/>
      <c r="R244" s="2"/>
      <c r="S244" s="1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2"/>
      <c r="N245" s="2"/>
      <c r="O245" s="2"/>
      <c r="P245" s="2"/>
      <c r="Q245" s="2"/>
      <c r="R245" s="2"/>
      <c r="S245" s="1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2"/>
      <c r="N246" s="2"/>
      <c r="O246" s="2"/>
      <c r="P246" s="2"/>
      <c r="Q246" s="2"/>
      <c r="R246" s="2"/>
      <c r="S246" s="1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2"/>
      <c r="N247" s="2"/>
      <c r="O247" s="2"/>
      <c r="P247" s="2"/>
      <c r="Q247" s="2"/>
      <c r="R247" s="2"/>
      <c r="S247" s="1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2"/>
      <c r="N248" s="2"/>
      <c r="O248" s="2"/>
      <c r="P248" s="2"/>
      <c r="Q248" s="2"/>
      <c r="R248" s="2"/>
      <c r="S248" s="1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2"/>
      <c r="N249" s="2"/>
      <c r="O249" s="2"/>
      <c r="P249" s="2"/>
      <c r="Q249" s="2"/>
      <c r="R249" s="2"/>
      <c r="S249" s="1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2"/>
      <c r="N250" s="2"/>
      <c r="O250" s="2"/>
      <c r="P250" s="2"/>
      <c r="Q250" s="2"/>
      <c r="R250" s="2"/>
      <c r="S250" s="1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2"/>
      <c r="N251" s="2"/>
      <c r="O251" s="2"/>
      <c r="P251" s="2"/>
      <c r="Q251" s="2"/>
      <c r="R251" s="2"/>
      <c r="S251" s="1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2"/>
      <c r="N252" s="2"/>
      <c r="O252" s="2"/>
      <c r="P252" s="2"/>
      <c r="Q252" s="2"/>
      <c r="R252" s="2"/>
      <c r="S252" s="1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2"/>
      <c r="N253" s="2"/>
      <c r="O253" s="2"/>
      <c r="P253" s="2"/>
      <c r="Q253" s="2"/>
      <c r="R253" s="2"/>
      <c r="S253" s="1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2"/>
      <c r="N254" s="2"/>
      <c r="O254" s="2"/>
      <c r="P254" s="2"/>
      <c r="Q254" s="2"/>
      <c r="R254" s="2"/>
      <c r="S254" s="1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2"/>
      <c r="N255" s="2"/>
      <c r="O255" s="2"/>
      <c r="P255" s="2"/>
      <c r="Q255" s="2"/>
      <c r="R255" s="2"/>
      <c r="S255" s="1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2"/>
      <c r="N256" s="2"/>
      <c r="O256" s="2"/>
      <c r="P256" s="2"/>
      <c r="Q256" s="2"/>
      <c r="R256" s="2"/>
      <c r="S256" s="1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2"/>
      <c r="N257" s="2"/>
      <c r="O257" s="2"/>
      <c r="P257" s="2"/>
      <c r="Q257" s="2"/>
      <c r="R257" s="2"/>
      <c r="S257" s="1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2"/>
      <c r="N258" s="2"/>
      <c r="O258" s="2"/>
      <c r="P258" s="2"/>
      <c r="Q258" s="2"/>
      <c r="R258" s="2"/>
      <c r="S258" s="1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2"/>
      <c r="N259" s="2"/>
      <c r="O259" s="2"/>
      <c r="P259" s="2"/>
      <c r="Q259" s="2"/>
      <c r="R259" s="2"/>
      <c r="S259" s="1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2"/>
      <c r="N260" s="2"/>
      <c r="O260" s="2"/>
      <c r="P260" s="2"/>
      <c r="Q260" s="2"/>
      <c r="R260" s="2"/>
      <c r="S260" s="1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2"/>
      <c r="N261" s="2"/>
      <c r="O261" s="2"/>
      <c r="P261" s="2"/>
      <c r="Q261" s="2"/>
      <c r="R261" s="2"/>
      <c r="S261" s="1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2"/>
      <c r="N262" s="2"/>
      <c r="O262" s="2"/>
      <c r="P262" s="2"/>
      <c r="Q262" s="2"/>
      <c r="R262" s="2"/>
      <c r="S262" s="1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2"/>
      <c r="N263" s="2"/>
      <c r="O263" s="2"/>
      <c r="P263" s="2"/>
      <c r="Q263" s="2"/>
      <c r="R263" s="2"/>
      <c r="S263" s="1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2"/>
      <c r="N264" s="2"/>
      <c r="O264" s="2"/>
      <c r="P264" s="2"/>
      <c r="Q264" s="2"/>
      <c r="R264" s="2"/>
      <c r="S264" s="1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2"/>
      <c r="N265" s="2"/>
      <c r="O265" s="2"/>
      <c r="P265" s="2"/>
      <c r="Q265" s="2"/>
      <c r="R265" s="2"/>
      <c r="S265" s="1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2"/>
      <c r="N266" s="2"/>
      <c r="O266" s="2"/>
      <c r="P266" s="2"/>
      <c r="Q266" s="2"/>
      <c r="R266" s="2"/>
      <c r="S266" s="1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2"/>
      <c r="N267" s="2"/>
      <c r="O267" s="2"/>
      <c r="P267" s="2"/>
      <c r="Q267" s="2"/>
      <c r="R267" s="2"/>
      <c r="S267" s="1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2"/>
      <c r="N268" s="2"/>
      <c r="O268" s="2"/>
      <c r="P268" s="2"/>
      <c r="Q268" s="2"/>
      <c r="R268" s="2"/>
      <c r="S268" s="1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2"/>
      <c r="N269" s="2"/>
      <c r="O269" s="2"/>
      <c r="P269" s="2"/>
      <c r="Q269" s="2"/>
      <c r="R269" s="2"/>
      <c r="S269" s="1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2"/>
      <c r="N270" s="2"/>
      <c r="O270" s="2"/>
      <c r="P270" s="2"/>
      <c r="Q270" s="2"/>
      <c r="R270" s="2"/>
      <c r="S270" s="1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2"/>
      <c r="N271" s="2"/>
      <c r="O271" s="2"/>
      <c r="P271" s="2"/>
      <c r="Q271" s="2"/>
      <c r="R271" s="2"/>
      <c r="S271" s="1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2"/>
      <c r="N272" s="2"/>
      <c r="O272" s="2"/>
      <c r="P272" s="2"/>
      <c r="Q272" s="2"/>
      <c r="R272" s="2"/>
      <c r="S272" s="1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2"/>
      <c r="N273" s="2"/>
      <c r="O273" s="2"/>
      <c r="P273" s="2"/>
      <c r="Q273" s="2"/>
      <c r="R273" s="2"/>
      <c r="S273" s="1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2"/>
      <c r="N274" s="2"/>
      <c r="O274" s="2"/>
      <c r="P274" s="2"/>
      <c r="Q274" s="2"/>
      <c r="R274" s="2"/>
      <c r="S274" s="1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2"/>
      <c r="N275" s="2"/>
      <c r="O275" s="2"/>
      <c r="P275" s="2"/>
      <c r="Q275" s="2"/>
      <c r="R275" s="2"/>
      <c r="S275" s="1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2"/>
      <c r="N276" s="2"/>
      <c r="O276" s="2"/>
      <c r="P276" s="2"/>
      <c r="Q276" s="2"/>
      <c r="R276" s="2"/>
      <c r="S276" s="1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2"/>
      <c r="N277" s="2"/>
      <c r="O277" s="2"/>
      <c r="P277" s="2"/>
      <c r="Q277" s="2"/>
      <c r="R277" s="2"/>
      <c r="S277" s="1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2"/>
      <c r="N278" s="2"/>
      <c r="O278" s="2"/>
      <c r="P278" s="2"/>
      <c r="Q278" s="2"/>
      <c r="R278" s="2"/>
      <c r="S278" s="1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2"/>
      <c r="N279" s="2"/>
      <c r="O279" s="2"/>
      <c r="P279" s="2"/>
      <c r="Q279" s="2"/>
      <c r="R279" s="2"/>
      <c r="S279" s="1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2"/>
      <c r="N280" s="2"/>
      <c r="O280" s="2"/>
      <c r="P280" s="2"/>
      <c r="Q280" s="2"/>
      <c r="R280" s="2"/>
      <c r="S280" s="1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2"/>
      <c r="N281" s="2"/>
      <c r="O281" s="2"/>
      <c r="P281" s="2"/>
      <c r="Q281" s="2"/>
      <c r="R281" s="2"/>
      <c r="S281" s="1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2"/>
      <c r="N282" s="2"/>
      <c r="O282" s="2"/>
      <c r="P282" s="2"/>
      <c r="Q282" s="2"/>
      <c r="R282" s="2"/>
      <c r="S282" s="1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2"/>
      <c r="N283" s="2"/>
      <c r="O283" s="2"/>
      <c r="P283" s="2"/>
      <c r="Q283" s="2"/>
      <c r="R283" s="2"/>
      <c r="S283" s="1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2"/>
      <c r="N284" s="2"/>
      <c r="O284" s="2"/>
      <c r="P284" s="2"/>
      <c r="Q284" s="2"/>
      <c r="R284" s="2"/>
      <c r="S284" s="1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2"/>
      <c r="N285" s="2"/>
      <c r="O285" s="2"/>
      <c r="P285" s="2"/>
      <c r="Q285" s="2"/>
      <c r="R285" s="2"/>
      <c r="S285" s="1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2"/>
      <c r="N286" s="2"/>
      <c r="O286" s="2"/>
      <c r="P286" s="2"/>
      <c r="Q286" s="2"/>
      <c r="R286" s="2"/>
      <c r="S286" s="1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2"/>
      <c r="N287" s="2"/>
      <c r="O287" s="2"/>
      <c r="P287" s="2"/>
      <c r="Q287" s="2"/>
      <c r="R287" s="2"/>
      <c r="S287" s="1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2"/>
      <c r="N288" s="2"/>
      <c r="O288" s="2"/>
      <c r="P288" s="2"/>
      <c r="Q288" s="2"/>
      <c r="R288" s="2"/>
      <c r="S288" s="1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2"/>
      <c r="N289" s="2"/>
      <c r="O289" s="2"/>
      <c r="P289" s="2"/>
      <c r="Q289" s="2"/>
      <c r="R289" s="2"/>
      <c r="S289" s="1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2"/>
      <c r="N290" s="2"/>
      <c r="O290" s="2"/>
      <c r="P290" s="2"/>
      <c r="Q290" s="2"/>
      <c r="R290" s="2"/>
      <c r="S290" s="1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2"/>
      <c r="N291" s="2"/>
      <c r="O291" s="2"/>
      <c r="P291" s="2"/>
      <c r="Q291" s="2"/>
      <c r="R291" s="2"/>
      <c r="S291" s="1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2"/>
      <c r="N292" s="2"/>
      <c r="O292" s="2"/>
      <c r="P292" s="2"/>
      <c r="Q292" s="2"/>
      <c r="R292" s="2"/>
      <c r="S292" s="1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2"/>
      <c r="N293" s="2"/>
      <c r="O293" s="2"/>
      <c r="P293" s="2"/>
      <c r="Q293" s="2"/>
      <c r="R293" s="2"/>
      <c r="S293" s="1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2"/>
      <c r="N294" s="2"/>
      <c r="O294" s="2"/>
      <c r="P294" s="2"/>
      <c r="Q294" s="2"/>
      <c r="R294" s="2"/>
      <c r="S294" s="1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2"/>
      <c r="N295" s="2"/>
      <c r="O295" s="2"/>
      <c r="P295" s="2"/>
      <c r="Q295" s="2"/>
      <c r="R295" s="2"/>
      <c r="S295" s="1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2"/>
      <c r="N296" s="2"/>
      <c r="O296" s="2"/>
      <c r="P296" s="2"/>
      <c r="Q296" s="2"/>
      <c r="R296" s="2"/>
      <c r="S296" s="1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2"/>
      <c r="N297" s="2"/>
      <c r="O297" s="2"/>
      <c r="P297" s="2"/>
      <c r="Q297" s="2"/>
      <c r="R297" s="2"/>
      <c r="S297" s="1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2"/>
      <c r="N298" s="2"/>
      <c r="O298" s="2"/>
      <c r="P298" s="2"/>
      <c r="Q298" s="2"/>
      <c r="R298" s="2"/>
      <c r="S298" s="1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2"/>
      <c r="N299" s="2"/>
      <c r="O299" s="2"/>
      <c r="P299" s="2"/>
      <c r="Q299" s="2"/>
      <c r="R299" s="2"/>
      <c r="S299" s="1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2"/>
      <c r="N300" s="2"/>
      <c r="O300" s="2"/>
      <c r="P300" s="2"/>
      <c r="Q300" s="2"/>
      <c r="R300" s="2"/>
      <c r="S300" s="1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2"/>
      <c r="N301" s="2"/>
      <c r="O301" s="2"/>
      <c r="P301" s="2"/>
      <c r="Q301" s="2"/>
      <c r="R301" s="2"/>
      <c r="S301" s="1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2"/>
      <c r="N302" s="2"/>
      <c r="O302" s="2"/>
      <c r="P302" s="2"/>
      <c r="Q302" s="2"/>
      <c r="R302" s="2"/>
      <c r="S302" s="1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2"/>
      <c r="N303" s="2"/>
      <c r="O303" s="2"/>
      <c r="P303" s="2"/>
      <c r="Q303" s="2"/>
      <c r="R303" s="2"/>
      <c r="S303" s="1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2"/>
      <c r="N304" s="2"/>
      <c r="O304" s="2"/>
      <c r="P304" s="2"/>
      <c r="Q304" s="2"/>
      <c r="R304" s="2"/>
      <c r="S304" s="1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2"/>
      <c r="N305" s="2"/>
      <c r="O305" s="2"/>
      <c r="P305" s="2"/>
      <c r="Q305" s="2"/>
      <c r="R305" s="2"/>
      <c r="S305" s="1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2"/>
      <c r="N306" s="2"/>
      <c r="O306" s="2"/>
      <c r="P306" s="2"/>
      <c r="Q306" s="2"/>
      <c r="R306" s="2"/>
      <c r="S306" s="1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2"/>
      <c r="N307" s="2"/>
      <c r="O307" s="2"/>
      <c r="P307" s="2"/>
      <c r="Q307" s="2"/>
      <c r="R307" s="2"/>
      <c r="S307" s="1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2"/>
      <c r="N308" s="2"/>
      <c r="O308" s="2"/>
      <c r="P308" s="2"/>
      <c r="Q308" s="2"/>
      <c r="R308" s="2"/>
      <c r="S308" s="1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2"/>
      <c r="N309" s="2"/>
      <c r="O309" s="2"/>
      <c r="P309" s="2"/>
      <c r="Q309" s="2"/>
      <c r="R309" s="2"/>
      <c r="S309" s="1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2"/>
      <c r="N310" s="2"/>
      <c r="O310" s="2"/>
      <c r="P310" s="2"/>
      <c r="Q310" s="2"/>
      <c r="R310" s="2"/>
      <c r="S310" s="1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2"/>
      <c r="N311" s="2"/>
      <c r="O311" s="2"/>
      <c r="P311" s="2"/>
      <c r="Q311" s="2"/>
      <c r="R311" s="2"/>
      <c r="S311" s="1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2"/>
      <c r="N312" s="2"/>
      <c r="O312" s="2"/>
      <c r="P312" s="2"/>
      <c r="Q312" s="2"/>
      <c r="R312" s="2"/>
      <c r="S312" s="1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2"/>
      <c r="N313" s="2"/>
      <c r="O313" s="2"/>
      <c r="P313" s="2"/>
      <c r="Q313" s="2"/>
      <c r="R313" s="2"/>
      <c r="S313" s="1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2"/>
      <c r="N314" s="2"/>
      <c r="O314" s="2"/>
      <c r="P314" s="2"/>
      <c r="Q314" s="2"/>
      <c r="R314" s="2"/>
      <c r="S314" s="1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2"/>
      <c r="N315" s="2"/>
      <c r="O315" s="2"/>
      <c r="P315" s="2"/>
      <c r="Q315" s="2"/>
      <c r="R315" s="2"/>
      <c r="S315" s="1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2"/>
      <c r="N316" s="2"/>
      <c r="O316" s="2"/>
      <c r="P316" s="2"/>
      <c r="Q316" s="2"/>
      <c r="R316" s="2"/>
      <c r="S316" s="1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2"/>
      <c r="N317" s="2"/>
      <c r="O317" s="2"/>
      <c r="P317" s="2"/>
      <c r="Q317" s="2"/>
      <c r="R317" s="2"/>
      <c r="S317" s="1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2"/>
      <c r="N318" s="2"/>
      <c r="O318" s="2"/>
      <c r="P318" s="2"/>
      <c r="Q318" s="2"/>
      <c r="R318" s="2"/>
      <c r="S318" s="1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2"/>
      <c r="N319" s="2"/>
      <c r="O319" s="2"/>
      <c r="P319" s="2"/>
      <c r="Q319" s="2"/>
      <c r="R319" s="2"/>
      <c r="S319" s="1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2"/>
      <c r="N320" s="2"/>
      <c r="O320" s="2"/>
      <c r="P320" s="2"/>
      <c r="Q320" s="2"/>
      <c r="R320" s="2"/>
      <c r="S320" s="1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2"/>
      <c r="N321" s="2"/>
      <c r="O321" s="2"/>
      <c r="P321" s="2"/>
      <c r="Q321" s="2"/>
      <c r="R321" s="2"/>
      <c r="S321" s="1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2"/>
      <c r="N322" s="2"/>
      <c r="O322" s="2"/>
      <c r="P322" s="2"/>
      <c r="Q322" s="2"/>
      <c r="R322" s="2"/>
      <c r="S322" s="1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2"/>
      <c r="N323" s="2"/>
      <c r="O323" s="2"/>
      <c r="P323" s="2"/>
      <c r="Q323" s="2"/>
      <c r="R323" s="2"/>
      <c r="S323" s="1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2"/>
      <c r="N324" s="2"/>
      <c r="O324" s="2"/>
      <c r="P324" s="2"/>
      <c r="Q324" s="2"/>
      <c r="R324" s="2"/>
      <c r="S324" s="1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2"/>
      <c r="N325" s="2"/>
      <c r="O325" s="2"/>
      <c r="P325" s="2"/>
      <c r="Q325" s="2"/>
      <c r="R325" s="2"/>
      <c r="S325" s="1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2"/>
      <c r="N326" s="2"/>
      <c r="O326" s="2"/>
      <c r="P326" s="2"/>
      <c r="Q326" s="2"/>
      <c r="R326" s="2"/>
      <c r="S326" s="1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2"/>
      <c r="N327" s="2"/>
      <c r="O327" s="2"/>
      <c r="P327" s="2"/>
      <c r="Q327" s="2"/>
      <c r="R327" s="2"/>
      <c r="S327" s="1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2"/>
      <c r="N328" s="2"/>
      <c r="O328" s="2"/>
      <c r="P328" s="2"/>
      <c r="Q328" s="2"/>
      <c r="R328" s="2"/>
      <c r="S328" s="1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2"/>
      <c r="N329" s="2"/>
      <c r="O329" s="2"/>
      <c r="P329" s="2"/>
      <c r="Q329" s="2"/>
      <c r="R329" s="2"/>
      <c r="S329" s="1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2"/>
      <c r="N330" s="2"/>
      <c r="O330" s="2"/>
      <c r="P330" s="2"/>
      <c r="Q330" s="2"/>
      <c r="R330" s="2"/>
      <c r="S330" s="1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2"/>
      <c r="N331" s="2"/>
      <c r="O331" s="2"/>
      <c r="P331" s="2"/>
      <c r="Q331" s="2"/>
      <c r="R331" s="2"/>
      <c r="S331" s="1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2"/>
      <c r="N332" s="2"/>
      <c r="O332" s="2"/>
      <c r="P332" s="2"/>
      <c r="Q332" s="2"/>
      <c r="R332" s="2"/>
      <c r="S332" s="1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2"/>
      <c r="N333" s="2"/>
      <c r="O333" s="2"/>
      <c r="P333" s="2"/>
      <c r="Q333" s="2"/>
      <c r="R333" s="2"/>
      <c r="S333" s="1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2"/>
      <c r="N334" s="2"/>
      <c r="O334" s="2"/>
      <c r="P334" s="2"/>
      <c r="Q334" s="2"/>
      <c r="R334" s="2"/>
      <c r="S334" s="1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2"/>
      <c r="N335" s="2"/>
      <c r="O335" s="2"/>
      <c r="P335" s="2"/>
      <c r="Q335" s="2"/>
      <c r="R335" s="2"/>
      <c r="S335" s="1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2"/>
      <c r="N336" s="2"/>
      <c r="O336" s="2"/>
      <c r="P336" s="2"/>
      <c r="Q336" s="2"/>
      <c r="R336" s="2"/>
      <c r="S336" s="1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2"/>
      <c r="N337" s="2"/>
      <c r="O337" s="2"/>
      <c r="P337" s="2"/>
      <c r="Q337" s="2"/>
      <c r="R337" s="2"/>
      <c r="S337" s="1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2"/>
      <c r="N338" s="2"/>
      <c r="O338" s="2"/>
      <c r="P338" s="2"/>
      <c r="Q338" s="2"/>
      <c r="R338" s="2"/>
      <c r="S338" s="1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2"/>
      <c r="N339" s="2"/>
      <c r="O339" s="2"/>
      <c r="P339" s="2"/>
      <c r="Q339" s="2"/>
      <c r="R339" s="2"/>
      <c r="S339" s="1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2"/>
      <c r="N340" s="2"/>
      <c r="O340" s="2"/>
      <c r="P340" s="2"/>
      <c r="Q340" s="2"/>
      <c r="R340" s="2"/>
      <c r="S340" s="1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2"/>
      <c r="N341" s="2"/>
      <c r="O341" s="2"/>
      <c r="P341" s="2"/>
      <c r="Q341" s="2"/>
      <c r="R341" s="2"/>
      <c r="S341" s="1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2"/>
      <c r="N342" s="2"/>
      <c r="O342" s="2"/>
      <c r="P342" s="2"/>
      <c r="Q342" s="2"/>
      <c r="R342" s="2"/>
      <c r="S342" s="1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2"/>
      <c r="N343" s="2"/>
      <c r="O343" s="2"/>
      <c r="P343" s="2"/>
      <c r="Q343" s="2"/>
      <c r="R343" s="2"/>
      <c r="S343" s="1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2"/>
      <c r="N344" s="2"/>
      <c r="O344" s="2"/>
      <c r="P344" s="2"/>
      <c r="Q344" s="2"/>
      <c r="R344" s="2"/>
      <c r="S344" s="1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2"/>
      <c r="N345" s="2"/>
      <c r="O345" s="2"/>
      <c r="P345" s="2"/>
      <c r="Q345" s="2"/>
      <c r="R345" s="2"/>
      <c r="S345" s="1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2"/>
      <c r="N346" s="2"/>
      <c r="O346" s="2"/>
      <c r="P346" s="2"/>
      <c r="Q346" s="2"/>
      <c r="R346" s="2"/>
      <c r="S346" s="1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2"/>
      <c r="N347" s="2"/>
      <c r="O347" s="2"/>
      <c r="P347" s="2"/>
      <c r="Q347" s="2"/>
      <c r="R347" s="2"/>
      <c r="S347" s="1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2"/>
      <c r="N348" s="2"/>
      <c r="O348" s="2"/>
      <c r="P348" s="2"/>
      <c r="Q348" s="2"/>
      <c r="R348" s="2"/>
      <c r="S348" s="1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2"/>
      <c r="N349" s="2"/>
      <c r="O349" s="2"/>
      <c r="P349" s="2"/>
      <c r="Q349" s="2"/>
      <c r="R349" s="2"/>
      <c r="S349" s="1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2"/>
      <c r="N350" s="2"/>
      <c r="O350" s="2"/>
      <c r="P350" s="2"/>
      <c r="Q350" s="2"/>
      <c r="R350" s="2"/>
      <c r="S350" s="1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2"/>
      <c r="N351" s="2"/>
      <c r="O351" s="2"/>
      <c r="P351" s="2"/>
      <c r="Q351" s="2"/>
      <c r="R351" s="2"/>
      <c r="S351" s="1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2"/>
      <c r="N352" s="2"/>
      <c r="O352" s="2"/>
      <c r="P352" s="2"/>
      <c r="Q352" s="2"/>
      <c r="R352" s="2"/>
      <c r="S352" s="1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2"/>
      <c r="N353" s="2"/>
      <c r="O353" s="2"/>
      <c r="P353" s="2"/>
      <c r="Q353" s="2"/>
      <c r="R353" s="2"/>
      <c r="S353" s="1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2"/>
      <c r="N354" s="2"/>
      <c r="O354" s="2"/>
      <c r="P354" s="2"/>
      <c r="Q354" s="2"/>
      <c r="R354" s="2"/>
      <c r="S354" s="1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2"/>
      <c r="N355" s="2"/>
      <c r="O355" s="2"/>
      <c r="P355" s="2"/>
      <c r="Q355" s="2"/>
      <c r="R355" s="2"/>
      <c r="S355" s="1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2"/>
      <c r="N356" s="2"/>
      <c r="O356" s="2"/>
      <c r="P356" s="2"/>
      <c r="Q356" s="2"/>
      <c r="R356" s="2"/>
      <c r="S356" s="1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2"/>
      <c r="N357" s="2"/>
      <c r="O357" s="2"/>
      <c r="P357" s="2"/>
      <c r="Q357" s="2"/>
      <c r="R357" s="2"/>
      <c r="S357" s="1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2"/>
      <c r="N358" s="2"/>
      <c r="O358" s="2"/>
      <c r="P358" s="2"/>
      <c r="Q358" s="2"/>
      <c r="R358" s="2"/>
      <c r="S358" s="1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2"/>
      <c r="N359" s="2"/>
      <c r="O359" s="2"/>
      <c r="P359" s="2"/>
      <c r="Q359" s="2"/>
      <c r="R359" s="2"/>
      <c r="S359" s="1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2"/>
      <c r="N360" s="2"/>
      <c r="O360" s="2"/>
      <c r="P360" s="2"/>
      <c r="Q360" s="2"/>
      <c r="R360" s="2"/>
      <c r="S360" s="1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2"/>
      <c r="N361" s="2"/>
      <c r="O361" s="2"/>
      <c r="P361" s="2"/>
      <c r="Q361" s="2"/>
      <c r="R361" s="2"/>
      <c r="S361" s="1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2"/>
      <c r="N362" s="2"/>
      <c r="O362" s="2"/>
      <c r="P362" s="2"/>
      <c r="Q362" s="2"/>
      <c r="R362" s="2"/>
      <c r="S362" s="1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2"/>
      <c r="N363" s="2"/>
      <c r="O363" s="2"/>
      <c r="P363" s="2"/>
      <c r="Q363" s="2"/>
      <c r="R363" s="2"/>
      <c r="S363" s="1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2"/>
      <c r="N364" s="2"/>
      <c r="O364" s="2"/>
      <c r="P364" s="2"/>
      <c r="Q364" s="2"/>
      <c r="R364" s="2"/>
      <c r="S364" s="1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2"/>
      <c r="N365" s="2"/>
      <c r="O365" s="2"/>
      <c r="P365" s="2"/>
      <c r="Q365" s="2"/>
      <c r="R365" s="2"/>
      <c r="S365" s="1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2"/>
      <c r="N366" s="2"/>
      <c r="O366" s="2"/>
      <c r="P366" s="2"/>
      <c r="Q366" s="2"/>
      <c r="R366" s="2"/>
      <c r="S366" s="1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2"/>
      <c r="N367" s="2"/>
      <c r="O367" s="2"/>
      <c r="P367" s="2"/>
      <c r="Q367" s="2"/>
      <c r="R367" s="2"/>
      <c r="S367" s="1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2"/>
      <c r="N368" s="2"/>
      <c r="O368" s="2"/>
      <c r="P368" s="2"/>
      <c r="Q368" s="2"/>
      <c r="R368" s="2"/>
      <c r="S368" s="1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2"/>
      <c r="N369" s="2"/>
      <c r="O369" s="2"/>
      <c r="P369" s="2"/>
      <c r="Q369" s="2"/>
      <c r="R369" s="2"/>
      <c r="S369" s="1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2"/>
      <c r="N370" s="2"/>
      <c r="O370" s="2"/>
      <c r="P370" s="2"/>
      <c r="Q370" s="2"/>
      <c r="R370" s="2"/>
      <c r="S370" s="1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2"/>
      <c r="N371" s="2"/>
      <c r="O371" s="2"/>
      <c r="P371" s="2"/>
      <c r="Q371" s="2"/>
      <c r="R371" s="2"/>
      <c r="S371" s="1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2"/>
      <c r="N372" s="2"/>
      <c r="O372" s="2"/>
      <c r="P372" s="2"/>
      <c r="Q372" s="2"/>
      <c r="R372" s="2"/>
      <c r="S372" s="1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2"/>
      <c r="N373" s="2"/>
      <c r="O373" s="2"/>
      <c r="P373" s="2"/>
      <c r="Q373" s="2"/>
      <c r="R373" s="2"/>
      <c r="S373" s="1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2"/>
      <c r="N374" s="2"/>
      <c r="O374" s="2"/>
      <c r="P374" s="2"/>
      <c r="Q374" s="2"/>
      <c r="R374" s="2"/>
      <c r="S374" s="1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2"/>
      <c r="N375" s="2"/>
      <c r="O375" s="2"/>
      <c r="P375" s="2"/>
      <c r="Q375" s="2"/>
      <c r="R375" s="2"/>
      <c r="S375" s="1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2"/>
      <c r="N376" s="2"/>
      <c r="O376" s="2"/>
      <c r="P376" s="2"/>
      <c r="Q376" s="2"/>
      <c r="R376" s="2"/>
      <c r="S376" s="1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2"/>
      <c r="N377" s="2"/>
      <c r="O377" s="2"/>
      <c r="P377" s="2"/>
      <c r="Q377" s="2"/>
      <c r="R377" s="2"/>
      <c r="S377" s="1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2"/>
      <c r="N378" s="2"/>
      <c r="O378" s="2"/>
      <c r="P378" s="2"/>
      <c r="Q378" s="2"/>
      <c r="R378" s="2"/>
      <c r="S378" s="1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2"/>
      <c r="N379" s="2"/>
      <c r="O379" s="2"/>
      <c r="P379" s="2"/>
      <c r="Q379" s="2"/>
      <c r="R379" s="2"/>
      <c r="S379" s="1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2"/>
      <c r="N380" s="2"/>
      <c r="O380" s="2"/>
      <c r="P380" s="2"/>
      <c r="Q380" s="2"/>
      <c r="R380" s="2"/>
      <c r="S380" s="1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2"/>
      <c r="N381" s="2"/>
      <c r="O381" s="2"/>
      <c r="P381" s="2"/>
      <c r="Q381" s="2"/>
      <c r="R381" s="2"/>
      <c r="S381" s="1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2"/>
      <c r="N382" s="2"/>
      <c r="O382" s="2"/>
      <c r="P382" s="2"/>
      <c r="Q382" s="2"/>
      <c r="R382" s="2"/>
      <c r="S382" s="1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2"/>
      <c r="N383" s="2"/>
      <c r="O383" s="2"/>
      <c r="P383" s="2"/>
      <c r="Q383" s="2"/>
      <c r="R383" s="2"/>
      <c r="S383" s="1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2"/>
      <c r="N384" s="2"/>
      <c r="O384" s="2"/>
      <c r="P384" s="2"/>
      <c r="Q384" s="2"/>
      <c r="R384" s="2"/>
      <c r="S384" s="1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2"/>
      <c r="N385" s="2"/>
      <c r="O385" s="2"/>
      <c r="P385" s="2"/>
      <c r="Q385" s="2"/>
      <c r="R385" s="2"/>
      <c r="S385" s="1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2"/>
      <c r="N386" s="2"/>
      <c r="O386" s="2"/>
      <c r="P386" s="2"/>
      <c r="Q386" s="2"/>
      <c r="R386" s="2"/>
      <c r="S386" s="1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2"/>
      <c r="N387" s="2"/>
      <c r="O387" s="2"/>
      <c r="P387" s="2"/>
      <c r="Q387" s="2"/>
      <c r="R387" s="2"/>
      <c r="S387" s="1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2"/>
      <c r="N388" s="2"/>
      <c r="O388" s="2"/>
      <c r="P388" s="2"/>
      <c r="Q388" s="2"/>
      <c r="R388" s="2"/>
      <c r="S388" s="1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2"/>
      <c r="N389" s="2"/>
      <c r="O389" s="2"/>
      <c r="P389" s="2"/>
      <c r="Q389" s="2"/>
      <c r="R389" s="2"/>
      <c r="S389" s="1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2"/>
      <c r="N390" s="2"/>
      <c r="O390" s="2"/>
      <c r="P390" s="2"/>
      <c r="Q390" s="2"/>
      <c r="R390" s="2"/>
      <c r="S390" s="1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2"/>
      <c r="N391" s="2"/>
      <c r="O391" s="2"/>
      <c r="P391" s="2"/>
      <c r="Q391" s="2"/>
      <c r="R391" s="2"/>
      <c r="S391" s="1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2"/>
      <c r="N392" s="2"/>
      <c r="O392" s="2"/>
      <c r="P392" s="2"/>
      <c r="Q392" s="2"/>
      <c r="R392" s="2"/>
      <c r="S392" s="1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2"/>
      <c r="N393" s="2"/>
      <c r="O393" s="2"/>
      <c r="P393" s="2"/>
      <c r="Q393" s="2"/>
      <c r="R393" s="2"/>
      <c r="S393" s="1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2"/>
      <c r="N394" s="2"/>
      <c r="O394" s="2"/>
      <c r="P394" s="2"/>
      <c r="Q394" s="2"/>
      <c r="R394" s="2"/>
      <c r="S394" s="1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2"/>
      <c r="N395" s="2"/>
      <c r="O395" s="2"/>
      <c r="P395" s="2"/>
      <c r="Q395" s="2"/>
      <c r="R395" s="2"/>
      <c r="S395" s="1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2"/>
      <c r="N396" s="2"/>
      <c r="O396" s="2"/>
      <c r="P396" s="2"/>
      <c r="Q396" s="2"/>
      <c r="R396" s="2"/>
      <c r="S396" s="1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2"/>
      <c r="N397" s="2"/>
      <c r="O397" s="2"/>
      <c r="P397" s="2"/>
      <c r="Q397" s="2"/>
      <c r="R397" s="2"/>
      <c r="S397" s="1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2"/>
      <c r="N398" s="2"/>
      <c r="O398" s="2"/>
      <c r="P398" s="2"/>
      <c r="Q398" s="2"/>
      <c r="R398" s="2"/>
      <c r="S398" s="1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2"/>
      <c r="N399" s="2"/>
      <c r="O399" s="2"/>
      <c r="P399" s="2"/>
      <c r="Q399" s="2"/>
      <c r="R399" s="2"/>
      <c r="S399" s="1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2"/>
      <c r="N400" s="2"/>
      <c r="O400" s="2"/>
      <c r="P400" s="2"/>
      <c r="Q400" s="2"/>
      <c r="R400" s="2"/>
      <c r="S400" s="1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2"/>
      <c r="N401" s="2"/>
      <c r="O401" s="2"/>
      <c r="P401" s="2"/>
      <c r="Q401" s="2"/>
      <c r="R401" s="2"/>
      <c r="S401" s="1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2"/>
      <c r="N402" s="2"/>
      <c r="O402" s="2"/>
      <c r="P402" s="2"/>
      <c r="Q402" s="2"/>
      <c r="R402" s="2"/>
      <c r="S402" s="1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2"/>
      <c r="N403" s="2"/>
      <c r="O403" s="2"/>
      <c r="P403" s="2"/>
      <c r="Q403" s="2"/>
      <c r="R403" s="2"/>
      <c r="S403" s="1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2"/>
      <c r="N404" s="2"/>
      <c r="O404" s="2"/>
      <c r="P404" s="2"/>
      <c r="Q404" s="2"/>
      <c r="R404" s="2"/>
      <c r="S404" s="1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2"/>
      <c r="N405" s="2"/>
      <c r="O405" s="2"/>
      <c r="P405" s="2"/>
      <c r="Q405" s="2"/>
      <c r="R405" s="2"/>
      <c r="S405" s="1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2"/>
      <c r="N406" s="2"/>
      <c r="O406" s="2"/>
      <c r="P406" s="2"/>
      <c r="Q406" s="2"/>
      <c r="R406" s="2"/>
      <c r="S406" s="1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2"/>
      <c r="N407" s="2"/>
      <c r="O407" s="2"/>
      <c r="P407" s="2"/>
      <c r="Q407" s="2"/>
      <c r="R407" s="2"/>
      <c r="S407" s="1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2"/>
      <c r="N408" s="2"/>
      <c r="O408" s="2"/>
      <c r="P408" s="2"/>
      <c r="Q408" s="2"/>
      <c r="R408" s="2"/>
      <c r="S408" s="1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2"/>
      <c r="N409" s="2"/>
      <c r="O409" s="2"/>
      <c r="P409" s="2"/>
      <c r="Q409" s="2"/>
      <c r="R409" s="2"/>
      <c r="S409" s="1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2"/>
      <c r="N410" s="2"/>
      <c r="O410" s="2"/>
      <c r="P410" s="2"/>
      <c r="Q410" s="2"/>
      <c r="R410" s="2"/>
      <c r="S410" s="1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2"/>
      <c r="N411" s="2"/>
      <c r="O411" s="2"/>
      <c r="P411" s="2"/>
      <c r="Q411" s="2"/>
      <c r="R411" s="2"/>
      <c r="S411" s="1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2"/>
      <c r="N412" s="2"/>
      <c r="O412" s="2"/>
      <c r="P412" s="2"/>
      <c r="Q412" s="2"/>
      <c r="R412" s="2"/>
      <c r="S412" s="1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2"/>
      <c r="N413" s="2"/>
      <c r="O413" s="2"/>
      <c r="P413" s="2"/>
      <c r="Q413" s="2"/>
      <c r="R413" s="2"/>
      <c r="S413" s="1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2"/>
      <c r="N414" s="2"/>
      <c r="O414" s="2"/>
      <c r="P414" s="2"/>
      <c r="Q414" s="2"/>
      <c r="R414" s="2"/>
      <c r="S414" s="1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2"/>
      <c r="N415" s="2"/>
      <c r="O415" s="2"/>
      <c r="P415" s="2"/>
      <c r="Q415" s="2"/>
      <c r="R415" s="2"/>
      <c r="S415" s="1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2"/>
      <c r="N416" s="2"/>
      <c r="O416" s="2"/>
      <c r="P416" s="2"/>
      <c r="Q416" s="2"/>
      <c r="R416" s="2"/>
      <c r="S416" s="1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2"/>
      <c r="N417" s="2"/>
      <c r="O417" s="2"/>
      <c r="P417" s="2"/>
      <c r="Q417" s="2"/>
      <c r="R417" s="2"/>
      <c r="S417" s="1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2"/>
      <c r="N418" s="2"/>
      <c r="O418" s="2"/>
      <c r="P418" s="2"/>
      <c r="Q418" s="2"/>
      <c r="R418" s="2"/>
      <c r="S418" s="1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2"/>
      <c r="N419" s="2"/>
      <c r="O419" s="2"/>
      <c r="P419" s="2"/>
      <c r="Q419" s="2"/>
      <c r="R419" s="2"/>
      <c r="S419" s="1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2"/>
      <c r="N420" s="2"/>
      <c r="O420" s="2"/>
      <c r="P420" s="2"/>
      <c r="Q420" s="2"/>
      <c r="R420" s="2"/>
      <c r="S420" s="1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2"/>
      <c r="N421" s="2"/>
      <c r="O421" s="2"/>
      <c r="P421" s="2"/>
      <c r="Q421" s="2"/>
      <c r="R421" s="2"/>
      <c r="S421" s="1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2"/>
      <c r="N422" s="2"/>
      <c r="O422" s="2"/>
      <c r="P422" s="2"/>
      <c r="Q422" s="2"/>
      <c r="R422" s="2"/>
      <c r="S422" s="1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2"/>
      <c r="N423" s="2"/>
      <c r="O423" s="2"/>
      <c r="P423" s="2"/>
      <c r="Q423" s="2"/>
      <c r="R423" s="2"/>
      <c r="S423" s="1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2"/>
      <c r="N424" s="2"/>
      <c r="O424" s="2"/>
      <c r="P424" s="2"/>
      <c r="Q424" s="2"/>
      <c r="R424" s="2"/>
      <c r="S424" s="1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2"/>
      <c r="N425" s="2"/>
      <c r="O425" s="2"/>
      <c r="P425" s="2"/>
      <c r="Q425" s="2"/>
      <c r="R425" s="2"/>
      <c r="S425" s="1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2"/>
      <c r="N426" s="2"/>
      <c r="O426" s="2"/>
      <c r="P426" s="2"/>
      <c r="Q426" s="2"/>
      <c r="R426" s="2"/>
      <c r="S426" s="1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2"/>
      <c r="N427" s="2"/>
      <c r="O427" s="2"/>
      <c r="P427" s="2"/>
      <c r="Q427" s="2"/>
      <c r="R427" s="2"/>
      <c r="S427" s="1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2"/>
      <c r="N428" s="2"/>
      <c r="O428" s="2"/>
      <c r="P428" s="2"/>
      <c r="Q428" s="2"/>
      <c r="R428" s="2"/>
      <c r="S428" s="1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2"/>
      <c r="N429" s="2"/>
      <c r="O429" s="2"/>
      <c r="P429" s="2"/>
      <c r="Q429" s="2"/>
      <c r="R429" s="2"/>
      <c r="S429" s="1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2"/>
      <c r="N430" s="2"/>
      <c r="O430" s="2"/>
      <c r="P430" s="2"/>
      <c r="Q430" s="2"/>
      <c r="R430" s="2"/>
      <c r="S430" s="1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2"/>
      <c r="N431" s="2"/>
      <c r="O431" s="2"/>
      <c r="P431" s="2"/>
      <c r="Q431" s="2"/>
      <c r="R431" s="2"/>
      <c r="S431" s="1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2"/>
      <c r="N432" s="2"/>
      <c r="O432" s="2"/>
      <c r="P432" s="2"/>
      <c r="Q432" s="2"/>
      <c r="R432" s="2"/>
      <c r="S432" s="1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2"/>
      <c r="N433" s="2"/>
      <c r="O433" s="2"/>
      <c r="P433" s="2"/>
      <c r="Q433" s="2"/>
      <c r="R433" s="2"/>
      <c r="S433" s="1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2"/>
      <c r="N434" s="2"/>
      <c r="O434" s="2"/>
      <c r="P434" s="2"/>
      <c r="Q434" s="2"/>
      <c r="R434" s="2"/>
      <c r="S434" s="1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2"/>
      <c r="N435" s="2"/>
      <c r="O435" s="2"/>
      <c r="P435" s="2"/>
      <c r="Q435" s="2"/>
      <c r="R435" s="2"/>
      <c r="S435" s="1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2"/>
      <c r="N436" s="2"/>
      <c r="O436" s="2"/>
      <c r="P436" s="2"/>
      <c r="Q436" s="2"/>
      <c r="R436" s="2"/>
      <c r="S436" s="1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2"/>
      <c r="N437" s="2"/>
      <c r="O437" s="2"/>
      <c r="P437" s="2"/>
      <c r="Q437" s="2"/>
      <c r="R437" s="2"/>
      <c r="S437" s="1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2"/>
      <c r="N438" s="2"/>
      <c r="O438" s="2"/>
      <c r="P438" s="2"/>
      <c r="Q438" s="2"/>
      <c r="R438" s="2"/>
      <c r="S438" s="1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2"/>
      <c r="N439" s="2"/>
      <c r="O439" s="2"/>
      <c r="P439" s="2"/>
      <c r="Q439" s="2"/>
      <c r="R439" s="2"/>
      <c r="S439" s="1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2"/>
      <c r="N440" s="2"/>
      <c r="O440" s="2"/>
      <c r="P440" s="2"/>
      <c r="Q440" s="2"/>
      <c r="R440" s="2"/>
      <c r="S440" s="1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2"/>
      <c r="N441" s="2"/>
      <c r="O441" s="2"/>
      <c r="P441" s="2"/>
      <c r="Q441" s="2"/>
      <c r="R441" s="2"/>
      <c r="S441" s="1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2"/>
      <c r="N442" s="2"/>
      <c r="O442" s="2"/>
      <c r="P442" s="2"/>
      <c r="Q442" s="2"/>
      <c r="R442" s="2"/>
      <c r="S442" s="1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2"/>
      <c r="N443" s="2"/>
      <c r="O443" s="2"/>
      <c r="P443" s="2"/>
      <c r="Q443" s="2"/>
      <c r="R443" s="2"/>
      <c r="S443" s="1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2"/>
      <c r="N444" s="2"/>
      <c r="O444" s="2"/>
      <c r="P444" s="2"/>
      <c r="Q444" s="2"/>
      <c r="R444" s="2"/>
      <c r="S444" s="1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2"/>
      <c r="N445" s="2"/>
      <c r="O445" s="2"/>
      <c r="P445" s="2"/>
      <c r="Q445" s="2"/>
      <c r="R445" s="2"/>
      <c r="S445" s="1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2"/>
      <c r="N446" s="2"/>
      <c r="O446" s="2"/>
      <c r="P446" s="2"/>
      <c r="Q446" s="2"/>
      <c r="R446" s="2"/>
      <c r="S446" s="1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2"/>
      <c r="N447" s="2"/>
      <c r="O447" s="2"/>
      <c r="P447" s="2"/>
      <c r="Q447" s="2"/>
      <c r="R447" s="2"/>
      <c r="S447" s="1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2"/>
      <c r="N448" s="2"/>
      <c r="O448" s="2"/>
      <c r="P448" s="2"/>
      <c r="Q448" s="2"/>
      <c r="R448" s="2"/>
      <c r="S448" s="1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2"/>
      <c r="N449" s="2"/>
      <c r="O449" s="2"/>
      <c r="P449" s="2"/>
      <c r="Q449" s="2"/>
      <c r="R449" s="2"/>
      <c r="S449" s="1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2"/>
      <c r="N450" s="2"/>
      <c r="O450" s="2"/>
      <c r="P450" s="2"/>
      <c r="Q450" s="2"/>
      <c r="R450" s="2"/>
      <c r="S450" s="1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2"/>
      <c r="N451" s="2"/>
      <c r="O451" s="2"/>
      <c r="P451" s="2"/>
      <c r="Q451" s="2"/>
      <c r="R451" s="2"/>
      <c r="S451" s="1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2"/>
      <c r="N452" s="2"/>
      <c r="O452" s="2"/>
      <c r="P452" s="2"/>
      <c r="Q452" s="2"/>
      <c r="R452" s="2"/>
      <c r="S452" s="1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2"/>
      <c r="N453" s="2"/>
      <c r="O453" s="2"/>
      <c r="P453" s="2"/>
      <c r="Q453" s="2"/>
      <c r="R453" s="2"/>
      <c r="S453" s="1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2"/>
      <c r="N454" s="2"/>
      <c r="O454" s="2"/>
      <c r="P454" s="2"/>
      <c r="Q454" s="2"/>
      <c r="R454" s="2"/>
      <c r="S454" s="1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2"/>
      <c r="N455" s="2"/>
      <c r="O455" s="2"/>
      <c r="P455" s="2"/>
      <c r="Q455" s="2"/>
      <c r="R455" s="2"/>
      <c r="S455" s="1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2"/>
      <c r="N456" s="2"/>
      <c r="O456" s="2"/>
      <c r="P456" s="2"/>
      <c r="Q456" s="2"/>
      <c r="R456" s="2"/>
      <c r="S456" s="1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2"/>
      <c r="N457" s="2"/>
      <c r="O457" s="2"/>
      <c r="P457" s="2"/>
      <c r="Q457" s="2"/>
      <c r="R457" s="2"/>
      <c r="S457" s="1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2"/>
      <c r="N458" s="2"/>
      <c r="O458" s="2"/>
      <c r="P458" s="2"/>
      <c r="Q458" s="2"/>
      <c r="R458" s="2"/>
      <c r="S458" s="1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2"/>
      <c r="N459" s="2"/>
      <c r="O459" s="2"/>
      <c r="P459" s="2"/>
      <c r="Q459" s="2"/>
      <c r="R459" s="2"/>
      <c r="S459" s="1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2"/>
      <c r="N460" s="2"/>
      <c r="O460" s="2"/>
      <c r="P460" s="2"/>
      <c r="Q460" s="2"/>
      <c r="R460" s="2"/>
      <c r="S460" s="1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2"/>
      <c r="N461" s="2"/>
      <c r="O461" s="2"/>
      <c r="P461" s="2"/>
      <c r="Q461" s="2"/>
      <c r="R461" s="2"/>
      <c r="S461" s="1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2"/>
      <c r="N462" s="2"/>
      <c r="O462" s="2"/>
      <c r="P462" s="2"/>
      <c r="Q462" s="2"/>
      <c r="R462" s="2"/>
      <c r="S462" s="1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2"/>
      <c r="N463" s="2"/>
      <c r="O463" s="2"/>
      <c r="P463" s="2"/>
      <c r="Q463" s="2"/>
      <c r="R463" s="2"/>
      <c r="S463" s="1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2"/>
      <c r="N464" s="2"/>
      <c r="O464" s="2"/>
      <c r="P464" s="2"/>
      <c r="Q464" s="2"/>
      <c r="R464" s="2"/>
      <c r="S464" s="1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2"/>
      <c r="N465" s="2"/>
      <c r="O465" s="2"/>
      <c r="P465" s="2"/>
      <c r="Q465" s="2"/>
      <c r="R465" s="2"/>
      <c r="S465" s="1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2"/>
      <c r="N466" s="2"/>
      <c r="O466" s="2"/>
      <c r="P466" s="2"/>
      <c r="Q466" s="2"/>
      <c r="R466" s="2"/>
      <c r="S466" s="1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2"/>
      <c r="N467" s="2"/>
      <c r="O467" s="2"/>
      <c r="P467" s="2"/>
      <c r="Q467" s="2"/>
      <c r="R467" s="2"/>
      <c r="S467" s="1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2"/>
      <c r="N468" s="2"/>
      <c r="O468" s="2"/>
      <c r="P468" s="2"/>
      <c r="Q468" s="2"/>
      <c r="R468" s="2"/>
      <c r="S468" s="1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2"/>
      <c r="N469" s="2"/>
      <c r="O469" s="2"/>
      <c r="P469" s="2"/>
      <c r="Q469" s="2"/>
      <c r="R469" s="2"/>
      <c r="S469" s="1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2"/>
      <c r="N470" s="2"/>
      <c r="O470" s="2"/>
      <c r="P470" s="2"/>
      <c r="Q470" s="2"/>
      <c r="R470" s="2"/>
      <c r="S470" s="1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2"/>
      <c r="N471" s="2"/>
      <c r="O471" s="2"/>
      <c r="P471" s="2"/>
      <c r="Q471" s="2"/>
      <c r="R471" s="2"/>
      <c r="S471" s="1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2"/>
      <c r="N472" s="2"/>
      <c r="O472" s="2"/>
      <c r="P472" s="2"/>
      <c r="Q472" s="2"/>
      <c r="R472" s="2"/>
      <c r="S472" s="1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2"/>
      <c r="N473" s="2"/>
      <c r="O473" s="2"/>
      <c r="P473" s="2"/>
      <c r="Q473" s="2"/>
      <c r="R473" s="2"/>
      <c r="S473" s="1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2"/>
      <c r="N474" s="2"/>
      <c r="O474" s="2"/>
      <c r="P474" s="2"/>
      <c r="Q474" s="2"/>
      <c r="R474" s="2"/>
      <c r="S474" s="1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2"/>
      <c r="N475" s="2"/>
      <c r="O475" s="2"/>
      <c r="P475" s="2"/>
      <c r="Q475" s="2"/>
      <c r="R475" s="2"/>
      <c r="S475" s="1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2"/>
      <c r="N476" s="2"/>
      <c r="O476" s="2"/>
      <c r="P476" s="2"/>
      <c r="Q476" s="2"/>
      <c r="R476" s="2"/>
      <c r="S476" s="1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2"/>
      <c r="N477" s="2"/>
      <c r="O477" s="2"/>
      <c r="P477" s="2"/>
      <c r="Q477" s="2"/>
      <c r="R477" s="2"/>
      <c r="S477" s="1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2"/>
      <c r="N478" s="2"/>
      <c r="O478" s="2"/>
      <c r="P478" s="2"/>
      <c r="Q478" s="2"/>
      <c r="R478" s="2"/>
      <c r="S478" s="1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2"/>
      <c r="N479" s="2"/>
      <c r="O479" s="2"/>
      <c r="P479" s="2"/>
      <c r="Q479" s="2"/>
      <c r="R479" s="2"/>
      <c r="S479" s="1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2"/>
      <c r="N480" s="2"/>
      <c r="O480" s="2"/>
      <c r="P480" s="2"/>
      <c r="Q480" s="2"/>
      <c r="R480" s="2"/>
      <c r="S480" s="1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2"/>
      <c r="N481" s="2"/>
      <c r="O481" s="2"/>
      <c r="P481" s="2"/>
      <c r="Q481" s="2"/>
      <c r="R481" s="2"/>
      <c r="S481" s="1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2"/>
      <c r="N482" s="2"/>
      <c r="O482" s="2"/>
      <c r="P482" s="2"/>
      <c r="Q482" s="2"/>
      <c r="R482" s="2"/>
      <c r="S482" s="1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2"/>
      <c r="N483" s="2"/>
      <c r="O483" s="2"/>
      <c r="P483" s="2"/>
      <c r="Q483" s="2"/>
      <c r="R483" s="2"/>
      <c r="S483" s="1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2"/>
      <c r="N484" s="2"/>
      <c r="O484" s="2"/>
      <c r="P484" s="2"/>
      <c r="Q484" s="2"/>
      <c r="R484" s="2"/>
      <c r="S484" s="1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2"/>
      <c r="N485" s="2"/>
      <c r="O485" s="2"/>
      <c r="P485" s="2"/>
      <c r="Q485" s="2"/>
      <c r="R485" s="2"/>
      <c r="S485" s="1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2"/>
      <c r="N486" s="2"/>
      <c r="O486" s="2"/>
      <c r="P486" s="2"/>
      <c r="Q486" s="2"/>
      <c r="R486" s="2"/>
      <c r="S486" s="1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2"/>
      <c r="N487" s="2"/>
      <c r="O487" s="2"/>
      <c r="P487" s="2"/>
      <c r="Q487" s="2"/>
      <c r="R487" s="2"/>
      <c r="S487" s="1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2"/>
      <c r="N488" s="2"/>
      <c r="O488" s="2"/>
      <c r="P488" s="2"/>
      <c r="Q488" s="2"/>
      <c r="R488" s="2"/>
      <c r="S488" s="1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2"/>
      <c r="N489" s="2"/>
      <c r="O489" s="2"/>
      <c r="P489" s="2"/>
      <c r="Q489" s="2"/>
      <c r="R489" s="2"/>
      <c r="S489" s="1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2"/>
      <c r="N490" s="2"/>
      <c r="O490" s="2"/>
      <c r="P490" s="2"/>
      <c r="Q490" s="2"/>
      <c r="R490" s="2"/>
      <c r="S490" s="1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2"/>
      <c r="N491" s="2"/>
      <c r="O491" s="2"/>
      <c r="P491" s="2"/>
      <c r="Q491" s="2"/>
      <c r="R491" s="2"/>
      <c r="S491" s="1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2"/>
      <c r="N492" s="2"/>
      <c r="O492" s="2"/>
      <c r="P492" s="2"/>
      <c r="Q492" s="2"/>
      <c r="R492" s="2"/>
      <c r="S492" s="1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2"/>
      <c r="N493" s="2"/>
      <c r="O493" s="2"/>
      <c r="P493" s="2"/>
      <c r="Q493" s="2"/>
      <c r="R493" s="2"/>
      <c r="S493" s="1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2"/>
      <c r="N494" s="2"/>
      <c r="O494" s="2"/>
      <c r="P494" s="2"/>
      <c r="Q494" s="2"/>
      <c r="R494" s="2"/>
      <c r="S494" s="1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2"/>
      <c r="N495" s="2"/>
      <c r="O495" s="2"/>
      <c r="P495" s="2"/>
      <c r="Q495" s="2"/>
      <c r="R495" s="2"/>
      <c r="S495" s="1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2"/>
      <c r="N496" s="2"/>
      <c r="O496" s="2"/>
      <c r="P496" s="2"/>
      <c r="Q496" s="2"/>
      <c r="R496" s="2"/>
      <c r="S496" s="1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2"/>
      <c r="N497" s="2"/>
      <c r="O497" s="2"/>
      <c r="P497" s="2"/>
      <c r="Q497" s="2"/>
      <c r="R497" s="2"/>
      <c r="S497" s="1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2"/>
      <c r="N498" s="2"/>
      <c r="O498" s="2"/>
      <c r="P498" s="2"/>
      <c r="Q498" s="2"/>
      <c r="R498" s="2"/>
      <c r="S498" s="1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2"/>
      <c r="N499" s="2"/>
      <c r="O499" s="2"/>
      <c r="P499" s="2"/>
      <c r="Q499" s="2"/>
      <c r="R499" s="2"/>
      <c r="S499" s="1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2"/>
      <c r="N500" s="2"/>
      <c r="O500" s="2"/>
      <c r="P500" s="2"/>
      <c r="Q500" s="2"/>
      <c r="R500" s="2"/>
      <c r="S500" s="1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2"/>
      <c r="N501" s="2"/>
      <c r="O501" s="2"/>
      <c r="P501" s="2"/>
      <c r="Q501" s="2"/>
      <c r="R501" s="2"/>
      <c r="S501" s="1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2"/>
      <c r="N502" s="2"/>
      <c r="O502" s="2"/>
      <c r="P502" s="2"/>
      <c r="Q502" s="2"/>
      <c r="R502" s="2"/>
      <c r="S502" s="1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2"/>
      <c r="N503" s="2"/>
      <c r="O503" s="2"/>
      <c r="P503" s="2"/>
      <c r="Q503" s="2"/>
      <c r="R503" s="2"/>
      <c r="S503" s="1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2"/>
      <c r="N504" s="2"/>
      <c r="O504" s="2"/>
      <c r="P504" s="2"/>
      <c r="Q504" s="2"/>
      <c r="R504" s="2"/>
      <c r="S504" s="1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2"/>
      <c r="N505" s="2"/>
      <c r="O505" s="2"/>
      <c r="P505" s="2"/>
      <c r="Q505" s="2"/>
      <c r="R505" s="2"/>
      <c r="S505" s="1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2"/>
      <c r="N506" s="2"/>
      <c r="O506" s="2"/>
      <c r="P506" s="2"/>
      <c r="Q506" s="2"/>
      <c r="R506" s="2"/>
      <c r="S506" s="1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2"/>
      <c r="N507" s="2"/>
      <c r="O507" s="2"/>
      <c r="P507" s="2"/>
      <c r="Q507" s="2"/>
      <c r="R507" s="2"/>
      <c r="S507" s="1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2"/>
      <c r="N508" s="2"/>
      <c r="O508" s="2"/>
      <c r="P508" s="2"/>
      <c r="Q508" s="2"/>
      <c r="R508" s="2"/>
      <c r="S508" s="1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2"/>
      <c r="N509" s="2"/>
      <c r="O509" s="2"/>
      <c r="P509" s="2"/>
      <c r="Q509" s="2"/>
      <c r="R509" s="2"/>
      <c r="S509" s="1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2"/>
      <c r="N510" s="2"/>
      <c r="O510" s="2"/>
      <c r="P510" s="2"/>
      <c r="Q510" s="2"/>
      <c r="R510" s="2"/>
      <c r="S510" s="1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2"/>
      <c r="N511" s="2"/>
      <c r="O511" s="2"/>
      <c r="P511" s="2"/>
      <c r="Q511" s="2"/>
      <c r="R511" s="2"/>
      <c r="S511" s="1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2"/>
      <c r="N512" s="2"/>
      <c r="O512" s="2"/>
      <c r="P512" s="2"/>
      <c r="Q512" s="2"/>
      <c r="R512" s="2"/>
      <c r="S512" s="1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2"/>
      <c r="N513" s="2"/>
      <c r="O513" s="2"/>
      <c r="P513" s="2"/>
      <c r="Q513" s="2"/>
      <c r="R513" s="2"/>
      <c r="S513" s="1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2"/>
      <c r="N514" s="2"/>
      <c r="O514" s="2"/>
      <c r="P514" s="2"/>
      <c r="Q514" s="2"/>
      <c r="R514" s="2"/>
      <c r="S514" s="1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2"/>
      <c r="N515" s="2"/>
      <c r="O515" s="2"/>
      <c r="P515" s="2"/>
      <c r="Q515" s="2"/>
      <c r="R515" s="2"/>
      <c r="S515" s="1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2"/>
      <c r="N516" s="2"/>
      <c r="O516" s="2"/>
      <c r="P516" s="2"/>
      <c r="Q516" s="2"/>
      <c r="R516" s="2"/>
      <c r="S516" s="1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2"/>
      <c r="N517" s="2"/>
      <c r="O517" s="2"/>
      <c r="P517" s="2"/>
      <c r="Q517" s="2"/>
      <c r="R517" s="2"/>
      <c r="S517" s="1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2"/>
      <c r="N518" s="2"/>
      <c r="O518" s="2"/>
      <c r="P518" s="2"/>
      <c r="Q518" s="2"/>
      <c r="R518" s="2"/>
      <c r="S518" s="1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2"/>
      <c r="N519" s="2"/>
      <c r="O519" s="2"/>
      <c r="P519" s="2"/>
      <c r="Q519" s="2"/>
      <c r="R519" s="2"/>
      <c r="S519" s="1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2"/>
      <c r="N520" s="2"/>
      <c r="O520" s="2"/>
      <c r="P520" s="2"/>
      <c r="Q520" s="2"/>
      <c r="R520" s="2"/>
      <c r="S520" s="1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2"/>
      <c r="N521" s="2"/>
      <c r="O521" s="2"/>
      <c r="P521" s="2"/>
      <c r="Q521" s="2"/>
      <c r="R521" s="2"/>
      <c r="S521" s="1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2"/>
      <c r="N522" s="2"/>
      <c r="O522" s="2"/>
      <c r="P522" s="2"/>
      <c r="Q522" s="2"/>
      <c r="R522" s="2"/>
      <c r="S522" s="1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2"/>
      <c r="N523" s="2"/>
      <c r="O523" s="2"/>
      <c r="P523" s="2"/>
      <c r="Q523" s="2"/>
      <c r="R523" s="2"/>
      <c r="S523" s="1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2"/>
      <c r="N524" s="2"/>
      <c r="O524" s="2"/>
      <c r="P524" s="2"/>
      <c r="Q524" s="2"/>
      <c r="R524" s="2"/>
      <c r="S524" s="1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2"/>
      <c r="N525" s="2"/>
      <c r="O525" s="2"/>
      <c r="P525" s="2"/>
      <c r="Q525" s="2"/>
      <c r="R525" s="2"/>
      <c r="S525" s="1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2"/>
      <c r="N526" s="2"/>
      <c r="O526" s="2"/>
      <c r="P526" s="2"/>
      <c r="Q526" s="2"/>
      <c r="R526" s="2"/>
      <c r="S526" s="1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2"/>
      <c r="N527" s="2"/>
      <c r="O527" s="2"/>
      <c r="P527" s="2"/>
      <c r="Q527" s="2"/>
      <c r="R527" s="2"/>
      <c r="S527" s="1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2"/>
      <c r="N528" s="2"/>
      <c r="O528" s="2"/>
      <c r="P528" s="2"/>
      <c r="Q528" s="2"/>
      <c r="R528" s="2"/>
      <c r="S528" s="1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2"/>
      <c r="N529" s="2"/>
      <c r="O529" s="2"/>
      <c r="P529" s="2"/>
      <c r="Q529" s="2"/>
      <c r="R529" s="2"/>
      <c r="S529" s="1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2"/>
      <c r="N530" s="2"/>
      <c r="O530" s="2"/>
      <c r="P530" s="2"/>
      <c r="Q530" s="2"/>
      <c r="R530" s="2"/>
      <c r="S530" s="1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2"/>
      <c r="N531" s="2"/>
      <c r="O531" s="2"/>
      <c r="P531" s="2"/>
      <c r="Q531" s="2"/>
      <c r="R531" s="2"/>
      <c r="S531" s="1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2"/>
      <c r="N532" s="2"/>
      <c r="O532" s="2"/>
      <c r="P532" s="2"/>
      <c r="Q532" s="2"/>
      <c r="R532" s="2"/>
      <c r="S532" s="1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2"/>
      <c r="N533" s="2"/>
      <c r="O533" s="2"/>
      <c r="P533" s="2"/>
      <c r="Q533" s="2"/>
      <c r="R533" s="2"/>
      <c r="S533" s="1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2"/>
      <c r="N534" s="2"/>
      <c r="O534" s="2"/>
      <c r="P534" s="2"/>
      <c r="Q534" s="2"/>
      <c r="R534" s="2"/>
      <c r="S534" s="1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2"/>
      <c r="N535" s="2"/>
      <c r="O535" s="2"/>
      <c r="P535" s="2"/>
      <c r="Q535" s="2"/>
      <c r="R535" s="2"/>
      <c r="S535" s="1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2"/>
      <c r="N536" s="2"/>
      <c r="O536" s="2"/>
      <c r="P536" s="2"/>
      <c r="Q536" s="2"/>
      <c r="R536" s="2"/>
      <c r="S536" s="1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2"/>
      <c r="N537" s="2"/>
      <c r="O537" s="2"/>
      <c r="P537" s="2"/>
      <c r="Q537" s="2"/>
      <c r="R537" s="2"/>
      <c r="S537" s="1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2"/>
      <c r="N538" s="2"/>
      <c r="O538" s="2"/>
      <c r="P538" s="2"/>
      <c r="Q538" s="2"/>
      <c r="R538" s="2"/>
      <c r="S538" s="1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2"/>
      <c r="N539" s="2"/>
      <c r="O539" s="2"/>
      <c r="P539" s="2"/>
      <c r="Q539" s="2"/>
      <c r="R539" s="2"/>
      <c r="S539" s="1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2"/>
      <c r="N540" s="2"/>
      <c r="O540" s="2"/>
      <c r="P540" s="2"/>
      <c r="Q540" s="2"/>
      <c r="R540" s="2"/>
      <c r="S540" s="1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2"/>
      <c r="N541" s="2"/>
      <c r="O541" s="2"/>
      <c r="P541" s="2"/>
      <c r="Q541" s="2"/>
      <c r="R541" s="2"/>
      <c r="S541" s="1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2"/>
      <c r="N542" s="2"/>
      <c r="O542" s="2"/>
      <c r="P542" s="2"/>
      <c r="Q542" s="2"/>
      <c r="R542" s="2"/>
      <c r="S542" s="1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2"/>
      <c r="N543" s="2"/>
      <c r="O543" s="2"/>
      <c r="P543" s="2"/>
      <c r="Q543" s="2"/>
      <c r="R543" s="2"/>
      <c r="S543" s="1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2"/>
      <c r="N544" s="2"/>
      <c r="O544" s="2"/>
      <c r="P544" s="2"/>
      <c r="Q544" s="2"/>
      <c r="R544" s="2"/>
      <c r="S544" s="1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2"/>
      <c r="N545" s="2"/>
      <c r="O545" s="2"/>
      <c r="P545" s="2"/>
      <c r="Q545" s="2"/>
      <c r="R545" s="2"/>
      <c r="S545" s="1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2"/>
      <c r="N546" s="2"/>
      <c r="O546" s="2"/>
      <c r="P546" s="2"/>
      <c r="Q546" s="2"/>
      <c r="R546" s="2"/>
      <c r="S546" s="1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2"/>
      <c r="N547" s="2"/>
      <c r="O547" s="2"/>
      <c r="P547" s="2"/>
      <c r="Q547" s="2"/>
      <c r="R547" s="2"/>
      <c r="S547" s="1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2"/>
      <c r="N548" s="2"/>
      <c r="O548" s="2"/>
      <c r="P548" s="2"/>
      <c r="Q548" s="2"/>
      <c r="R548" s="2"/>
      <c r="S548" s="1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2"/>
      <c r="N549" s="2"/>
      <c r="O549" s="2"/>
      <c r="P549" s="2"/>
      <c r="Q549" s="2"/>
      <c r="R549" s="2"/>
      <c r="S549" s="1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2"/>
      <c r="N550" s="2"/>
      <c r="O550" s="2"/>
      <c r="P550" s="2"/>
      <c r="Q550" s="2"/>
      <c r="R550" s="2"/>
      <c r="S550" s="1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2"/>
      <c r="N551" s="2"/>
      <c r="O551" s="2"/>
      <c r="P551" s="2"/>
      <c r="Q551" s="2"/>
      <c r="R551" s="2"/>
      <c r="S551" s="1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2"/>
      <c r="N552" s="2"/>
      <c r="O552" s="2"/>
      <c r="P552" s="2"/>
      <c r="Q552" s="2"/>
      <c r="R552" s="2"/>
      <c r="S552" s="1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2"/>
      <c r="N553" s="2"/>
      <c r="O553" s="2"/>
      <c r="P553" s="2"/>
      <c r="Q553" s="2"/>
      <c r="R553" s="2"/>
      <c r="S553" s="1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2"/>
      <c r="N554" s="2"/>
      <c r="O554" s="2"/>
      <c r="P554" s="2"/>
      <c r="Q554" s="2"/>
      <c r="R554" s="2"/>
      <c r="S554" s="1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2"/>
      <c r="N555" s="2"/>
      <c r="O555" s="2"/>
      <c r="P555" s="2"/>
      <c r="Q555" s="2"/>
      <c r="R555" s="2"/>
      <c r="S555" s="1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2"/>
      <c r="N556" s="2"/>
      <c r="O556" s="2"/>
      <c r="P556" s="2"/>
      <c r="Q556" s="2"/>
      <c r="R556" s="2"/>
      <c r="S556" s="1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2"/>
      <c r="N557" s="2"/>
      <c r="O557" s="2"/>
      <c r="P557" s="2"/>
      <c r="Q557" s="2"/>
      <c r="R557" s="2"/>
      <c r="S557" s="1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2"/>
      <c r="N558" s="2"/>
      <c r="O558" s="2"/>
      <c r="P558" s="2"/>
      <c r="Q558" s="2"/>
      <c r="R558" s="2"/>
      <c r="S558" s="1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2"/>
      <c r="N559" s="2"/>
      <c r="O559" s="2"/>
      <c r="P559" s="2"/>
      <c r="Q559" s="2"/>
      <c r="R559" s="2"/>
      <c r="S559" s="1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2"/>
      <c r="N560" s="2"/>
      <c r="O560" s="2"/>
      <c r="P560" s="2"/>
      <c r="Q560" s="2"/>
      <c r="R560" s="2"/>
      <c r="S560" s="1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2"/>
      <c r="N561" s="2"/>
      <c r="O561" s="2"/>
      <c r="P561" s="2"/>
      <c r="Q561" s="2"/>
      <c r="R561" s="2"/>
      <c r="S561" s="1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2"/>
      <c r="N562" s="2"/>
      <c r="O562" s="2"/>
      <c r="P562" s="2"/>
      <c r="Q562" s="2"/>
      <c r="R562" s="2"/>
      <c r="S562" s="1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2"/>
      <c r="N563" s="2"/>
      <c r="O563" s="2"/>
      <c r="P563" s="2"/>
      <c r="Q563" s="2"/>
      <c r="R563" s="2"/>
      <c r="S563" s="1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2"/>
      <c r="N564" s="2"/>
      <c r="O564" s="2"/>
      <c r="P564" s="2"/>
      <c r="Q564" s="2"/>
      <c r="R564" s="2"/>
      <c r="S564" s="1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2"/>
      <c r="N565" s="2"/>
      <c r="O565" s="2"/>
      <c r="P565" s="2"/>
      <c r="Q565" s="2"/>
      <c r="R565" s="2"/>
      <c r="S565" s="1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2"/>
      <c r="N566" s="2"/>
      <c r="O566" s="2"/>
      <c r="P566" s="2"/>
      <c r="Q566" s="2"/>
      <c r="R566" s="2"/>
      <c r="S566" s="1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2"/>
      <c r="N567" s="2"/>
      <c r="O567" s="2"/>
      <c r="P567" s="2"/>
      <c r="Q567" s="2"/>
      <c r="R567" s="2"/>
      <c r="S567" s="1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2"/>
      <c r="N568" s="2"/>
      <c r="O568" s="2"/>
      <c r="P568" s="2"/>
      <c r="Q568" s="2"/>
      <c r="R568" s="2"/>
      <c r="S568" s="1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2"/>
      <c r="N569" s="2"/>
      <c r="O569" s="2"/>
      <c r="P569" s="2"/>
      <c r="Q569" s="2"/>
      <c r="R569" s="2"/>
      <c r="S569" s="1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2"/>
      <c r="N570" s="2"/>
      <c r="O570" s="2"/>
      <c r="P570" s="2"/>
      <c r="Q570" s="2"/>
      <c r="R570" s="2"/>
      <c r="S570" s="1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2"/>
      <c r="N571" s="2"/>
      <c r="O571" s="2"/>
      <c r="P571" s="2"/>
      <c r="Q571" s="2"/>
      <c r="R571" s="2"/>
      <c r="S571" s="1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2"/>
      <c r="N572" s="2"/>
      <c r="O572" s="2"/>
      <c r="P572" s="2"/>
      <c r="Q572" s="2"/>
      <c r="R572" s="2"/>
      <c r="S572" s="1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2"/>
      <c r="N573" s="2"/>
      <c r="O573" s="2"/>
      <c r="P573" s="2"/>
      <c r="Q573" s="2"/>
      <c r="R573" s="2"/>
      <c r="S573" s="1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2"/>
      <c r="N574" s="2"/>
      <c r="O574" s="2"/>
      <c r="P574" s="2"/>
      <c r="Q574" s="2"/>
      <c r="R574" s="2"/>
      <c r="S574" s="1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2"/>
      <c r="N575" s="2"/>
      <c r="O575" s="2"/>
      <c r="P575" s="2"/>
      <c r="Q575" s="2"/>
      <c r="R575" s="2"/>
      <c r="S575" s="1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2"/>
      <c r="N576" s="2"/>
      <c r="O576" s="2"/>
      <c r="P576" s="2"/>
      <c r="Q576" s="2"/>
      <c r="R576" s="2"/>
      <c r="S576" s="1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2"/>
      <c r="N577" s="2"/>
      <c r="O577" s="2"/>
      <c r="P577" s="2"/>
      <c r="Q577" s="2"/>
      <c r="R577" s="2"/>
      <c r="S577" s="1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2"/>
      <c r="N578" s="2"/>
      <c r="O578" s="2"/>
      <c r="P578" s="2"/>
      <c r="Q578" s="2"/>
      <c r="R578" s="2"/>
      <c r="S578" s="1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2"/>
      <c r="N579" s="2"/>
      <c r="O579" s="2"/>
      <c r="P579" s="2"/>
      <c r="Q579" s="2"/>
      <c r="R579" s="2"/>
      <c r="S579" s="1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2"/>
      <c r="N580" s="2"/>
      <c r="O580" s="2"/>
      <c r="P580" s="2"/>
      <c r="Q580" s="2"/>
      <c r="R580" s="2"/>
      <c r="S580" s="1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2"/>
      <c r="N581" s="2"/>
      <c r="O581" s="2"/>
      <c r="P581" s="2"/>
      <c r="Q581" s="2"/>
      <c r="R581" s="2"/>
      <c r="S581" s="1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2"/>
      <c r="N582" s="2"/>
      <c r="O582" s="2"/>
      <c r="P582" s="2"/>
      <c r="Q582" s="2"/>
      <c r="R582" s="2"/>
      <c r="S582" s="1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2"/>
      <c r="N583" s="2"/>
      <c r="O583" s="2"/>
      <c r="P583" s="2"/>
      <c r="Q583" s="2"/>
      <c r="R583" s="2"/>
      <c r="S583" s="1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2"/>
      <c r="N584" s="2"/>
      <c r="O584" s="2"/>
      <c r="P584" s="2"/>
      <c r="Q584" s="2"/>
      <c r="R584" s="2"/>
      <c r="S584" s="1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2"/>
      <c r="N585" s="2"/>
      <c r="O585" s="2"/>
      <c r="P585" s="2"/>
      <c r="Q585" s="2"/>
      <c r="R585" s="2"/>
      <c r="S585" s="1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2"/>
      <c r="N586" s="2"/>
      <c r="O586" s="2"/>
      <c r="P586" s="2"/>
      <c r="Q586" s="2"/>
      <c r="R586" s="2"/>
      <c r="S586" s="1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2"/>
      <c r="N587" s="2"/>
      <c r="O587" s="2"/>
      <c r="P587" s="2"/>
      <c r="Q587" s="2"/>
      <c r="R587" s="2"/>
      <c r="S587" s="1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2"/>
      <c r="N588" s="2"/>
      <c r="O588" s="2"/>
      <c r="P588" s="2"/>
      <c r="Q588" s="2"/>
      <c r="R588" s="2"/>
      <c r="S588" s="1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2"/>
      <c r="N589" s="2"/>
      <c r="O589" s="2"/>
      <c r="P589" s="2"/>
      <c r="Q589" s="2"/>
      <c r="R589" s="2"/>
      <c r="S589" s="1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2"/>
      <c r="N590" s="2"/>
      <c r="O590" s="2"/>
      <c r="P590" s="2"/>
      <c r="Q590" s="2"/>
      <c r="R590" s="2"/>
      <c r="S590" s="1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2"/>
      <c r="N591" s="2"/>
      <c r="O591" s="2"/>
      <c r="P591" s="2"/>
      <c r="Q591" s="2"/>
      <c r="R591" s="2"/>
      <c r="S591" s="1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2"/>
      <c r="N592" s="2"/>
      <c r="O592" s="2"/>
      <c r="P592" s="2"/>
      <c r="Q592" s="2"/>
      <c r="R592" s="2"/>
      <c r="S592" s="1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2"/>
      <c r="N593" s="2"/>
      <c r="O593" s="2"/>
      <c r="P593" s="2"/>
      <c r="Q593" s="2"/>
      <c r="R593" s="2"/>
      <c r="S593" s="1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2"/>
      <c r="N594" s="2"/>
      <c r="O594" s="2"/>
      <c r="P594" s="2"/>
      <c r="Q594" s="2"/>
      <c r="R594" s="2"/>
      <c r="S594" s="1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2"/>
      <c r="N595" s="2"/>
      <c r="O595" s="2"/>
      <c r="P595" s="2"/>
      <c r="Q595" s="2"/>
      <c r="R595" s="2"/>
      <c r="S595" s="1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2"/>
      <c r="N596" s="2"/>
      <c r="O596" s="2"/>
      <c r="P596" s="2"/>
      <c r="Q596" s="2"/>
      <c r="R596" s="2"/>
      <c r="S596" s="1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2"/>
      <c r="N597" s="2"/>
      <c r="O597" s="2"/>
      <c r="P597" s="2"/>
      <c r="Q597" s="2"/>
      <c r="R597" s="2"/>
      <c r="S597" s="1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2"/>
      <c r="N598" s="2"/>
      <c r="O598" s="2"/>
      <c r="P598" s="2"/>
      <c r="Q598" s="2"/>
      <c r="R598" s="2"/>
      <c r="S598" s="1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2"/>
      <c r="N599" s="2"/>
      <c r="O599" s="2"/>
      <c r="P599" s="2"/>
      <c r="Q599" s="2"/>
      <c r="R599" s="2"/>
      <c r="S599" s="1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2"/>
      <c r="N600" s="2"/>
      <c r="O600" s="2"/>
      <c r="P600" s="2"/>
      <c r="Q600" s="2"/>
      <c r="R600" s="2"/>
      <c r="S600" s="1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2"/>
      <c r="N601" s="2"/>
      <c r="O601" s="2"/>
      <c r="P601" s="2"/>
      <c r="Q601" s="2"/>
      <c r="R601" s="2"/>
      <c r="S601" s="1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2"/>
      <c r="N602" s="2"/>
      <c r="O602" s="2"/>
      <c r="P602" s="2"/>
      <c r="Q602" s="2"/>
      <c r="R602" s="2"/>
      <c r="S602" s="1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2"/>
      <c r="N603" s="2"/>
      <c r="O603" s="2"/>
      <c r="P603" s="2"/>
      <c r="Q603" s="2"/>
      <c r="R603" s="2"/>
      <c r="S603" s="1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2"/>
      <c r="N604" s="2"/>
      <c r="O604" s="2"/>
      <c r="P604" s="2"/>
      <c r="Q604" s="2"/>
      <c r="R604" s="2"/>
      <c r="S604" s="1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2"/>
      <c r="N605" s="2"/>
      <c r="O605" s="2"/>
      <c r="P605" s="2"/>
      <c r="Q605" s="2"/>
      <c r="R605" s="2"/>
      <c r="S605" s="1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2"/>
      <c r="N606" s="2"/>
      <c r="O606" s="2"/>
      <c r="P606" s="2"/>
      <c r="Q606" s="2"/>
      <c r="R606" s="2"/>
      <c r="S606" s="1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2"/>
      <c r="N607" s="2"/>
      <c r="O607" s="2"/>
      <c r="P607" s="2"/>
      <c r="Q607" s="2"/>
      <c r="R607" s="2"/>
      <c r="S607" s="1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2"/>
      <c r="N608" s="2"/>
      <c r="O608" s="2"/>
      <c r="P608" s="2"/>
      <c r="Q608" s="2"/>
      <c r="R608" s="2"/>
      <c r="S608" s="1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2"/>
      <c r="N609" s="2"/>
      <c r="O609" s="2"/>
      <c r="P609" s="2"/>
      <c r="Q609" s="2"/>
      <c r="R609" s="2"/>
      <c r="S609" s="1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2"/>
      <c r="N610" s="2"/>
      <c r="O610" s="2"/>
      <c r="P610" s="2"/>
      <c r="Q610" s="2"/>
      <c r="R610" s="2"/>
      <c r="S610" s="1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2"/>
      <c r="N611" s="2"/>
      <c r="O611" s="2"/>
      <c r="P611" s="2"/>
      <c r="Q611" s="2"/>
      <c r="R611" s="2"/>
      <c r="S611" s="1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2"/>
      <c r="N612" s="2"/>
      <c r="O612" s="2"/>
      <c r="P612" s="2"/>
      <c r="Q612" s="2"/>
      <c r="R612" s="2"/>
      <c r="S612" s="1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2"/>
      <c r="N613" s="2"/>
      <c r="O613" s="2"/>
      <c r="P613" s="2"/>
      <c r="Q613" s="2"/>
      <c r="R613" s="2"/>
      <c r="S613" s="1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2"/>
      <c r="N614" s="2"/>
      <c r="O614" s="2"/>
      <c r="P614" s="2"/>
      <c r="Q614" s="2"/>
      <c r="R614" s="2"/>
      <c r="S614" s="1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2"/>
      <c r="N615" s="2"/>
      <c r="O615" s="2"/>
      <c r="P615" s="2"/>
      <c r="Q615" s="2"/>
      <c r="R615" s="2"/>
      <c r="S615" s="1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2"/>
      <c r="N616" s="2"/>
      <c r="O616" s="2"/>
      <c r="P616" s="2"/>
      <c r="Q616" s="2"/>
      <c r="R616" s="2"/>
      <c r="S616" s="1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2"/>
      <c r="N617" s="2"/>
      <c r="O617" s="2"/>
      <c r="P617" s="2"/>
      <c r="Q617" s="2"/>
      <c r="R617" s="2"/>
      <c r="S617" s="1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2"/>
      <c r="N618" s="2"/>
      <c r="O618" s="2"/>
      <c r="P618" s="2"/>
      <c r="Q618" s="2"/>
      <c r="R618" s="2"/>
      <c r="S618" s="1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2"/>
      <c r="N619" s="2"/>
      <c r="O619" s="2"/>
      <c r="P619" s="2"/>
      <c r="Q619" s="2"/>
      <c r="R619" s="2"/>
      <c r="S619" s="1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2"/>
      <c r="N620" s="2"/>
      <c r="O620" s="2"/>
      <c r="P620" s="2"/>
      <c r="Q620" s="2"/>
      <c r="R620" s="2"/>
      <c r="S620" s="1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2"/>
      <c r="N621" s="2"/>
      <c r="O621" s="2"/>
      <c r="P621" s="2"/>
      <c r="Q621" s="2"/>
      <c r="R621" s="2"/>
      <c r="S621" s="1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2"/>
      <c r="N622" s="2"/>
      <c r="O622" s="2"/>
      <c r="P622" s="2"/>
      <c r="Q622" s="2"/>
      <c r="R622" s="2"/>
      <c r="S622" s="1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2"/>
      <c r="N623" s="2"/>
      <c r="O623" s="2"/>
      <c r="P623" s="2"/>
      <c r="Q623" s="2"/>
      <c r="R623" s="2"/>
      <c r="S623" s="1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2"/>
      <c r="N624" s="2"/>
      <c r="O624" s="2"/>
      <c r="P624" s="2"/>
      <c r="Q624" s="2"/>
      <c r="R624" s="2"/>
      <c r="S624" s="1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2"/>
      <c r="N625" s="2"/>
      <c r="O625" s="2"/>
      <c r="P625" s="2"/>
      <c r="Q625" s="2"/>
      <c r="R625" s="2"/>
      <c r="S625" s="1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2"/>
      <c r="N626" s="2"/>
      <c r="O626" s="2"/>
      <c r="P626" s="2"/>
      <c r="Q626" s="2"/>
      <c r="R626" s="2"/>
      <c r="S626" s="1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2"/>
      <c r="N627" s="2"/>
      <c r="O627" s="2"/>
      <c r="P627" s="2"/>
      <c r="Q627" s="2"/>
      <c r="R627" s="2"/>
      <c r="S627" s="1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2"/>
      <c r="N628" s="2"/>
      <c r="O628" s="2"/>
      <c r="P628" s="2"/>
      <c r="Q628" s="2"/>
      <c r="R628" s="2"/>
      <c r="S628" s="1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2"/>
      <c r="N629" s="2"/>
      <c r="O629" s="2"/>
      <c r="P629" s="2"/>
      <c r="Q629" s="2"/>
      <c r="R629" s="2"/>
      <c r="S629" s="1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2"/>
      <c r="N630" s="2"/>
      <c r="O630" s="2"/>
      <c r="P630" s="2"/>
      <c r="Q630" s="2"/>
      <c r="R630" s="2"/>
      <c r="S630" s="1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2"/>
      <c r="N631" s="2"/>
      <c r="O631" s="2"/>
      <c r="P631" s="2"/>
      <c r="Q631" s="2"/>
      <c r="R631" s="2"/>
      <c r="S631" s="1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2"/>
      <c r="N632" s="2"/>
      <c r="O632" s="2"/>
      <c r="P632" s="2"/>
      <c r="Q632" s="2"/>
      <c r="R632" s="2"/>
      <c r="S632" s="1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2"/>
      <c r="N633" s="2"/>
      <c r="O633" s="2"/>
      <c r="P633" s="2"/>
      <c r="Q633" s="2"/>
      <c r="R633" s="2"/>
      <c r="S633" s="1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2"/>
      <c r="N634" s="2"/>
      <c r="O634" s="2"/>
      <c r="P634" s="2"/>
      <c r="Q634" s="2"/>
      <c r="R634" s="2"/>
      <c r="S634" s="1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2"/>
      <c r="N635" s="2"/>
      <c r="O635" s="2"/>
      <c r="P635" s="2"/>
      <c r="Q635" s="2"/>
      <c r="R635" s="2"/>
      <c r="S635" s="1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2"/>
      <c r="N636" s="2"/>
      <c r="O636" s="2"/>
      <c r="P636" s="2"/>
      <c r="Q636" s="2"/>
      <c r="R636" s="2"/>
      <c r="S636" s="1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2"/>
      <c r="N637" s="2"/>
      <c r="O637" s="2"/>
      <c r="P637" s="2"/>
      <c r="Q637" s="2"/>
      <c r="R637" s="2"/>
      <c r="S637" s="1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2"/>
      <c r="N638" s="2"/>
      <c r="O638" s="2"/>
      <c r="P638" s="2"/>
      <c r="Q638" s="2"/>
      <c r="R638" s="2"/>
      <c r="S638" s="1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2"/>
      <c r="N639" s="2"/>
      <c r="O639" s="2"/>
      <c r="P639" s="2"/>
      <c r="Q639" s="2"/>
      <c r="R639" s="2"/>
      <c r="S639" s="1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2"/>
      <c r="N640" s="2"/>
      <c r="O640" s="2"/>
      <c r="P640" s="2"/>
      <c r="Q640" s="2"/>
      <c r="R640" s="2"/>
      <c r="S640" s="1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2"/>
      <c r="N641" s="2"/>
      <c r="O641" s="2"/>
      <c r="P641" s="2"/>
      <c r="Q641" s="2"/>
      <c r="R641" s="2"/>
      <c r="S641" s="1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2"/>
      <c r="N642" s="2"/>
      <c r="O642" s="2"/>
      <c r="P642" s="2"/>
      <c r="Q642" s="2"/>
      <c r="R642" s="2"/>
      <c r="S642" s="1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2"/>
      <c r="N643" s="2"/>
      <c r="O643" s="2"/>
      <c r="P643" s="2"/>
      <c r="Q643" s="2"/>
      <c r="R643" s="2"/>
      <c r="S643" s="1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2"/>
      <c r="N644" s="2"/>
      <c r="O644" s="2"/>
      <c r="P644" s="2"/>
      <c r="Q644" s="2"/>
      <c r="R644" s="2"/>
      <c r="S644" s="1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2"/>
      <c r="N645" s="2"/>
      <c r="O645" s="2"/>
      <c r="P645" s="2"/>
      <c r="Q645" s="2"/>
      <c r="R645" s="2"/>
      <c r="S645" s="1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2"/>
      <c r="N646" s="2"/>
      <c r="O646" s="2"/>
      <c r="P646" s="2"/>
      <c r="Q646" s="2"/>
      <c r="R646" s="2"/>
      <c r="S646" s="1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2"/>
      <c r="N647" s="2"/>
      <c r="O647" s="2"/>
      <c r="P647" s="2"/>
      <c r="Q647" s="2"/>
      <c r="R647" s="2"/>
      <c r="S647" s="1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2"/>
      <c r="N648" s="2"/>
      <c r="O648" s="2"/>
      <c r="P648" s="2"/>
      <c r="Q648" s="2"/>
      <c r="R648" s="2"/>
      <c r="S648" s="1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2"/>
      <c r="N649" s="2"/>
      <c r="O649" s="2"/>
      <c r="P649" s="2"/>
      <c r="Q649" s="2"/>
      <c r="R649" s="2"/>
      <c r="S649" s="1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2"/>
      <c r="N650" s="2"/>
      <c r="O650" s="2"/>
      <c r="P650" s="2"/>
      <c r="Q650" s="2"/>
      <c r="R650" s="2"/>
      <c r="S650" s="1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2"/>
      <c r="N651" s="2"/>
      <c r="O651" s="2"/>
      <c r="P651" s="2"/>
      <c r="Q651" s="2"/>
      <c r="R651" s="2"/>
      <c r="S651" s="1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2"/>
      <c r="N652" s="2"/>
      <c r="O652" s="2"/>
      <c r="P652" s="2"/>
      <c r="Q652" s="2"/>
      <c r="R652" s="2"/>
      <c r="S652" s="1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2"/>
      <c r="N653" s="2"/>
      <c r="O653" s="2"/>
      <c r="P653" s="2"/>
      <c r="Q653" s="2"/>
      <c r="R653" s="2"/>
      <c r="S653" s="1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2"/>
      <c r="N654" s="2"/>
      <c r="O654" s="2"/>
      <c r="P654" s="2"/>
      <c r="Q654" s="2"/>
      <c r="R654" s="2"/>
      <c r="S654" s="1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2"/>
      <c r="N655" s="2"/>
      <c r="O655" s="2"/>
      <c r="P655" s="2"/>
      <c r="Q655" s="2"/>
      <c r="R655" s="2"/>
      <c r="S655" s="1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2"/>
      <c r="N656" s="2"/>
      <c r="O656" s="2"/>
      <c r="P656" s="2"/>
      <c r="Q656" s="2"/>
      <c r="R656" s="2"/>
      <c r="S656" s="1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2"/>
      <c r="N657" s="2"/>
      <c r="O657" s="2"/>
      <c r="P657" s="2"/>
      <c r="Q657" s="2"/>
      <c r="R657" s="2"/>
      <c r="S657" s="1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2"/>
      <c r="N658" s="2"/>
      <c r="O658" s="2"/>
      <c r="P658" s="2"/>
      <c r="Q658" s="2"/>
      <c r="R658" s="2"/>
      <c r="S658" s="1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2"/>
      <c r="N659" s="2"/>
      <c r="O659" s="2"/>
      <c r="P659" s="2"/>
      <c r="Q659" s="2"/>
      <c r="R659" s="2"/>
      <c r="S659" s="1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2"/>
      <c r="N660" s="2"/>
      <c r="O660" s="2"/>
      <c r="P660" s="2"/>
      <c r="Q660" s="2"/>
      <c r="R660" s="2"/>
      <c r="S660" s="1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2"/>
      <c r="N661" s="2"/>
      <c r="O661" s="2"/>
      <c r="P661" s="2"/>
      <c r="Q661" s="2"/>
      <c r="R661" s="2"/>
      <c r="S661" s="1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2"/>
      <c r="N662" s="2"/>
      <c r="O662" s="2"/>
      <c r="P662" s="2"/>
      <c r="Q662" s="2"/>
      <c r="R662" s="2"/>
      <c r="S662" s="1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2"/>
      <c r="N663" s="2"/>
      <c r="O663" s="2"/>
      <c r="P663" s="2"/>
      <c r="Q663" s="2"/>
      <c r="R663" s="2"/>
      <c r="S663" s="1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2"/>
      <c r="N664" s="2"/>
      <c r="O664" s="2"/>
      <c r="P664" s="2"/>
      <c r="Q664" s="2"/>
      <c r="R664" s="2"/>
      <c r="S664" s="1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2"/>
      <c r="N665" s="2"/>
      <c r="O665" s="2"/>
      <c r="P665" s="2"/>
      <c r="Q665" s="2"/>
      <c r="R665" s="2"/>
      <c r="S665" s="1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2"/>
      <c r="N666" s="2"/>
      <c r="O666" s="2"/>
      <c r="P666" s="2"/>
      <c r="Q666" s="2"/>
      <c r="R666" s="2"/>
      <c r="S666" s="1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2"/>
      <c r="N667" s="2"/>
      <c r="O667" s="2"/>
      <c r="P667" s="2"/>
      <c r="Q667" s="2"/>
      <c r="R667" s="2"/>
      <c r="S667" s="1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2"/>
      <c r="N668" s="2"/>
      <c r="O668" s="2"/>
      <c r="P668" s="2"/>
      <c r="Q668" s="2"/>
      <c r="R668" s="2"/>
      <c r="S668" s="1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2"/>
      <c r="N669" s="2"/>
      <c r="O669" s="2"/>
      <c r="P669" s="2"/>
      <c r="Q669" s="2"/>
      <c r="R669" s="2"/>
      <c r="S669" s="1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2"/>
      <c r="N670" s="2"/>
      <c r="O670" s="2"/>
      <c r="P670" s="2"/>
      <c r="Q670" s="2"/>
      <c r="R670" s="2"/>
      <c r="S670" s="1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2"/>
      <c r="N671" s="2"/>
      <c r="O671" s="2"/>
      <c r="P671" s="2"/>
      <c r="Q671" s="2"/>
      <c r="R671" s="2"/>
      <c r="S671" s="1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2"/>
      <c r="N672" s="2"/>
      <c r="O672" s="2"/>
      <c r="P672" s="2"/>
      <c r="Q672" s="2"/>
      <c r="R672" s="2"/>
      <c r="S672" s="1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2"/>
      <c r="N673" s="2"/>
      <c r="O673" s="2"/>
      <c r="P673" s="2"/>
      <c r="Q673" s="2"/>
      <c r="R673" s="2"/>
      <c r="S673" s="1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2"/>
      <c r="N674" s="2"/>
      <c r="O674" s="2"/>
      <c r="P674" s="2"/>
      <c r="Q674" s="2"/>
      <c r="R674" s="2"/>
      <c r="S674" s="1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2"/>
      <c r="N675" s="2"/>
      <c r="O675" s="2"/>
      <c r="P675" s="2"/>
      <c r="Q675" s="2"/>
      <c r="R675" s="2"/>
      <c r="S675" s="1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2"/>
      <c r="N676" s="2"/>
      <c r="O676" s="2"/>
      <c r="P676" s="2"/>
      <c r="Q676" s="2"/>
      <c r="R676" s="2"/>
      <c r="S676" s="1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2"/>
      <c r="N677" s="2"/>
      <c r="O677" s="2"/>
      <c r="P677" s="2"/>
      <c r="Q677" s="2"/>
      <c r="R677" s="2"/>
      <c r="S677" s="1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2"/>
      <c r="N678" s="2"/>
      <c r="O678" s="2"/>
      <c r="P678" s="2"/>
      <c r="Q678" s="2"/>
      <c r="R678" s="2"/>
      <c r="S678" s="1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2"/>
      <c r="N679" s="2"/>
      <c r="O679" s="2"/>
      <c r="P679" s="2"/>
      <c r="Q679" s="2"/>
      <c r="R679" s="2"/>
      <c r="S679" s="1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2"/>
      <c r="N680" s="2"/>
      <c r="O680" s="2"/>
      <c r="P680" s="2"/>
      <c r="Q680" s="2"/>
      <c r="R680" s="2"/>
      <c r="S680" s="1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2"/>
      <c r="N681" s="2"/>
      <c r="O681" s="2"/>
      <c r="P681" s="2"/>
      <c r="Q681" s="2"/>
      <c r="R681" s="2"/>
      <c r="S681" s="1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2"/>
      <c r="N682" s="2"/>
      <c r="O682" s="2"/>
      <c r="P682" s="2"/>
      <c r="Q682" s="2"/>
      <c r="R682" s="2"/>
      <c r="S682" s="1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2"/>
      <c r="N683" s="2"/>
      <c r="O683" s="2"/>
      <c r="P683" s="2"/>
      <c r="Q683" s="2"/>
      <c r="R683" s="2"/>
      <c r="S683" s="1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2"/>
      <c r="N684" s="2"/>
      <c r="O684" s="2"/>
      <c r="P684" s="2"/>
      <c r="Q684" s="2"/>
      <c r="R684" s="2"/>
      <c r="S684" s="1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2"/>
      <c r="N685" s="2"/>
      <c r="O685" s="2"/>
      <c r="P685" s="2"/>
      <c r="Q685" s="2"/>
      <c r="R685" s="2"/>
      <c r="S685" s="1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2"/>
      <c r="N686" s="2"/>
      <c r="O686" s="2"/>
      <c r="P686" s="2"/>
      <c r="Q686" s="2"/>
      <c r="R686" s="2"/>
      <c r="S686" s="1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2"/>
      <c r="N687" s="2"/>
      <c r="O687" s="2"/>
      <c r="P687" s="2"/>
      <c r="Q687" s="2"/>
      <c r="R687" s="2"/>
      <c r="S687" s="1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2"/>
      <c r="N688" s="2"/>
      <c r="O688" s="2"/>
      <c r="P688" s="2"/>
      <c r="Q688" s="2"/>
      <c r="R688" s="2"/>
      <c r="S688" s="1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2"/>
      <c r="N689" s="2"/>
      <c r="O689" s="2"/>
      <c r="P689" s="2"/>
      <c r="Q689" s="2"/>
      <c r="R689" s="2"/>
      <c r="S689" s="1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2"/>
      <c r="N690" s="2"/>
      <c r="O690" s="2"/>
      <c r="P690" s="2"/>
      <c r="Q690" s="2"/>
      <c r="R690" s="2"/>
      <c r="S690" s="1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2"/>
      <c r="N691" s="2"/>
      <c r="O691" s="2"/>
      <c r="P691" s="2"/>
      <c r="Q691" s="2"/>
      <c r="R691" s="2"/>
      <c r="S691" s="1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2"/>
      <c r="N692" s="2"/>
      <c r="O692" s="2"/>
      <c r="P692" s="2"/>
      <c r="Q692" s="2"/>
      <c r="R692" s="2"/>
      <c r="S692" s="1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2"/>
      <c r="N693" s="2"/>
      <c r="O693" s="2"/>
      <c r="P693" s="2"/>
      <c r="Q693" s="2"/>
      <c r="R693" s="2"/>
      <c r="S693" s="1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2"/>
      <c r="N694" s="2"/>
      <c r="O694" s="2"/>
      <c r="P694" s="2"/>
      <c r="Q694" s="2"/>
      <c r="R694" s="2"/>
      <c r="S694" s="1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2"/>
      <c r="N695" s="2"/>
      <c r="O695" s="2"/>
      <c r="P695" s="2"/>
      <c r="Q695" s="2"/>
      <c r="R695" s="2"/>
      <c r="S695" s="1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2"/>
      <c r="N696" s="2"/>
      <c r="O696" s="2"/>
      <c r="P696" s="2"/>
      <c r="Q696" s="2"/>
      <c r="R696" s="2"/>
      <c r="S696" s="1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2"/>
      <c r="N697" s="2"/>
      <c r="O697" s="2"/>
      <c r="P697" s="2"/>
      <c r="Q697" s="2"/>
      <c r="R697" s="2"/>
      <c r="S697" s="1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2"/>
      <c r="N698" s="2"/>
      <c r="O698" s="2"/>
      <c r="P698" s="2"/>
      <c r="Q698" s="2"/>
      <c r="R698" s="2"/>
      <c r="S698" s="1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2"/>
      <c r="N699" s="2"/>
      <c r="O699" s="2"/>
      <c r="P699" s="2"/>
      <c r="Q699" s="2"/>
      <c r="R699" s="2"/>
      <c r="S699" s="1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2"/>
      <c r="N700" s="2"/>
      <c r="O700" s="2"/>
      <c r="P700" s="2"/>
      <c r="Q700" s="2"/>
      <c r="R700" s="2"/>
      <c r="S700" s="1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2"/>
      <c r="N701" s="2"/>
      <c r="O701" s="2"/>
      <c r="P701" s="2"/>
      <c r="Q701" s="2"/>
      <c r="R701" s="2"/>
      <c r="S701" s="1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2"/>
      <c r="N702" s="2"/>
      <c r="O702" s="2"/>
      <c r="P702" s="2"/>
      <c r="Q702" s="2"/>
      <c r="R702" s="2"/>
      <c r="S702" s="1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2"/>
      <c r="N703" s="2"/>
      <c r="O703" s="2"/>
      <c r="P703" s="2"/>
      <c r="Q703" s="2"/>
      <c r="R703" s="2"/>
      <c r="S703" s="1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2"/>
      <c r="N704" s="2"/>
      <c r="O704" s="2"/>
      <c r="P704" s="2"/>
      <c r="Q704" s="2"/>
      <c r="R704" s="2"/>
      <c r="S704" s="1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2"/>
      <c r="N705" s="2"/>
      <c r="O705" s="2"/>
      <c r="P705" s="2"/>
      <c r="Q705" s="2"/>
      <c r="R705" s="2"/>
      <c r="S705" s="1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2"/>
      <c r="N706" s="2"/>
      <c r="O706" s="2"/>
      <c r="P706" s="2"/>
      <c r="Q706" s="2"/>
      <c r="R706" s="2"/>
      <c r="S706" s="1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2"/>
      <c r="N707" s="2"/>
      <c r="O707" s="2"/>
      <c r="P707" s="2"/>
      <c r="Q707" s="2"/>
      <c r="R707" s="2"/>
      <c r="S707" s="1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2"/>
      <c r="N708" s="2"/>
      <c r="O708" s="2"/>
      <c r="P708" s="2"/>
      <c r="Q708" s="2"/>
      <c r="R708" s="2"/>
      <c r="S708" s="1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2"/>
      <c r="N709" s="2"/>
      <c r="O709" s="2"/>
      <c r="P709" s="2"/>
      <c r="Q709" s="2"/>
      <c r="R709" s="2"/>
      <c r="S709" s="1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2"/>
      <c r="N710" s="2"/>
      <c r="O710" s="2"/>
      <c r="P710" s="2"/>
      <c r="Q710" s="2"/>
      <c r="R710" s="2"/>
      <c r="S710" s="1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2"/>
      <c r="N711" s="2"/>
      <c r="O711" s="2"/>
      <c r="P711" s="2"/>
      <c r="Q711" s="2"/>
      <c r="R711" s="2"/>
      <c r="S711" s="1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2"/>
      <c r="N712" s="2"/>
      <c r="O712" s="2"/>
      <c r="P712" s="2"/>
      <c r="Q712" s="2"/>
      <c r="R712" s="2"/>
      <c r="S712" s="1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2"/>
      <c r="N713" s="2"/>
      <c r="O713" s="2"/>
      <c r="P713" s="2"/>
      <c r="Q713" s="2"/>
      <c r="R713" s="2"/>
      <c r="S713" s="1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2"/>
      <c r="N714" s="2"/>
      <c r="O714" s="2"/>
      <c r="P714" s="2"/>
      <c r="Q714" s="2"/>
      <c r="R714" s="2"/>
      <c r="S714" s="1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2"/>
      <c r="N715" s="2"/>
      <c r="O715" s="2"/>
      <c r="P715" s="2"/>
      <c r="Q715" s="2"/>
      <c r="R715" s="2"/>
      <c r="S715" s="1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2"/>
      <c r="N716" s="2"/>
      <c r="O716" s="2"/>
      <c r="P716" s="2"/>
      <c r="Q716" s="2"/>
      <c r="R716" s="2"/>
      <c r="S716" s="1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2"/>
      <c r="N717" s="2"/>
      <c r="O717" s="2"/>
      <c r="P717" s="2"/>
      <c r="Q717" s="2"/>
      <c r="R717" s="2"/>
      <c r="S717" s="1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2"/>
      <c r="N718" s="2"/>
      <c r="O718" s="2"/>
      <c r="P718" s="2"/>
      <c r="Q718" s="2"/>
      <c r="R718" s="2"/>
      <c r="S718" s="1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2"/>
      <c r="N719" s="2"/>
      <c r="O719" s="2"/>
      <c r="P719" s="2"/>
      <c r="Q719" s="2"/>
      <c r="R719" s="2"/>
      <c r="S719" s="1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2"/>
      <c r="N720" s="2"/>
      <c r="O720" s="2"/>
      <c r="P720" s="2"/>
      <c r="Q720" s="2"/>
      <c r="R720" s="2"/>
      <c r="S720" s="1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2"/>
      <c r="N721" s="2"/>
      <c r="O721" s="2"/>
      <c r="P721" s="2"/>
      <c r="Q721" s="2"/>
      <c r="R721" s="2"/>
      <c r="S721" s="1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2"/>
      <c r="N722" s="2"/>
      <c r="O722" s="2"/>
      <c r="P722" s="2"/>
      <c r="Q722" s="2"/>
      <c r="R722" s="2"/>
      <c r="S722" s="1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2"/>
      <c r="N723" s="2"/>
      <c r="O723" s="2"/>
      <c r="P723" s="2"/>
      <c r="Q723" s="2"/>
      <c r="R723" s="2"/>
      <c r="S723" s="1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2"/>
      <c r="N724" s="2"/>
      <c r="O724" s="2"/>
      <c r="P724" s="2"/>
      <c r="Q724" s="2"/>
      <c r="R724" s="2"/>
      <c r="S724" s="1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2"/>
      <c r="N725" s="2"/>
      <c r="O725" s="2"/>
      <c r="P725" s="2"/>
      <c r="Q725" s="2"/>
      <c r="R725" s="2"/>
      <c r="S725" s="1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2"/>
      <c r="N726" s="2"/>
      <c r="O726" s="2"/>
      <c r="P726" s="2"/>
      <c r="Q726" s="2"/>
      <c r="R726" s="2"/>
      <c r="S726" s="1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2"/>
      <c r="N727" s="2"/>
      <c r="O727" s="2"/>
      <c r="P727" s="2"/>
      <c r="Q727" s="2"/>
      <c r="R727" s="2"/>
      <c r="S727" s="1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2"/>
      <c r="N728" s="2"/>
      <c r="O728" s="2"/>
      <c r="P728" s="2"/>
      <c r="Q728" s="2"/>
      <c r="R728" s="2"/>
      <c r="S728" s="1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2"/>
      <c r="N729" s="2"/>
      <c r="O729" s="2"/>
      <c r="P729" s="2"/>
      <c r="Q729" s="2"/>
      <c r="R729" s="2"/>
      <c r="S729" s="1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2"/>
      <c r="N730" s="2"/>
      <c r="O730" s="2"/>
      <c r="P730" s="2"/>
      <c r="Q730" s="2"/>
      <c r="R730" s="2"/>
      <c r="S730" s="1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2"/>
      <c r="N731" s="2"/>
      <c r="O731" s="2"/>
      <c r="P731" s="2"/>
      <c r="Q731" s="2"/>
      <c r="R731" s="2"/>
      <c r="S731" s="1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2"/>
      <c r="N732" s="2"/>
      <c r="O732" s="2"/>
      <c r="P732" s="2"/>
      <c r="Q732" s="2"/>
      <c r="R732" s="2"/>
      <c r="S732" s="1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2"/>
      <c r="N733" s="2"/>
      <c r="O733" s="2"/>
      <c r="P733" s="2"/>
      <c r="Q733" s="2"/>
      <c r="R733" s="2"/>
      <c r="S733" s="1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2"/>
      <c r="N734" s="2"/>
      <c r="O734" s="2"/>
      <c r="P734" s="2"/>
      <c r="Q734" s="2"/>
      <c r="R734" s="2"/>
      <c r="S734" s="1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2"/>
      <c r="N735" s="2"/>
      <c r="O735" s="2"/>
      <c r="P735" s="2"/>
      <c r="Q735" s="2"/>
      <c r="R735" s="2"/>
      <c r="S735" s="1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2"/>
      <c r="N736" s="2"/>
      <c r="O736" s="2"/>
      <c r="P736" s="2"/>
      <c r="Q736" s="2"/>
      <c r="R736" s="2"/>
      <c r="S736" s="1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2"/>
      <c r="N737" s="2"/>
      <c r="O737" s="2"/>
      <c r="P737" s="2"/>
      <c r="Q737" s="2"/>
      <c r="R737" s="2"/>
      <c r="S737" s="1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2"/>
      <c r="N738" s="2"/>
      <c r="O738" s="2"/>
      <c r="P738" s="2"/>
      <c r="Q738" s="2"/>
      <c r="R738" s="2"/>
      <c r="S738" s="1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2"/>
      <c r="N739" s="2"/>
      <c r="O739" s="2"/>
      <c r="P739" s="2"/>
      <c r="Q739" s="2"/>
      <c r="R739" s="2"/>
      <c r="S739" s="1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2"/>
      <c r="N740" s="2"/>
      <c r="O740" s="2"/>
      <c r="P740" s="2"/>
      <c r="Q740" s="2"/>
      <c r="R740" s="2"/>
      <c r="S740" s="1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2"/>
      <c r="N741" s="2"/>
      <c r="O741" s="2"/>
      <c r="P741" s="2"/>
      <c r="Q741" s="2"/>
      <c r="R741" s="2"/>
      <c r="S741" s="1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2"/>
      <c r="N742" s="2"/>
      <c r="O742" s="2"/>
      <c r="P742" s="2"/>
      <c r="Q742" s="2"/>
      <c r="R742" s="2"/>
      <c r="S742" s="1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2"/>
      <c r="N743" s="2"/>
      <c r="O743" s="2"/>
      <c r="P743" s="2"/>
      <c r="Q743" s="2"/>
      <c r="R743" s="2"/>
      <c r="S743" s="1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2"/>
      <c r="N744" s="2"/>
      <c r="O744" s="2"/>
      <c r="P744" s="2"/>
      <c r="Q744" s="2"/>
      <c r="R744" s="2"/>
      <c r="S744" s="1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2"/>
      <c r="N745" s="2"/>
      <c r="O745" s="2"/>
      <c r="P745" s="2"/>
      <c r="Q745" s="2"/>
      <c r="R745" s="2"/>
      <c r="S745" s="1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2"/>
      <c r="N746" s="2"/>
      <c r="O746" s="2"/>
      <c r="P746" s="2"/>
      <c r="Q746" s="2"/>
      <c r="R746" s="2"/>
      <c r="S746" s="1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2"/>
      <c r="N747" s="2"/>
      <c r="O747" s="2"/>
      <c r="P747" s="2"/>
      <c r="Q747" s="2"/>
      <c r="R747" s="2"/>
      <c r="S747" s="1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2"/>
      <c r="N748" s="2"/>
      <c r="O748" s="2"/>
      <c r="P748" s="2"/>
      <c r="Q748" s="2"/>
      <c r="R748" s="2"/>
      <c r="S748" s="1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2"/>
      <c r="N749" s="2"/>
      <c r="O749" s="2"/>
      <c r="P749" s="2"/>
      <c r="Q749" s="2"/>
      <c r="R749" s="2"/>
      <c r="S749" s="1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2"/>
      <c r="N750" s="2"/>
      <c r="O750" s="2"/>
      <c r="P750" s="2"/>
      <c r="Q750" s="2"/>
      <c r="R750" s="2"/>
      <c r="S750" s="1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2"/>
      <c r="N751" s="2"/>
      <c r="O751" s="2"/>
      <c r="P751" s="2"/>
      <c r="Q751" s="2"/>
      <c r="R751" s="2"/>
      <c r="S751" s="1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2"/>
      <c r="N752" s="2"/>
      <c r="O752" s="2"/>
      <c r="P752" s="2"/>
      <c r="Q752" s="2"/>
      <c r="R752" s="2"/>
      <c r="S752" s="1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2"/>
      <c r="N753" s="2"/>
      <c r="O753" s="2"/>
      <c r="P753" s="2"/>
      <c r="Q753" s="2"/>
      <c r="R753" s="2"/>
      <c r="S753" s="1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2"/>
      <c r="N754" s="2"/>
      <c r="O754" s="2"/>
      <c r="P754" s="2"/>
      <c r="Q754" s="2"/>
      <c r="R754" s="2"/>
      <c r="S754" s="1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2"/>
      <c r="N755" s="2"/>
      <c r="O755" s="2"/>
      <c r="P755" s="2"/>
      <c r="Q755" s="2"/>
      <c r="R755" s="2"/>
      <c r="S755" s="1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2"/>
      <c r="N756" s="2"/>
      <c r="O756" s="2"/>
      <c r="P756" s="2"/>
      <c r="Q756" s="2"/>
      <c r="R756" s="2"/>
      <c r="S756" s="1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2"/>
      <c r="N757" s="2"/>
      <c r="O757" s="2"/>
      <c r="P757" s="2"/>
      <c r="Q757" s="2"/>
      <c r="R757" s="2"/>
      <c r="S757" s="1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2"/>
      <c r="N758" s="2"/>
      <c r="O758" s="2"/>
      <c r="P758" s="2"/>
      <c r="Q758" s="2"/>
      <c r="R758" s="2"/>
      <c r="S758" s="1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2"/>
      <c r="N759" s="2"/>
      <c r="O759" s="2"/>
      <c r="P759" s="2"/>
      <c r="Q759" s="2"/>
      <c r="R759" s="2"/>
      <c r="S759" s="1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2"/>
      <c r="N760" s="2"/>
      <c r="O760" s="2"/>
      <c r="P760" s="2"/>
      <c r="Q760" s="2"/>
      <c r="R760" s="2"/>
      <c r="S760" s="1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2"/>
      <c r="N761" s="2"/>
      <c r="O761" s="2"/>
      <c r="P761" s="2"/>
      <c r="Q761" s="2"/>
      <c r="R761" s="2"/>
      <c r="S761" s="1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2"/>
      <c r="N762" s="2"/>
      <c r="O762" s="2"/>
      <c r="P762" s="2"/>
      <c r="Q762" s="2"/>
      <c r="R762" s="2"/>
      <c r="S762" s="1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2"/>
      <c r="N763" s="2"/>
      <c r="O763" s="2"/>
      <c r="P763" s="2"/>
      <c r="Q763" s="2"/>
      <c r="R763" s="2"/>
      <c r="S763" s="1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2"/>
      <c r="N764" s="2"/>
      <c r="O764" s="2"/>
      <c r="P764" s="2"/>
      <c r="Q764" s="2"/>
      <c r="R764" s="2"/>
      <c r="S764" s="1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2"/>
      <c r="N765" s="2"/>
      <c r="O765" s="2"/>
      <c r="P765" s="2"/>
      <c r="Q765" s="2"/>
      <c r="R765" s="2"/>
      <c r="S765" s="1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2"/>
      <c r="N766" s="2"/>
      <c r="O766" s="2"/>
      <c r="P766" s="2"/>
      <c r="Q766" s="2"/>
      <c r="R766" s="2"/>
      <c r="S766" s="1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2"/>
      <c r="N767" s="2"/>
      <c r="O767" s="2"/>
      <c r="P767" s="2"/>
      <c r="Q767" s="2"/>
      <c r="R767" s="2"/>
      <c r="S767" s="1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2"/>
      <c r="N768" s="2"/>
      <c r="O768" s="2"/>
      <c r="P768" s="2"/>
      <c r="Q768" s="2"/>
      <c r="R768" s="2"/>
      <c r="S768" s="1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2"/>
      <c r="N769" s="2"/>
      <c r="O769" s="2"/>
      <c r="P769" s="2"/>
      <c r="Q769" s="2"/>
      <c r="R769" s="2"/>
      <c r="S769" s="1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2"/>
      <c r="N770" s="2"/>
      <c r="O770" s="2"/>
      <c r="P770" s="2"/>
      <c r="Q770" s="2"/>
      <c r="R770" s="2"/>
      <c r="S770" s="1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2"/>
      <c r="N771" s="2"/>
      <c r="O771" s="2"/>
      <c r="P771" s="2"/>
      <c r="Q771" s="2"/>
      <c r="R771" s="2"/>
      <c r="S771" s="1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2"/>
      <c r="N772" s="2"/>
      <c r="O772" s="2"/>
      <c r="P772" s="2"/>
      <c r="Q772" s="2"/>
      <c r="R772" s="2"/>
      <c r="S772" s="1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2"/>
      <c r="N773" s="2"/>
      <c r="O773" s="2"/>
      <c r="P773" s="2"/>
      <c r="Q773" s="2"/>
      <c r="R773" s="2"/>
      <c r="S773" s="1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2"/>
      <c r="N774" s="2"/>
      <c r="O774" s="2"/>
      <c r="P774" s="2"/>
      <c r="Q774" s="2"/>
      <c r="R774" s="2"/>
      <c r="S774" s="1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2"/>
      <c r="N775" s="2"/>
      <c r="O775" s="2"/>
      <c r="P775" s="2"/>
      <c r="Q775" s="2"/>
      <c r="R775" s="2"/>
      <c r="S775" s="1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2"/>
      <c r="N776" s="2"/>
      <c r="O776" s="2"/>
      <c r="P776" s="2"/>
      <c r="Q776" s="2"/>
      <c r="R776" s="2"/>
      <c r="S776" s="1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2"/>
      <c r="N777" s="2"/>
      <c r="O777" s="2"/>
      <c r="P777" s="2"/>
      <c r="Q777" s="2"/>
      <c r="R777" s="2"/>
      <c r="S777" s="1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2"/>
      <c r="N778" s="2"/>
      <c r="O778" s="2"/>
      <c r="P778" s="2"/>
      <c r="Q778" s="2"/>
      <c r="R778" s="2"/>
      <c r="S778" s="1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2"/>
      <c r="N779" s="2"/>
      <c r="O779" s="2"/>
      <c r="P779" s="2"/>
      <c r="Q779" s="2"/>
      <c r="R779" s="2"/>
      <c r="S779" s="1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2"/>
      <c r="N780" s="2"/>
      <c r="O780" s="2"/>
      <c r="P780" s="2"/>
      <c r="Q780" s="2"/>
      <c r="R780" s="2"/>
      <c r="S780" s="1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2"/>
      <c r="N781" s="2"/>
      <c r="O781" s="2"/>
      <c r="P781" s="2"/>
      <c r="Q781" s="2"/>
      <c r="R781" s="2"/>
      <c r="S781" s="1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2"/>
      <c r="N782" s="2"/>
      <c r="O782" s="2"/>
      <c r="P782" s="2"/>
      <c r="Q782" s="2"/>
      <c r="R782" s="2"/>
      <c r="S782" s="1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2"/>
      <c r="N783" s="2"/>
      <c r="O783" s="2"/>
      <c r="P783" s="2"/>
      <c r="Q783" s="2"/>
      <c r="R783" s="2"/>
      <c r="S783" s="1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2"/>
      <c r="N784" s="2"/>
      <c r="O784" s="2"/>
      <c r="P784" s="2"/>
      <c r="Q784" s="2"/>
      <c r="R784" s="2"/>
      <c r="S784" s="1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2"/>
      <c r="N785" s="2"/>
      <c r="O785" s="2"/>
      <c r="P785" s="2"/>
      <c r="Q785" s="2"/>
      <c r="R785" s="2"/>
      <c r="S785" s="1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2"/>
      <c r="N786" s="2"/>
      <c r="O786" s="2"/>
      <c r="P786" s="2"/>
      <c r="Q786" s="2"/>
      <c r="R786" s="2"/>
      <c r="S786" s="1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2"/>
      <c r="N787" s="2"/>
      <c r="O787" s="2"/>
      <c r="P787" s="2"/>
      <c r="Q787" s="2"/>
      <c r="R787" s="2"/>
      <c r="S787" s="1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2"/>
      <c r="N788" s="2"/>
      <c r="O788" s="2"/>
      <c r="P788" s="2"/>
      <c r="Q788" s="2"/>
      <c r="R788" s="2"/>
      <c r="S788" s="1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2"/>
      <c r="N789" s="2"/>
      <c r="O789" s="2"/>
      <c r="P789" s="2"/>
      <c r="Q789" s="2"/>
      <c r="R789" s="2"/>
      <c r="S789" s="1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2"/>
      <c r="N790" s="2"/>
      <c r="O790" s="2"/>
      <c r="P790" s="2"/>
      <c r="Q790" s="2"/>
      <c r="R790" s="2"/>
      <c r="S790" s="1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2"/>
      <c r="N791" s="2"/>
      <c r="O791" s="2"/>
      <c r="P791" s="2"/>
      <c r="Q791" s="2"/>
      <c r="R791" s="2"/>
      <c r="S791" s="1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2"/>
      <c r="N792" s="2"/>
      <c r="O792" s="2"/>
      <c r="P792" s="2"/>
      <c r="Q792" s="2"/>
      <c r="R792" s="2"/>
      <c r="S792" s="1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2"/>
      <c r="N793" s="2"/>
      <c r="O793" s="2"/>
      <c r="P793" s="2"/>
      <c r="Q793" s="2"/>
      <c r="R793" s="2"/>
      <c r="S793" s="1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2"/>
      <c r="N794" s="2"/>
      <c r="O794" s="2"/>
      <c r="P794" s="2"/>
      <c r="Q794" s="2"/>
      <c r="R794" s="2"/>
      <c r="S794" s="1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2"/>
      <c r="N795" s="2"/>
      <c r="O795" s="2"/>
      <c r="P795" s="2"/>
      <c r="Q795" s="2"/>
      <c r="R795" s="2"/>
      <c r="S795" s="1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2"/>
      <c r="N796" s="2"/>
      <c r="O796" s="2"/>
      <c r="P796" s="2"/>
      <c r="Q796" s="2"/>
      <c r="R796" s="2"/>
      <c r="S796" s="1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2"/>
      <c r="N797" s="2"/>
      <c r="O797" s="2"/>
      <c r="P797" s="2"/>
      <c r="Q797" s="2"/>
      <c r="R797" s="2"/>
      <c r="S797" s="1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2"/>
      <c r="N798" s="2"/>
      <c r="O798" s="2"/>
      <c r="P798" s="2"/>
      <c r="Q798" s="2"/>
      <c r="R798" s="2"/>
      <c r="S798" s="1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2"/>
      <c r="N799" s="2"/>
      <c r="O799" s="2"/>
      <c r="P799" s="2"/>
      <c r="Q799" s="2"/>
      <c r="R799" s="2"/>
      <c r="S799" s="1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2"/>
      <c r="N800" s="2"/>
      <c r="O800" s="2"/>
      <c r="P800" s="2"/>
      <c r="Q800" s="2"/>
      <c r="R800" s="2"/>
      <c r="S800" s="1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2"/>
      <c r="N801" s="2"/>
      <c r="O801" s="2"/>
      <c r="P801" s="2"/>
      <c r="Q801" s="2"/>
      <c r="R801" s="2"/>
      <c r="S801" s="1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2"/>
      <c r="N802" s="2"/>
      <c r="O802" s="2"/>
      <c r="P802" s="2"/>
      <c r="Q802" s="2"/>
      <c r="R802" s="2"/>
      <c r="S802" s="1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2"/>
      <c r="N803" s="2"/>
      <c r="O803" s="2"/>
      <c r="P803" s="2"/>
      <c r="Q803" s="2"/>
      <c r="R803" s="2"/>
      <c r="S803" s="1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2"/>
      <c r="N804" s="2"/>
      <c r="O804" s="2"/>
      <c r="P804" s="2"/>
      <c r="Q804" s="2"/>
      <c r="R804" s="2"/>
      <c r="S804" s="1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2"/>
      <c r="N805" s="2"/>
      <c r="O805" s="2"/>
      <c r="P805" s="2"/>
      <c r="Q805" s="2"/>
      <c r="R805" s="2"/>
      <c r="S805" s="1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2"/>
      <c r="N806" s="2"/>
      <c r="O806" s="2"/>
      <c r="P806" s="2"/>
      <c r="Q806" s="2"/>
      <c r="R806" s="2"/>
      <c r="S806" s="1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2"/>
      <c r="N807" s="2"/>
      <c r="O807" s="2"/>
      <c r="P807" s="2"/>
      <c r="Q807" s="2"/>
      <c r="R807" s="2"/>
      <c r="S807" s="1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2"/>
      <c r="N808" s="2"/>
      <c r="O808" s="2"/>
      <c r="P808" s="2"/>
      <c r="Q808" s="2"/>
      <c r="R808" s="2"/>
      <c r="S808" s="1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2"/>
      <c r="N809" s="2"/>
      <c r="O809" s="2"/>
      <c r="P809" s="2"/>
      <c r="Q809" s="2"/>
      <c r="R809" s="2"/>
      <c r="S809" s="1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2"/>
      <c r="N810" s="2"/>
      <c r="O810" s="2"/>
      <c r="P810" s="2"/>
      <c r="Q810" s="2"/>
      <c r="R810" s="2"/>
      <c r="S810" s="1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2"/>
      <c r="N811" s="2"/>
      <c r="O811" s="2"/>
      <c r="P811" s="2"/>
      <c r="Q811" s="2"/>
      <c r="R811" s="2"/>
      <c r="S811" s="1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2"/>
      <c r="N812" s="2"/>
      <c r="O812" s="2"/>
      <c r="P812" s="2"/>
      <c r="Q812" s="2"/>
      <c r="R812" s="2"/>
      <c r="S812" s="1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2"/>
      <c r="N813" s="2"/>
      <c r="O813" s="2"/>
      <c r="P813" s="2"/>
      <c r="Q813" s="2"/>
      <c r="R813" s="2"/>
      <c r="S813" s="1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2"/>
      <c r="N814" s="2"/>
      <c r="O814" s="2"/>
      <c r="P814" s="2"/>
      <c r="Q814" s="2"/>
      <c r="R814" s="2"/>
      <c r="S814" s="1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2"/>
      <c r="N815" s="2"/>
      <c r="O815" s="2"/>
      <c r="P815" s="2"/>
      <c r="Q815" s="2"/>
      <c r="R815" s="2"/>
      <c r="S815" s="1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2"/>
      <c r="N816" s="2"/>
      <c r="O816" s="2"/>
      <c r="P816" s="2"/>
      <c r="Q816" s="2"/>
      <c r="R816" s="2"/>
      <c r="S816" s="1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2"/>
      <c r="N817" s="2"/>
      <c r="O817" s="2"/>
      <c r="P817" s="2"/>
      <c r="Q817" s="2"/>
      <c r="R817" s="2"/>
      <c r="S817" s="1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2"/>
      <c r="N818" s="2"/>
      <c r="O818" s="2"/>
      <c r="P818" s="2"/>
      <c r="Q818" s="2"/>
      <c r="R818" s="2"/>
      <c r="S818" s="1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2"/>
      <c r="N819" s="2"/>
      <c r="O819" s="2"/>
      <c r="P819" s="2"/>
      <c r="Q819" s="2"/>
      <c r="R819" s="2"/>
      <c r="S819" s="1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2"/>
      <c r="N820" s="2"/>
      <c r="O820" s="2"/>
      <c r="P820" s="2"/>
      <c r="Q820" s="2"/>
      <c r="R820" s="2"/>
      <c r="S820" s="1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2"/>
      <c r="N821" s="2"/>
      <c r="O821" s="2"/>
      <c r="P821" s="2"/>
      <c r="Q821" s="2"/>
      <c r="R821" s="2"/>
      <c r="S821" s="1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2"/>
      <c r="N822" s="2"/>
      <c r="O822" s="2"/>
      <c r="P822" s="2"/>
      <c r="Q822" s="2"/>
      <c r="R822" s="2"/>
      <c r="S822" s="1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2"/>
      <c r="N823" s="2"/>
      <c r="O823" s="2"/>
      <c r="P823" s="2"/>
      <c r="Q823" s="2"/>
      <c r="R823" s="2"/>
      <c r="S823" s="1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2"/>
      <c r="N824" s="2"/>
      <c r="O824" s="2"/>
      <c r="P824" s="2"/>
      <c r="Q824" s="2"/>
      <c r="R824" s="2"/>
      <c r="S824" s="1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2"/>
      <c r="N825" s="2"/>
      <c r="O825" s="2"/>
      <c r="P825" s="2"/>
      <c r="Q825" s="2"/>
      <c r="R825" s="2"/>
      <c r="S825" s="1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2"/>
      <c r="N826" s="2"/>
      <c r="O826" s="2"/>
      <c r="P826" s="2"/>
      <c r="Q826" s="2"/>
      <c r="R826" s="2"/>
      <c r="S826" s="1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2"/>
      <c r="N827" s="2"/>
      <c r="O827" s="2"/>
      <c r="P827" s="2"/>
      <c r="Q827" s="2"/>
      <c r="R827" s="2"/>
      <c r="S827" s="1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2"/>
      <c r="N828" s="2"/>
      <c r="O828" s="2"/>
      <c r="P828" s="2"/>
      <c r="Q828" s="2"/>
      <c r="R828" s="2"/>
      <c r="S828" s="1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2"/>
      <c r="N829" s="2"/>
      <c r="O829" s="2"/>
      <c r="P829" s="2"/>
      <c r="Q829" s="2"/>
      <c r="R829" s="2"/>
      <c r="S829" s="1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2"/>
      <c r="N830" s="2"/>
      <c r="O830" s="2"/>
      <c r="P830" s="2"/>
      <c r="Q830" s="2"/>
      <c r="R830" s="2"/>
      <c r="S830" s="1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2"/>
      <c r="N831" s="2"/>
      <c r="O831" s="2"/>
      <c r="P831" s="2"/>
      <c r="Q831" s="2"/>
      <c r="R831" s="2"/>
      <c r="S831" s="1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2"/>
      <c r="N832" s="2"/>
      <c r="O832" s="2"/>
      <c r="P832" s="2"/>
      <c r="Q832" s="2"/>
      <c r="R832" s="2"/>
      <c r="S832" s="1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2"/>
      <c r="N833" s="2"/>
      <c r="O833" s="2"/>
      <c r="P833" s="2"/>
      <c r="Q833" s="2"/>
      <c r="R833" s="2"/>
      <c r="S833" s="1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2"/>
      <c r="N834" s="2"/>
      <c r="O834" s="2"/>
      <c r="P834" s="2"/>
      <c r="Q834" s="2"/>
      <c r="R834" s="2"/>
      <c r="S834" s="1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2"/>
      <c r="N835" s="2"/>
      <c r="O835" s="2"/>
      <c r="P835" s="2"/>
      <c r="Q835" s="2"/>
      <c r="R835" s="2"/>
      <c r="S835" s="1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2"/>
      <c r="N836" s="2"/>
      <c r="O836" s="2"/>
      <c r="P836" s="2"/>
      <c r="Q836" s="2"/>
      <c r="R836" s="2"/>
      <c r="S836" s="1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2"/>
      <c r="N837" s="2"/>
      <c r="O837" s="2"/>
      <c r="P837" s="2"/>
      <c r="Q837" s="2"/>
      <c r="R837" s="2"/>
      <c r="S837" s="1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2"/>
      <c r="N838" s="2"/>
      <c r="O838" s="2"/>
      <c r="P838" s="2"/>
      <c r="Q838" s="2"/>
      <c r="R838" s="2"/>
      <c r="S838" s="1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2"/>
      <c r="N839" s="2"/>
      <c r="O839" s="2"/>
      <c r="P839" s="2"/>
      <c r="Q839" s="2"/>
      <c r="R839" s="2"/>
      <c r="S839" s="1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2"/>
      <c r="N840" s="2"/>
      <c r="O840" s="2"/>
      <c r="P840" s="2"/>
      <c r="Q840" s="2"/>
      <c r="R840" s="2"/>
      <c r="S840" s="1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2"/>
      <c r="N841" s="2"/>
      <c r="O841" s="2"/>
      <c r="P841" s="2"/>
      <c r="Q841" s="2"/>
      <c r="R841" s="2"/>
      <c r="S841" s="1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2"/>
      <c r="N842" s="2"/>
      <c r="O842" s="2"/>
      <c r="P842" s="2"/>
      <c r="Q842" s="2"/>
      <c r="R842" s="2"/>
      <c r="S842" s="1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2"/>
      <c r="N843" s="2"/>
      <c r="O843" s="2"/>
      <c r="P843" s="2"/>
      <c r="Q843" s="2"/>
      <c r="R843" s="2"/>
      <c r="S843" s="1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2"/>
      <c r="N844" s="2"/>
      <c r="O844" s="2"/>
      <c r="P844" s="2"/>
      <c r="Q844" s="2"/>
      <c r="R844" s="2"/>
      <c r="S844" s="1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2"/>
      <c r="N845" s="2"/>
      <c r="O845" s="2"/>
      <c r="P845" s="2"/>
      <c r="Q845" s="2"/>
      <c r="R845" s="2"/>
      <c r="S845" s="1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2"/>
      <c r="N846" s="2"/>
      <c r="O846" s="2"/>
      <c r="P846" s="2"/>
      <c r="Q846" s="2"/>
      <c r="R846" s="2"/>
      <c r="S846" s="1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2"/>
      <c r="N847" s="2"/>
      <c r="O847" s="2"/>
      <c r="P847" s="2"/>
      <c r="Q847" s="2"/>
      <c r="R847" s="2"/>
      <c r="S847" s="1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2"/>
      <c r="N848" s="2"/>
      <c r="O848" s="2"/>
      <c r="P848" s="2"/>
      <c r="Q848" s="2"/>
      <c r="R848" s="2"/>
      <c r="S848" s="1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2"/>
      <c r="N849" s="2"/>
      <c r="O849" s="2"/>
      <c r="P849" s="2"/>
      <c r="Q849" s="2"/>
      <c r="R849" s="2"/>
      <c r="S849" s="1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2"/>
      <c r="N850" s="2"/>
      <c r="O850" s="2"/>
      <c r="P850" s="2"/>
      <c r="Q850" s="2"/>
      <c r="R850" s="2"/>
      <c r="S850" s="1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2"/>
      <c r="N851" s="2"/>
      <c r="O851" s="2"/>
      <c r="P851" s="2"/>
      <c r="Q851" s="2"/>
      <c r="R851" s="2"/>
      <c r="S851" s="1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2"/>
      <c r="N852" s="2"/>
      <c r="O852" s="2"/>
      <c r="P852" s="2"/>
      <c r="Q852" s="2"/>
      <c r="R852" s="2"/>
      <c r="S852" s="1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2"/>
      <c r="N853" s="2"/>
      <c r="O853" s="2"/>
      <c r="P853" s="2"/>
      <c r="Q853" s="2"/>
      <c r="R853" s="2"/>
      <c r="S853" s="1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2"/>
      <c r="N854" s="2"/>
      <c r="O854" s="2"/>
      <c r="P854" s="2"/>
      <c r="Q854" s="2"/>
      <c r="R854" s="2"/>
      <c r="S854" s="1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2"/>
      <c r="N855" s="2"/>
      <c r="O855" s="2"/>
      <c r="P855" s="2"/>
      <c r="Q855" s="2"/>
      <c r="R855" s="2"/>
      <c r="S855" s="1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2"/>
      <c r="N856" s="2"/>
      <c r="O856" s="2"/>
      <c r="P856" s="2"/>
      <c r="Q856" s="2"/>
      <c r="R856" s="2"/>
      <c r="S856" s="1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2"/>
      <c r="N857" s="2"/>
      <c r="O857" s="2"/>
      <c r="P857" s="2"/>
      <c r="Q857" s="2"/>
      <c r="R857" s="2"/>
      <c r="S857" s="1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2"/>
      <c r="N858" s="2"/>
      <c r="O858" s="2"/>
      <c r="P858" s="2"/>
      <c r="Q858" s="2"/>
      <c r="R858" s="2"/>
      <c r="S858" s="1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2"/>
      <c r="N859" s="2"/>
      <c r="O859" s="2"/>
      <c r="P859" s="2"/>
      <c r="Q859" s="2"/>
      <c r="R859" s="2"/>
      <c r="S859" s="1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2"/>
      <c r="N860" s="2"/>
      <c r="O860" s="2"/>
      <c r="P860" s="2"/>
      <c r="Q860" s="2"/>
      <c r="R860" s="2"/>
      <c r="S860" s="1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2"/>
      <c r="N861" s="2"/>
      <c r="O861" s="2"/>
      <c r="P861" s="2"/>
      <c r="Q861" s="2"/>
      <c r="R861" s="2"/>
      <c r="S861" s="1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2"/>
      <c r="N862" s="2"/>
      <c r="O862" s="2"/>
      <c r="P862" s="2"/>
      <c r="Q862" s="2"/>
      <c r="R862" s="2"/>
      <c r="S862" s="1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2"/>
      <c r="N863" s="2"/>
      <c r="O863" s="2"/>
      <c r="P863" s="2"/>
      <c r="Q863" s="2"/>
      <c r="R863" s="2"/>
      <c r="S863" s="1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2"/>
      <c r="N864" s="2"/>
      <c r="O864" s="2"/>
      <c r="P864" s="2"/>
      <c r="Q864" s="2"/>
      <c r="R864" s="2"/>
      <c r="S864" s="1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2"/>
      <c r="N865" s="2"/>
      <c r="O865" s="2"/>
      <c r="P865" s="2"/>
      <c r="Q865" s="2"/>
      <c r="R865" s="2"/>
      <c r="S865" s="1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2"/>
      <c r="N866" s="2"/>
      <c r="O866" s="2"/>
      <c r="P866" s="2"/>
      <c r="Q866" s="2"/>
      <c r="R866" s="2"/>
      <c r="S866" s="1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2"/>
      <c r="N867" s="2"/>
      <c r="O867" s="2"/>
      <c r="P867" s="2"/>
      <c r="Q867" s="2"/>
      <c r="R867" s="2"/>
      <c r="S867" s="1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2"/>
      <c r="N868" s="2"/>
      <c r="O868" s="2"/>
      <c r="P868" s="2"/>
      <c r="Q868" s="2"/>
      <c r="R868" s="2"/>
      <c r="S868" s="1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2"/>
      <c r="N869" s="2"/>
      <c r="O869" s="2"/>
      <c r="P869" s="2"/>
      <c r="Q869" s="2"/>
      <c r="R869" s="2"/>
      <c r="S869" s="1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2"/>
      <c r="N870" s="2"/>
      <c r="O870" s="2"/>
      <c r="P870" s="2"/>
      <c r="Q870" s="2"/>
      <c r="R870" s="2"/>
      <c r="S870" s="1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2"/>
      <c r="N871" s="2"/>
      <c r="O871" s="2"/>
      <c r="P871" s="2"/>
      <c r="Q871" s="2"/>
      <c r="R871" s="2"/>
      <c r="S871" s="1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2"/>
      <c r="N872" s="2"/>
      <c r="O872" s="2"/>
      <c r="P872" s="2"/>
      <c r="Q872" s="2"/>
      <c r="R872" s="2"/>
      <c r="S872" s="1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2"/>
      <c r="N873" s="2"/>
      <c r="O873" s="2"/>
      <c r="P873" s="2"/>
      <c r="Q873" s="2"/>
      <c r="R873" s="2"/>
      <c r="S873" s="1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2"/>
      <c r="N874" s="2"/>
      <c r="O874" s="2"/>
      <c r="P874" s="2"/>
      <c r="Q874" s="2"/>
      <c r="R874" s="2"/>
      <c r="S874" s="1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2"/>
      <c r="N875" s="2"/>
      <c r="O875" s="2"/>
      <c r="P875" s="2"/>
      <c r="Q875" s="2"/>
      <c r="R875" s="2"/>
      <c r="S875" s="1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2"/>
      <c r="N876" s="2"/>
      <c r="O876" s="2"/>
      <c r="P876" s="2"/>
      <c r="Q876" s="2"/>
      <c r="R876" s="2"/>
      <c r="S876" s="1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2"/>
      <c r="N877" s="2"/>
      <c r="O877" s="2"/>
      <c r="P877" s="2"/>
      <c r="Q877" s="2"/>
      <c r="R877" s="2"/>
      <c r="S877" s="1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2"/>
      <c r="N878" s="2"/>
      <c r="O878" s="2"/>
      <c r="P878" s="2"/>
      <c r="Q878" s="2"/>
      <c r="R878" s="2"/>
      <c r="S878" s="1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2"/>
      <c r="N879" s="2"/>
      <c r="O879" s="2"/>
      <c r="P879" s="2"/>
      <c r="Q879" s="2"/>
      <c r="R879" s="2"/>
      <c r="S879" s="1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2"/>
      <c r="N880" s="2"/>
      <c r="O880" s="2"/>
      <c r="P880" s="2"/>
      <c r="Q880" s="2"/>
      <c r="R880" s="2"/>
      <c r="S880" s="1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2"/>
      <c r="N881" s="2"/>
      <c r="O881" s="2"/>
      <c r="P881" s="2"/>
      <c r="Q881" s="2"/>
      <c r="R881" s="2"/>
      <c r="S881" s="1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2"/>
      <c r="N882" s="2"/>
      <c r="O882" s="2"/>
      <c r="P882" s="2"/>
      <c r="Q882" s="2"/>
      <c r="R882" s="2"/>
      <c r="S882" s="1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2"/>
      <c r="N883" s="2"/>
      <c r="O883" s="2"/>
      <c r="P883" s="2"/>
      <c r="Q883" s="2"/>
      <c r="R883" s="2"/>
      <c r="S883" s="1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2"/>
      <c r="N884" s="2"/>
      <c r="O884" s="2"/>
      <c r="P884" s="2"/>
      <c r="Q884" s="2"/>
      <c r="R884" s="2"/>
      <c r="S884" s="1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2"/>
      <c r="N885" s="2"/>
      <c r="O885" s="2"/>
      <c r="P885" s="2"/>
      <c r="Q885" s="2"/>
      <c r="R885" s="2"/>
      <c r="S885" s="1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2"/>
      <c r="N886" s="2"/>
      <c r="O886" s="2"/>
      <c r="P886" s="2"/>
      <c r="Q886" s="2"/>
      <c r="R886" s="2"/>
      <c r="S886" s="1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2"/>
      <c r="N887" s="2"/>
      <c r="O887" s="2"/>
      <c r="P887" s="2"/>
      <c r="Q887" s="2"/>
      <c r="R887" s="2"/>
      <c r="S887" s="1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2"/>
      <c r="N888" s="2"/>
      <c r="O888" s="2"/>
      <c r="P888" s="2"/>
      <c r="Q888" s="2"/>
      <c r="R888" s="2"/>
      <c r="S888" s="1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2"/>
      <c r="N889" s="2"/>
      <c r="O889" s="2"/>
      <c r="P889" s="2"/>
      <c r="Q889" s="2"/>
      <c r="R889" s="2"/>
      <c r="S889" s="1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2"/>
      <c r="N890" s="2"/>
      <c r="O890" s="2"/>
      <c r="P890" s="2"/>
      <c r="Q890" s="2"/>
      <c r="R890" s="2"/>
      <c r="S890" s="1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2"/>
      <c r="N891" s="2"/>
      <c r="O891" s="2"/>
      <c r="P891" s="2"/>
      <c r="Q891" s="2"/>
      <c r="R891" s="2"/>
      <c r="S891" s="1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2"/>
      <c r="N892" s="2"/>
      <c r="O892" s="2"/>
      <c r="P892" s="2"/>
      <c r="Q892" s="2"/>
      <c r="R892" s="2"/>
      <c r="S892" s="1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2"/>
      <c r="N893" s="2"/>
      <c r="O893" s="2"/>
      <c r="P893" s="2"/>
      <c r="Q893" s="2"/>
      <c r="R893" s="2"/>
      <c r="S893" s="1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2"/>
      <c r="N894" s="2"/>
      <c r="O894" s="2"/>
      <c r="P894" s="2"/>
      <c r="Q894" s="2"/>
      <c r="R894" s="2"/>
      <c r="S894" s="1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2"/>
      <c r="N895" s="2"/>
      <c r="O895" s="2"/>
      <c r="P895" s="2"/>
      <c r="Q895" s="2"/>
      <c r="R895" s="2"/>
      <c r="S895" s="1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2"/>
      <c r="N896" s="2"/>
      <c r="O896" s="2"/>
      <c r="P896" s="2"/>
      <c r="Q896" s="2"/>
      <c r="R896" s="2"/>
      <c r="S896" s="1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2"/>
      <c r="N897" s="2"/>
      <c r="O897" s="2"/>
      <c r="P897" s="2"/>
      <c r="Q897" s="2"/>
      <c r="R897" s="2"/>
      <c r="S897" s="1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2"/>
      <c r="N898" s="2"/>
      <c r="O898" s="2"/>
      <c r="P898" s="2"/>
      <c r="Q898" s="2"/>
      <c r="R898" s="2"/>
      <c r="S898" s="1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2"/>
      <c r="N899" s="2"/>
      <c r="O899" s="2"/>
      <c r="P899" s="2"/>
      <c r="Q899" s="2"/>
      <c r="R899" s="2"/>
      <c r="S899" s="1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2"/>
      <c r="N900" s="2"/>
      <c r="O900" s="2"/>
      <c r="P900" s="2"/>
      <c r="Q900" s="2"/>
      <c r="R900" s="2"/>
      <c r="S900" s="1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2"/>
      <c r="N901" s="2"/>
      <c r="O901" s="2"/>
      <c r="P901" s="2"/>
      <c r="Q901" s="2"/>
      <c r="R901" s="2"/>
      <c r="S901" s="1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2"/>
      <c r="N902" s="2"/>
      <c r="O902" s="2"/>
      <c r="P902" s="2"/>
      <c r="Q902" s="2"/>
      <c r="R902" s="2"/>
      <c r="S902" s="1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2"/>
      <c r="N903" s="2"/>
      <c r="O903" s="2"/>
      <c r="P903" s="2"/>
      <c r="Q903" s="2"/>
      <c r="R903" s="2"/>
      <c r="S903" s="1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2"/>
      <c r="N904" s="2"/>
      <c r="O904" s="2"/>
      <c r="P904" s="2"/>
      <c r="Q904" s="2"/>
      <c r="R904" s="2"/>
      <c r="S904" s="1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2"/>
      <c r="N905" s="2"/>
      <c r="O905" s="2"/>
      <c r="P905" s="2"/>
      <c r="Q905" s="2"/>
      <c r="R905" s="2"/>
      <c r="S905" s="1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2"/>
      <c r="N906" s="2"/>
      <c r="O906" s="2"/>
      <c r="P906" s="2"/>
      <c r="Q906" s="2"/>
      <c r="R906" s="2"/>
      <c r="S906" s="1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2"/>
      <c r="N907" s="2"/>
      <c r="O907" s="2"/>
      <c r="P907" s="2"/>
      <c r="Q907" s="2"/>
      <c r="R907" s="2"/>
      <c r="S907" s="1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2"/>
      <c r="N908" s="2"/>
      <c r="O908" s="2"/>
      <c r="P908" s="2"/>
      <c r="Q908" s="2"/>
      <c r="R908" s="2"/>
      <c r="S908" s="1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2"/>
      <c r="N909" s="2"/>
      <c r="O909" s="2"/>
      <c r="P909" s="2"/>
      <c r="Q909" s="2"/>
      <c r="R909" s="2"/>
      <c r="S909" s="1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2"/>
      <c r="N910" s="2"/>
      <c r="O910" s="2"/>
      <c r="P910" s="2"/>
      <c r="Q910" s="2"/>
      <c r="R910" s="2"/>
      <c r="S910" s="1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2"/>
      <c r="N911" s="2"/>
      <c r="O911" s="2"/>
      <c r="P911" s="2"/>
      <c r="Q911" s="2"/>
      <c r="R911" s="2"/>
      <c r="S911" s="1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2"/>
      <c r="N912" s="2"/>
      <c r="O912" s="2"/>
      <c r="P912" s="2"/>
      <c r="Q912" s="2"/>
      <c r="R912" s="2"/>
      <c r="S912" s="1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2"/>
      <c r="N913" s="2"/>
      <c r="O913" s="2"/>
      <c r="P913" s="2"/>
      <c r="Q913" s="2"/>
      <c r="R913" s="2"/>
      <c r="S913" s="1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2"/>
      <c r="N914" s="2"/>
      <c r="O914" s="2"/>
      <c r="P914" s="2"/>
      <c r="Q914" s="2"/>
      <c r="R914" s="2"/>
      <c r="S914" s="1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2"/>
      <c r="N915" s="2"/>
      <c r="O915" s="2"/>
      <c r="P915" s="2"/>
      <c r="Q915" s="2"/>
      <c r="R915" s="2"/>
      <c r="S915" s="1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2"/>
      <c r="N916" s="2"/>
      <c r="O916" s="2"/>
      <c r="P916" s="2"/>
      <c r="Q916" s="2"/>
      <c r="R916" s="2"/>
      <c r="S916" s="1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2"/>
      <c r="N917" s="2"/>
      <c r="O917" s="2"/>
      <c r="P917" s="2"/>
      <c r="Q917" s="2"/>
      <c r="R917" s="2"/>
      <c r="S917" s="1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2"/>
      <c r="N918" s="2"/>
      <c r="O918" s="2"/>
      <c r="P918" s="2"/>
      <c r="Q918" s="2"/>
      <c r="R918" s="2"/>
      <c r="S918" s="1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2"/>
      <c r="N919" s="2"/>
      <c r="O919" s="2"/>
      <c r="P919" s="2"/>
      <c r="Q919" s="2"/>
      <c r="R919" s="2"/>
      <c r="S919" s="1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2"/>
      <c r="N920" s="2"/>
      <c r="O920" s="2"/>
      <c r="P920" s="2"/>
      <c r="Q920" s="2"/>
      <c r="R920" s="2"/>
      <c r="S920" s="1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2"/>
      <c r="N921" s="2"/>
      <c r="O921" s="2"/>
      <c r="P921" s="2"/>
      <c r="Q921" s="2"/>
      <c r="R921" s="2"/>
      <c r="S921" s="1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2"/>
      <c r="N922" s="2"/>
      <c r="O922" s="2"/>
      <c r="P922" s="2"/>
      <c r="Q922" s="2"/>
      <c r="R922" s="2"/>
      <c r="S922" s="1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2"/>
      <c r="N923" s="2"/>
      <c r="O923" s="2"/>
      <c r="P923" s="2"/>
      <c r="Q923" s="2"/>
      <c r="R923" s="2"/>
      <c r="S923" s="1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2"/>
      <c r="N924" s="2"/>
      <c r="O924" s="2"/>
      <c r="P924" s="2"/>
      <c r="Q924" s="2"/>
      <c r="R924" s="2"/>
      <c r="S924" s="1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2"/>
      <c r="N925" s="2"/>
      <c r="O925" s="2"/>
      <c r="P925" s="2"/>
      <c r="Q925" s="2"/>
      <c r="R925" s="2"/>
      <c r="S925" s="1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2"/>
      <c r="N926" s="2"/>
      <c r="O926" s="2"/>
      <c r="P926" s="2"/>
      <c r="Q926" s="2"/>
      <c r="R926" s="2"/>
      <c r="S926" s="1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2"/>
      <c r="N927" s="2"/>
      <c r="O927" s="2"/>
      <c r="P927" s="2"/>
      <c r="Q927" s="2"/>
      <c r="R927" s="2"/>
      <c r="S927" s="1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2"/>
      <c r="N928" s="2"/>
      <c r="O928" s="2"/>
      <c r="P928" s="2"/>
      <c r="Q928" s="2"/>
      <c r="R928" s="2"/>
      <c r="S928" s="1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2"/>
      <c r="N929" s="2"/>
      <c r="O929" s="2"/>
      <c r="P929" s="2"/>
      <c r="Q929" s="2"/>
      <c r="R929" s="2"/>
      <c r="S929" s="1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2"/>
      <c r="N930" s="2"/>
      <c r="O930" s="2"/>
      <c r="P930" s="2"/>
      <c r="Q930" s="2"/>
      <c r="R930" s="2"/>
      <c r="S930" s="1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2"/>
      <c r="N931" s="2"/>
      <c r="O931" s="2"/>
      <c r="P931" s="2"/>
      <c r="Q931" s="2"/>
      <c r="R931" s="2"/>
      <c r="S931" s="1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2"/>
      <c r="N932" s="2"/>
      <c r="O932" s="2"/>
      <c r="P932" s="2"/>
      <c r="Q932" s="2"/>
      <c r="R932" s="2"/>
      <c r="S932" s="1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2"/>
      <c r="N933" s="2"/>
      <c r="O933" s="2"/>
      <c r="P933" s="2"/>
      <c r="Q933" s="2"/>
      <c r="R933" s="2"/>
      <c r="S933" s="1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2"/>
      <c r="N934" s="2"/>
      <c r="O934" s="2"/>
      <c r="P934" s="2"/>
      <c r="Q934" s="2"/>
      <c r="R934" s="2"/>
      <c r="S934" s="1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2"/>
      <c r="N935" s="2"/>
      <c r="O935" s="2"/>
      <c r="P935" s="2"/>
      <c r="Q935" s="2"/>
      <c r="R935" s="2"/>
      <c r="S935" s="1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2"/>
      <c r="N936" s="2"/>
      <c r="O936" s="2"/>
      <c r="P936" s="2"/>
      <c r="Q936" s="2"/>
      <c r="R936" s="2"/>
      <c r="S936" s="1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2"/>
      <c r="N937" s="2"/>
      <c r="O937" s="2"/>
      <c r="P937" s="2"/>
      <c r="Q937" s="2"/>
      <c r="R937" s="2"/>
      <c r="S937" s="1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2"/>
      <c r="N938" s="2"/>
      <c r="O938" s="2"/>
      <c r="P938" s="2"/>
      <c r="Q938" s="2"/>
      <c r="R938" s="2"/>
      <c r="S938" s="1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2"/>
      <c r="N939" s="2"/>
      <c r="O939" s="2"/>
      <c r="P939" s="2"/>
      <c r="Q939" s="2"/>
      <c r="R939" s="2"/>
      <c r="S939" s="1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2"/>
      <c r="N940" s="2"/>
      <c r="O940" s="2"/>
      <c r="P940" s="2"/>
      <c r="Q940" s="2"/>
      <c r="R940" s="2"/>
      <c r="S940" s="1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2"/>
      <c r="N941" s="2"/>
      <c r="O941" s="2"/>
      <c r="P941" s="2"/>
      <c r="Q941" s="2"/>
      <c r="R941" s="2"/>
      <c r="S941" s="1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2"/>
      <c r="N942" s="2"/>
      <c r="O942" s="2"/>
      <c r="P942" s="2"/>
      <c r="Q942" s="2"/>
      <c r="R942" s="2"/>
      <c r="S942" s="1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2"/>
      <c r="N943" s="2"/>
      <c r="O943" s="2"/>
      <c r="P943" s="2"/>
      <c r="Q943" s="2"/>
      <c r="R943" s="2"/>
      <c r="S943" s="1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2"/>
      <c r="N944" s="2"/>
      <c r="O944" s="2"/>
      <c r="P944" s="2"/>
      <c r="Q944" s="2"/>
      <c r="R944" s="2"/>
      <c r="S944" s="1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2"/>
      <c r="N945" s="2"/>
      <c r="O945" s="2"/>
      <c r="P945" s="2"/>
      <c r="Q945" s="2"/>
      <c r="R945" s="2"/>
      <c r="S945" s="1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2"/>
      <c r="N946" s="2"/>
      <c r="O946" s="2"/>
      <c r="P946" s="2"/>
      <c r="Q946" s="2"/>
      <c r="R946" s="2"/>
      <c r="S946" s="1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2"/>
      <c r="N947" s="2"/>
      <c r="O947" s="2"/>
      <c r="P947" s="2"/>
      <c r="Q947" s="2"/>
      <c r="R947" s="2"/>
      <c r="S947" s="1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2"/>
      <c r="N948" s="2"/>
      <c r="O948" s="2"/>
      <c r="P948" s="2"/>
      <c r="Q948" s="2"/>
      <c r="R948" s="2"/>
      <c r="S948" s="1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2"/>
      <c r="N949" s="2"/>
      <c r="O949" s="2"/>
      <c r="P949" s="2"/>
      <c r="Q949" s="2"/>
      <c r="R949" s="2"/>
      <c r="S949" s="1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2"/>
      <c r="N950" s="2"/>
      <c r="O950" s="2"/>
      <c r="P950" s="2"/>
      <c r="Q950" s="2"/>
      <c r="R950" s="2"/>
      <c r="S950" s="1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2"/>
      <c r="N951" s="2"/>
      <c r="O951" s="2"/>
      <c r="P951" s="2"/>
      <c r="Q951" s="2"/>
      <c r="R951" s="2"/>
      <c r="S951" s="1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2"/>
      <c r="N952" s="2"/>
      <c r="O952" s="2"/>
      <c r="P952" s="2"/>
      <c r="Q952" s="2"/>
      <c r="R952" s="2"/>
      <c r="S952" s="1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2"/>
      <c r="N953" s="2"/>
      <c r="O953" s="2"/>
      <c r="P953" s="2"/>
      <c r="Q953" s="2"/>
      <c r="R953" s="2"/>
      <c r="S953" s="1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2"/>
      <c r="N954" s="2"/>
      <c r="O954" s="2"/>
      <c r="P954" s="2"/>
      <c r="Q954" s="2"/>
      <c r="R954" s="2"/>
      <c r="S954" s="1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2"/>
      <c r="N955" s="2"/>
      <c r="O955" s="2"/>
      <c r="P955" s="2"/>
      <c r="Q955" s="2"/>
      <c r="R955" s="2"/>
      <c r="S955" s="1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2"/>
      <c r="N956" s="2"/>
      <c r="O956" s="2"/>
      <c r="P956" s="2"/>
      <c r="Q956" s="2"/>
      <c r="R956" s="2"/>
      <c r="S956" s="1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2"/>
      <c r="N957" s="2"/>
      <c r="O957" s="2"/>
      <c r="P957" s="2"/>
      <c r="Q957" s="2"/>
      <c r="R957" s="2"/>
      <c r="S957" s="1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2"/>
      <c r="N958" s="2"/>
      <c r="O958" s="2"/>
      <c r="P958" s="2"/>
      <c r="Q958" s="2"/>
      <c r="R958" s="2"/>
      <c r="S958" s="1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2"/>
      <c r="N959" s="2"/>
      <c r="O959" s="2"/>
      <c r="P959" s="2"/>
      <c r="Q959" s="2"/>
      <c r="R959" s="2"/>
      <c r="S959" s="1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2"/>
      <c r="N960" s="2"/>
      <c r="O960" s="2"/>
      <c r="P960" s="2"/>
      <c r="Q960" s="2"/>
      <c r="R960" s="2"/>
      <c r="S960" s="1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2"/>
      <c r="N961" s="2"/>
      <c r="O961" s="2"/>
      <c r="P961" s="2"/>
      <c r="Q961" s="2"/>
      <c r="R961" s="2"/>
      <c r="S961" s="1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2"/>
      <c r="N962" s="2"/>
      <c r="O962" s="2"/>
      <c r="P962" s="2"/>
      <c r="Q962" s="2"/>
      <c r="R962" s="2"/>
      <c r="S962" s="1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2"/>
      <c r="N963" s="2"/>
      <c r="O963" s="2"/>
      <c r="P963" s="2"/>
      <c r="Q963" s="2"/>
      <c r="R963" s="2"/>
      <c r="S963" s="1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2"/>
      <c r="N964" s="2"/>
      <c r="O964" s="2"/>
      <c r="P964" s="2"/>
      <c r="Q964" s="2"/>
      <c r="R964" s="2"/>
      <c r="S964" s="1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2"/>
      <c r="N965" s="2"/>
      <c r="O965" s="2"/>
      <c r="P965" s="2"/>
      <c r="Q965" s="2"/>
      <c r="R965" s="2"/>
      <c r="S965" s="1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2"/>
      <c r="N966" s="2"/>
      <c r="O966" s="2"/>
      <c r="P966" s="2"/>
      <c r="Q966" s="2"/>
      <c r="R966" s="2"/>
      <c r="S966" s="1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2"/>
      <c r="N967" s="2"/>
      <c r="O967" s="2"/>
      <c r="P967" s="2"/>
      <c r="Q967" s="2"/>
      <c r="R967" s="2"/>
      <c r="S967" s="1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2"/>
      <c r="N968" s="2"/>
      <c r="O968" s="2"/>
      <c r="P968" s="2"/>
      <c r="Q968" s="2"/>
      <c r="R968" s="2"/>
      <c r="S968" s="1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2"/>
      <c r="N969" s="2"/>
      <c r="O969" s="2"/>
      <c r="P969" s="2"/>
      <c r="Q969" s="2"/>
      <c r="R969" s="2"/>
      <c r="S969" s="1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2"/>
      <c r="N970" s="2"/>
      <c r="O970" s="2"/>
      <c r="P970" s="2"/>
      <c r="Q970" s="2"/>
      <c r="R970" s="2"/>
      <c r="S970" s="1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2"/>
      <c r="N971" s="2"/>
      <c r="O971" s="2"/>
      <c r="P971" s="2"/>
      <c r="Q971" s="2"/>
      <c r="R971" s="2"/>
      <c r="S971" s="1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2"/>
      <c r="N972" s="2"/>
      <c r="O972" s="2"/>
      <c r="P972" s="2"/>
      <c r="Q972" s="2"/>
      <c r="R972" s="2"/>
      <c r="S972" s="1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2"/>
      <c r="N973" s="2"/>
      <c r="O973" s="2"/>
      <c r="P973" s="2"/>
      <c r="Q973" s="2"/>
      <c r="R973" s="2"/>
      <c r="S973" s="1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2"/>
      <c r="N974" s="2"/>
      <c r="O974" s="2"/>
      <c r="P974" s="2"/>
      <c r="Q974" s="2"/>
      <c r="R974" s="2"/>
      <c r="S974" s="1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2"/>
      <c r="N975" s="2"/>
      <c r="O975" s="2"/>
      <c r="P975" s="2"/>
      <c r="Q975" s="2"/>
      <c r="R975" s="2"/>
      <c r="S975" s="1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2"/>
      <c r="N976" s="2"/>
      <c r="O976" s="2"/>
      <c r="P976" s="2"/>
      <c r="Q976" s="2"/>
      <c r="R976" s="2"/>
      <c r="S976" s="1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2"/>
      <c r="N977" s="2"/>
      <c r="O977" s="2"/>
      <c r="P977" s="2"/>
      <c r="Q977" s="2"/>
      <c r="R977" s="2"/>
      <c r="S977" s="1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2"/>
      <c r="N978" s="2"/>
      <c r="O978" s="2"/>
      <c r="P978" s="2"/>
      <c r="Q978" s="2"/>
      <c r="R978" s="2"/>
      <c r="S978" s="1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2"/>
      <c r="N979" s="2"/>
      <c r="O979" s="2"/>
      <c r="P979" s="2"/>
      <c r="Q979" s="2"/>
      <c r="R979" s="2"/>
      <c r="S979" s="1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2"/>
      <c r="N980" s="2"/>
      <c r="O980" s="2"/>
      <c r="P980" s="2"/>
      <c r="Q980" s="2"/>
      <c r="R980" s="2"/>
      <c r="S980" s="1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2"/>
      <c r="N981" s="2"/>
      <c r="O981" s="2"/>
      <c r="P981" s="2"/>
      <c r="Q981" s="2"/>
      <c r="R981" s="2"/>
      <c r="S981" s="1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2"/>
      <c r="N982" s="2"/>
      <c r="O982" s="2"/>
      <c r="P982" s="2"/>
      <c r="Q982" s="2"/>
      <c r="R982" s="2"/>
      <c r="S982" s="1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2"/>
      <c r="N983" s="2"/>
      <c r="O983" s="2"/>
      <c r="P983" s="2"/>
      <c r="Q983" s="2"/>
      <c r="R983" s="2"/>
      <c r="S983" s="1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2"/>
      <c r="N984" s="2"/>
      <c r="O984" s="2"/>
      <c r="P984" s="2"/>
      <c r="Q984" s="2"/>
      <c r="R984" s="2"/>
      <c r="S984" s="1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2"/>
      <c r="N985" s="2"/>
      <c r="O985" s="2"/>
      <c r="P985" s="2"/>
      <c r="Q985" s="2"/>
      <c r="R985" s="2"/>
      <c r="S985" s="1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2"/>
      <c r="N986" s="2"/>
      <c r="O986" s="2"/>
      <c r="P986" s="2"/>
      <c r="Q986" s="2"/>
      <c r="R986" s="2"/>
      <c r="S986" s="1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2"/>
      <c r="N987" s="2"/>
      <c r="O987" s="2"/>
      <c r="P987" s="2"/>
      <c r="Q987" s="2"/>
      <c r="R987" s="2"/>
      <c r="S987" s="1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2"/>
      <c r="N988" s="2"/>
      <c r="O988" s="2"/>
      <c r="P988" s="2"/>
      <c r="Q988" s="2"/>
      <c r="R988" s="2"/>
      <c r="S988" s="1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2"/>
      <c r="N989" s="2"/>
      <c r="O989" s="2"/>
      <c r="P989" s="2"/>
      <c r="Q989" s="2"/>
      <c r="R989" s="2"/>
      <c r="S989" s="1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2"/>
      <c r="N990" s="2"/>
      <c r="O990" s="2"/>
      <c r="P990" s="2"/>
      <c r="Q990" s="2"/>
      <c r="R990" s="2"/>
      <c r="S990" s="1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2"/>
      <c r="N991" s="2"/>
      <c r="O991" s="2"/>
      <c r="P991" s="2"/>
      <c r="Q991" s="2"/>
      <c r="R991" s="2"/>
      <c r="S991" s="1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3"/>
      <c r="M992" s="2"/>
      <c r="N992" s="2"/>
      <c r="O992" s="2"/>
      <c r="P992" s="2"/>
      <c r="Q992" s="2"/>
      <c r="R992" s="2"/>
      <c r="S992" s="1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3"/>
      <c r="M993" s="2"/>
      <c r="N993" s="2"/>
      <c r="O993" s="2"/>
      <c r="P993" s="2"/>
      <c r="Q993" s="2"/>
      <c r="R993" s="2"/>
      <c r="S993" s="1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3"/>
      <c r="M994" s="2"/>
      <c r="N994" s="2"/>
      <c r="O994" s="2"/>
      <c r="P994" s="2"/>
      <c r="Q994" s="2"/>
      <c r="R994" s="2"/>
      <c r="S994" s="1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3"/>
      <c r="M995" s="2"/>
      <c r="N995" s="2"/>
      <c r="O995" s="2"/>
      <c r="P995" s="2"/>
      <c r="Q995" s="2"/>
      <c r="R995" s="2"/>
      <c r="S995" s="1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3"/>
      <c r="M996" s="2"/>
      <c r="N996" s="2"/>
      <c r="O996" s="2"/>
      <c r="P996" s="2"/>
      <c r="Q996" s="2"/>
      <c r="R996" s="2"/>
      <c r="S996" s="1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3"/>
      <c r="M997" s="2"/>
      <c r="N997" s="2"/>
      <c r="O997" s="2"/>
      <c r="P997" s="2"/>
      <c r="Q997" s="2"/>
      <c r="R997" s="2"/>
      <c r="S997" s="1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3"/>
      <c r="M998" s="2"/>
      <c r="N998" s="2"/>
      <c r="O998" s="2"/>
      <c r="P998" s="2"/>
      <c r="Q998" s="2"/>
      <c r="R998" s="2"/>
      <c r="S998" s="1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3"/>
      <c r="M999" s="2"/>
      <c r="N999" s="2"/>
      <c r="O999" s="2"/>
      <c r="P999" s="2"/>
      <c r="Q999" s="2"/>
      <c r="R999" s="2"/>
      <c r="S999" s="1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3"/>
      <c r="M1000" s="2"/>
      <c r="N1000" s="2"/>
      <c r="O1000" s="2"/>
      <c r="P1000" s="2"/>
      <c r="Q1000" s="2"/>
      <c r="R1000" s="2"/>
      <c r="S1000" s="1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 x14ac:dyDescent="0.35"/>
  <cols>
    <col min="1" max="1" width="2.54296875" customWidth="1"/>
    <col min="2" max="2" width="16.26953125" customWidth="1"/>
    <col min="3" max="3" width="15" customWidth="1"/>
    <col min="4" max="4" width="10.81640625" customWidth="1"/>
    <col min="5" max="5" width="16.08984375" customWidth="1"/>
    <col min="6" max="6" width="13.26953125" customWidth="1"/>
    <col min="7" max="7" width="11.54296875" customWidth="1"/>
    <col min="8" max="8" width="9.54296875" customWidth="1"/>
    <col min="9" max="9" width="13.26953125" customWidth="1"/>
    <col min="10" max="10" width="10.26953125" customWidth="1"/>
    <col min="11" max="11" width="12.7265625" customWidth="1"/>
    <col min="12" max="12" width="11.54296875" customWidth="1"/>
    <col min="13" max="13" width="11.453125" customWidth="1"/>
    <col min="14" max="14" width="8.26953125" customWidth="1"/>
    <col min="15" max="15" width="8.81640625" customWidth="1"/>
    <col min="16" max="17" width="13.26953125" customWidth="1"/>
    <col min="18" max="18" width="7.81640625" customWidth="1"/>
    <col min="19" max="19" width="16.54296875" customWidth="1"/>
    <col min="20" max="20" width="13" customWidth="1"/>
    <col min="21" max="22" width="17.81640625" customWidth="1"/>
    <col min="23" max="23" width="16.08984375" customWidth="1"/>
    <col min="24" max="26" width="8.7265625" customWidth="1"/>
  </cols>
  <sheetData>
    <row r="1" spans="1:26" ht="12.75" customHeight="1" x14ac:dyDescent="0.35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4" t="s">
        <v>0</v>
      </c>
      <c r="T1" s="41">
        <v>5.1999999999999998E-3</v>
      </c>
      <c r="U1" s="4" t="s">
        <v>1</v>
      </c>
      <c r="V1" s="42">
        <f>(V84*$T$1)/U84</f>
        <v>5.5851350674592177E-3</v>
      </c>
      <c r="W1" s="2"/>
      <c r="X1" s="2"/>
      <c r="Y1" s="2"/>
      <c r="Z1" s="2"/>
    </row>
    <row r="2" spans="1:26" ht="12.75" customHeight="1" x14ac:dyDescent="0.35">
      <c r="A2" s="2"/>
      <c r="B2" s="7"/>
      <c r="C2" s="8" t="s">
        <v>2</v>
      </c>
      <c r="D2" s="8"/>
      <c r="E2" s="9" t="s">
        <v>99</v>
      </c>
      <c r="F2" s="10"/>
      <c r="G2" s="11" t="s">
        <v>4</v>
      </c>
      <c r="H2" s="10"/>
      <c r="I2" s="10"/>
      <c r="J2" s="12"/>
      <c r="K2" s="10"/>
      <c r="L2" s="10"/>
      <c r="M2" s="13"/>
      <c r="N2" s="8"/>
      <c r="O2" s="14"/>
      <c r="P2" s="14"/>
      <c r="Q2" s="10"/>
      <c r="R2" s="10"/>
      <c r="S2" s="10"/>
      <c r="T2" s="2"/>
      <c r="U2" s="2"/>
      <c r="V2" s="2"/>
      <c r="W2" s="2"/>
      <c r="X2" s="2"/>
      <c r="Y2" s="2"/>
      <c r="Z2" s="2"/>
    </row>
    <row r="3" spans="1:26" ht="12.75" customHeight="1" x14ac:dyDescent="0.35">
      <c r="A3" s="2"/>
      <c r="B3" s="16" t="s">
        <v>5</v>
      </c>
      <c r="C3" s="16" t="s">
        <v>6</v>
      </c>
      <c r="D3" s="17" t="s">
        <v>7</v>
      </c>
      <c r="E3" s="17" t="s">
        <v>8</v>
      </c>
      <c r="F3" s="17" t="s">
        <v>9</v>
      </c>
      <c r="G3" s="17" t="s">
        <v>10</v>
      </c>
      <c r="H3" s="18" t="s">
        <v>11</v>
      </c>
      <c r="I3" s="17" t="s">
        <v>12</v>
      </c>
      <c r="J3" s="17" t="s">
        <v>13</v>
      </c>
      <c r="K3" s="17" t="s">
        <v>14</v>
      </c>
      <c r="L3" s="17" t="s">
        <v>15</v>
      </c>
      <c r="M3" s="43" t="s">
        <v>16</v>
      </c>
      <c r="N3" s="20" t="s">
        <v>17</v>
      </c>
      <c r="O3" s="20" t="s">
        <v>18</v>
      </c>
      <c r="P3" s="19" t="s">
        <v>19</v>
      </c>
      <c r="Q3" s="19" t="s">
        <v>20</v>
      </c>
      <c r="R3" s="19" t="s">
        <v>21</v>
      </c>
      <c r="S3" s="2"/>
      <c r="T3" s="17" t="s">
        <v>22</v>
      </c>
      <c r="U3" s="19" t="s">
        <v>23</v>
      </c>
      <c r="V3" s="19" t="s">
        <v>24</v>
      </c>
      <c r="W3" s="2"/>
      <c r="X3" s="2"/>
      <c r="Y3" s="2"/>
      <c r="Z3" s="2"/>
    </row>
    <row r="4" spans="1:26" ht="12.75" customHeight="1" x14ac:dyDescent="0.35">
      <c r="A4" s="2"/>
      <c r="B4" s="8" t="s">
        <v>100</v>
      </c>
      <c r="C4" s="8" t="s">
        <v>26</v>
      </c>
      <c r="D4" s="8">
        <v>14</v>
      </c>
      <c r="E4" s="21">
        <v>94</v>
      </c>
      <c r="F4" s="21">
        <v>72</v>
      </c>
      <c r="G4" s="21">
        <v>0</v>
      </c>
      <c r="H4" s="22">
        <v>0</v>
      </c>
      <c r="I4" s="21">
        <v>46</v>
      </c>
      <c r="J4" s="21">
        <v>0</v>
      </c>
      <c r="K4" s="21">
        <f t="shared" ref="K4:K83" si="0">(E4+F4+G4)-(I4+J4)</f>
        <v>120</v>
      </c>
      <c r="L4" s="21">
        <v>76.3333333333333</v>
      </c>
      <c r="M4" s="23">
        <v>23</v>
      </c>
      <c r="N4" s="21">
        <f t="shared" ref="N4:N10" si="1">(L4/(I4+J4))*M4</f>
        <v>38.16666666666665</v>
      </c>
      <c r="O4" s="44">
        <v>67.826086956521735</v>
      </c>
      <c r="P4" s="21">
        <v>0</v>
      </c>
      <c r="Q4" s="21">
        <v>39</v>
      </c>
      <c r="R4" s="21">
        <v>0</v>
      </c>
      <c r="S4" s="2"/>
      <c r="T4" s="25">
        <v>1631375</v>
      </c>
      <c r="U4" s="26">
        <f t="shared" ref="U4:U83" si="2">T4*(I4+J4)</f>
        <v>75043250</v>
      </c>
      <c r="V4" s="26">
        <f t="shared" ref="V4:V83" si="3">T4*L4</f>
        <v>124528291.66666661</v>
      </c>
      <c r="W4" s="2"/>
      <c r="X4" s="2"/>
      <c r="Y4" s="2"/>
      <c r="Z4" s="2"/>
    </row>
    <row r="5" spans="1:26" ht="12.75" customHeight="1" x14ac:dyDescent="0.35">
      <c r="A5" s="2"/>
      <c r="B5" s="8" t="s">
        <v>27</v>
      </c>
      <c r="C5" s="8" t="s">
        <v>26</v>
      </c>
      <c r="D5" s="8">
        <v>14</v>
      </c>
      <c r="E5" s="21">
        <v>124</v>
      </c>
      <c r="F5" s="21">
        <v>0</v>
      </c>
      <c r="G5" s="21">
        <v>0</v>
      </c>
      <c r="H5" s="22">
        <v>0</v>
      </c>
      <c r="I5" s="21">
        <v>24</v>
      </c>
      <c r="J5" s="21">
        <v>0</v>
      </c>
      <c r="K5" s="21">
        <f t="shared" si="0"/>
        <v>100</v>
      </c>
      <c r="L5" s="21">
        <v>100</v>
      </c>
      <c r="M5" s="23">
        <v>23</v>
      </c>
      <c r="N5" s="21">
        <f t="shared" si="1"/>
        <v>95.833333333333343</v>
      </c>
      <c r="O5" s="44">
        <v>108.33333333333334</v>
      </c>
      <c r="P5" s="21">
        <v>7.09</v>
      </c>
      <c r="Q5" s="21">
        <v>50</v>
      </c>
      <c r="R5" s="21">
        <v>50</v>
      </c>
      <c r="S5" s="2"/>
      <c r="T5" s="25">
        <v>844750</v>
      </c>
      <c r="U5" s="26">
        <f t="shared" si="2"/>
        <v>20274000</v>
      </c>
      <c r="V5" s="26">
        <f t="shared" si="3"/>
        <v>84475000</v>
      </c>
      <c r="W5" s="2"/>
      <c r="X5" s="2"/>
      <c r="Y5" s="2"/>
      <c r="Z5" s="2"/>
    </row>
    <row r="6" spans="1:26" ht="12.75" customHeight="1" x14ac:dyDescent="0.35">
      <c r="A6" s="2"/>
      <c r="B6" s="8" t="s">
        <v>28</v>
      </c>
      <c r="C6" s="8" t="s">
        <v>26</v>
      </c>
      <c r="D6" s="8">
        <v>14</v>
      </c>
      <c r="E6" s="21">
        <v>214</v>
      </c>
      <c r="F6" s="21">
        <v>0</v>
      </c>
      <c r="G6" s="21">
        <v>0</v>
      </c>
      <c r="H6" s="22">
        <v>0</v>
      </c>
      <c r="I6" s="21">
        <v>45</v>
      </c>
      <c r="J6" s="21">
        <v>0</v>
      </c>
      <c r="K6" s="21">
        <f t="shared" si="0"/>
        <v>169</v>
      </c>
      <c r="L6" s="21">
        <v>169</v>
      </c>
      <c r="M6" s="23">
        <v>23</v>
      </c>
      <c r="N6" s="21">
        <f t="shared" si="1"/>
        <v>86.37777777777778</v>
      </c>
      <c r="O6" s="44">
        <v>97.644444444444446</v>
      </c>
      <c r="P6" s="21">
        <v>0</v>
      </c>
      <c r="Q6" s="21">
        <v>0</v>
      </c>
      <c r="R6" s="21">
        <v>0</v>
      </c>
      <c r="S6" s="2"/>
      <c r="T6" s="25">
        <v>928605</v>
      </c>
      <c r="U6" s="26">
        <f t="shared" si="2"/>
        <v>41787225</v>
      </c>
      <c r="V6" s="26">
        <f t="shared" si="3"/>
        <v>156934245</v>
      </c>
      <c r="W6" s="2"/>
      <c r="X6" s="2"/>
      <c r="Y6" s="2"/>
      <c r="Z6" s="2"/>
    </row>
    <row r="7" spans="1:26" ht="12.75" customHeight="1" x14ac:dyDescent="0.35">
      <c r="A7" s="2"/>
      <c r="B7" s="8" t="s">
        <v>29</v>
      </c>
      <c r="C7" s="8" t="s">
        <v>26</v>
      </c>
      <c r="D7" s="8">
        <v>14</v>
      </c>
      <c r="E7" s="21">
        <v>53</v>
      </c>
      <c r="F7" s="21">
        <v>202</v>
      </c>
      <c r="G7" s="21">
        <v>0</v>
      </c>
      <c r="H7" s="22">
        <v>0</v>
      </c>
      <c r="I7" s="21">
        <v>143</v>
      </c>
      <c r="J7" s="21">
        <v>0</v>
      </c>
      <c r="K7" s="21">
        <f t="shared" si="0"/>
        <v>112</v>
      </c>
      <c r="L7" s="21">
        <v>84.8</v>
      </c>
      <c r="M7" s="23">
        <v>23</v>
      </c>
      <c r="N7" s="21">
        <f t="shared" si="1"/>
        <v>13.639160839160839</v>
      </c>
      <c r="O7" s="44">
        <v>20.363636363636363</v>
      </c>
      <c r="P7" s="21">
        <v>0</v>
      </c>
      <c r="Q7" s="21">
        <v>50</v>
      </c>
      <c r="R7" s="21">
        <v>50</v>
      </c>
      <c r="S7" s="2"/>
      <c r="T7" s="25">
        <v>1329900</v>
      </c>
      <c r="U7" s="26">
        <f t="shared" si="2"/>
        <v>190175700</v>
      </c>
      <c r="V7" s="26">
        <f t="shared" si="3"/>
        <v>112775520</v>
      </c>
      <c r="W7" s="2"/>
      <c r="X7" s="2"/>
      <c r="Y7" s="2"/>
      <c r="Z7" s="2"/>
    </row>
    <row r="8" spans="1:26" ht="12.75" customHeight="1" x14ac:dyDescent="0.35">
      <c r="A8" s="2"/>
      <c r="B8" s="8" t="s">
        <v>30</v>
      </c>
      <c r="C8" s="8" t="s">
        <v>26</v>
      </c>
      <c r="D8" s="8">
        <v>14</v>
      </c>
      <c r="E8" s="21">
        <v>496</v>
      </c>
      <c r="F8" s="21">
        <v>0</v>
      </c>
      <c r="G8" s="21">
        <v>0</v>
      </c>
      <c r="H8" s="22">
        <v>0</v>
      </c>
      <c r="I8" s="21">
        <v>54</v>
      </c>
      <c r="J8" s="21">
        <v>0</v>
      </c>
      <c r="K8" s="21">
        <f t="shared" si="0"/>
        <v>442</v>
      </c>
      <c r="L8" s="21">
        <v>442</v>
      </c>
      <c r="M8" s="23">
        <v>23</v>
      </c>
      <c r="N8" s="21">
        <f t="shared" si="1"/>
        <v>188.25925925925927</v>
      </c>
      <c r="O8" s="44">
        <v>212.81481481481481</v>
      </c>
      <c r="P8" s="21">
        <v>0</v>
      </c>
      <c r="Q8" s="21">
        <v>0</v>
      </c>
      <c r="R8" s="21">
        <v>0</v>
      </c>
      <c r="S8" s="2"/>
      <c r="T8" s="25">
        <v>841116</v>
      </c>
      <c r="U8" s="26">
        <f t="shared" si="2"/>
        <v>45420264</v>
      </c>
      <c r="V8" s="26">
        <f t="shared" si="3"/>
        <v>371773272</v>
      </c>
      <c r="W8" s="2"/>
      <c r="X8" s="2"/>
      <c r="Y8" s="2"/>
      <c r="Z8" s="2"/>
    </row>
    <row r="9" spans="1:26" ht="12.75" customHeight="1" x14ac:dyDescent="0.35">
      <c r="A9" s="2"/>
      <c r="B9" s="8" t="s">
        <v>31</v>
      </c>
      <c r="C9" s="8" t="s">
        <v>26</v>
      </c>
      <c r="D9" s="8">
        <v>14</v>
      </c>
      <c r="E9" s="21">
        <v>66</v>
      </c>
      <c r="F9" s="21">
        <v>0</v>
      </c>
      <c r="G9" s="21">
        <v>0</v>
      </c>
      <c r="H9" s="22">
        <v>0</v>
      </c>
      <c r="I9" s="21">
        <v>3</v>
      </c>
      <c r="J9" s="21">
        <v>0</v>
      </c>
      <c r="K9" s="21">
        <f t="shared" si="0"/>
        <v>63</v>
      </c>
      <c r="L9" s="21">
        <v>63</v>
      </c>
      <c r="M9" s="23">
        <v>23</v>
      </c>
      <c r="N9" s="21">
        <f t="shared" si="1"/>
        <v>483</v>
      </c>
      <c r="O9" s="44">
        <v>546</v>
      </c>
      <c r="P9" s="21">
        <v>0</v>
      </c>
      <c r="Q9" s="21">
        <v>0</v>
      </c>
      <c r="R9" s="21">
        <v>0</v>
      </c>
      <c r="S9" s="2"/>
      <c r="T9" s="25">
        <v>928605</v>
      </c>
      <c r="U9" s="26">
        <f t="shared" si="2"/>
        <v>2785815</v>
      </c>
      <c r="V9" s="26">
        <f t="shared" si="3"/>
        <v>58502115</v>
      </c>
      <c r="W9" s="2"/>
      <c r="X9" s="2"/>
      <c r="Y9" s="2"/>
      <c r="Z9" s="2"/>
    </row>
    <row r="10" spans="1:26" ht="12.75" customHeight="1" x14ac:dyDescent="0.35">
      <c r="A10" s="2"/>
      <c r="B10" s="8" t="s">
        <v>101</v>
      </c>
      <c r="C10" s="8" t="s">
        <v>26</v>
      </c>
      <c r="D10" s="8">
        <v>14</v>
      </c>
      <c r="E10" s="21">
        <v>102</v>
      </c>
      <c r="F10" s="21">
        <v>105</v>
      </c>
      <c r="G10" s="21">
        <v>0</v>
      </c>
      <c r="H10" s="22">
        <v>0</v>
      </c>
      <c r="I10" s="21">
        <v>89</v>
      </c>
      <c r="J10" s="21">
        <v>0</v>
      </c>
      <c r="K10" s="21">
        <f t="shared" si="0"/>
        <v>118</v>
      </c>
      <c r="L10" s="21">
        <v>65.5</v>
      </c>
      <c r="M10" s="23">
        <v>23</v>
      </c>
      <c r="N10" s="21">
        <f t="shared" si="1"/>
        <v>16.926966292134832</v>
      </c>
      <c r="O10" s="44">
        <v>34.471910112359545</v>
      </c>
      <c r="P10" s="21">
        <v>0</v>
      </c>
      <c r="Q10" s="21">
        <v>0</v>
      </c>
      <c r="R10" s="21">
        <v>0</v>
      </c>
      <c r="S10" s="2"/>
      <c r="T10" s="25">
        <v>165230</v>
      </c>
      <c r="U10" s="26">
        <f t="shared" si="2"/>
        <v>14705470</v>
      </c>
      <c r="V10" s="26">
        <f t="shared" si="3"/>
        <v>10822565</v>
      </c>
      <c r="W10" s="2"/>
      <c r="X10" s="2"/>
      <c r="Y10" s="2"/>
      <c r="Z10" s="2"/>
    </row>
    <row r="11" spans="1:26" ht="12.75" customHeight="1" x14ac:dyDescent="0.35">
      <c r="A11" s="2"/>
      <c r="B11" s="8" t="s">
        <v>102</v>
      </c>
      <c r="C11" s="8" t="s">
        <v>26</v>
      </c>
      <c r="D11" s="8">
        <v>14</v>
      </c>
      <c r="E11" s="21">
        <v>4493</v>
      </c>
      <c r="F11" s="21">
        <v>210</v>
      </c>
      <c r="G11" s="21">
        <v>0</v>
      </c>
      <c r="H11" s="22">
        <v>0</v>
      </c>
      <c r="I11" s="21">
        <v>0</v>
      </c>
      <c r="J11" s="21">
        <v>0</v>
      </c>
      <c r="K11" s="21">
        <f t="shared" si="0"/>
        <v>4703</v>
      </c>
      <c r="L11" s="21">
        <v>4703</v>
      </c>
      <c r="M11" s="23">
        <v>23</v>
      </c>
      <c r="N11" s="21">
        <v>0</v>
      </c>
      <c r="O11" s="44">
        <v>0</v>
      </c>
      <c r="P11" s="21">
        <v>330</v>
      </c>
      <c r="Q11" s="21">
        <v>0</v>
      </c>
      <c r="R11" s="21">
        <v>0</v>
      </c>
      <c r="S11" s="2"/>
      <c r="T11" s="25">
        <v>139965</v>
      </c>
      <c r="U11" s="26">
        <f t="shared" si="2"/>
        <v>0</v>
      </c>
      <c r="V11" s="26">
        <f t="shared" si="3"/>
        <v>658255395</v>
      </c>
      <c r="W11" s="2"/>
      <c r="X11" s="2"/>
      <c r="Y11" s="2"/>
      <c r="Z11" s="2"/>
    </row>
    <row r="12" spans="1:26" ht="12.75" customHeight="1" x14ac:dyDescent="0.35">
      <c r="A12" s="2"/>
      <c r="B12" s="8" t="s">
        <v>103</v>
      </c>
      <c r="C12" s="8" t="s">
        <v>26</v>
      </c>
      <c r="D12" s="8">
        <v>14</v>
      </c>
      <c r="E12" s="21">
        <v>1647</v>
      </c>
      <c r="F12" s="21">
        <v>-0.75</v>
      </c>
      <c r="G12" s="21">
        <v>0</v>
      </c>
      <c r="H12" s="22">
        <v>0</v>
      </c>
      <c r="I12" s="21">
        <v>1152</v>
      </c>
      <c r="J12" s="21">
        <v>0</v>
      </c>
      <c r="K12" s="21">
        <f t="shared" si="0"/>
        <v>494.25</v>
      </c>
      <c r="L12" s="21">
        <v>814.875</v>
      </c>
      <c r="M12" s="23">
        <v>23</v>
      </c>
      <c r="N12" s="21">
        <f t="shared" ref="N12:N41" si="4">(L12/(I12+J12))*M12</f>
        <v>16.269205729166668</v>
      </c>
      <c r="O12" s="44">
        <v>11.154947916666666</v>
      </c>
      <c r="P12" s="21">
        <v>0</v>
      </c>
      <c r="Q12" s="21">
        <v>0</v>
      </c>
      <c r="R12" s="21">
        <v>0</v>
      </c>
      <c r="S12" s="2"/>
      <c r="T12" s="25">
        <v>139965</v>
      </c>
      <c r="U12" s="26">
        <f t="shared" si="2"/>
        <v>161239680</v>
      </c>
      <c r="V12" s="26">
        <f t="shared" si="3"/>
        <v>114053979.375</v>
      </c>
      <c r="W12" s="2"/>
      <c r="X12" s="2"/>
      <c r="Y12" s="2"/>
      <c r="Z12" s="2"/>
    </row>
    <row r="13" spans="1:26" ht="12.75" customHeight="1" x14ac:dyDescent="0.35">
      <c r="A13" s="2"/>
      <c r="B13" s="8" t="s">
        <v>32</v>
      </c>
      <c r="C13" s="8" t="s">
        <v>26</v>
      </c>
      <c r="D13" s="8">
        <v>14</v>
      </c>
      <c r="E13" s="21">
        <v>165</v>
      </c>
      <c r="F13" s="21">
        <v>0</v>
      </c>
      <c r="G13" s="21">
        <v>0</v>
      </c>
      <c r="H13" s="22">
        <v>0</v>
      </c>
      <c r="I13" s="21">
        <v>57</v>
      </c>
      <c r="J13" s="21">
        <v>0</v>
      </c>
      <c r="K13" s="21">
        <f t="shared" si="0"/>
        <v>108</v>
      </c>
      <c r="L13" s="21">
        <v>130.71428571428601</v>
      </c>
      <c r="M13" s="23">
        <v>23</v>
      </c>
      <c r="N13" s="21">
        <f t="shared" si="4"/>
        <v>52.744360902255757</v>
      </c>
      <c r="O13" s="44">
        <v>49.263157894736842</v>
      </c>
      <c r="P13" s="21">
        <v>0</v>
      </c>
      <c r="Q13" s="21">
        <v>0</v>
      </c>
      <c r="R13" s="21">
        <v>0</v>
      </c>
      <c r="S13" s="2"/>
      <c r="T13" s="25">
        <v>3438210</v>
      </c>
      <c r="U13" s="26">
        <f t="shared" si="2"/>
        <v>195977970</v>
      </c>
      <c r="V13" s="26">
        <f t="shared" si="3"/>
        <v>449423164.28571528</v>
      </c>
      <c r="W13" s="2"/>
      <c r="X13" s="2"/>
      <c r="Y13" s="2"/>
      <c r="Z13" s="2"/>
    </row>
    <row r="14" spans="1:26" ht="12.75" customHeight="1" x14ac:dyDescent="0.35">
      <c r="A14" s="2"/>
      <c r="B14" s="8" t="s">
        <v>33</v>
      </c>
      <c r="C14" s="8" t="s">
        <v>26</v>
      </c>
      <c r="D14" s="8">
        <v>14</v>
      </c>
      <c r="E14" s="21">
        <v>1785</v>
      </c>
      <c r="F14" s="21">
        <v>154</v>
      </c>
      <c r="G14" s="21">
        <v>0</v>
      </c>
      <c r="H14" s="22">
        <v>0</v>
      </c>
      <c r="I14" s="21">
        <v>1152</v>
      </c>
      <c r="J14" s="21">
        <v>0</v>
      </c>
      <c r="K14" s="21">
        <f t="shared" si="0"/>
        <v>787</v>
      </c>
      <c r="L14" s="21">
        <v>1313.57142857143</v>
      </c>
      <c r="M14" s="23">
        <v>23</v>
      </c>
      <c r="N14" s="21">
        <f t="shared" si="4"/>
        <v>26.225818452380981</v>
      </c>
      <c r="O14" s="44">
        <v>17.762152777777779</v>
      </c>
      <c r="P14" s="21">
        <v>0</v>
      </c>
      <c r="Q14" s="21">
        <v>1000</v>
      </c>
      <c r="R14" s="21">
        <v>0</v>
      </c>
      <c r="S14" s="2"/>
      <c r="T14" s="25">
        <v>165230</v>
      </c>
      <c r="U14" s="26">
        <f t="shared" si="2"/>
        <v>190344960</v>
      </c>
      <c r="V14" s="26">
        <f t="shared" si="3"/>
        <v>217041407.14285737</v>
      </c>
      <c r="W14" s="2"/>
      <c r="X14" s="2"/>
      <c r="Y14" s="2"/>
      <c r="Z14" s="2"/>
    </row>
    <row r="15" spans="1:26" ht="12.75" customHeight="1" x14ac:dyDescent="0.35">
      <c r="A15" s="2"/>
      <c r="B15" s="8" t="s">
        <v>34</v>
      </c>
      <c r="C15" s="8" t="s">
        <v>26</v>
      </c>
      <c r="D15" s="8">
        <v>14</v>
      </c>
      <c r="E15" s="21">
        <v>232</v>
      </c>
      <c r="F15" s="21">
        <v>58</v>
      </c>
      <c r="G15" s="21">
        <v>0</v>
      </c>
      <c r="H15" s="22">
        <v>0</v>
      </c>
      <c r="I15" s="21">
        <v>20</v>
      </c>
      <c r="J15" s="21">
        <v>0</v>
      </c>
      <c r="K15" s="21">
        <f t="shared" si="0"/>
        <v>270</v>
      </c>
      <c r="L15" s="21">
        <v>246.5</v>
      </c>
      <c r="M15" s="23">
        <v>23</v>
      </c>
      <c r="N15" s="21">
        <f t="shared" si="4"/>
        <v>283.47499999999997</v>
      </c>
      <c r="O15" s="44">
        <v>351</v>
      </c>
      <c r="P15" s="21">
        <v>2</v>
      </c>
      <c r="Q15" s="21">
        <v>0</v>
      </c>
      <c r="R15" s="21">
        <v>30</v>
      </c>
      <c r="S15" s="2"/>
      <c r="T15" s="25">
        <v>1516675</v>
      </c>
      <c r="U15" s="26">
        <f t="shared" si="2"/>
        <v>30333500</v>
      </c>
      <c r="V15" s="26">
        <f t="shared" si="3"/>
        <v>373860387.5</v>
      </c>
      <c r="W15" s="2"/>
      <c r="X15" s="2"/>
      <c r="Y15" s="2"/>
      <c r="Z15" s="2"/>
    </row>
    <row r="16" spans="1:26" ht="12.75" customHeight="1" x14ac:dyDescent="0.35">
      <c r="A16" s="2"/>
      <c r="B16" s="8" t="s">
        <v>35</v>
      </c>
      <c r="C16" s="8" t="s">
        <v>26</v>
      </c>
      <c r="D16" s="8">
        <v>14</v>
      </c>
      <c r="E16" s="21">
        <v>69</v>
      </c>
      <c r="F16" s="21">
        <v>0</v>
      </c>
      <c r="G16" s="21">
        <v>0</v>
      </c>
      <c r="H16" s="22">
        <v>0</v>
      </c>
      <c r="I16" s="21">
        <v>10</v>
      </c>
      <c r="J16" s="21">
        <v>0</v>
      </c>
      <c r="K16" s="21">
        <f t="shared" si="0"/>
        <v>59</v>
      </c>
      <c r="L16" s="21">
        <v>63.6666666666667</v>
      </c>
      <c r="M16" s="23">
        <v>23</v>
      </c>
      <c r="N16" s="21">
        <f t="shared" si="4"/>
        <v>146.43333333333339</v>
      </c>
      <c r="O16" s="44">
        <v>153.4</v>
      </c>
      <c r="P16" s="21">
        <v>0</v>
      </c>
      <c r="Q16" s="21">
        <v>0</v>
      </c>
      <c r="R16" s="21">
        <v>0</v>
      </c>
      <c r="S16" s="2"/>
      <c r="T16" s="25">
        <v>1516675</v>
      </c>
      <c r="U16" s="26">
        <f t="shared" si="2"/>
        <v>15166750</v>
      </c>
      <c r="V16" s="26">
        <f t="shared" si="3"/>
        <v>96561641.666666716</v>
      </c>
      <c r="W16" s="2"/>
      <c r="X16" s="2"/>
      <c r="Y16" s="2"/>
      <c r="Z16" s="2"/>
    </row>
    <row r="17" spans="1:26" ht="12.75" customHeight="1" x14ac:dyDescent="0.35">
      <c r="A17" s="2"/>
      <c r="B17" s="8" t="s">
        <v>36</v>
      </c>
      <c r="C17" s="8" t="s">
        <v>26</v>
      </c>
      <c r="D17" s="8">
        <v>14</v>
      </c>
      <c r="E17" s="21">
        <v>27</v>
      </c>
      <c r="F17" s="21">
        <v>0</v>
      </c>
      <c r="G17" s="21">
        <v>0</v>
      </c>
      <c r="H17" s="22">
        <v>0</v>
      </c>
      <c r="I17" s="21">
        <v>8</v>
      </c>
      <c r="J17" s="21">
        <v>0</v>
      </c>
      <c r="K17" s="21">
        <f t="shared" si="0"/>
        <v>19</v>
      </c>
      <c r="L17" s="21">
        <v>21.6666666666667</v>
      </c>
      <c r="M17" s="23">
        <v>23</v>
      </c>
      <c r="N17" s="21">
        <f t="shared" si="4"/>
        <v>62.291666666666764</v>
      </c>
      <c r="O17" s="44">
        <v>61.75</v>
      </c>
      <c r="P17" s="21">
        <v>0</v>
      </c>
      <c r="Q17" s="21">
        <v>0</v>
      </c>
      <c r="R17" s="21">
        <v>0</v>
      </c>
      <c r="S17" s="2"/>
      <c r="T17" s="25">
        <v>1516675</v>
      </c>
      <c r="U17" s="26">
        <f t="shared" si="2"/>
        <v>12133400</v>
      </c>
      <c r="V17" s="26">
        <f t="shared" si="3"/>
        <v>32861291.666666716</v>
      </c>
      <c r="W17" s="2"/>
      <c r="X17" s="2"/>
      <c r="Y17" s="2"/>
      <c r="Z17" s="2"/>
    </row>
    <row r="18" spans="1:26" ht="12.75" customHeight="1" x14ac:dyDescent="0.35">
      <c r="A18" s="2"/>
      <c r="B18" s="8" t="s">
        <v>37</v>
      </c>
      <c r="C18" s="8" t="s">
        <v>26</v>
      </c>
      <c r="D18" s="8">
        <v>14</v>
      </c>
      <c r="E18" s="21">
        <v>46</v>
      </c>
      <c r="F18" s="21">
        <v>29</v>
      </c>
      <c r="G18" s="21">
        <v>0</v>
      </c>
      <c r="H18" s="22">
        <v>0</v>
      </c>
      <c r="I18" s="21">
        <v>14</v>
      </c>
      <c r="J18" s="21">
        <v>0</v>
      </c>
      <c r="K18" s="21">
        <f t="shared" si="0"/>
        <v>61</v>
      </c>
      <c r="L18" s="21">
        <v>57.142857142857096</v>
      </c>
      <c r="M18" s="23">
        <v>23</v>
      </c>
      <c r="N18" s="21">
        <f t="shared" si="4"/>
        <v>93.877551020408077</v>
      </c>
      <c r="O18" s="44">
        <v>113.28571428571428</v>
      </c>
      <c r="P18" s="21">
        <v>0</v>
      </c>
      <c r="Q18" s="21">
        <v>0</v>
      </c>
      <c r="R18" s="21">
        <v>0</v>
      </c>
      <c r="S18" s="2"/>
      <c r="T18" s="25">
        <v>1516675</v>
      </c>
      <c r="U18" s="26">
        <f t="shared" si="2"/>
        <v>21233450</v>
      </c>
      <c r="V18" s="26">
        <f t="shared" si="3"/>
        <v>86667142.857142791</v>
      </c>
      <c r="W18" s="2"/>
      <c r="X18" s="2"/>
      <c r="Y18" s="2"/>
      <c r="Z18" s="2"/>
    </row>
    <row r="19" spans="1:26" ht="12.75" customHeight="1" x14ac:dyDescent="0.35">
      <c r="A19" s="2"/>
      <c r="B19" s="8" t="s">
        <v>38</v>
      </c>
      <c r="C19" s="8" t="s">
        <v>26</v>
      </c>
      <c r="D19" s="8">
        <v>14</v>
      </c>
      <c r="E19" s="21">
        <v>61</v>
      </c>
      <c r="F19" s="21">
        <v>45</v>
      </c>
      <c r="G19" s="21">
        <v>0</v>
      </c>
      <c r="H19" s="22">
        <v>0</v>
      </c>
      <c r="I19" s="21">
        <v>47</v>
      </c>
      <c r="J19" s="21">
        <v>0</v>
      </c>
      <c r="K19" s="21">
        <f t="shared" si="0"/>
        <v>59</v>
      </c>
      <c r="L19" s="21">
        <v>45.8333333333333</v>
      </c>
      <c r="M19" s="23">
        <v>23</v>
      </c>
      <c r="N19" s="21">
        <f t="shared" si="4"/>
        <v>22.42907801418438</v>
      </c>
      <c r="O19" s="44">
        <v>32.638297872340424</v>
      </c>
      <c r="P19" s="21">
        <v>0</v>
      </c>
      <c r="Q19" s="21">
        <v>0</v>
      </c>
      <c r="R19" s="21">
        <v>0</v>
      </c>
      <c r="S19" s="2"/>
      <c r="T19" s="25">
        <v>1516675</v>
      </c>
      <c r="U19" s="26">
        <f t="shared" si="2"/>
        <v>71283725</v>
      </c>
      <c r="V19" s="26">
        <f t="shared" si="3"/>
        <v>69514270.833333284</v>
      </c>
      <c r="W19" s="2"/>
      <c r="X19" s="2"/>
      <c r="Y19" s="2"/>
      <c r="Z19" s="2"/>
    </row>
    <row r="20" spans="1:26" ht="12.75" customHeight="1" x14ac:dyDescent="0.35">
      <c r="A20" s="2"/>
      <c r="B20" s="8" t="s">
        <v>39</v>
      </c>
      <c r="C20" s="8" t="s">
        <v>26</v>
      </c>
      <c r="D20" s="8">
        <v>14</v>
      </c>
      <c r="E20" s="21">
        <v>71</v>
      </c>
      <c r="F20" s="21">
        <v>0</v>
      </c>
      <c r="G20" s="21">
        <v>0</v>
      </c>
      <c r="H20" s="22">
        <v>0</v>
      </c>
      <c r="I20" s="21">
        <v>12</v>
      </c>
      <c r="J20" s="21">
        <v>0</v>
      </c>
      <c r="K20" s="21">
        <f t="shared" si="0"/>
        <v>59</v>
      </c>
      <c r="L20" s="21">
        <v>64</v>
      </c>
      <c r="M20" s="23">
        <v>23</v>
      </c>
      <c r="N20" s="21">
        <f t="shared" si="4"/>
        <v>122.66666666666666</v>
      </c>
      <c r="O20" s="44">
        <v>127.83333333333334</v>
      </c>
      <c r="P20" s="21">
        <v>0</v>
      </c>
      <c r="Q20" s="21">
        <v>0</v>
      </c>
      <c r="R20" s="21">
        <v>0</v>
      </c>
      <c r="S20" s="2"/>
      <c r="T20" s="25">
        <v>1516675</v>
      </c>
      <c r="U20" s="26">
        <f t="shared" si="2"/>
        <v>18200100</v>
      </c>
      <c r="V20" s="26">
        <f t="shared" si="3"/>
        <v>97067200</v>
      </c>
      <c r="W20" s="2"/>
      <c r="X20" s="2"/>
      <c r="Y20" s="2"/>
      <c r="Z20" s="2"/>
    </row>
    <row r="21" spans="1:26" ht="12.75" customHeight="1" x14ac:dyDescent="0.35">
      <c r="A21" s="2"/>
      <c r="B21" s="8" t="s">
        <v>40</v>
      </c>
      <c r="C21" s="8" t="s">
        <v>26</v>
      </c>
      <c r="D21" s="8">
        <v>14</v>
      </c>
      <c r="E21" s="21">
        <v>100</v>
      </c>
      <c r="F21" s="21">
        <v>353</v>
      </c>
      <c r="G21" s="21">
        <v>0</v>
      </c>
      <c r="H21" s="22">
        <v>0</v>
      </c>
      <c r="I21" s="21">
        <v>309</v>
      </c>
      <c r="J21" s="21">
        <v>0</v>
      </c>
      <c r="K21" s="21">
        <f t="shared" si="0"/>
        <v>144</v>
      </c>
      <c r="L21" s="21">
        <v>99.076923076923094</v>
      </c>
      <c r="M21" s="23">
        <v>23</v>
      </c>
      <c r="N21" s="21">
        <f t="shared" si="4"/>
        <v>7.3746577047547932</v>
      </c>
      <c r="O21" s="44">
        <v>12.116504854368932</v>
      </c>
      <c r="P21" s="21">
        <v>5</v>
      </c>
      <c r="Q21" s="21">
        <v>50</v>
      </c>
      <c r="R21" s="21">
        <v>50</v>
      </c>
      <c r="S21" s="2"/>
      <c r="T21" s="25">
        <v>1345865</v>
      </c>
      <c r="U21" s="26">
        <f t="shared" si="2"/>
        <v>415872285</v>
      </c>
      <c r="V21" s="26">
        <f t="shared" si="3"/>
        <v>133344163.0769231</v>
      </c>
      <c r="W21" s="2"/>
      <c r="X21" s="2"/>
      <c r="Y21" s="2"/>
      <c r="Z21" s="2"/>
    </row>
    <row r="22" spans="1:26" ht="12.75" customHeight="1" x14ac:dyDescent="0.35">
      <c r="A22" s="2"/>
      <c r="B22" s="8" t="s">
        <v>41</v>
      </c>
      <c r="C22" s="8" t="s">
        <v>26</v>
      </c>
      <c r="D22" s="8">
        <v>14</v>
      </c>
      <c r="E22" s="21">
        <v>14</v>
      </c>
      <c r="F22" s="21">
        <v>0</v>
      </c>
      <c r="G22" s="21">
        <v>0</v>
      </c>
      <c r="H22" s="22">
        <v>0</v>
      </c>
      <c r="I22" s="21">
        <v>10</v>
      </c>
      <c r="J22" s="21">
        <v>0</v>
      </c>
      <c r="K22" s="21">
        <f t="shared" si="0"/>
        <v>4</v>
      </c>
      <c r="L22" s="21">
        <v>5</v>
      </c>
      <c r="M22" s="23">
        <v>23</v>
      </c>
      <c r="N22" s="21">
        <f t="shared" si="4"/>
        <v>11.5</v>
      </c>
      <c r="O22" s="44">
        <v>10.4</v>
      </c>
      <c r="P22" s="21">
        <v>0</v>
      </c>
      <c r="Q22" s="21">
        <v>0</v>
      </c>
      <c r="R22" s="21">
        <v>0</v>
      </c>
      <c r="S22" s="2"/>
      <c r="T22" s="25">
        <v>1326180</v>
      </c>
      <c r="U22" s="26">
        <f t="shared" si="2"/>
        <v>13261800</v>
      </c>
      <c r="V22" s="26">
        <f t="shared" si="3"/>
        <v>6630900</v>
      </c>
      <c r="W22" s="2"/>
      <c r="X22" s="2"/>
      <c r="Y22" s="2"/>
      <c r="Z22" s="2"/>
    </row>
    <row r="23" spans="1:26" ht="12.75" customHeight="1" x14ac:dyDescent="0.35">
      <c r="A23" s="2"/>
      <c r="B23" s="8" t="s">
        <v>42</v>
      </c>
      <c r="C23" s="8" t="s">
        <v>26</v>
      </c>
      <c r="D23" s="8">
        <v>14</v>
      </c>
      <c r="E23" s="21">
        <v>69</v>
      </c>
      <c r="F23" s="21">
        <v>69</v>
      </c>
      <c r="G23" s="21">
        <v>0</v>
      </c>
      <c r="H23" s="22">
        <v>0</v>
      </c>
      <c r="I23" s="21">
        <v>69</v>
      </c>
      <c r="J23" s="21">
        <v>0</v>
      </c>
      <c r="K23" s="21">
        <f t="shared" si="0"/>
        <v>69</v>
      </c>
      <c r="L23" s="21">
        <v>34.5</v>
      </c>
      <c r="M23" s="23">
        <v>23</v>
      </c>
      <c r="N23" s="21">
        <f t="shared" si="4"/>
        <v>11.5</v>
      </c>
      <c r="O23" s="44">
        <v>26</v>
      </c>
      <c r="P23" s="21">
        <v>0</v>
      </c>
      <c r="Q23" s="21">
        <v>31</v>
      </c>
      <c r="R23" s="21">
        <v>0</v>
      </c>
      <c r="S23" s="2"/>
      <c r="T23" s="25">
        <v>542345</v>
      </c>
      <c r="U23" s="26">
        <f t="shared" si="2"/>
        <v>37421805</v>
      </c>
      <c r="V23" s="26">
        <f t="shared" si="3"/>
        <v>18710902.5</v>
      </c>
      <c r="W23" s="2"/>
      <c r="X23" s="2"/>
      <c r="Y23" s="2"/>
      <c r="Z23" s="2"/>
    </row>
    <row r="24" spans="1:26" ht="12.75" customHeight="1" x14ac:dyDescent="0.35">
      <c r="A24" s="2"/>
      <c r="B24" s="8" t="s">
        <v>43</v>
      </c>
      <c r="C24" s="8" t="s">
        <v>26</v>
      </c>
      <c r="D24" s="8">
        <v>14</v>
      </c>
      <c r="E24" s="21">
        <v>2132</v>
      </c>
      <c r="F24" s="21">
        <v>0</v>
      </c>
      <c r="G24" s="21">
        <v>0</v>
      </c>
      <c r="H24" s="22">
        <v>0</v>
      </c>
      <c r="I24" s="21">
        <v>1277</v>
      </c>
      <c r="J24" s="21">
        <v>0</v>
      </c>
      <c r="K24" s="21">
        <f t="shared" si="0"/>
        <v>855</v>
      </c>
      <c r="L24" s="21">
        <v>1404.6315789473699</v>
      </c>
      <c r="M24" s="23">
        <v>23</v>
      </c>
      <c r="N24" s="21">
        <f t="shared" si="4"/>
        <v>25.298767670939316</v>
      </c>
      <c r="O24" s="44">
        <v>17.4079874706343</v>
      </c>
      <c r="P24" s="21">
        <v>2</v>
      </c>
      <c r="Q24" s="21">
        <v>1600</v>
      </c>
      <c r="R24" s="21">
        <v>0</v>
      </c>
      <c r="S24" s="2"/>
      <c r="T24" s="25">
        <v>1054620</v>
      </c>
      <c r="U24" s="26">
        <f t="shared" si="2"/>
        <v>1346749740</v>
      </c>
      <c r="V24" s="26">
        <f t="shared" si="3"/>
        <v>1481352555.7894752</v>
      </c>
      <c r="W24" s="2"/>
      <c r="X24" s="2"/>
      <c r="Y24" s="2"/>
      <c r="Z24" s="2"/>
    </row>
    <row r="25" spans="1:26" ht="12.75" customHeight="1" x14ac:dyDescent="0.35">
      <c r="A25" s="2"/>
      <c r="B25" s="8" t="s">
        <v>44</v>
      </c>
      <c r="C25" s="8" t="s">
        <v>26</v>
      </c>
      <c r="D25" s="8">
        <v>14</v>
      </c>
      <c r="E25" s="21">
        <v>681</v>
      </c>
      <c r="F25" s="21">
        <v>0</v>
      </c>
      <c r="G25" s="21">
        <v>0</v>
      </c>
      <c r="H25" s="22">
        <v>0</v>
      </c>
      <c r="I25" s="21">
        <v>270</v>
      </c>
      <c r="J25" s="21">
        <v>0</v>
      </c>
      <c r="K25" s="21">
        <f t="shared" si="0"/>
        <v>411</v>
      </c>
      <c r="L25" s="21">
        <v>532.5</v>
      </c>
      <c r="M25" s="23">
        <v>23</v>
      </c>
      <c r="N25" s="21">
        <f t="shared" si="4"/>
        <v>45.361111111111114</v>
      </c>
      <c r="O25" s="44">
        <v>39.577777777777776</v>
      </c>
      <c r="P25" s="21">
        <v>0</v>
      </c>
      <c r="Q25" s="21">
        <v>0</v>
      </c>
      <c r="R25" s="21">
        <v>0</v>
      </c>
      <c r="S25" s="2"/>
      <c r="T25" s="25">
        <v>848935</v>
      </c>
      <c r="U25" s="26">
        <f t="shared" si="2"/>
        <v>229212450</v>
      </c>
      <c r="V25" s="26">
        <f t="shared" si="3"/>
        <v>452057887.5</v>
      </c>
      <c r="W25" s="2"/>
      <c r="X25" s="2"/>
      <c r="Y25" s="2"/>
      <c r="Z25" s="2"/>
    </row>
    <row r="26" spans="1:26" ht="12.75" customHeight="1" x14ac:dyDescent="0.35">
      <c r="A26" s="2"/>
      <c r="B26" s="8" t="s">
        <v>45</v>
      </c>
      <c r="C26" s="8" t="s">
        <v>26</v>
      </c>
      <c r="D26" s="8">
        <v>14</v>
      </c>
      <c r="E26" s="21">
        <v>2084.17</v>
      </c>
      <c r="F26" s="21">
        <v>46</v>
      </c>
      <c r="G26" s="21">
        <v>0</v>
      </c>
      <c r="H26" s="22">
        <v>0</v>
      </c>
      <c r="I26" s="21">
        <v>1356</v>
      </c>
      <c r="J26" s="21">
        <v>0</v>
      </c>
      <c r="K26" s="21">
        <f t="shared" si="0"/>
        <v>774.17000000000007</v>
      </c>
      <c r="L26" s="21">
        <v>1379.9427272727301</v>
      </c>
      <c r="M26" s="23">
        <v>23</v>
      </c>
      <c r="N26" s="21">
        <f t="shared" si="4"/>
        <v>23.406108205953387</v>
      </c>
      <c r="O26" s="44">
        <v>14.84396755162242</v>
      </c>
      <c r="P26" s="21">
        <v>28</v>
      </c>
      <c r="Q26" s="21">
        <v>0</v>
      </c>
      <c r="R26" s="21">
        <v>0</v>
      </c>
      <c r="S26" s="2"/>
      <c r="T26" s="25">
        <v>2021820</v>
      </c>
      <c r="U26" s="26">
        <f t="shared" si="2"/>
        <v>2741587920</v>
      </c>
      <c r="V26" s="26">
        <f t="shared" si="3"/>
        <v>2789995804.8545508</v>
      </c>
      <c r="W26" s="2"/>
      <c r="X26" s="2"/>
      <c r="Y26" s="2"/>
      <c r="Z26" s="2"/>
    </row>
    <row r="27" spans="1:26" ht="12.75" customHeight="1" x14ac:dyDescent="0.35">
      <c r="A27" s="2"/>
      <c r="B27" s="8" t="s">
        <v>46</v>
      </c>
      <c r="C27" s="8" t="s">
        <v>26</v>
      </c>
      <c r="D27" s="8">
        <v>14</v>
      </c>
      <c r="E27" s="21">
        <v>648</v>
      </c>
      <c r="F27" s="21">
        <v>870</v>
      </c>
      <c r="G27" s="21">
        <v>0</v>
      </c>
      <c r="H27" s="22">
        <v>0</v>
      </c>
      <c r="I27" s="21">
        <v>969</v>
      </c>
      <c r="J27" s="21">
        <v>0</v>
      </c>
      <c r="K27" s="21">
        <f t="shared" si="0"/>
        <v>549</v>
      </c>
      <c r="L27" s="21">
        <v>513.85714285714312</v>
      </c>
      <c r="M27" s="23">
        <v>23</v>
      </c>
      <c r="N27" s="21">
        <f t="shared" si="4"/>
        <v>12.196815568332601</v>
      </c>
      <c r="O27" s="44">
        <v>14.730650154798761</v>
      </c>
      <c r="P27" s="21">
        <v>0</v>
      </c>
      <c r="Q27" s="21">
        <v>1000</v>
      </c>
      <c r="R27" s="21">
        <v>0</v>
      </c>
      <c r="S27" s="2"/>
      <c r="T27" s="25">
        <v>819485</v>
      </c>
      <c r="U27" s="26">
        <f t="shared" si="2"/>
        <v>794080965</v>
      </c>
      <c r="V27" s="26">
        <f t="shared" si="3"/>
        <v>421098220.71428591</v>
      </c>
      <c r="W27" s="2"/>
      <c r="X27" s="2"/>
      <c r="Y27" s="2"/>
      <c r="Z27" s="2"/>
    </row>
    <row r="28" spans="1:26" ht="12.75" customHeight="1" x14ac:dyDescent="0.35">
      <c r="A28" s="2"/>
      <c r="B28" s="8" t="s">
        <v>47</v>
      </c>
      <c r="C28" s="8" t="s">
        <v>26</v>
      </c>
      <c r="D28" s="8">
        <v>14</v>
      </c>
      <c r="E28" s="21">
        <v>51</v>
      </c>
      <c r="F28" s="21">
        <v>100</v>
      </c>
      <c r="G28" s="21">
        <v>0</v>
      </c>
      <c r="H28" s="22">
        <v>0</v>
      </c>
      <c r="I28" s="21">
        <v>101</v>
      </c>
      <c r="J28" s="21">
        <v>0</v>
      </c>
      <c r="K28" s="21">
        <f t="shared" si="0"/>
        <v>50</v>
      </c>
      <c r="L28" s="21">
        <v>91</v>
      </c>
      <c r="M28" s="23">
        <v>23</v>
      </c>
      <c r="N28" s="21">
        <f t="shared" si="4"/>
        <v>20.722772277227723</v>
      </c>
      <c r="O28" s="44">
        <v>12.871287128712872</v>
      </c>
      <c r="P28" s="21">
        <v>0</v>
      </c>
      <c r="Q28" s="21">
        <v>100</v>
      </c>
      <c r="R28" s="21">
        <v>0</v>
      </c>
      <c r="S28" s="2"/>
      <c r="T28" s="25">
        <v>1272550</v>
      </c>
      <c r="U28" s="26">
        <f t="shared" si="2"/>
        <v>128527550</v>
      </c>
      <c r="V28" s="26">
        <f t="shared" si="3"/>
        <v>115802050</v>
      </c>
      <c r="W28" s="2"/>
      <c r="X28" s="2"/>
      <c r="Y28" s="2"/>
      <c r="Z28" s="2"/>
    </row>
    <row r="29" spans="1:26" ht="12.75" customHeight="1" x14ac:dyDescent="0.35">
      <c r="A29" s="2"/>
      <c r="B29" s="8" t="s">
        <v>48</v>
      </c>
      <c r="C29" s="8" t="s">
        <v>26</v>
      </c>
      <c r="D29" s="8">
        <v>14</v>
      </c>
      <c r="E29" s="21">
        <v>210</v>
      </c>
      <c r="F29" s="21">
        <v>101</v>
      </c>
      <c r="G29" s="21">
        <v>0</v>
      </c>
      <c r="H29" s="22">
        <v>0</v>
      </c>
      <c r="I29" s="21">
        <v>92</v>
      </c>
      <c r="J29" s="21">
        <v>0</v>
      </c>
      <c r="K29" s="21">
        <f t="shared" si="0"/>
        <v>219</v>
      </c>
      <c r="L29" s="21">
        <v>261.66666666666703</v>
      </c>
      <c r="M29" s="23">
        <v>23</v>
      </c>
      <c r="N29" s="21">
        <f t="shared" si="4"/>
        <v>65.416666666666757</v>
      </c>
      <c r="O29" s="44">
        <v>61.891304347826093</v>
      </c>
      <c r="P29" s="21">
        <v>0</v>
      </c>
      <c r="Q29" s="21">
        <v>0</v>
      </c>
      <c r="R29" s="21">
        <v>0</v>
      </c>
      <c r="S29" s="2"/>
      <c r="T29" s="25">
        <v>1272550</v>
      </c>
      <c r="U29" s="26">
        <f t="shared" si="2"/>
        <v>117074600</v>
      </c>
      <c r="V29" s="26">
        <f t="shared" si="3"/>
        <v>332983916.6666671</v>
      </c>
      <c r="W29" s="2"/>
      <c r="X29" s="2"/>
      <c r="Y29" s="2"/>
      <c r="Z29" s="2"/>
    </row>
    <row r="30" spans="1:26" ht="12.75" customHeight="1" x14ac:dyDescent="0.35">
      <c r="A30" s="2"/>
      <c r="B30" s="8" t="s">
        <v>49</v>
      </c>
      <c r="C30" s="8" t="s">
        <v>26</v>
      </c>
      <c r="D30" s="8">
        <v>14</v>
      </c>
      <c r="E30" s="21">
        <v>488</v>
      </c>
      <c r="F30" s="21">
        <v>700</v>
      </c>
      <c r="G30" s="21">
        <v>0</v>
      </c>
      <c r="H30" s="22">
        <v>0</v>
      </c>
      <c r="I30" s="21">
        <v>795</v>
      </c>
      <c r="J30" s="21">
        <v>0</v>
      </c>
      <c r="K30" s="21">
        <f t="shared" si="0"/>
        <v>393</v>
      </c>
      <c r="L30" s="21">
        <v>427.125</v>
      </c>
      <c r="M30" s="23">
        <v>23</v>
      </c>
      <c r="N30" s="21">
        <f t="shared" si="4"/>
        <v>12.357075471698112</v>
      </c>
      <c r="O30" s="44">
        <v>12.852830188679246</v>
      </c>
      <c r="P30" s="21">
        <v>0</v>
      </c>
      <c r="Q30" s="21">
        <v>808</v>
      </c>
      <c r="R30" s="21">
        <v>0</v>
      </c>
      <c r="S30" s="2"/>
      <c r="T30" s="25">
        <v>819485</v>
      </c>
      <c r="U30" s="26">
        <f t="shared" si="2"/>
        <v>651490575</v>
      </c>
      <c r="V30" s="26">
        <f t="shared" si="3"/>
        <v>350022530.625</v>
      </c>
      <c r="W30" s="2"/>
      <c r="X30" s="2"/>
      <c r="Y30" s="2"/>
      <c r="Z30" s="2"/>
    </row>
    <row r="31" spans="1:26" ht="12.75" customHeight="1" x14ac:dyDescent="0.35">
      <c r="A31" s="2"/>
      <c r="B31" s="8" t="s">
        <v>50</v>
      </c>
      <c r="C31" s="8" t="s">
        <v>26</v>
      </c>
      <c r="D31" s="8">
        <v>14</v>
      </c>
      <c r="E31" s="21">
        <v>91</v>
      </c>
      <c r="F31" s="21">
        <v>0</v>
      </c>
      <c r="G31" s="21">
        <v>0</v>
      </c>
      <c r="H31" s="22">
        <v>0</v>
      </c>
      <c r="I31" s="21">
        <v>92</v>
      </c>
      <c r="J31" s="21">
        <v>-1</v>
      </c>
      <c r="K31" s="21">
        <f t="shared" si="0"/>
        <v>0</v>
      </c>
      <c r="L31" s="21">
        <v>11</v>
      </c>
      <c r="M31" s="23">
        <v>23</v>
      </c>
      <c r="N31" s="21">
        <f t="shared" si="4"/>
        <v>2.7802197802197801</v>
      </c>
      <c r="O31" s="44">
        <v>0</v>
      </c>
      <c r="P31" s="21">
        <v>0</v>
      </c>
      <c r="Q31" s="21">
        <v>0</v>
      </c>
      <c r="R31" s="21">
        <v>0</v>
      </c>
      <c r="S31" s="2"/>
      <c r="T31" s="25">
        <v>1445220</v>
      </c>
      <c r="U31" s="26">
        <f t="shared" si="2"/>
        <v>131515020</v>
      </c>
      <c r="V31" s="26">
        <f t="shared" si="3"/>
        <v>15897420</v>
      </c>
      <c r="W31" s="2"/>
      <c r="X31" s="2"/>
      <c r="Y31" s="2"/>
      <c r="Z31" s="2"/>
    </row>
    <row r="32" spans="1:26" ht="12.75" customHeight="1" x14ac:dyDescent="0.35">
      <c r="A32" s="2"/>
      <c r="B32" s="8" t="s">
        <v>104</v>
      </c>
      <c r="C32" s="8" t="s">
        <v>26</v>
      </c>
      <c r="D32" s="8">
        <v>14</v>
      </c>
      <c r="E32" s="21">
        <v>0</v>
      </c>
      <c r="F32" s="21">
        <v>210</v>
      </c>
      <c r="G32" s="21">
        <v>0</v>
      </c>
      <c r="H32" s="22">
        <v>0</v>
      </c>
      <c r="I32" s="21">
        <v>48</v>
      </c>
      <c r="J32" s="21">
        <v>0</v>
      </c>
      <c r="K32" s="21">
        <f t="shared" si="0"/>
        <v>162</v>
      </c>
      <c r="L32" s="21">
        <v>186</v>
      </c>
      <c r="M32" s="23">
        <v>23</v>
      </c>
      <c r="N32" s="21">
        <f t="shared" si="4"/>
        <v>89.125</v>
      </c>
      <c r="O32" s="44">
        <v>87.75</v>
      </c>
      <c r="P32" s="21">
        <v>0</v>
      </c>
      <c r="Q32" s="21">
        <v>100</v>
      </c>
      <c r="R32" s="21">
        <v>0</v>
      </c>
      <c r="S32" s="2"/>
      <c r="T32" s="25">
        <v>1445220</v>
      </c>
      <c r="U32" s="26">
        <f t="shared" si="2"/>
        <v>69370560</v>
      </c>
      <c r="V32" s="26">
        <f t="shared" si="3"/>
        <v>268810920</v>
      </c>
      <c r="W32" s="2"/>
      <c r="X32" s="2"/>
      <c r="Y32" s="2"/>
      <c r="Z32" s="2"/>
    </row>
    <row r="33" spans="1:26" ht="12.75" customHeight="1" x14ac:dyDescent="0.35">
      <c r="A33" s="2"/>
      <c r="B33" s="8" t="s">
        <v>51</v>
      </c>
      <c r="C33" s="8" t="s">
        <v>26</v>
      </c>
      <c r="D33" s="8">
        <v>14</v>
      </c>
      <c r="E33" s="21">
        <v>157</v>
      </c>
      <c r="F33" s="21">
        <v>0</v>
      </c>
      <c r="G33" s="21">
        <v>0</v>
      </c>
      <c r="H33" s="22">
        <v>0</v>
      </c>
      <c r="I33" s="21">
        <v>107</v>
      </c>
      <c r="J33" s="21">
        <v>0</v>
      </c>
      <c r="K33" s="21">
        <f t="shared" si="0"/>
        <v>50</v>
      </c>
      <c r="L33" s="21">
        <v>79.5</v>
      </c>
      <c r="M33" s="23">
        <v>23</v>
      </c>
      <c r="N33" s="21">
        <f t="shared" si="4"/>
        <v>17.088785046728972</v>
      </c>
      <c r="O33" s="44">
        <v>12.149532710280374</v>
      </c>
      <c r="P33" s="21">
        <v>0</v>
      </c>
      <c r="Q33" s="21">
        <v>0</v>
      </c>
      <c r="R33" s="21">
        <v>0</v>
      </c>
      <c r="S33" s="2"/>
      <c r="T33" s="25">
        <v>1445220</v>
      </c>
      <c r="U33" s="26">
        <f t="shared" si="2"/>
        <v>154638540</v>
      </c>
      <c r="V33" s="26">
        <f t="shared" si="3"/>
        <v>114894990</v>
      </c>
      <c r="W33" s="2"/>
      <c r="X33" s="2"/>
      <c r="Y33" s="2"/>
      <c r="Z33" s="2"/>
    </row>
    <row r="34" spans="1:26" ht="12.75" customHeight="1" x14ac:dyDescent="0.35">
      <c r="A34" s="2"/>
      <c r="B34" s="8" t="s">
        <v>52</v>
      </c>
      <c r="C34" s="8" t="s">
        <v>26</v>
      </c>
      <c r="D34" s="8">
        <v>14</v>
      </c>
      <c r="E34" s="21">
        <v>325</v>
      </c>
      <c r="F34" s="21">
        <v>0</v>
      </c>
      <c r="G34" s="21">
        <v>0</v>
      </c>
      <c r="H34" s="22">
        <v>0</v>
      </c>
      <c r="I34" s="21">
        <v>177</v>
      </c>
      <c r="J34" s="21">
        <v>0</v>
      </c>
      <c r="K34" s="21">
        <f t="shared" si="0"/>
        <v>148</v>
      </c>
      <c r="L34" s="21">
        <v>205.666666666667</v>
      </c>
      <c r="M34" s="23">
        <v>23</v>
      </c>
      <c r="N34" s="21">
        <f t="shared" si="4"/>
        <v>26.72504708097933</v>
      </c>
      <c r="O34" s="44">
        <v>21.74011299435028</v>
      </c>
      <c r="P34" s="21">
        <v>0</v>
      </c>
      <c r="Q34" s="21">
        <v>0</v>
      </c>
      <c r="R34" s="21">
        <v>0</v>
      </c>
      <c r="S34" s="2"/>
      <c r="T34" s="25">
        <v>1445220</v>
      </c>
      <c r="U34" s="26">
        <f t="shared" si="2"/>
        <v>255803940</v>
      </c>
      <c r="V34" s="26">
        <f t="shared" si="3"/>
        <v>297233580.00000048</v>
      </c>
      <c r="W34" s="2"/>
      <c r="X34" s="2"/>
      <c r="Y34" s="2"/>
      <c r="Z34" s="2"/>
    </row>
    <row r="35" spans="1:26" ht="12.75" customHeight="1" x14ac:dyDescent="0.35">
      <c r="A35" s="2"/>
      <c r="B35" s="8" t="s">
        <v>53</v>
      </c>
      <c r="C35" s="8" t="s">
        <v>26</v>
      </c>
      <c r="D35" s="8">
        <v>14</v>
      </c>
      <c r="E35" s="21">
        <v>196</v>
      </c>
      <c r="F35" s="21">
        <v>105</v>
      </c>
      <c r="G35" s="21">
        <v>0</v>
      </c>
      <c r="H35" s="22">
        <v>0</v>
      </c>
      <c r="I35" s="21">
        <v>71</v>
      </c>
      <c r="J35" s="21">
        <v>0</v>
      </c>
      <c r="K35" s="21">
        <f t="shared" si="0"/>
        <v>230</v>
      </c>
      <c r="L35" s="21">
        <v>177.5</v>
      </c>
      <c r="M35" s="23">
        <v>23</v>
      </c>
      <c r="N35" s="21">
        <f t="shared" si="4"/>
        <v>57.5</v>
      </c>
      <c r="O35" s="44">
        <v>84.225352112676063</v>
      </c>
      <c r="P35" s="21">
        <v>0</v>
      </c>
      <c r="Q35" s="21">
        <v>0</v>
      </c>
      <c r="R35" s="21">
        <v>0</v>
      </c>
      <c r="S35" s="2"/>
      <c r="T35" s="25">
        <v>1272550</v>
      </c>
      <c r="U35" s="26">
        <f t="shared" si="2"/>
        <v>90351050</v>
      </c>
      <c r="V35" s="26">
        <f t="shared" si="3"/>
        <v>225877625</v>
      </c>
      <c r="W35" s="2"/>
      <c r="X35" s="2"/>
      <c r="Y35" s="2"/>
      <c r="Z35" s="2"/>
    </row>
    <row r="36" spans="1:26" ht="12.75" customHeight="1" x14ac:dyDescent="0.35">
      <c r="A36" s="2"/>
      <c r="B36" s="8" t="s">
        <v>55</v>
      </c>
      <c r="C36" s="8" t="s">
        <v>26</v>
      </c>
      <c r="D36" s="8">
        <v>14</v>
      </c>
      <c r="E36" s="21">
        <v>72</v>
      </c>
      <c r="F36" s="21">
        <v>0</v>
      </c>
      <c r="G36" s="21">
        <v>0</v>
      </c>
      <c r="H36" s="22">
        <v>0</v>
      </c>
      <c r="I36" s="21">
        <v>72</v>
      </c>
      <c r="J36" s="21">
        <v>0</v>
      </c>
      <c r="K36" s="21">
        <f t="shared" si="0"/>
        <v>0</v>
      </c>
      <c r="L36" s="21">
        <v>0</v>
      </c>
      <c r="M36" s="23">
        <v>23</v>
      </c>
      <c r="N36" s="21">
        <f t="shared" si="4"/>
        <v>0</v>
      </c>
      <c r="O36" s="44">
        <v>0</v>
      </c>
      <c r="P36" s="21">
        <v>0</v>
      </c>
      <c r="Q36" s="21">
        <v>0</v>
      </c>
      <c r="R36" s="21">
        <v>0</v>
      </c>
      <c r="S36" s="2"/>
      <c r="T36" s="25">
        <v>819485</v>
      </c>
      <c r="U36" s="26">
        <f t="shared" si="2"/>
        <v>59002920</v>
      </c>
      <c r="V36" s="26">
        <f t="shared" si="3"/>
        <v>0</v>
      </c>
      <c r="W36" s="2"/>
      <c r="X36" s="2"/>
      <c r="Y36" s="2"/>
      <c r="Z36" s="2"/>
    </row>
    <row r="37" spans="1:26" ht="12.75" customHeight="1" x14ac:dyDescent="0.35">
      <c r="A37" s="2"/>
      <c r="B37" s="8" t="s">
        <v>56</v>
      </c>
      <c r="C37" s="8" t="s">
        <v>26</v>
      </c>
      <c r="D37" s="8">
        <v>14</v>
      </c>
      <c r="E37" s="21">
        <v>285</v>
      </c>
      <c r="F37" s="21">
        <v>200</v>
      </c>
      <c r="G37" s="21">
        <v>0</v>
      </c>
      <c r="H37" s="22">
        <v>0</v>
      </c>
      <c r="I37" s="21">
        <v>215</v>
      </c>
      <c r="J37" s="21">
        <v>0</v>
      </c>
      <c r="K37" s="21">
        <f t="shared" si="0"/>
        <v>270</v>
      </c>
      <c r="L37" s="21">
        <v>267.2</v>
      </c>
      <c r="M37" s="23">
        <v>23</v>
      </c>
      <c r="N37" s="21">
        <f t="shared" si="4"/>
        <v>28.584186046511626</v>
      </c>
      <c r="O37" s="44">
        <v>32.651162790697676</v>
      </c>
      <c r="P37" s="21">
        <v>0</v>
      </c>
      <c r="Q37" s="21">
        <v>0</v>
      </c>
      <c r="R37" s="21">
        <v>0</v>
      </c>
      <c r="S37" s="2"/>
      <c r="T37" s="25">
        <v>819485</v>
      </c>
      <c r="U37" s="26">
        <f t="shared" si="2"/>
        <v>176189275</v>
      </c>
      <c r="V37" s="26">
        <f t="shared" si="3"/>
        <v>218966392</v>
      </c>
      <c r="W37" s="2"/>
      <c r="X37" s="2"/>
      <c r="Y37" s="2"/>
      <c r="Z37" s="2"/>
    </row>
    <row r="38" spans="1:26" ht="12.75" customHeight="1" x14ac:dyDescent="0.35">
      <c r="A38" s="2"/>
      <c r="B38" s="8" t="s">
        <v>57</v>
      </c>
      <c r="C38" s="8" t="s">
        <v>26</v>
      </c>
      <c r="D38" s="8">
        <v>14</v>
      </c>
      <c r="E38" s="21">
        <v>321</v>
      </c>
      <c r="F38" s="21">
        <v>507.98</v>
      </c>
      <c r="G38" s="21">
        <v>0</v>
      </c>
      <c r="H38" s="22">
        <v>0</v>
      </c>
      <c r="I38" s="21">
        <v>640</v>
      </c>
      <c r="J38" s="21">
        <v>-3</v>
      </c>
      <c r="K38" s="21">
        <f t="shared" si="0"/>
        <v>191.98000000000002</v>
      </c>
      <c r="L38" s="21">
        <v>144.995714285714</v>
      </c>
      <c r="M38" s="23">
        <v>23</v>
      </c>
      <c r="N38" s="21">
        <f t="shared" si="4"/>
        <v>5.2353240636914</v>
      </c>
      <c r="O38" s="44">
        <v>7.8359183673469399</v>
      </c>
      <c r="P38" s="21">
        <v>100</v>
      </c>
      <c r="Q38" s="21">
        <v>1000</v>
      </c>
      <c r="R38" s="21">
        <v>0</v>
      </c>
      <c r="S38" s="2"/>
      <c r="T38" s="25">
        <v>819485</v>
      </c>
      <c r="U38" s="26">
        <f t="shared" si="2"/>
        <v>522011945</v>
      </c>
      <c r="V38" s="26">
        <f t="shared" si="3"/>
        <v>118821812.92142834</v>
      </c>
      <c r="W38" s="2"/>
      <c r="X38" s="2"/>
      <c r="Y38" s="2"/>
      <c r="Z38" s="2"/>
    </row>
    <row r="39" spans="1:26" ht="12.75" customHeight="1" x14ac:dyDescent="0.35">
      <c r="A39" s="2"/>
      <c r="B39" s="8" t="s">
        <v>58</v>
      </c>
      <c r="C39" s="8" t="s">
        <v>26</v>
      </c>
      <c r="D39" s="8">
        <v>14</v>
      </c>
      <c r="E39" s="21">
        <v>114</v>
      </c>
      <c r="F39" s="21">
        <v>26</v>
      </c>
      <c r="G39" s="21">
        <v>0</v>
      </c>
      <c r="H39" s="22">
        <v>0</v>
      </c>
      <c r="I39" s="21">
        <v>4</v>
      </c>
      <c r="J39" s="21">
        <v>0</v>
      </c>
      <c r="K39" s="21">
        <f t="shared" si="0"/>
        <v>136</v>
      </c>
      <c r="L39" s="21">
        <v>123</v>
      </c>
      <c r="M39" s="23">
        <v>23</v>
      </c>
      <c r="N39" s="21">
        <f t="shared" si="4"/>
        <v>707.25</v>
      </c>
      <c r="O39" s="44">
        <v>884</v>
      </c>
      <c r="P39" s="21">
        <v>0</v>
      </c>
      <c r="Q39" s="21">
        <v>0</v>
      </c>
      <c r="R39" s="21">
        <v>0</v>
      </c>
      <c r="S39" s="2"/>
      <c r="T39" s="25">
        <v>1481800</v>
      </c>
      <c r="U39" s="26">
        <f t="shared" si="2"/>
        <v>5927200</v>
      </c>
      <c r="V39" s="26">
        <f t="shared" si="3"/>
        <v>182261400</v>
      </c>
      <c r="W39" s="2"/>
      <c r="X39" s="2"/>
      <c r="Y39" s="2"/>
      <c r="Z39" s="2"/>
    </row>
    <row r="40" spans="1:26" ht="12.75" customHeight="1" x14ac:dyDescent="0.35">
      <c r="A40" s="2"/>
      <c r="B40" s="8" t="s">
        <v>59</v>
      </c>
      <c r="C40" s="8" t="s">
        <v>26</v>
      </c>
      <c r="D40" s="8">
        <v>14</v>
      </c>
      <c r="E40" s="21">
        <v>22</v>
      </c>
      <c r="F40" s="21">
        <v>0</v>
      </c>
      <c r="G40" s="21">
        <v>0</v>
      </c>
      <c r="H40" s="22">
        <v>0</v>
      </c>
      <c r="I40" s="21">
        <v>4</v>
      </c>
      <c r="J40" s="21">
        <v>0</v>
      </c>
      <c r="K40" s="21">
        <f t="shared" si="0"/>
        <v>18</v>
      </c>
      <c r="L40" s="21">
        <v>19</v>
      </c>
      <c r="M40" s="23">
        <v>23</v>
      </c>
      <c r="N40" s="21">
        <f t="shared" si="4"/>
        <v>109.25</v>
      </c>
      <c r="O40" s="44">
        <v>117</v>
      </c>
      <c r="P40" s="21">
        <v>0</v>
      </c>
      <c r="Q40" s="21">
        <v>0</v>
      </c>
      <c r="R40" s="21">
        <v>0</v>
      </c>
      <c r="S40" s="2"/>
      <c r="T40" s="25">
        <v>1481800</v>
      </c>
      <c r="U40" s="26">
        <f t="shared" si="2"/>
        <v>5927200</v>
      </c>
      <c r="V40" s="26">
        <f t="shared" si="3"/>
        <v>28154200</v>
      </c>
      <c r="W40" s="2"/>
      <c r="X40" s="2"/>
      <c r="Y40" s="2"/>
      <c r="Z40" s="2"/>
    </row>
    <row r="41" spans="1:26" ht="12.75" customHeight="1" x14ac:dyDescent="0.35">
      <c r="A41" s="2"/>
      <c r="B41" s="8" t="s">
        <v>60</v>
      </c>
      <c r="C41" s="8" t="s">
        <v>26</v>
      </c>
      <c r="D41" s="8">
        <v>14</v>
      </c>
      <c r="E41" s="21">
        <v>21</v>
      </c>
      <c r="F41" s="21">
        <v>0</v>
      </c>
      <c r="G41" s="21">
        <v>0</v>
      </c>
      <c r="H41" s="22">
        <v>0</v>
      </c>
      <c r="I41" s="21">
        <v>4</v>
      </c>
      <c r="J41" s="21">
        <v>0</v>
      </c>
      <c r="K41" s="21">
        <f t="shared" si="0"/>
        <v>17</v>
      </c>
      <c r="L41" s="21">
        <v>18</v>
      </c>
      <c r="M41" s="23">
        <v>23</v>
      </c>
      <c r="N41" s="21">
        <f t="shared" si="4"/>
        <v>103.5</v>
      </c>
      <c r="O41" s="44">
        <v>110.5</v>
      </c>
      <c r="P41" s="21">
        <v>0</v>
      </c>
      <c r="Q41" s="21">
        <v>0</v>
      </c>
      <c r="R41" s="21">
        <v>0</v>
      </c>
      <c r="S41" s="2"/>
      <c r="T41" s="25">
        <v>1481800</v>
      </c>
      <c r="U41" s="26">
        <f t="shared" si="2"/>
        <v>5927200</v>
      </c>
      <c r="V41" s="26">
        <f t="shared" si="3"/>
        <v>26672400</v>
      </c>
      <c r="W41" s="2"/>
      <c r="X41" s="2"/>
      <c r="Y41" s="2"/>
      <c r="Z41" s="2"/>
    </row>
    <row r="42" spans="1:26" ht="12.75" customHeight="1" x14ac:dyDescent="0.35">
      <c r="A42" s="2"/>
      <c r="B42" s="8" t="s">
        <v>61</v>
      </c>
      <c r="C42" s="8" t="s">
        <v>26</v>
      </c>
      <c r="D42" s="8">
        <v>14</v>
      </c>
      <c r="E42" s="21">
        <v>61</v>
      </c>
      <c r="F42" s="21">
        <v>0</v>
      </c>
      <c r="G42" s="21">
        <v>0</v>
      </c>
      <c r="H42" s="22">
        <v>0</v>
      </c>
      <c r="I42" s="21">
        <v>0</v>
      </c>
      <c r="J42" s="21">
        <v>0</v>
      </c>
      <c r="K42" s="21">
        <f t="shared" si="0"/>
        <v>61</v>
      </c>
      <c r="L42" s="21">
        <v>0</v>
      </c>
      <c r="M42" s="23">
        <v>23</v>
      </c>
      <c r="N42" s="21">
        <v>0</v>
      </c>
      <c r="O42" s="44">
        <v>0</v>
      </c>
      <c r="P42" s="21">
        <v>0</v>
      </c>
      <c r="Q42" s="21">
        <v>0</v>
      </c>
      <c r="R42" s="21">
        <v>0</v>
      </c>
      <c r="S42" s="2"/>
      <c r="T42" s="25">
        <v>1481800</v>
      </c>
      <c r="U42" s="26">
        <f t="shared" si="2"/>
        <v>0</v>
      </c>
      <c r="V42" s="26">
        <f t="shared" si="3"/>
        <v>0</v>
      </c>
      <c r="W42" s="2"/>
      <c r="X42" s="2"/>
      <c r="Y42" s="2"/>
      <c r="Z42" s="2"/>
    </row>
    <row r="43" spans="1:26" ht="12.75" customHeight="1" x14ac:dyDescent="0.35">
      <c r="A43" s="2"/>
      <c r="B43" s="8" t="s">
        <v>62</v>
      </c>
      <c r="C43" s="8" t="s">
        <v>26</v>
      </c>
      <c r="D43" s="8">
        <v>14</v>
      </c>
      <c r="E43" s="21">
        <v>69</v>
      </c>
      <c r="F43" s="21">
        <v>0</v>
      </c>
      <c r="G43" s="21">
        <v>0</v>
      </c>
      <c r="H43" s="22">
        <v>0</v>
      </c>
      <c r="I43" s="21">
        <v>6</v>
      </c>
      <c r="J43" s="21">
        <v>0</v>
      </c>
      <c r="K43" s="21">
        <f t="shared" si="0"/>
        <v>63</v>
      </c>
      <c r="L43" s="21">
        <v>63</v>
      </c>
      <c r="M43" s="23">
        <v>23</v>
      </c>
      <c r="N43" s="21">
        <f t="shared" ref="N43:N83" si="5">(L43/(I43+J43))*M43</f>
        <v>241.5</v>
      </c>
      <c r="O43" s="44">
        <v>273</v>
      </c>
      <c r="P43" s="21">
        <v>0</v>
      </c>
      <c r="Q43" s="21">
        <v>0</v>
      </c>
      <c r="R43" s="21">
        <v>0</v>
      </c>
      <c r="S43" s="2"/>
      <c r="T43" s="25">
        <v>1481800</v>
      </c>
      <c r="U43" s="26">
        <f t="shared" si="2"/>
        <v>8890800</v>
      </c>
      <c r="V43" s="26">
        <f t="shared" si="3"/>
        <v>93353400</v>
      </c>
      <c r="W43" s="2"/>
      <c r="X43" s="2"/>
      <c r="Y43" s="2"/>
      <c r="Z43" s="2"/>
    </row>
    <row r="44" spans="1:26" ht="12.75" customHeight="1" x14ac:dyDescent="0.35">
      <c r="A44" s="2"/>
      <c r="B44" s="8" t="s">
        <v>63</v>
      </c>
      <c r="C44" s="8" t="s">
        <v>26</v>
      </c>
      <c r="D44" s="8">
        <v>14</v>
      </c>
      <c r="E44" s="21">
        <v>145</v>
      </c>
      <c r="F44" s="21">
        <v>0</v>
      </c>
      <c r="G44" s="21">
        <v>0</v>
      </c>
      <c r="H44" s="22">
        <v>0</v>
      </c>
      <c r="I44" s="21">
        <v>31</v>
      </c>
      <c r="J44" s="21">
        <v>0</v>
      </c>
      <c r="K44" s="21">
        <f t="shared" si="0"/>
        <v>114</v>
      </c>
      <c r="L44" s="21">
        <v>114</v>
      </c>
      <c r="M44" s="23">
        <v>23</v>
      </c>
      <c r="N44" s="21">
        <f t="shared" si="5"/>
        <v>84.58064516129032</v>
      </c>
      <c r="O44" s="44">
        <v>95.612903225806448</v>
      </c>
      <c r="P44" s="21">
        <v>0</v>
      </c>
      <c r="Q44" s="21">
        <v>0</v>
      </c>
      <c r="R44" s="21">
        <v>0</v>
      </c>
      <c r="S44" s="2"/>
      <c r="T44" s="25">
        <v>942555</v>
      </c>
      <c r="U44" s="26">
        <f t="shared" si="2"/>
        <v>29219205</v>
      </c>
      <c r="V44" s="26">
        <f t="shared" si="3"/>
        <v>107451270</v>
      </c>
      <c r="W44" s="2"/>
      <c r="X44" s="2"/>
      <c r="Y44" s="2"/>
      <c r="Z44" s="2"/>
    </row>
    <row r="45" spans="1:26" ht="12.75" customHeight="1" x14ac:dyDescent="0.35">
      <c r="A45" s="2"/>
      <c r="B45" s="8" t="s">
        <v>64</v>
      </c>
      <c r="C45" s="8" t="s">
        <v>26</v>
      </c>
      <c r="D45" s="8">
        <v>14</v>
      </c>
      <c r="E45" s="21">
        <v>112</v>
      </c>
      <c r="F45" s="21">
        <v>0</v>
      </c>
      <c r="G45" s="21">
        <v>0</v>
      </c>
      <c r="H45" s="22">
        <v>0</v>
      </c>
      <c r="I45" s="21">
        <v>112</v>
      </c>
      <c r="J45" s="21">
        <v>0</v>
      </c>
      <c r="K45" s="21">
        <f t="shared" si="0"/>
        <v>0</v>
      </c>
      <c r="L45" s="21">
        <v>16</v>
      </c>
      <c r="M45" s="23">
        <v>23</v>
      </c>
      <c r="N45" s="21">
        <f t="shared" si="5"/>
        <v>3.2857142857142856</v>
      </c>
      <c r="O45" s="44">
        <v>0</v>
      </c>
      <c r="P45" s="21">
        <v>150</v>
      </c>
      <c r="Q45" s="21">
        <v>0</v>
      </c>
      <c r="R45" s="21">
        <v>0</v>
      </c>
      <c r="S45" s="2"/>
      <c r="T45" s="25">
        <v>958675</v>
      </c>
      <c r="U45" s="26">
        <f t="shared" si="2"/>
        <v>107371600</v>
      </c>
      <c r="V45" s="26">
        <f t="shared" si="3"/>
        <v>15338800</v>
      </c>
      <c r="W45" s="2"/>
      <c r="X45" s="2"/>
      <c r="Y45" s="2"/>
      <c r="Z45" s="2"/>
    </row>
    <row r="46" spans="1:26" ht="12.75" customHeight="1" x14ac:dyDescent="0.35">
      <c r="A46" s="2"/>
      <c r="B46" s="8" t="s">
        <v>65</v>
      </c>
      <c r="C46" s="8" t="s">
        <v>26</v>
      </c>
      <c r="D46" s="8">
        <v>14</v>
      </c>
      <c r="E46" s="21">
        <v>106</v>
      </c>
      <c r="F46" s="21">
        <v>0</v>
      </c>
      <c r="G46" s="21">
        <v>0</v>
      </c>
      <c r="H46" s="22">
        <v>0</v>
      </c>
      <c r="I46" s="21">
        <v>105</v>
      </c>
      <c r="J46" s="21">
        <v>0</v>
      </c>
      <c r="K46" s="21">
        <f t="shared" si="0"/>
        <v>1</v>
      </c>
      <c r="L46" s="21">
        <v>26.5</v>
      </c>
      <c r="M46" s="23">
        <v>23</v>
      </c>
      <c r="N46" s="21">
        <f t="shared" si="5"/>
        <v>5.8047619047619046</v>
      </c>
      <c r="O46" s="44">
        <v>0.24761904761904763</v>
      </c>
      <c r="P46" s="21">
        <v>0</v>
      </c>
      <c r="Q46" s="21">
        <v>0</v>
      </c>
      <c r="R46" s="21">
        <v>0</v>
      </c>
      <c r="S46" s="2"/>
      <c r="T46" s="25">
        <v>848935</v>
      </c>
      <c r="U46" s="26">
        <f t="shared" si="2"/>
        <v>89138175</v>
      </c>
      <c r="V46" s="26">
        <f t="shared" si="3"/>
        <v>22496777.5</v>
      </c>
      <c r="W46" s="2"/>
      <c r="X46" s="2"/>
      <c r="Y46" s="2"/>
      <c r="Z46" s="2"/>
    </row>
    <row r="47" spans="1:26" ht="12.75" customHeight="1" x14ac:dyDescent="0.35">
      <c r="A47" s="2"/>
      <c r="B47" s="8" t="s">
        <v>105</v>
      </c>
      <c r="C47" s="8" t="s">
        <v>26</v>
      </c>
      <c r="D47" s="8">
        <v>14</v>
      </c>
      <c r="E47" s="21">
        <v>400</v>
      </c>
      <c r="F47" s="21">
        <v>0</v>
      </c>
      <c r="G47" s="21">
        <v>0</v>
      </c>
      <c r="H47" s="22">
        <v>0</v>
      </c>
      <c r="I47" s="21">
        <v>200</v>
      </c>
      <c r="J47" s="21">
        <v>0</v>
      </c>
      <c r="K47" s="21">
        <f t="shared" si="0"/>
        <v>200</v>
      </c>
      <c r="L47" s="21">
        <v>281</v>
      </c>
      <c r="M47" s="23">
        <v>23</v>
      </c>
      <c r="N47" s="21">
        <f t="shared" si="5"/>
        <v>32.314999999999998</v>
      </c>
      <c r="O47" s="44">
        <v>26</v>
      </c>
      <c r="P47" s="21">
        <v>0</v>
      </c>
      <c r="Q47" s="21">
        <v>0</v>
      </c>
      <c r="R47" s="21">
        <v>0</v>
      </c>
      <c r="S47" s="2"/>
      <c r="T47" s="25">
        <v>848935</v>
      </c>
      <c r="U47" s="26">
        <f t="shared" si="2"/>
        <v>169787000</v>
      </c>
      <c r="V47" s="26">
        <f t="shared" si="3"/>
        <v>238550735</v>
      </c>
      <c r="W47" s="2"/>
      <c r="X47" s="2"/>
      <c r="Y47" s="2"/>
      <c r="Z47" s="2"/>
    </row>
    <row r="48" spans="1:26" ht="12.75" customHeight="1" x14ac:dyDescent="0.35">
      <c r="A48" s="2"/>
      <c r="B48" s="8" t="s">
        <v>106</v>
      </c>
      <c r="C48" s="8" t="s">
        <v>26</v>
      </c>
      <c r="D48" s="8">
        <v>14</v>
      </c>
      <c r="E48" s="21">
        <v>102</v>
      </c>
      <c r="F48" s="21">
        <v>135</v>
      </c>
      <c r="G48" s="21">
        <v>0</v>
      </c>
      <c r="H48" s="22">
        <v>0</v>
      </c>
      <c r="I48" s="21">
        <v>102</v>
      </c>
      <c r="J48" s="21">
        <v>0</v>
      </c>
      <c r="K48" s="21">
        <f t="shared" si="0"/>
        <v>135</v>
      </c>
      <c r="L48" s="21">
        <v>60</v>
      </c>
      <c r="M48" s="23">
        <v>23</v>
      </c>
      <c r="N48" s="21">
        <f t="shared" si="5"/>
        <v>13.529411764705882</v>
      </c>
      <c r="O48" s="44">
        <v>34.411764705882355</v>
      </c>
      <c r="P48" s="21">
        <v>0</v>
      </c>
      <c r="Q48" s="21">
        <v>0</v>
      </c>
      <c r="R48" s="21">
        <v>0</v>
      </c>
      <c r="S48" s="2"/>
      <c r="T48" s="25">
        <v>1012770</v>
      </c>
      <c r="U48" s="26">
        <f t="shared" si="2"/>
        <v>103302540</v>
      </c>
      <c r="V48" s="26">
        <f t="shared" si="3"/>
        <v>60766200</v>
      </c>
      <c r="W48" s="2"/>
      <c r="X48" s="2"/>
      <c r="Y48" s="2"/>
      <c r="Z48" s="2"/>
    </row>
    <row r="49" spans="1:26" ht="12.75" customHeight="1" x14ac:dyDescent="0.35">
      <c r="A49" s="2"/>
      <c r="B49" s="8" t="s">
        <v>66</v>
      </c>
      <c r="C49" s="8" t="s">
        <v>26</v>
      </c>
      <c r="D49" s="8">
        <v>14</v>
      </c>
      <c r="E49" s="21">
        <v>621</v>
      </c>
      <c r="F49" s="21">
        <v>0</v>
      </c>
      <c r="G49" s="21">
        <v>0</v>
      </c>
      <c r="H49" s="22">
        <v>0</v>
      </c>
      <c r="I49" s="21">
        <v>263</v>
      </c>
      <c r="J49" s="21">
        <v>0</v>
      </c>
      <c r="K49" s="21">
        <f t="shared" si="0"/>
        <v>358</v>
      </c>
      <c r="L49" s="21">
        <v>468.16666666666703</v>
      </c>
      <c r="M49" s="23">
        <v>23</v>
      </c>
      <c r="N49" s="21">
        <f t="shared" si="5"/>
        <v>40.942332065906243</v>
      </c>
      <c r="O49" s="44">
        <v>35.391634980988599</v>
      </c>
      <c r="P49" s="21">
        <v>0</v>
      </c>
      <c r="Q49" s="21">
        <v>0</v>
      </c>
      <c r="R49" s="21">
        <v>0</v>
      </c>
      <c r="S49" s="2"/>
      <c r="T49" s="25">
        <v>1012770</v>
      </c>
      <c r="U49" s="26">
        <f t="shared" si="2"/>
        <v>266358510</v>
      </c>
      <c r="V49" s="26">
        <f t="shared" si="3"/>
        <v>474145155.00000036</v>
      </c>
      <c r="W49" s="2"/>
      <c r="X49" s="2"/>
      <c r="Y49" s="2"/>
      <c r="Z49" s="2"/>
    </row>
    <row r="50" spans="1:26" ht="12.75" customHeight="1" x14ac:dyDescent="0.35">
      <c r="A50" s="2"/>
      <c r="B50" s="8" t="s">
        <v>67</v>
      </c>
      <c r="C50" s="8" t="s">
        <v>26</v>
      </c>
      <c r="D50" s="8">
        <v>14</v>
      </c>
      <c r="E50" s="21">
        <v>359</v>
      </c>
      <c r="F50" s="21">
        <v>0</v>
      </c>
      <c r="G50" s="21">
        <v>0</v>
      </c>
      <c r="H50" s="22">
        <v>0</v>
      </c>
      <c r="I50" s="21">
        <v>382</v>
      </c>
      <c r="J50" s="21">
        <v>-23</v>
      </c>
      <c r="K50" s="21">
        <f t="shared" si="0"/>
        <v>0</v>
      </c>
      <c r="L50" s="21">
        <v>100.333333333333</v>
      </c>
      <c r="M50" s="23">
        <v>23</v>
      </c>
      <c r="N50" s="21">
        <f t="shared" si="5"/>
        <v>6.428040854224677</v>
      </c>
      <c r="O50" s="44">
        <v>0</v>
      </c>
      <c r="P50" s="21">
        <v>0</v>
      </c>
      <c r="Q50" s="21">
        <v>0</v>
      </c>
      <c r="R50" s="21">
        <v>0</v>
      </c>
      <c r="S50" s="2"/>
      <c r="T50" s="25">
        <v>1012770</v>
      </c>
      <c r="U50" s="26">
        <f t="shared" si="2"/>
        <v>363584430</v>
      </c>
      <c r="V50" s="26">
        <f t="shared" si="3"/>
        <v>101614589.99999966</v>
      </c>
      <c r="W50" s="2"/>
      <c r="X50" s="2"/>
      <c r="Y50" s="2"/>
      <c r="Z50" s="2"/>
    </row>
    <row r="51" spans="1:26" ht="12.75" customHeight="1" x14ac:dyDescent="0.35">
      <c r="A51" s="2"/>
      <c r="B51" s="8" t="s">
        <v>107</v>
      </c>
      <c r="C51" s="8" t="s">
        <v>26</v>
      </c>
      <c r="D51" s="8">
        <v>14</v>
      </c>
      <c r="E51" s="21">
        <v>0</v>
      </c>
      <c r="F51" s="21">
        <v>200</v>
      </c>
      <c r="G51" s="21">
        <v>0</v>
      </c>
      <c r="H51" s="22">
        <v>0</v>
      </c>
      <c r="I51" s="21">
        <v>65</v>
      </c>
      <c r="J51" s="21">
        <v>0</v>
      </c>
      <c r="K51" s="21">
        <f t="shared" si="0"/>
        <v>135</v>
      </c>
      <c r="L51" s="21">
        <v>167.5</v>
      </c>
      <c r="M51" s="23">
        <v>23</v>
      </c>
      <c r="N51" s="21">
        <f t="shared" si="5"/>
        <v>59.269230769230774</v>
      </c>
      <c r="O51" s="44">
        <v>54.000000000000007</v>
      </c>
      <c r="P51" s="21">
        <v>0</v>
      </c>
      <c r="Q51" s="21">
        <v>0</v>
      </c>
      <c r="R51" s="21">
        <v>0</v>
      </c>
      <c r="S51" s="2"/>
      <c r="T51" s="25">
        <v>1012770</v>
      </c>
      <c r="U51" s="26">
        <f t="shared" si="2"/>
        <v>65830050</v>
      </c>
      <c r="V51" s="26">
        <f t="shared" si="3"/>
        <v>169638975</v>
      </c>
      <c r="W51" s="2"/>
      <c r="X51" s="2"/>
      <c r="Y51" s="2"/>
      <c r="Z51" s="2"/>
    </row>
    <row r="52" spans="1:26" ht="12.75" customHeight="1" x14ac:dyDescent="0.35">
      <c r="A52" s="2"/>
      <c r="B52" s="8" t="s">
        <v>68</v>
      </c>
      <c r="C52" s="8" t="s">
        <v>26</v>
      </c>
      <c r="D52" s="8">
        <v>14</v>
      </c>
      <c r="E52" s="21">
        <v>20</v>
      </c>
      <c r="F52" s="21">
        <v>0</v>
      </c>
      <c r="G52" s="21">
        <v>0</v>
      </c>
      <c r="H52" s="22">
        <v>0</v>
      </c>
      <c r="I52" s="21">
        <v>20</v>
      </c>
      <c r="J52" s="21">
        <v>0</v>
      </c>
      <c r="K52" s="21">
        <f t="shared" si="0"/>
        <v>0</v>
      </c>
      <c r="L52" s="21">
        <v>8</v>
      </c>
      <c r="M52" s="23">
        <v>23</v>
      </c>
      <c r="N52" s="21">
        <f t="shared" si="5"/>
        <v>9.2000000000000011</v>
      </c>
      <c r="O52" s="44">
        <v>0</v>
      </c>
      <c r="P52" s="21">
        <v>0</v>
      </c>
      <c r="Q52" s="21">
        <v>0</v>
      </c>
      <c r="R52" s="21">
        <v>0</v>
      </c>
      <c r="S52" s="2"/>
      <c r="T52" s="25">
        <v>1237210</v>
      </c>
      <c r="U52" s="26">
        <f t="shared" si="2"/>
        <v>24744200</v>
      </c>
      <c r="V52" s="26">
        <f t="shared" si="3"/>
        <v>9897680</v>
      </c>
      <c r="W52" s="2"/>
      <c r="X52" s="2"/>
      <c r="Y52" s="2"/>
      <c r="Z52" s="2"/>
    </row>
    <row r="53" spans="1:26" ht="12.75" customHeight="1" x14ac:dyDescent="0.35">
      <c r="A53" s="2"/>
      <c r="B53" s="8" t="s">
        <v>108</v>
      </c>
      <c r="C53" s="8" t="s">
        <v>26</v>
      </c>
      <c r="D53" s="8">
        <v>14</v>
      </c>
      <c r="E53" s="21">
        <v>95</v>
      </c>
      <c r="F53" s="21">
        <v>0</v>
      </c>
      <c r="G53" s="21">
        <v>0</v>
      </c>
      <c r="H53" s="22">
        <v>0</v>
      </c>
      <c r="I53" s="21">
        <v>11</v>
      </c>
      <c r="J53" s="21">
        <v>0</v>
      </c>
      <c r="K53" s="21">
        <f t="shared" si="0"/>
        <v>84</v>
      </c>
      <c r="L53" s="21">
        <v>87</v>
      </c>
      <c r="M53" s="23">
        <v>23</v>
      </c>
      <c r="N53" s="21">
        <f t="shared" si="5"/>
        <v>181.90909090909091</v>
      </c>
      <c r="O53" s="44">
        <v>198.54545454545456</v>
      </c>
      <c r="P53" s="21">
        <v>0</v>
      </c>
      <c r="Q53" s="21">
        <v>0</v>
      </c>
      <c r="R53" s="21">
        <v>0</v>
      </c>
      <c r="S53" s="2"/>
      <c r="T53" s="25">
        <v>1237210</v>
      </c>
      <c r="U53" s="26">
        <f t="shared" si="2"/>
        <v>13609310</v>
      </c>
      <c r="V53" s="26">
        <f t="shared" si="3"/>
        <v>107637270</v>
      </c>
      <c r="W53" s="2"/>
      <c r="X53" s="2"/>
      <c r="Y53" s="2"/>
      <c r="Z53" s="2"/>
    </row>
    <row r="54" spans="1:26" ht="12.75" customHeight="1" x14ac:dyDescent="0.35">
      <c r="A54" s="2"/>
      <c r="B54" s="8" t="s">
        <v>69</v>
      </c>
      <c r="C54" s="8" t="s">
        <v>26</v>
      </c>
      <c r="D54" s="8">
        <v>14</v>
      </c>
      <c r="E54" s="21">
        <v>59</v>
      </c>
      <c r="F54" s="21">
        <v>0</v>
      </c>
      <c r="G54" s="21">
        <v>0</v>
      </c>
      <c r="H54" s="22">
        <v>0</v>
      </c>
      <c r="I54" s="21">
        <v>10</v>
      </c>
      <c r="J54" s="21">
        <v>0</v>
      </c>
      <c r="K54" s="21">
        <f t="shared" si="0"/>
        <v>49</v>
      </c>
      <c r="L54" s="21">
        <v>51</v>
      </c>
      <c r="M54" s="23">
        <v>23</v>
      </c>
      <c r="N54" s="21">
        <f t="shared" si="5"/>
        <v>117.3</v>
      </c>
      <c r="O54" s="44">
        <v>127.4</v>
      </c>
      <c r="P54" s="21">
        <v>0</v>
      </c>
      <c r="Q54" s="21">
        <v>0</v>
      </c>
      <c r="R54" s="21">
        <v>0</v>
      </c>
      <c r="S54" s="2"/>
      <c r="T54" s="25">
        <v>1436695</v>
      </c>
      <c r="U54" s="26">
        <f t="shared" si="2"/>
        <v>14366950</v>
      </c>
      <c r="V54" s="26">
        <f t="shared" si="3"/>
        <v>73271445</v>
      </c>
      <c r="W54" s="2"/>
      <c r="X54" s="2"/>
      <c r="Y54" s="2"/>
      <c r="Z54" s="2"/>
    </row>
    <row r="55" spans="1:26" ht="12.75" customHeight="1" x14ac:dyDescent="0.35">
      <c r="A55" s="2"/>
      <c r="B55" s="8" t="s">
        <v>70</v>
      </c>
      <c r="C55" s="8" t="s">
        <v>26</v>
      </c>
      <c r="D55" s="8">
        <v>14</v>
      </c>
      <c r="E55" s="21">
        <v>894</v>
      </c>
      <c r="F55" s="21">
        <v>300</v>
      </c>
      <c r="G55" s="21">
        <v>0</v>
      </c>
      <c r="H55" s="22">
        <v>0</v>
      </c>
      <c r="I55" s="21">
        <v>1000</v>
      </c>
      <c r="J55" s="21">
        <v>0</v>
      </c>
      <c r="K55" s="21">
        <f t="shared" si="0"/>
        <v>194</v>
      </c>
      <c r="L55" s="21">
        <v>462.30769230769204</v>
      </c>
      <c r="M55" s="23">
        <v>23</v>
      </c>
      <c r="N55" s="21">
        <f t="shared" si="5"/>
        <v>10.633076923076917</v>
      </c>
      <c r="O55" s="44">
        <v>5.0440000000000005</v>
      </c>
      <c r="P55" s="21">
        <v>0</v>
      </c>
      <c r="Q55" s="21">
        <v>550</v>
      </c>
      <c r="R55" s="21">
        <v>100</v>
      </c>
      <c r="S55" s="2"/>
      <c r="T55" s="25">
        <v>848935</v>
      </c>
      <c r="U55" s="26">
        <f t="shared" si="2"/>
        <v>848935000</v>
      </c>
      <c r="V55" s="26">
        <f t="shared" si="3"/>
        <v>392469180.76923054</v>
      </c>
      <c r="W55" s="2"/>
      <c r="X55" s="2"/>
      <c r="Y55" s="2"/>
      <c r="Z55" s="2"/>
    </row>
    <row r="56" spans="1:26" ht="12.75" customHeight="1" x14ac:dyDescent="0.35">
      <c r="A56" s="2"/>
      <c r="B56" s="8" t="s">
        <v>71</v>
      </c>
      <c r="C56" s="8" t="s">
        <v>26</v>
      </c>
      <c r="D56" s="8">
        <v>14</v>
      </c>
      <c r="E56" s="21">
        <v>59</v>
      </c>
      <c r="F56" s="21">
        <v>0</v>
      </c>
      <c r="G56" s="21">
        <v>0</v>
      </c>
      <c r="H56" s="22">
        <v>0</v>
      </c>
      <c r="I56" s="21">
        <v>13</v>
      </c>
      <c r="J56" s="21">
        <v>0</v>
      </c>
      <c r="K56" s="21">
        <f t="shared" si="0"/>
        <v>46</v>
      </c>
      <c r="L56" s="21">
        <v>48</v>
      </c>
      <c r="M56" s="23">
        <v>23</v>
      </c>
      <c r="N56" s="21">
        <f t="shared" si="5"/>
        <v>84.923076923076934</v>
      </c>
      <c r="O56" s="44">
        <v>92</v>
      </c>
      <c r="P56" s="21">
        <v>0</v>
      </c>
      <c r="Q56" s="21">
        <v>0</v>
      </c>
      <c r="R56" s="21">
        <v>0</v>
      </c>
      <c r="S56" s="2"/>
      <c r="T56" s="25">
        <v>1497718</v>
      </c>
      <c r="U56" s="26">
        <f t="shared" si="2"/>
        <v>19470334</v>
      </c>
      <c r="V56" s="26">
        <f t="shared" si="3"/>
        <v>71890464</v>
      </c>
      <c r="W56" s="2"/>
      <c r="X56" s="2"/>
      <c r="Y56" s="2"/>
      <c r="Z56" s="2"/>
    </row>
    <row r="57" spans="1:26" ht="12.75" customHeight="1" x14ac:dyDescent="0.35">
      <c r="A57" s="2"/>
      <c r="B57" s="8" t="s">
        <v>72</v>
      </c>
      <c r="C57" s="8" t="s">
        <v>26</v>
      </c>
      <c r="D57" s="8">
        <v>14</v>
      </c>
      <c r="E57" s="21">
        <v>649</v>
      </c>
      <c r="F57" s="21">
        <v>0</v>
      </c>
      <c r="G57" s="21">
        <v>0</v>
      </c>
      <c r="H57" s="22">
        <v>0</v>
      </c>
      <c r="I57" s="21">
        <v>410</v>
      </c>
      <c r="J57" s="21">
        <v>0</v>
      </c>
      <c r="K57" s="21">
        <f t="shared" si="0"/>
        <v>239</v>
      </c>
      <c r="L57" s="21">
        <v>422.81818181818204</v>
      </c>
      <c r="M57" s="23">
        <v>23</v>
      </c>
      <c r="N57" s="21">
        <f t="shared" si="5"/>
        <v>23.719068736141917</v>
      </c>
      <c r="O57" s="44">
        <v>15.156097560975608</v>
      </c>
      <c r="P57" s="21">
        <v>41</v>
      </c>
      <c r="Q57" s="21">
        <v>570</v>
      </c>
      <c r="R57" s="21">
        <v>0</v>
      </c>
      <c r="S57" s="2"/>
      <c r="T57" s="25">
        <v>1396550</v>
      </c>
      <c r="U57" s="26">
        <f t="shared" si="2"/>
        <v>572585500</v>
      </c>
      <c r="V57" s="26">
        <f t="shared" si="3"/>
        <v>590486731.81818211</v>
      </c>
      <c r="W57" s="2"/>
      <c r="X57" s="2"/>
      <c r="Y57" s="2"/>
      <c r="Z57" s="2"/>
    </row>
    <row r="58" spans="1:26" ht="12.75" customHeight="1" x14ac:dyDescent="0.35">
      <c r="A58" s="2"/>
      <c r="B58" s="8" t="s">
        <v>73</v>
      </c>
      <c r="C58" s="8" t="s">
        <v>26</v>
      </c>
      <c r="D58" s="8">
        <v>14</v>
      </c>
      <c r="E58" s="21">
        <v>84</v>
      </c>
      <c r="F58" s="21">
        <v>0</v>
      </c>
      <c r="G58" s="21">
        <v>0</v>
      </c>
      <c r="H58" s="22">
        <v>0</v>
      </c>
      <c r="I58" s="21">
        <v>69</v>
      </c>
      <c r="J58" s="21">
        <v>0</v>
      </c>
      <c r="K58" s="21">
        <f t="shared" si="0"/>
        <v>15</v>
      </c>
      <c r="L58" s="21">
        <v>32.6666666666667</v>
      </c>
      <c r="M58" s="23">
        <v>23</v>
      </c>
      <c r="N58" s="21">
        <f t="shared" si="5"/>
        <v>10.8888888888889</v>
      </c>
      <c r="O58" s="44">
        <v>5.6521739130434785</v>
      </c>
      <c r="P58" s="21">
        <v>62.5</v>
      </c>
      <c r="Q58" s="21">
        <v>50</v>
      </c>
      <c r="R58" s="21">
        <v>0</v>
      </c>
      <c r="S58" s="2"/>
      <c r="T58" s="25">
        <v>1143590</v>
      </c>
      <c r="U58" s="26">
        <f t="shared" si="2"/>
        <v>78907710</v>
      </c>
      <c r="V58" s="26">
        <f t="shared" si="3"/>
        <v>37357273.333333373</v>
      </c>
      <c r="W58" s="2"/>
      <c r="X58" s="2"/>
      <c r="Y58" s="2"/>
      <c r="Z58" s="2"/>
    </row>
    <row r="59" spans="1:26" ht="12.75" customHeight="1" x14ac:dyDescent="0.35">
      <c r="A59" s="2"/>
      <c r="B59" s="8" t="s">
        <v>74</v>
      </c>
      <c r="C59" s="8" t="s">
        <v>26</v>
      </c>
      <c r="D59" s="8">
        <v>14</v>
      </c>
      <c r="E59" s="21">
        <v>99</v>
      </c>
      <c r="F59" s="21">
        <v>0</v>
      </c>
      <c r="G59" s="21">
        <v>0</v>
      </c>
      <c r="H59" s="22">
        <v>0</v>
      </c>
      <c r="I59" s="21">
        <v>93</v>
      </c>
      <c r="J59" s="21">
        <v>0</v>
      </c>
      <c r="K59" s="21">
        <f t="shared" si="0"/>
        <v>6</v>
      </c>
      <c r="L59" s="21">
        <v>48.5</v>
      </c>
      <c r="M59" s="23">
        <v>23</v>
      </c>
      <c r="N59" s="21">
        <f t="shared" si="5"/>
        <v>11.994623655913978</v>
      </c>
      <c r="O59" s="44">
        <v>1.6774193548387095</v>
      </c>
      <c r="P59" s="21">
        <v>0</v>
      </c>
      <c r="Q59" s="21">
        <v>0</v>
      </c>
      <c r="R59" s="21">
        <v>0</v>
      </c>
      <c r="S59" s="2"/>
      <c r="T59" s="25">
        <v>954645</v>
      </c>
      <c r="U59" s="26">
        <f t="shared" si="2"/>
        <v>88781985</v>
      </c>
      <c r="V59" s="26">
        <f t="shared" si="3"/>
        <v>46300282.5</v>
      </c>
      <c r="W59" s="2"/>
      <c r="X59" s="2"/>
      <c r="Y59" s="2"/>
      <c r="Z59" s="2"/>
    </row>
    <row r="60" spans="1:26" ht="12.75" customHeight="1" x14ac:dyDescent="0.35">
      <c r="A60" s="2"/>
      <c r="B60" s="8" t="s">
        <v>75</v>
      </c>
      <c r="C60" s="8" t="s">
        <v>26</v>
      </c>
      <c r="D60" s="8">
        <v>14</v>
      </c>
      <c r="E60" s="21">
        <v>140</v>
      </c>
      <c r="F60" s="21">
        <v>0</v>
      </c>
      <c r="G60" s="21">
        <v>0</v>
      </c>
      <c r="H60" s="22">
        <v>0</v>
      </c>
      <c r="I60" s="21">
        <v>70</v>
      </c>
      <c r="J60" s="21">
        <v>0</v>
      </c>
      <c r="K60" s="21">
        <f t="shared" si="0"/>
        <v>70</v>
      </c>
      <c r="L60" s="21">
        <v>108</v>
      </c>
      <c r="M60" s="23">
        <v>23</v>
      </c>
      <c r="N60" s="21">
        <f t="shared" si="5"/>
        <v>35.485714285714288</v>
      </c>
      <c r="O60" s="44">
        <v>26</v>
      </c>
      <c r="P60" s="21">
        <v>0</v>
      </c>
      <c r="Q60" s="21">
        <v>0</v>
      </c>
      <c r="R60" s="21">
        <v>0</v>
      </c>
      <c r="S60" s="2"/>
      <c r="T60" s="25">
        <v>771202</v>
      </c>
      <c r="U60" s="26">
        <f t="shared" si="2"/>
        <v>53984140</v>
      </c>
      <c r="V60" s="26">
        <f t="shared" si="3"/>
        <v>83289816</v>
      </c>
      <c r="W60" s="2"/>
      <c r="X60" s="2"/>
      <c r="Y60" s="2"/>
      <c r="Z60" s="2"/>
    </row>
    <row r="61" spans="1:26" ht="12.75" customHeight="1" x14ac:dyDescent="0.35">
      <c r="A61" s="2"/>
      <c r="B61" s="8" t="s">
        <v>76</v>
      </c>
      <c r="C61" s="8" t="s">
        <v>26</v>
      </c>
      <c r="D61" s="8">
        <v>14</v>
      </c>
      <c r="E61" s="21">
        <v>56</v>
      </c>
      <c r="F61" s="21">
        <v>0</v>
      </c>
      <c r="G61" s="21">
        <v>0</v>
      </c>
      <c r="H61" s="22">
        <v>0</v>
      </c>
      <c r="I61" s="21">
        <v>36</v>
      </c>
      <c r="J61" s="21">
        <v>0</v>
      </c>
      <c r="K61" s="21">
        <f t="shared" si="0"/>
        <v>20</v>
      </c>
      <c r="L61" s="21">
        <v>20</v>
      </c>
      <c r="M61" s="23">
        <v>23</v>
      </c>
      <c r="N61" s="21">
        <f t="shared" si="5"/>
        <v>12.777777777777779</v>
      </c>
      <c r="O61" s="44">
        <v>14.444444444444445</v>
      </c>
      <c r="P61" s="21">
        <v>0</v>
      </c>
      <c r="Q61" s="21">
        <v>100</v>
      </c>
      <c r="R61" s="21">
        <v>0</v>
      </c>
      <c r="S61" s="2"/>
      <c r="T61" s="25">
        <v>1497718</v>
      </c>
      <c r="U61" s="26">
        <f t="shared" si="2"/>
        <v>53917848</v>
      </c>
      <c r="V61" s="26">
        <f t="shared" si="3"/>
        <v>29954360</v>
      </c>
      <c r="W61" s="2"/>
      <c r="X61" s="2"/>
      <c r="Y61" s="2"/>
      <c r="Z61" s="2"/>
    </row>
    <row r="62" spans="1:26" ht="12.75" customHeight="1" x14ac:dyDescent="0.35">
      <c r="A62" s="2"/>
      <c r="B62" s="8" t="s">
        <v>77</v>
      </c>
      <c r="C62" s="8" t="s">
        <v>26</v>
      </c>
      <c r="D62" s="8">
        <v>14</v>
      </c>
      <c r="E62" s="21">
        <v>305</v>
      </c>
      <c r="F62" s="21">
        <v>0</v>
      </c>
      <c r="G62" s="21">
        <v>0</v>
      </c>
      <c r="H62" s="22">
        <v>0</v>
      </c>
      <c r="I62" s="21">
        <v>135</v>
      </c>
      <c r="J62" s="21">
        <v>0</v>
      </c>
      <c r="K62" s="21">
        <f t="shared" si="0"/>
        <v>170</v>
      </c>
      <c r="L62" s="21">
        <v>200</v>
      </c>
      <c r="M62" s="23">
        <v>23</v>
      </c>
      <c r="N62" s="21">
        <f t="shared" si="5"/>
        <v>34.074074074074069</v>
      </c>
      <c r="O62" s="44">
        <v>32.74074074074074</v>
      </c>
      <c r="P62" s="21">
        <v>0</v>
      </c>
      <c r="Q62" s="21">
        <v>200</v>
      </c>
      <c r="R62" s="21">
        <v>0</v>
      </c>
      <c r="S62" s="2"/>
      <c r="T62" s="25">
        <v>907060</v>
      </c>
      <c r="U62" s="26">
        <f t="shared" si="2"/>
        <v>122453100</v>
      </c>
      <c r="V62" s="26">
        <f t="shared" si="3"/>
        <v>181412000</v>
      </c>
      <c r="W62" s="2"/>
      <c r="X62" s="2"/>
      <c r="Y62" s="2"/>
      <c r="Z62" s="2"/>
    </row>
    <row r="63" spans="1:26" ht="12.75" customHeight="1" x14ac:dyDescent="0.35">
      <c r="A63" s="2"/>
      <c r="B63" s="8" t="s">
        <v>78</v>
      </c>
      <c r="C63" s="8" t="s">
        <v>26</v>
      </c>
      <c r="D63" s="8">
        <v>14</v>
      </c>
      <c r="E63" s="21">
        <v>210</v>
      </c>
      <c r="F63" s="21">
        <v>292</v>
      </c>
      <c r="G63" s="21">
        <v>0</v>
      </c>
      <c r="H63" s="22">
        <v>0</v>
      </c>
      <c r="I63" s="21">
        <v>220</v>
      </c>
      <c r="J63" s="21">
        <v>0</v>
      </c>
      <c r="K63" s="21">
        <f t="shared" si="0"/>
        <v>282</v>
      </c>
      <c r="L63" s="21">
        <v>386.57142857142907</v>
      </c>
      <c r="M63" s="23">
        <v>23</v>
      </c>
      <c r="N63" s="21">
        <f t="shared" si="5"/>
        <v>40.414285714285768</v>
      </c>
      <c r="O63" s="44">
        <v>33.327272727272728</v>
      </c>
      <c r="P63" s="21">
        <v>0</v>
      </c>
      <c r="Q63" s="21">
        <v>450</v>
      </c>
      <c r="R63" s="21">
        <v>0</v>
      </c>
      <c r="S63" s="2"/>
      <c r="T63" s="25">
        <v>823515</v>
      </c>
      <c r="U63" s="26">
        <f t="shared" si="2"/>
        <v>181173300</v>
      </c>
      <c r="V63" s="26">
        <f t="shared" si="3"/>
        <v>318347370.00000042</v>
      </c>
      <c r="W63" s="2"/>
      <c r="X63" s="2"/>
      <c r="Y63" s="2"/>
      <c r="Z63" s="2"/>
    </row>
    <row r="64" spans="1:26" ht="12.75" customHeight="1" x14ac:dyDescent="0.35">
      <c r="A64" s="2"/>
      <c r="B64" s="8" t="s">
        <v>79</v>
      </c>
      <c r="C64" s="8" t="s">
        <v>26</v>
      </c>
      <c r="D64" s="8">
        <v>14</v>
      </c>
      <c r="E64" s="21">
        <v>179.38</v>
      </c>
      <c r="F64" s="21">
        <v>0</v>
      </c>
      <c r="G64" s="21">
        <v>0</v>
      </c>
      <c r="H64" s="22">
        <v>0</v>
      </c>
      <c r="I64" s="21">
        <v>179</v>
      </c>
      <c r="J64" s="21">
        <v>-4.5519144009631418E-15</v>
      </c>
      <c r="K64" s="21">
        <f t="shared" si="0"/>
        <v>0.37999999999999545</v>
      </c>
      <c r="L64" s="21">
        <v>72.38</v>
      </c>
      <c r="M64" s="23">
        <v>23</v>
      </c>
      <c r="N64" s="21">
        <f t="shared" si="5"/>
        <v>9.3002234636871517</v>
      </c>
      <c r="O64" s="44">
        <v>5.5195530726256992E-2</v>
      </c>
      <c r="P64" s="21">
        <v>0</v>
      </c>
      <c r="Q64" s="21">
        <v>0</v>
      </c>
      <c r="R64" s="21">
        <v>0</v>
      </c>
      <c r="S64" s="2"/>
      <c r="T64" s="25">
        <v>823515</v>
      </c>
      <c r="U64" s="26">
        <f t="shared" si="2"/>
        <v>147409185</v>
      </c>
      <c r="V64" s="26">
        <f t="shared" si="3"/>
        <v>59606015.699999996</v>
      </c>
      <c r="W64" s="2"/>
      <c r="X64" s="2"/>
      <c r="Y64" s="2"/>
      <c r="Z64" s="2"/>
    </row>
    <row r="65" spans="1:26" ht="12.75" customHeight="1" x14ac:dyDescent="0.35">
      <c r="A65" s="2"/>
      <c r="B65" s="8" t="s">
        <v>80</v>
      </c>
      <c r="C65" s="8" t="s">
        <v>26</v>
      </c>
      <c r="D65" s="8">
        <v>14</v>
      </c>
      <c r="E65" s="21">
        <v>358</v>
      </c>
      <c r="F65" s="21">
        <v>261</v>
      </c>
      <c r="G65" s="21">
        <v>0</v>
      </c>
      <c r="H65" s="22">
        <v>0</v>
      </c>
      <c r="I65" s="21">
        <v>54</v>
      </c>
      <c r="J65" s="21">
        <v>0</v>
      </c>
      <c r="K65" s="21">
        <f t="shared" si="0"/>
        <v>565</v>
      </c>
      <c r="L65" s="21">
        <v>524.25</v>
      </c>
      <c r="M65" s="23">
        <v>23</v>
      </c>
      <c r="N65" s="21">
        <f t="shared" si="5"/>
        <v>223.29166666666669</v>
      </c>
      <c r="O65" s="44">
        <v>272.03703703703707</v>
      </c>
      <c r="P65" s="21">
        <v>29</v>
      </c>
      <c r="Q65" s="21">
        <v>0</v>
      </c>
      <c r="R65" s="21">
        <v>0</v>
      </c>
      <c r="S65" s="2"/>
      <c r="T65" s="25">
        <v>823515</v>
      </c>
      <c r="U65" s="26">
        <f t="shared" si="2"/>
        <v>44469810</v>
      </c>
      <c r="V65" s="26">
        <f t="shared" si="3"/>
        <v>431727738.75</v>
      </c>
      <c r="W65" s="2"/>
      <c r="X65" s="2"/>
      <c r="Y65" s="2"/>
      <c r="Z65" s="2"/>
    </row>
    <row r="66" spans="1:26" ht="12.75" customHeight="1" x14ac:dyDescent="0.35">
      <c r="A66" s="2"/>
      <c r="B66" s="8" t="s">
        <v>82</v>
      </c>
      <c r="C66" s="8" t="s">
        <v>26</v>
      </c>
      <c r="D66" s="8">
        <v>14</v>
      </c>
      <c r="E66" s="21">
        <v>44</v>
      </c>
      <c r="F66" s="21">
        <v>0</v>
      </c>
      <c r="G66" s="21">
        <v>0</v>
      </c>
      <c r="H66" s="22">
        <v>0</v>
      </c>
      <c r="I66" s="21">
        <v>13</v>
      </c>
      <c r="J66" s="21">
        <v>0</v>
      </c>
      <c r="K66" s="21">
        <f t="shared" si="0"/>
        <v>31</v>
      </c>
      <c r="L66" s="21">
        <v>35.75</v>
      </c>
      <c r="M66" s="23">
        <v>23</v>
      </c>
      <c r="N66" s="21">
        <f t="shared" si="5"/>
        <v>63.25</v>
      </c>
      <c r="O66" s="44">
        <v>62</v>
      </c>
      <c r="P66" s="21">
        <v>2.13</v>
      </c>
      <c r="Q66" s="21">
        <v>0</v>
      </c>
      <c r="R66" s="21">
        <v>0</v>
      </c>
      <c r="S66" s="2"/>
      <c r="T66" s="25">
        <v>604345</v>
      </c>
      <c r="U66" s="26">
        <f t="shared" si="2"/>
        <v>7856485</v>
      </c>
      <c r="V66" s="26">
        <f t="shared" si="3"/>
        <v>21605333.75</v>
      </c>
      <c r="W66" s="2"/>
      <c r="X66" s="2"/>
      <c r="Y66" s="2"/>
      <c r="Z66" s="2"/>
    </row>
    <row r="67" spans="1:26" ht="12.75" customHeight="1" x14ac:dyDescent="0.35">
      <c r="A67" s="2"/>
      <c r="B67" s="8" t="s">
        <v>109</v>
      </c>
      <c r="C67" s="8" t="s">
        <v>26</v>
      </c>
      <c r="D67" s="8">
        <v>14</v>
      </c>
      <c r="E67" s="21">
        <v>22</v>
      </c>
      <c r="F67" s="21">
        <v>0</v>
      </c>
      <c r="G67" s="21">
        <v>0</v>
      </c>
      <c r="H67" s="22">
        <v>0</v>
      </c>
      <c r="I67" s="21">
        <v>17</v>
      </c>
      <c r="J67" s="21">
        <v>0</v>
      </c>
      <c r="K67" s="21">
        <f t="shared" si="0"/>
        <v>5</v>
      </c>
      <c r="L67" s="21">
        <v>10</v>
      </c>
      <c r="M67" s="23">
        <v>23</v>
      </c>
      <c r="N67" s="21">
        <f t="shared" si="5"/>
        <v>13.529411764705882</v>
      </c>
      <c r="O67" s="44">
        <v>7.6470588235294121</v>
      </c>
      <c r="P67" s="21">
        <v>0</v>
      </c>
      <c r="Q67" s="21">
        <v>0</v>
      </c>
      <c r="R67" s="21">
        <v>0</v>
      </c>
      <c r="S67" s="2"/>
      <c r="T67" s="25">
        <v>597835</v>
      </c>
      <c r="U67" s="26">
        <f t="shared" si="2"/>
        <v>10163195</v>
      </c>
      <c r="V67" s="26">
        <f t="shared" si="3"/>
        <v>5978350</v>
      </c>
      <c r="W67" s="2"/>
      <c r="X67" s="2"/>
      <c r="Y67" s="2"/>
      <c r="Z67" s="2"/>
    </row>
    <row r="68" spans="1:26" ht="12.75" customHeight="1" x14ac:dyDescent="0.35">
      <c r="A68" s="2"/>
      <c r="B68" s="8" t="s">
        <v>83</v>
      </c>
      <c r="C68" s="8" t="s">
        <v>26</v>
      </c>
      <c r="D68" s="8">
        <v>14</v>
      </c>
      <c r="E68" s="21">
        <v>709</v>
      </c>
      <c r="F68" s="21">
        <v>936</v>
      </c>
      <c r="G68" s="21">
        <v>0</v>
      </c>
      <c r="H68" s="22">
        <v>0</v>
      </c>
      <c r="I68" s="21">
        <v>709</v>
      </c>
      <c r="J68" s="21">
        <v>0</v>
      </c>
      <c r="K68" s="21">
        <f t="shared" si="0"/>
        <v>936</v>
      </c>
      <c r="L68" s="21">
        <v>367.57142857142907</v>
      </c>
      <c r="M68" s="23">
        <v>23</v>
      </c>
      <c r="N68" s="21">
        <f t="shared" si="5"/>
        <v>11.924037880314343</v>
      </c>
      <c r="O68" s="44">
        <v>34.324400564174894</v>
      </c>
      <c r="P68" s="21">
        <v>262.62</v>
      </c>
      <c r="Q68" s="21">
        <v>0</v>
      </c>
      <c r="R68" s="21">
        <v>0</v>
      </c>
      <c r="S68" s="2"/>
      <c r="T68" s="25">
        <v>597835</v>
      </c>
      <c r="U68" s="26">
        <f t="shared" si="2"/>
        <v>423865015</v>
      </c>
      <c r="V68" s="26">
        <f t="shared" si="3"/>
        <v>219747065.0000003</v>
      </c>
      <c r="W68" s="2"/>
      <c r="X68" s="2"/>
      <c r="Y68" s="2"/>
      <c r="Z68" s="2"/>
    </row>
    <row r="69" spans="1:26" ht="12.75" customHeight="1" x14ac:dyDescent="0.35">
      <c r="A69" s="2"/>
      <c r="B69" s="8" t="s">
        <v>110</v>
      </c>
      <c r="C69" s="8" t="s">
        <v>26</v>
      </c>
      <c r="D69" s="8">
        <v>14</v>
      </c>
      <c r="E69" s="21">
        <v>163</v>
      </c>
      <c r="F69" s="21">
        <v>1207</v>
      </c>
      <c r="G69" s="21">
        <v>0</v>
      </c>
      <c r="H69" s="22">
        <v>0</v>
      </c>
      <c r="I69" s="21">
        <v>864</v>
      </c>
      <c r="J69" s="21">
        <v>0</v>
      </c>
      <c r="K69" s="21">
        <f t="shared" si="0"/>
        <v>506</v>
      </c>
      <c r="L69" s="21">
        <v>534.92857142857099</v>
      </c>
      <c r="M69" s="23">
        <v>23</v>
      </c>
      <c r="N69" s="21">
        <f t="shared" si="5"/>
        <v>14.239996693121681</v>
      </c>
      <c r="O69" s="44">
        <v>15.226851851851851</v>
      </c>
      <c r="P69" s="21">
        <v>3</v>
      </c>
      <c r="Q69" s="21">
        <v>0</v>
      </c>
      <c r="R69" s="21">
        <v>0</v>
      </c>
      <c r="S69" s="2"/>
      <c r="T69" s="25">
        <v>597835</v>
      </c>
      <c r="U69" s="26">
        <f t="shared" si="2"/>
        <v>516529440</v>
      </c>
      <c r="V69" s="26">
        <f t="shared" si="3"/>
        <v>319799022.49999976</v>
      </c>
      <c r="W69" s="2"/>
      <c r="X69" s="2"/>
      <c r="Y69" s="2"/>
      <c r="Z69" s="2"/>
    </row>
    <row r="70" spans="1:26" ht="12.75" customHeight="1" x14ac:dyDescent="0.35">
      <c r="A70" s="2"/>
      <c r="B70" s="8" t="s">
        <v>84</v>
      </c>
      <c r="C70" s="8" t="s">
        <v>26</v>
      </c>
      <c r="D70" s="8">
        <v>14</v>
      </c>
      <c r="E70" s="21">
        <v>430</v>
      </c>
      <c r="F70" s="21">
        <v>204</v>
      </c>
      <c r="G70" s="21">
        <v>0</v>
      </c>
      <c r="H70" s="22">
        <v>0</v>
      </c>
      <c r="I70" s="21">
        <v>396</v>
      </c>
      <c r="J70" s="21">
        <v>0</v>
      </c>
      <c r="K70" s="21">
        <f t="shared" si="0"/>
        <v>238</v>
      </c>
      <c r="L70" s="21">
        <v>375.6</v>
      </c>
      <c r="M70" s="23">
        <v>23</v>
      </c>
      <c r="N70" s="21">
        <f t="shared" si="5"/>
        <v>21.815151515151516</v>
      </c>
      <c r="O70" s="44">
        <v>15.626262626262626</v>
      </c>
      <c r="P70" s="21">
        <v>0</v>
      </c>
      <c r="Q70" s="21">
        <v>600</v>
      </c>
      <c r="R70" s="21">
        <v>0</v>
      </c>
      <c r="S70" s="2"/>
      <c r="T70" s="25">
        <v>937285</v>
      </c>
      <c r="U70" s="26">
        <f t="shared" si="2"/>
        <v>371164860</v>
      </c>
      <c r="V70" s="26">
        <f t="shared" si="3"/>
        <v>352044246</v>
      </c>
      <c r="W70" s="2"/>
      <c r="X70" s="2"/>
      <c r="Y70" s="2"/>
      <c r="Z70" s="2"/>
    </row>
    <row r="71" spans="1:26" ht="12.75" customHeight="1" x14ac:dyDescent="0.35">
      <c r="A71" s="2"/>
      <c r="B71" s="8" t="s">
        <v>85</v>
      </c>
      <c r="C71" s="8" t="s">
        <v>26</v>
      </c>
      <c r="D71" s="8">
        <v>14</v>
      </c>
      <c r="E71" s="21">
        <v>58</v>
      </c>
      <c r="F71" s="21">
        <v>0</v>
      </c>
      <c r="G71" s="21">
        <v>0</v>
      </c>
      <c r="H71" s="22">
        <v>0</v>
      </c>
      <c r="I71" s="21">
        <v>42</v>
      </c>
      <c r="J71" s="21">
        <v>0</v>
      </c>
      <c r="K71" s="21">
        <f t="shared" si="0"/>
        <v>16</v>
      </c>
      <c r="L71" s="21">
        <v>37.8333333333333</v>
      </c>
      <c r="M71" s="23">
        <v>23</v>
      </c>
      <c r="N71" s="21">
        <f t="shared" si="5"/>
        <v>20.718253968253951</v>
      </c>
      <c r="O71" s="44">
        <v>9.9047619047619051</v>
      </c>
      <c r="P71" s="21">
        <v>0</v>
      </c>
      <c r="Q71" s="21">
        <v>0</v>
      </c>
      <c r="R71" s="21">
        <v>0</v>
      </c>
      <c r="S71" s="2"/>
      <c r="T71" s="25">
        <v>10957105</v>
      </c>
      <c r="U71" s="26">
        <f t="shared" si="2"/>
        <v>460198410</v>
      </c>
      <c r="V71" s="26">
        <f t="shared" si="3"/>
        <v>414543805.83333296</v>
      </c>
      <c r="W71" s="2"/>
      <c r="X71" s="2"/>
      <c r="Y71" s="2"/>
      <c r="Z71" s="2"/>
    </row>
    <row r="72" spans="1:26" ht="12.75" customHeight="1" x14ac:dyDescent="0.35">
      <c r="A72" s="2"/>
      <c r="B72" s="8" t="s">
        <v>86</v>
      </c>
      <c r="C72" s="8" t="s">
        <v>26</v>
      </c>
      <c r="D72" s="8">
        <v>14</v>
      </c>
      <c r="E72" s="21">
        <v>1168</v>
      </c>
      <c r="F72" s="21">
        <v>9</v>
      </c>
      <c r="G72" s="21">
        <v>0</v>
      </c>
      <c r="H72" s="22">
        <v>0</v>
      </c>
      <c r="I72" s="21">
        <v>699</v>
      </c>
      <c r="J72" s="21">
        <v>0</v>
      </c>
      <c r="K72" s="21">
        <f t="shared" si="0"/>
        <v>478</v>
      </c>
      <c r="L72" s="21">
        <v>782.33333333333303</v>
      </c>
      <c r="M72" s="23">
        <v>23</v>
      </c>
      <c r="N72" s="21">
        <f t="shared" si="5"/>
        <v>25.742012398664748</v>
      </c>
      <c r="O72" s="44">
        <v>17.779685264663804</v>
      </c>
      <c r="P72" s="21">
        <v>0</v>
      </c>
      <c r="Q72" s="21">
        <v>1287</v>
      </c>
      <c r="R72" s="21">
        <v>0</v>
      </c>
      <c r="S72" s="2"/>
      <c r="T72" s="25">
        <v>1322925</v>
      </c>
      <c r="U72" s="26">
        <f t="shared" si="2"/>
        <v>924724575</v>
      </c>
      <c r="V72" s="26">
        <f t="shared" si="3"/>
        <v>1034968324.9999996</v>
      </c>
      <c r="W72" s="2"/>
      <c r="X72" s="2"/>
      <c r="Y72" s="2"/>
      <c r="Z72" s="2"/>
    </row>
    <row r="73" spans="1:26" ht="12.75" customHeight="1" x14ac:dyDescent="0.35">
      <c r="A73" s="2"/>
      <c r="B73" s="8" t="s">
        <v>87</v>
      </c>
      <c r="C73" s="8" t="s">
        <v>26</v>
      </c>
      <c r="D73" s="8">
        <v>14</v>
      </c>
      <c r="E73" s="21">
        <v>70</v>
      </c>
      <c r="F73" s="21">
        <v>0</v>
      </c>
      <c r="G73" s="21">
        <v>0</v>
      </c>
      <c r="H73" s="22">
        <v>0</v>
      </c>
      <c r="I73" s="21">
        <v>22</v>
      </c>
      <c r="J73" s="21">
        <v>0</v>
      </c>
      <c r="K73" s="21">
        <f t="shared" si="0"/>
        <v>48</v>
      </c>
      <c r="L73" s="21">
        <v>49</v>
      </c>
      <c r="M73" s="23">
        <v>23</v>
      </c>
      <c r="N73" s="21">
        <f t="shared" si="5"/>
        <v>51.22727272727272</v>
      </c>
      <c r="O73" s="44">
        <v>56.72727272727272</v>
      </c>
      <c r="P73" s="21">
        <v>50</v>
      </c>
      <c r="Q73" s="21">
        <v>50</v>
      </c>
      <c r="R73" s="21">
        <v>0</v>
      </c>
      <c r="S73" s="2"/>
      <c r="T73" s="25">
        <v>1027805</v>
      </c>
      <c r="U73" s="26">
        <f t="shared" si="2"/>
        <v>22611710</v>
      </c>
      <c r="V73" s="26">
        <f t="shared" si="3"/>
        <v>50362445</v>
      </c>
      <c r="W73" s="2"/>
      <c r="X73" s="2"/>
      <c r="Y73" s="2"/>
      <c r="Z73" s="2"/>
    </row>
    <row r="74" spans="1:26" ht="12.75" customHeight="1" x14ac:dyDescent="0.35">
      <c r="A74" s="2"/>
      <c r="B74" s="8" t="s">
        <v>111</v>
      </c>
      <c r="C74" s="8" t="s">
        <v>26</v>
      </c>
      <c r="D74" s="8">
        <v>14</v>
      </c>
      <c r="E74" s="21">
        <v>58</v>
      </c>
      <c r="F74" s="21">
        <v>0</v>
      </c>
      <c r="G74" s="21">
        <v>0</v>
      </c>
      <c r="H74" s="22">
        <v>0</v>
      </c>
      <c r="I74" s="21">
        <v>18</v>
      </c>
      <c r="J74" s="21">
        <v>0</v>
      </c>
      <c r="K74" s="21">
        <f t="shared" si="0"/>
        <v>40</v>
      </c>
      <c r="L74" s="21">
        <v>45.3333333333333</v>
      </c>
      <c r="M74" s="23">
        <v>23</v>
      </c>
      <c r="N74" s="21">
        <f t="shared" si="5"/>
        <v>57.925925925925888</v>
      </c>
      <c r="O74" s="44">
        <v>57.777777777777779</v>
      </c>
      <c r="P74" s="21">
        <v>0</v>
      </c>
      <c r="Q74" s="21">
        <v>0</v>
      </c>
      <c r="R74" s="21">
        <v>0</v>
      </c>
      <c r="S74" s="2"/>
      <c r="T74" s="25">
        <v>746480</v>
      </c>
      <c r="U74" s="26">
        <f t="shared" si="2"/>
        <v>13436640</v>
      </c>
      <c r="V74" s="26">
        <f t="shared" si="3"/>
        <v>33840426.666666642</v>
      </c>
      <c r="W74" s="2"/>
      <c r="X74" s="2"/>
      <c r="Y74" s="2"/>
      <c r="Z74" s="2"/>
    </row>
    <row r="75" spans="1:26" ht="12.75" customHeight="1" x14ac:dyDescent="0.35">
      <c r="A75" s="2"/>
      <c r="B75" s="8" t="s">
        <v>88</v>
      </c>
      <c r="C75" s="8" t="s">
        <v>26</v>
      </c>
      <c r="D75" s="8">
        <v>14</v>
      </c>
      <c r="E75" s="21">
        <v>230</v>
      </c>
      <c r="F75" s="21">
        <v>184</v>
      </c>
      <c r="G75" s="21">
        <v>0</v>
      </c>
      <c r="H75" s="22">
        <v>0</v>
      </c>
      <c r="I75" s="21">
        <v>351</v>
      </c>
      <c r="J75" s="21">
        <v>0</v>
      </c>
      <c r="K75" s="21">
        <f t="shared" si="0"/>
        <v>63</v>
      </c>
      <c r="L75" s="21">
        <v>117.416666666667</v>
      </c>
      <c r="M75" s="23">
        <v>23</v>
      </c>
      <c r="N75" s="21">
        <f t="shared" si="5"/>
        <v>7.6939696106362989</v>
      </c>
      <c r="O75" s="44">
        <v>4.666666666666667</v>
      </c>
      <c r="P75" s="21">
        <v>16</v>
      </c>
      <c r="Q75" s="21">
        <v>490</v>
      </c>
      <c r="R75" s="21">
        <v>0</v>
      </c>
      <c r="S75" s="2"/>
      <c r="T75" s="25">
        <v>1372215</v>
      </c>
      <c r="U75" s="26">
        <f t="shared" si="2"/>
        <v>481647465</v>
      </c>
      <c r="V75" s="26">
        <f t="shared" si="3"/>
        <v>161120911.25000045</v>
      </c>
      <c r="W75" s="2"/>
      <c r="X75" s="2"/>
      <c r="Y75" s="2"/>
      <c r="Z75" s="2"/>
    </row>
    <row r="76" spans="1:26" ht="12.75" customHeight="1" x14ac:dyDescent="0.35">
      <c r="A76" s="2"/>
      <c r="B76" s="8" t="s">
        <v>89</v>
      </c>
      <c r="C76" s="8" t="s">
        <v>26</v>
      </c>
      <c r="D76" s="8">
        <v>14</v>
      </c>
      <c r="E76" s="21">
        <v>120</v>
      </c>
      <c r="F76" s="21">
        <v>0</v>
      </c>
      <c r="G76" s="21">
        <v>0</v>
      </c>
      <c r="H76" s="22">
        <v>0</v>
      </c>
      <c r="I76" s="21">
        <v>48</v>
      </c>
      <c r="J76" s="21">
        <v>0</v>
      </c>
      <c r="K76" s="21">
        <f t="shared" si="0"/>
        <v>72</v>
      </c>
      <c r="L76" s="21">
        <v>96.444444444444386</v>
      </c>
      <c r="M76" s="23">
        <v>23</v>
      </c>
      <c r="N76" s="21">
        <f t="shared" si="5"/>
        <v>46.212962962962941</v>
      </c>
      <c r="O76" s="44">
        <v>39</v>
      </c>
      <c r="P76" s="21">
        <v>0</v>
      </c>
      <c r="Q76" s="21">
        <v>0</v>
      </c>
      <c r="R76" s="21">
        <v>0</v>
      </c>
      <c r="S76" s="2"/>
      <c r="T76" s="25">
        <v>6276182</v>
      </c>
      <c r="U76" s="26">
        <f t="shared" si="2"/>
        <v>301256736</v>
      </c>
      <c r="V76" s="26">
        <f t="shared" si="3"/>
        <v>605302886.22222185</v>
      </c>
      <c r="W76" s="2"/>
      <c r="X76" s="2"/>
      <c r="Y76" s="2"/>
      <c r="Z76" s="2"/>
    </row>
    <row r="77" spans="1:26" ht="12.75" customHeight="1" x14ac:dyDescent="0.35">
      <c r="A77" s="2"/>
      <c r="B77" s="8" t="s">
        <v>112</v>
      </c>
      <c r="C77" s="8" t="s">
        <v>26</v>
      </c>
      <c r="D77" s="8">
        <v>14</v>
      </c>
      <c r="E77" s="21">
        <v>0</v>
      </c>
      <c r="F77" s="21">
        <v>38</v>
      </c>
      <c r="G77" s="21">
        <v>0</v>
      </c>
      <c r="H77" s="22">
        <v>0</v>
      </c>
      <c r="I77" s="21">
        <v>6</v>
      </c>
      <c r="J77" s="21">
        <v>0</v>
      </c>
      <c r="K77" s="21">
        <f t="shared" si="0"/>
        <v>32</v>
      </c>
      <c r="L77" s="21">
        <v>30</v>
      </c>
      <c r="M77" s="23">
        <v>23</v>
      </c>
      <c r="N77" s="21">
        <f t="shared" si="5"/>
        <v>115</v>
      </c>
      <c r="O77" s="44">
        <v>138.66666666666666</v>
      </c>
      <c r="P77" s="21">
        <v>0</v>
      </c>
      <c r="Q77" s="21">
        <v>66</v>
      </c>
      <c r="R77" s="21">
        <v>0</v>
      </c>
      <c r="S77" s="2"/>
      <c r="T77" s="25">
        <v>6276182</v>
      </c>
      <c r="U77" s="26">
        <f t="shared" si="2"/>
        <v>37657092</v>
      </c>
      <c r="V77" s="26">
        <f t="shared" si="3"/>
        <v>188285460</v>
      </c>
      <c r="W77" s="2"/>
      <c r="X77" s="2"/>
      <c r="Y77" s="2"/>
      <c r="Z77" s="2"/>
    </row>
    <row r="78" spans="1:26" ht="12.75" customHeight="1" x14ac:dyDescent="0.35">
      <c r="A78" s="2"/>
      <c r="B78" s="8" t="s">
        <v>90</v>
      </c>
      <c r="C78" s="8" t="s">
        <v>26</v>
      </c>
      <c r="D78" s="8">
        <v>14</v>
      </c>
      <c r="E78" s="21">
        <v>155</v>
      </c>
      <c r="F78" s="21">
        <v>100</v>
      </c>
      <c r="G78" s="21">
        <v>0</v>
      </c>
      <c r="H78" s="22">
        <v>0</v>
      </c>
      <c r="I78" s="21">
        <v>108</v>
      </c>
      <c r="J78" s="21">
        <v>0</v>
      </c>
      <c r="K78" s="21">
        <f t="shared" si="0"/>
        <v>147</v>
      </c>
      <c r="L78" s="21">
        <v>149.666666666667</v>
      </c>
      <c r="M78" s="23">
        <v>23</v>
      </c>
      <c r="N78" s="21">
        <f t="shared" si="5"/>
        <v>31.873456790123527</v>
      </c>
      <c r="O78" s="44">
        <v>35.388888888888893</v>
      </c>
      <c r="P78" s="21">
        <v>0</v>
      </c>
      <c r="Q78" s="21">
        <v>0</v>
      </c>
      <c r="R78" s="21">
        <v>0</v>
      </c>
      <c r="S78" s="2"/>
      <c r="T78" s="25">
        <v>848935</v>
      </c>
      <c r="U78" s="26">
        <f t="shared" si="2"/>
        <v>91684980</v>
      </c>
      <c r="V78" s="26">
        <f t="shared" si="3"/>
        <v>127057271.66666695</v>
      </c>
      <c r="W78" s="2"/>
      <c r="X78" s="2"/>
      <c r="Y78" s="2"/>
      <c r="Z78" s="2"/>
    </row>
    <row r="79" spans="1:26" ht="12.75" customHeight="1" x14ac:dyDescent="0.35">
      <c r="A79" s="2"/>
      <c r="B79" s="8" t="s">
        <v>91</v>
      </c>
      <c r="C79" s="8" t="s">
        <v>26</v>
      </c>
      <c r="D79" s="8">
        <v>14</v>
      </c>
      <c r="E79" s="21">
        <v>369</v>
      </c>
      <c r="F79" s="21">
        <v>0</v>
      </c>
      <c r="G79" s="21">
        <v>0</v>
      </c>
      <c r="H79" s="22">
        <v>0</v>
      </c>
      <c r="I79" s="21">
        <v>226</v>
      </c>
      <c r="J79" s="21">
        <v>0</v>
      </c>
      <c r="K79" s="21">
        <f t="shared" si="0"/>
        <v>143</v>
      </c>
      <c r="L79" s="21">
        <v>213.25</v>
      </c>
      <c r="M79" s="23">
        <v>23</v>
      </c>
      <c r="N79" s="21">
        <f t="shared" si="5"/>
        <v>21.702433628318584</v>
      </c>
      <c r="O79" s="44">
        <v>16.451327433628318</v>
      </c>
      <c r="P79" s="21">
        <v>0</v>
      </c>
      <c r="Q79" s="21">
        <v>0</v>
      </c>
      <c r="R79" s="21">
        <v>0</v>
      </c>
      <c r="S79" s="2"/>
      <c r="T79" s="25">
        <v>923955</v>
      </c>
      <c r="U79" s="26">
        <f t="shared" si="2"/>
        <v>208813830</v>
      </c>
      <c r="V79" s="26">
        <f t="shared" si="3"/>
        <v>197033403.75</v>
      </c>
      <c r="W79" s="2"/>
      <c r="X79" s="2"/>
      <c r="Y79" s="2"/>
      <c r="Z79" s="2"/>
    </row>
    <row r="80" spans="1:26" ht="12.75" customHeight="1" x14ac:dyDescent="0.35">
      <c r="A80" s="2"/>
      <c r="B80" s="8" t="s">
        <v>113</v>
      </c>
      <c r="C80" s="8" t="s">
        <v>26</v>
      </c>
      <c r="D80" s="8">
        <v>14</v>
      </c>
      <c r="E80" s="21">
        <v>93</v>
      </c>
      <c r="F80" s="21">
        <v>0</v>
      </c>
      <c r="G80" s="21">
        <v>0</v>
      </c>
      <c r="H80" s="22">
        <v>0</v>
      </c>
      <c r="I80" s="21">
        <v>57</v>
      </c>
      <c r="J80" s="21">
        <v>0</v>
      </c>
      <c r="K80" s="21">
        <f t="shared" si="0"/>
        <v>36</v>
      </c>
      <c r="L80" s="21">
        <v>58</v>
      </c>
      <c r="M80" s="23">
        <v>23</v>
      </c>
      <c r="N80" s="21">
        <f t="shared" si="5"/>
        <v>23.403508771929825</v>
      </c>
      <c r="O80" s="44">
        <v>16.421052631578945</v>
      </c>
      <c r="P80" s="21">
        <v>0</v>
      </c>
      <c r="Q80" s="21">
        <v>100</v>
      </c>
      <c r="R80" s="21">
        <v>0</v>
      </c>
      <c r="S80" s="2"/>
      <c r="T80" s="25">
        <v>1345865</v>
      </c>
      <c r="U80" s="26">
        <f t="shared" si="2"/>
        <v>76714305</v>
      </c>
      <c r="V80" s="26">
        <f t="shared" si="3"/>
        <v>78060170</v>
      </c>
      <c r="W80" s="2"/>
      <c r="X80" s="2"/>
      <c r="Y80" s="2"/>
      <c r="Z80" s="2"/>
    </row>
    <row r="81" spans="1:26" ht="12.75" customHeight="1" x14ac:dyDescent="0.35">
      <c r="A81" s="2"/>
      <c r="B81" s="8" t="s">
        <v>92</v>
      </c>
      <c r="C81" s="8" t="s">
        <v>26</v>
      </c>
      <c r="D81" s="8">
        <v>14</v>
      </c>
      <c r="E81" s="21">
        <v>322</v>
      </c>
      <c r="F81" s="21">
        <v>466</v>
      </c>
      <c r="G81" s="21">
        <v>0</v>
      </c>
      <c r="H81" s="22">
        <v>0</v>
      </c>
      <c r="I81" s="21">
        <v>615</v>
      </c>
      <c r="J81" s="21">
        <v>0</v>
      </c>
      <c r="K81" s="21">
        <f t="shared" si="0"/>
        <v>173</v>
      </c>
      <c r="L81" s="21">
        <v>299.16666666666703</v>
      </c>
      <c r="M81" s="23">
        <v>23</v>
      </c>
      <c r="N81" s="21">
        <f t="shared" si="5"/>
        <v>11.188346883468848</v>
      </c>
      <c r="O81" s="44">
        <v>7.3138211382113827</v>
      </c>
      <c r="P81" s="21">
        <v>170</v>
      </c>
      <c r="Q81" s="21">
        <v>400</v>
      </c>
      <c r="R81" s="21">
        <v>0</v>
      </c>
      <c r="S81" s="2"/>
      <c r="T81" s="25">
        <v>923955</v>
      </c>
      <c r="U81" s="26">
        <f t="shared" si="2"/>
        <v>568232325</v>
      </c>
      <c r="V81" s="26">
        <f t="shared" si="3"/>
        <v>276416537.50000036</v>
      </c>
      <c r="W81" s="2"/>
      <c r="X81" s="2"/>
      <c r="Y81" s="2"/>
      <c r="Z81" s="2"/>
    </row>
    <row r="82" spans="1:26" ht="12.75" customHeight="1" x14ac:dyDescent="0.35">
      <c r="A82" s="2"/>
      <c r="B82" s="8" t="s">
        <v>93</v>
      </c>
      <c r="C82" s="8" t="s">
        <v>26</v>
      </c>
      <c r="D82" s="8">
        <v>14</v>
      </c>
      <c r="E82" s="21">
        <v>25</v>
      </c>
      <c r="F82" s="21">
        <v>98</v>
      </c>
      <c r="G82" s="21">
        <v>0</v>
      </c>
      <c r="H82" s="22">
        <v>0</v>
      </c>
      <c r="I82" s="21">
        <v>25</v>
      </c>
      <c r="J82" s="21">
        <v>0</v>
      </c>
      <c r="K82" s="21">
        <f t="shared" si="0"/>
        <v>98</v>
      </c>
      <c r="L82" s="21">
        <v>37</v>
      </c>
      <c r="M82" s="23">
        <v>23</v>
      </c>
      <c r="N82" s="21">
        <f t="shared" si="5"/>
        <v>34.04</v>
      </c>
      <c r="O82" s="44">
        <v>101.92</v>
      </c>
      <c r="P82" s="21">
        <v>2</v>
      </c>
      <c r="Q82" s="21">
        <v>0</v>
      </c>
      <c r="R82" s="21">
        <v>0</v>
      </c>
      <c r="S82" s="2"/>
      <c r="T82" s="25">
        <v>504525</v>
      </c>
      <c r="U82" s="26">
        <f t="shared" si="2"/>
        <v>12613125</v>
      </c>
      <c r="V82" s="26">
        <f t="shared" si="3"/>
        <v>18667425</v>
      </c>
      <c r="W82" s="2"/>
      <c r="X82" s="2"/>
      <c r="Y82" s="2"/>
      <c r="Z82" s="2"/>
    </row>
    <row r="83" spans="1:26" ht="12.75" customHeight="1" x14ac:dyDescent="0.35">
      <c r="A83" s="2"/>
      <c r="B83" s="8" t="s">
        <v>94</v>
      </c>
      <c r="C83" s="8" t="s">
        <v>26</v>
      </c>
      <c r="D83" s="8">
        <v>14</v>
      </c>
      <c r="E83" s="21">
        <v>390</v>
      </c>
      <c r="F83" s="21">
        <v>510</v>
      </c>
      <c r="G83" s="21">
        <v>0</v>
      </c>
      <c r="H83" s="22">
        <v>0</v>
      </c>
      <c r="I83" s="21">
        <v>575</v>
      </c>
      <c r="J83" s="21">
        <v>0</v>
      </c>
      <c r="K83" s="21">
        <f t="shared" si="0"/>
        <v>325</v>
      </c>
      <c r="L83" s="21">
        <v>361</v>
      </c>
      <c r="M83" s="23">
        <v>23</v>
      </c>
      <c r="N83" s="21">
        <f t="shared" si="5"/>
        <v>14.440000000000001</v>
      </c>
      <c r="O83" s="44">
        <v>14.695652173913043</v>
      </c>
      <c r="P83" s="21">
        <v>0</v>
      </c>
      <c r="Q83" s="21">
        <v>250</v>
      </c>
      <c r="R83" s="21">
        <v>0</v>
      </c>
      <c r="S83" s="2"/>
      <c r="T83" s="25">
        <v>848935</v>
      </c>
      <c r="U83" s="26">
        <f t="shared" si="2"/>
        <v>488137625</v>
      </c>
      <c r="V83" s="26">
        <f t="shared" si="3"/>
        <v>306465535</v>
      </c>
      <c r="W83" s="4" t="s">
        <v>114</v>
      </c>
      <c r="X83" s="2"/>
      <c r="Y83" s="2"/>
      <c r="Z83" s="2"/>
    </row>
    <row r="84" spans="1:26" ht="18.75" customHeight="1" x14ac:dyDescent="0.35">
      <c r="A84" s="33"/>
      <c r="B84" s="27" t="s">
        <v>96</v>
      </c>
      <c r="C84" s="28"/>
      <c r="D84" s="28"/>
      <c r="E84" s="29">
        <f t="shared" ref="E84:L84" si="6">SUM(E4:E83)</f>
        <v>27434.55</v>
      </c>
      <c r="F84" s="29">
        <f t="shared" si="6"/>
        <v>9102.23</v>
      </c>
      <c r="G84" s="29">
        <f t="shared" si="6"/>
        <v>0</v>
      </c>
      <c r="H84" s="29">
        <f t="shared" si="6"/>
        <v>0</v>
      </c>
      <c r="I84" s="29">
        <f t="shared" si="6"/>
        <v>17935</v>
      </c>
      <c r="J84" s="29">
        <f t="shared" si="6"/>
        <v>-27.000000000000004</v>
      </c>
      <c r="K84" s="29">
        <f t="shared" si="6"/>
        <v>18628.78</v>
      </c>
      <c r="L84" s="29">
        <f t="shared" si="6"/>
        <v>21811.054405010203</v>
      </c>
      <c r="M84" s="30"/>
      <c r="N84" s="29">
        <f>+L84/($I84+$J84)*$M$4</f>
        <v>28.012857455619539</v>
      </c>
      <c r="O84" s="45">
        <f>+K84/($I84+$J84)*$M$4</f>
        <v>23.925728166182711</v>
      </c>
      <c r="P84" s="29">
        <f t="shared" ref="P84:R84" si="7">SUM(P4:P83)</f>
        <v>1262.3399999999999</v>
      </c>
      <c r="Q84" s="29">
        <f t="shared" si="7"/>
        <v>10991</v>
      </c>
      <c r="R84" s="29">
        <f t="shared" si="7"/>
        <v>280</v>
      </c>
      <c r="S84" s="33"/>
      <c r="T84" s="2"/>
      <c r="U84" s="46">
        <f t="shared" ref="U84:V84" si="8">SUM(U4:U83)</f>
        <v>17543648294</v>
      </c>
      <c r="V84" s="46">
        <f t="shared" si="8"/>
        <v>18843008711.152016</v>
      </c>
      <c r="W84" s="29">
        <f>(V84/U84)*M83</f>
        <v>24.703482029146539</v>
      </c>
      <c r="X84" s="33"/>
      <c r="Y84" s="33"/>
      <c r="Z84" s="33"/>
    </row>
    <row r="85" spans="1:26" ht="18.75" customHeight="1" x14ac:dyDescent="0.35">
      <c r="A85" s="2"/>
      <c r="B85" s="1"/>
      <c r="C85" s="2"/>
      <c r="D85" s="2"/>
      <c r="E85" s="36"/>
      <c r="F85" s="36"/>
      <c r="G85" s="36"/>
      <c r="H85" s="36"/>
      <c r="I85" s="36"/>
      <c r="J85" s="36"/>
      <c r="K85" s="36"/>
      <c r="L85" s="36"/>
      <c r="M85" s="3"/>
      <c r="N85" s="36"/>
      <c r="O85" s="36"/>
      <c r="P85" s="37"/>
      <c r="Q85" s="36"/>
      <c r="R85" s="36"/>
      <c r="S85" s="36"/>
      <c r="T85" s="2"/>
      <c r="U85" s="2"/>
      <c r="V85" s="2"/>
      <c r="W85" s="2"/>
      <c r="X85" s="2"/>
      <c r="Y85" s="2"/>
      <c r="Z85" s="2"/>
    </row>
    <row r="86" spans="1:26" ht="12.75" customHeight="1" x14ac:dyDescent="0.35">
      <c r="A86" s="2"/>
      <c r="B86" s="2" t="s">
        <v>97</v>
      </c>
      <c r="C86" s="39">
        <v>24.9</v>
      </c>
      <c r="D86" s="39"/>
      <c r="E86" s="2" t="s">
        <v>98</v>
      </c>
      <c r="F86" s="2"/>
      <c r="G86" s="2"/>
      <c r="H86" s="2"/>
      <c r="I86" s="2"/>
      <c r="J86" s="2"/>
      <c r="K86" s="2"/>
      <c r="L86" s="2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5">
      <c r="A87" s="2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2"/>
      <c r="O87" s="2"/>
      <c r="P87" s="2"/>
      <c r="Q87" s="2"/>
      <c r="R87" s="2"/>
      <c r="S87" s="2"/>
      <c r="T87" s="25"/>
      <c r="U87" s="2"/>
      <c r="V87" s="2"/>
      <c r="W87" s="2"/>
      <c r="X87" s="2"/>
      <c r="Y87" s="2"/>
      <c r="Z87" s="2"/>
    </row>
    <row r="88" spans="1:26" ht="12.75" customHeight="1" x14ac:dyDescent="0.35">
      <c r="A88" s="2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  <c r="N88" s="2"/>
      <c r="O88" s="2"/>
      <c r="P88" s="2"/>
      <c r="Q88" s="2"/>
      <c r="R88" s="2"/>
      <c r="S88" s="2"/>
      <c r="T88" s="25"/>
      <c r="U88" s="2"/>
      <c r="V88" s="2"/>
      <c r="W88" s="2"/>
      <c r="X88" s="2"/>
      <c r="Y88" s="2"/>
      <c r="Z88" s="2"/>
    </row>
    <row r="89" spans="1:26" ht="12.75" customHeight="1" x14ac:dyDescent="0.35">
      <c r="A89" s="2"/>
      <c r="B89" s="1"/>
      <c r="C89" s="40"/>
      <c r="D89" s="40"/>
      <c r="E89" s="2"/>
      <c r="F89" s="2"/>
      <c r="G89" s="2"/>
      <c r="H89" s="2"/>
      <c r="I89" s="2"/>
      <c r="J89" s="2"/>
      <c r="K89" s="2"/>
      <c r="L89" s="2"/>
      <c r="M89" s="3"/>
      <c r="N89" s="2"/>
      <c r="O89" s="2"/>
      <c r="P89" s="2"/>
      <c r="Q89" s="2"/>
      <c r="R89" s="2"/>
      <c r="S89" s="2"/>
      <c r="T89" s="25"/>
      <c r="U89" s="2"/>
      <c r="V89" s="2"/>
      <c r="W89" s="2"/>
      <c r="X89" s="2"/>
      <c r="Y89" s="2"/>
      <c r="Z89" s="2"/>
    </row>
    <row r="90" spans="1:26" ht="12.75" customHeight="1" x14ac:dyDescent="0.35">
      <c r="A90" s="2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2"/>
      <c r="O90" s="2"/>
      <c r="P90" s="2"/>
      <c r="Q90" s="2"/>
      <c r="R90" s="2"/>
      <c r="S90" s="2"/>
      <c r="T90" s="25"/>
      <c r="U90" s="2"/>
      <c r="V90" s="2"/>
      <c r="W90" s="2"/>
      <c r="X90" s="2"/>
      <c r="Y90" s="2"/>
      <c r="Z90" s="2"/>
    </row>
    <row r="91" spans="1:26" ht="12.75" customHeight="1" x14ac:dyDescent="0.35">
      <c r="A91" s="2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2"/>
      <c r="O91" s="2"/>
      <c r="P91" s="2"/>
      <c r="Q91" s="2"/>
      <c r="R91" s="2"/>
      <c r="S91" s="2"/>
      <c r="T91" s="25"/>
      <c r="U91" s="2"/>
      <c r="V91" s="2"/>
      <c r="W91" s="2"/>
      <c r="X91" s="2"/>
      <c r="Y91" s="2"/>
      <c r="Z91" s="2"/>
    </row>
    <row r="92" spans="1:26" ht="12.75" customHeight="1" x14ac:dyDescent="0.35">
      <c r="A92" s="2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5">
      <c r="A93" s="2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5">
      <c r="A94" s="2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5">
      <c r="A95" s="2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5">
      <c r="A96" s="2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5">
      <c r="A97" s="2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5">
      <c r="A98" s="2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5">
      <c r="A99" s="2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5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5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53125" defaultRowHeight="15" customHeight="1" x14ac:dyDescent="0.35"/>
  <cols>
    <col min="1" max="1" width="2.54296875" customWidth="1"/>
    <col min="2" max="2" width="17.81640625" customWidth="1"/>
    <col min="3" max="4" width="15" customWidth="1"/>
    <col min="5" max="5" width="16.08984375" customWidth="1"/>
    <col min="6" max="6" width="13.26953125" customWidth="1"/>
    <col min="7" max="7" width="11.54296875" customWidth="1"/>
    <col min="8" max="8" width="9.54296875" customWidth="1"/>
    <col min="9" max="9" width="13.26953125" customWidth="1"/>
    <col min="10" max="10" width="10.26953125" customWidth="1"/>
    <col min="11" max="11" width="12.7265625" customWidth="1"/>
    <col min="12" max="12" width="11.54296875" customWidth="1"/>
    <col min="13" max="13" width="11.453125" customWidth="1"/>
    <col min="14" max="14" width="10.453125" customWidth="1"/>
    <col min="15" max="15" width="8.81640625" customWidth="1"/>
    <col min="16" max="17" width="13.26953125" customWidth="1"/>
    <col min="18" max="18" width="7.81640625" customWidth="1"/>
    <col min="19" max="19" width="13.7265625" customWidth="1"/>
    <col min="20" max="20" width="13" customWidth="1"/>
    <col min="21" max="21" width="17.81640625" customWidth="1"/>
    <col min="22" max="22" width="20.08984375" customWidth="1"/>
    <col min="23" max="23" width="15.26953125" customWidth="1"/>
    <col min="24" max="26" width="8.7265625" customWidth="1"/>
  </cols>
  <sheetData>
    <row r="1" spans="1:26" ht="12.75" customHeight="1" x14ac:dyDescent="0.35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4" t="s">
        <v>0</v>
      </c>
      <c r="T1" s="41">
        <v>5.1999999999999998E-3</v>
      </c>
      <c r="U1" s="4" t="s">
        <v>1</v>
      </c>
      <c r="V1" s="6">
        <f>(V97*$T$1)/U97</f>
        <v>4.4990730622851147E-3</v>
      </c>
      <c r="W1" s="2"/>
      <c r="X1" s="2"/>
      <c r="Y1" s="2"/>
      <c r="Z1" s="2"/>
    </row>
    <row r="2" spans="1:26" ht="12.75" customHeight="1" x14ac:dyDescent="0.35">
      <c r="A2" s="2"/>
      <c r="B2" s="7"/>
      <c r="C2" s="8" t="s">
        <v>2</v>
      </c>
      <c r="D2" s="8"/>
      <c r="E2" s="9" t="s">
        <v>115</v>
      </c>
      <c r="F2" s="10"/>
      <c r="G2" s="11" t="s">
        <v>4</v>
      </c>
      <c r="H2" s="10"/>
      <c r="I2" s="10"/>
      <c r="J2" s="12"/>
      <c r="K2" s="10"/>
      <c r="L2" s="10"/>
      <c r="M2" s="13"/>
      <c r="N2" s="8"/>
      <c r="O2" s="14"/>
      <c r="P2" s="14"/>
      <c r="Q2" s="10"/>
      <c r="R2" s="10"/>
      <c r="S2" s="10"/>
      <c r="T2" s="2"/>
      <c r="U2" s="2"/>
      <c r="V2" s="2"/>
      <c r="W2" s="2"/>
      <c r="X2" s="2"/>
      <c r="Y2" s="2"/>
      <c r="Z2" s="2"/>
    </row>
    <row r="3" spans="1:26" ht="12.75" customHeight="1" x14ac:dyDescent="0.35">
      <c r="A3" s="2"/>
      <c r="B3" s="16" t="s">
        <v>5</v>
      </c>
      <c r="C3" s="16" t="s">
        <v>6</v>
      </c>
      <c r="D3" s="17" t="s">
        <v>7</v>
      </c>
      <c r="E3" s="17" t="s">
        <v>8</v>
      </c>
      <c r="F3" s="17" t="s">
        <v>9</v>
      </c>
      <c r="G3" s="17" t="s">
        <v>10</v>
      </c>
      <c r="H3" s="18" t="s">
        <v>11</v>
      </c>
      <c r="I3" s="17" t="s">
        <v>12</v>
      </c>
      <c r="J3" s="17" t="s">
        <v>13</v>
      </c>
      <c r="K3" s="17" t="s">
        <v>14</v>
      </c>
      <c r="L3" s="17" t="s">
        <v>15</v>
      </c>
      <c r="M3" s="43" t="s">
        <v>16</v>
      </c>
      <c r="N3" s="20" t="s">
        <v>17</v>
      </c>
      <c r="O3" s="20" t="s">
        <v>18</v>
      </c>
      <c r="P3" s="19" t="s">
        <v>19</v>
      </c>
      <c r="Q3" s="19" t="s">
        <v>20</v>
      </c>
      <c r="R3" s="19" t="s">
        <v>21</v>
      </c>
      <c r="S3" s="2"/>
      <c r="T3" s="17" t="s">
        <v>22</v>
      </c>
      <c r="U3" s="19" t="s">
        <v>23</v>
      </c>
      <c r="V3" s="19" t="s">
        <v>24</v>
      </c>
      <c r="W3" s="2"/>
      <c r="X3" s="2"/>
      <c r="Y3" s="2"/>
      <c r="Z3" s="2"/>
    </row>
    <row r="4" spans="1:26" ht="12.75" customHeight="1" x14ac:dyDescent="0.35">
      <c r="A4" s="2"/>
      <c r="B4" s="8" t="s">
        <v>100</v>
      </c>
      <c r="C4" s="8" t="s">
        <v>26</v>
      </c>
      <c r="D4" s="8">
        <v>14</v>
      </c>
      <c r="E4" s="21">
        <v>120</v>
      </c>
      <c r="F4" s="21">
        <v>37</v>
      </c>
      <c r="G4" s="21">
        <v>0</v>
      </c>
      <c r="H4" s="22">
        <v>0</v>
      </c>
      <c r="I4" s="21">
        <v>37</v>
      </c>
      <c r="J4" s="21">
        <v>0</v>
      </c>
      <c r="K4" s="21">
        <f t="shared" ref="K4:K96" si="0">(E4+F4+G4)-(I4+J4)</f>
        <v>120</v>
      </c>
      <c r="L4" s="21">
        <v>138.5</v>
      </c>
      <c r="M4" s="23">
        <v>26</v>
      </c>
      <c r="N4" s="21">
        <f>(L4/(I4+J4))*M4</f>
        <v>97.324324324324323</v>
      </c>
      <c r="O4" s="44">
        <v>3.2432432432432434</v>
      </c>
      <c r="P4" s="21">
        <v>0</v>
      </c>
      <c r="Q4" s="21">
        <v>0</v>
      </c>
      <c r="R4" s="21">
        <v>0</v>
      </c>
      <c r="S4" s="2"/>
      <c r="T4" s="25">
        <v>1631375</v>
      </c>
      <c r="U4" s="26">
        <f t="shared" ref="U4:U96" si="1">T4*(I4+J4)</f>
        <v>60360875</v>
      </c>
      <c r="V4" s="26">
        <f t="shared" ref="V4:V96" si="2">T4*L4</f>
        <v>225945437.5</v>
      </c>
      <c r="W4" s="2"/>
      <c r="X4" s="2"/>
      <c r="Y4" s="2"/>
      <c r="Z4" s="2"/>
    </row>
    <row r="5" spans="1:26" ht="12.75" customHeight="1" x14ac:dyDescent="0.35">
      <c r="A5" s="2"/>
      <c r="B5" s="8" t="s">
        <v>27</v>
      </c>
      <c r="C5" s="8" t="s">
        <v>26</v>
      </c>
      <c r="D5" s="8">
        <v>14</v>
      </c>
      <c r="E5" s="21">
        <v>100</v>
      </c>
      <c r="F5" s="21">
        <v>77</v>
      </c>
      <c r="G5" s="21">
        <v>0</v>
      </c>
      <c r="H5" s="22">
        <v>0</v>
      </c>
      <c r="I5" s="21">
        <v>0</v>
      </c>
      <c r="J5" s="21">
        <v>0</v>
      </c>
      <c r="K5" s="21">
        <f t="shared" si="0"/>
        <v>177</v>
      </c>
      <c r="L5" s="21">
        <v>177</v>
      </c>
      <c r="M5" s="23">
        <v>26</v>
      </c>
      <c r="N5" s="21">
        <v>0</v>
      </c>
      <c r="O5" s="44">
        <v>0</v>
      </c>
      <c r="P5" s="21">
        <v>0</v>
      </c>
      <c r="Q5" s="21">
        <v>23</v>
      </c>
      <c r="R5" s="21">
        <v>0</v>
      </c>
      <c r="S5" s="2"/>
      <c r="T5" s="25">
        <v>844750</v>
      </c>
      <c r="U5" s="26">
        <f t="shared" si="1"/>
        <v>0</v>
      </c>
      <c r="V5" s="26">
        <f t="shared" si="2"/>
        <v>149520750</v>
      </c>
      <c r="W5" s="2"/>
      <c r="X5" s="2"/>
      <c r="Y5" s="2"/>
      <c r="Z5" s="2"/>
    </row>
    <row r="6" spans="1:26" ht="12.75" customHeight="1" x14ac:dyDescent="0.35">
      <c r="A6" s="2"/>
      <c r="B6" s="8" t="s">
        <v>28</v>
      </c>
      <c r="C6" s="8" t="s">
        <v>26</v>
      </c>
      <c r="D6" s="8">
        <v>14</v>
      </c>
      <c r="E6" s="21">
        <v>169</v>
      </c>
      <c r="F6" s="21">
        <v>0</v>
      </c>
      <c r="G6" s="21">
        <v>0</v>
      </c>
      <c r="H6" s="22">
        <v>0</v>
      </c>
      <c r="I6" s="21">
        <v>93</v>
      </c>
      <c r="J6" s="21">
        <v>0</v>
      </c>
      <c r="K6" s="21">
        <f t="shared" si="0"/>
        <v>76</v>
      </c>
      <c r="L6" s="21">
        <v>110.5</v>
      </c>
      <c r="M6" s="23">
        <v>26</v>
      </c>
      <c r="N6" s="21">
        <f t="shared" ref="N6:N32" si="3">(L6/(I6+J6))*M6</f>
        <v>30.892473118279572</v>
      </c>
      <c r="O6" s="44">
        <v>0.81720430107526887</v>
      </c>
      <c r="P6" s="21">
        <v>0</v>
      </c>
      <c r="Q6" s="21">
        <v>100</v>
      </c>
      <c r="R6" s="21">
        <v>0</v>
      </c>
      <c r="S6" s="2"/>
      <c r="T6" s="25">
        <v>928605</v>
      </c>
      <c r="U6" s="26">
        <f t="shared" si="1"/>
        <v>86360265</v>
      </c>
      <c r="V6" s="26">
        <f t="shared" si="2"/>
        <v>102610852.5</v>
      </c>
      <c r="W6" s="2"/>
      <c r="X6" s="2"/>
      <c r="Y6" s="2"/>
      <c r="Z6" s="2"/>
    </row>
    <row r="7" spans="1:26" ht="12.75" customHeight="1" x14ac:dyDescent="0.35">
      <c r="A7" s="2"/>
      <c r="B7" s="8" t="s">
        <v>29</v>
      </c>
      <c r="C7" s="8" t="s">
        <v>26</v>
      </c>
      <c r="D7" s="8">
        <v>14</v>
      </c>
      <c r="E7" s="21">
        <v>112</v>
      </c>
      <c r="F7" s="21">
        <v>100</v>
      </c>
      <c r="G7" s="21">
        <v>0</v>
      </c>
      <c r="H7" s="22">
        <v>0</v>
      </c>
      <c r="I7" s="21">
        <v>0</v>
      </c>
      <c r="J7" s="21">
        <v>157</v>
      </c>
      <c r="K7" s="21">
        <f t="shared" si="0"/>
        <v>55</v>
      </c>
      <c r="L7" s="21">
        <v>62.800000000000004</v>
      </c>
      <c r="M7" s="23">
        <v>26</v>
      </c>
      <c r="N7" s="21">
        <f t="shared" si="3"/>
        <v>10.4</v>
      </c>
      <c r="O7" s="44">
        <v>0.3503184713375796</v>
      </c>
      <c r="P7" s="21">
        <v>0</v>
      </c>
      <c r="Q7" s="21">
        <v>100</v>
      </c>
      <c r="R7" s="21">
        <v>0</v>
      </c>
      <c r="S7" s="2"/>
      <c r="T7" s="25">
        <v>1329900</v>
      </c>
      <c r="U7" s="26">
        <f t="shared" si="1"/>
        <v>208794300</v>
      </c>
      <c r="V7" s="26">
        <f t="shared" si="2"/>
        <v>83517720</v>
      </c>
      <c r="W7" s="2"/>
      <c r="X7" s="2"/>
      <c r="Y7" s="2"/>
      <c r="Z7" s="2"/>
    </row>
    <row r="8" spans="1:26" ht="12.75" customHeight="1" x14ac:dyDescent="0.35">
      <c r="A8" s="2"/>
      <c r="B8" s="8" t="s">
        <v>116</v>
      </c>
      <c r="C8" s="8" t="s">
        <v>26</v>
      </c>
      <c r="D8" s="8">
        <v>14</v>
      </c>
      <c r="E8" s="21">
        <v>241</v>
      </c>
      <c r="F8" s="21">
        <v>0</v>
      </c>
      <c r="G8" s="21">
        <v>0</v>
      </c>
      <c r="H8" s="22">
        <v>0</v>
      </c>
      <c r="I8" s="21">
        <v>129</v>
      </c>
      <c r="J8" s="21">
        <v>0</v>
      </c>
      <c r="K8" s="21">
        <f t="shared" si="0"/>
        <v>112</v>
      </c>
      <c r="L8" s="21">
        <v>149</v>
      </c>
      <c r="M8" s="23">
        <v>26</v>
      </c>
      <c r="N8" s="21">
        <f t="shared" si="3"/>
        <v>30.031007751937985</v>
      </c>
      <c r="O8" s="44">
        <v>0.86821705426356588</v>
      </c>
      <c r="P8" s="21">
        <v>0</v>
      </c>
      <c r="Q8" s="21">
        <v>107</v>
      </c>
      <c r="R8" s="21">
        <v>0</v>
      </c>
      <c r="S8" s="2"/>
      <c r="T8" s="25">
        <v>865210</v>
      </c>
      <c r="U8" s="26">
        <f t="shared" si="1"/>
        <v>111612090</v>
      </c>
      <c r="V8" s="26">
        <f t="shared" si="2"/>
        <v>128916290</v>
      </c>
      <c r="W8" s="2"/>
      <c r="X8" s="2"/>
      <c r="Y8" s="2"/>
      <c r="Z8" s="2"/>
    </row>
    <row r="9" spans="1:26" ht="12.75" customHeight="1" x14ac:dyDescent="0.35">
      <c r="A9" s="2"/>
      <c r="B9" s="8" t="s">
        <v>117</v>
      </c>
      <c r="C9" s="8" t="s">
        <v>26</v>
      </c>
      <c r="D9" s="8">
        <v>14</v>
      </c>
      <c r="E9" s="21">
        <v>308</v>
      </c>
      <c r="F9" s="21">
        <v>606</v>
      </c>
      <c r="G9" s="21">
        <v>0</v>
      </c>
      <c r="H9" s="22">
        <v>0</v>
      </c>
      <c r="I9" s="21">
        <v>702</v>
      </c>
      <c r="J9" s="21">
        <v>0</v>
      </c>
      <c r="K9" s="21">
        <f t="shared" si="0"/>
        <v>212</v>
      </c>
      <c r="L9" s="21">
        <v>234</v>
      </c>
      <c r="M9" s="23">
        <v>26</v>
      </c>
      <c r="N9" s="21">
        <f t="shared" si="3"/>
        <v>8.6666666666666661</v>
      </c>
      <c r="O9" s="44">
        <v>0.30199430199430199</v>
      </c>
      <c r="P9" s="21">
        <v>0</v>
      </c>
      <c r="Q9" s="21">
        <v>0</v>
      </c>
      <c r="R9" s="21">
        <v>0</v>
      </c>
      <c r="S9" s="2"/>
      <c r="T9" s="25">
        <v>865210</v>
      </c>
      <c r="U9" s="26">
        <f t="shared" si="1"/>
        <v>607377420</v>
      </c>
      <c r="V9" s="26">
        <f t="shared" si="2"/>
        <v>202459140</v>
      </c>
      <c r="W9" s="2"/>
      <c r="X9" s="2"/>
      <c r="Y9" s="2"/>
      <c r="Z9" s="2"/>
    </row>
    <row r="10" spans="1:26" ht="12.75" customHeight="1" x14ac:dyDescent="0.35">
      <c r="A10" s="2"/>
      <c r="B10" s="8" t="s">
        <v>30</v>
      </c>
      <c r="C10" s="8" t="s">
        <v>26</v>
      </c>
      <c r="D10" s="8">
        <v>14</v>
      </c>
      <c r="E10" s="21">
        <v>442</v>
      </c>
      <c r="F10" s="21">
        <v>0</v>
      </c>
      <c r="G10" s="21">
        <v>0</v>
      </c>
      <c r="H10" s="22">
        <v>0</v>
      </c>
      <c r="I10" s="21">
        <v>118</v>
      </c>
      <c r="J10" s="21">
        <v>0</v>
      </c>
      <c r="K10" s="21">
        <f t="shared" si="0"/>
        <v>324</v>
      </c>
      <c r="L10" s="21">
        <v>390</v>
      </c>
      <c r="M10" s="23">
        <v>26</v>
      </c>
      <c r="N10" s="21">
        <f t="shared" si="3"/>
        <v>85.932203389830505</v>
      </c>
      <c r="O10" s="44">
        <v>2.7457627118644066</v>
      </c>
      <c r="P10" s="21">
        <v>0</v>
      </c>
      <c r="Q10" s="21">
        <v>0</v>
      </c>
      <c r="R10" s="21">
        <v>0</v>
      </c>
      <c r="S10" s="2"/>
      <c r="T10" s="25">
        <v>841116</v>
      </c>
      <c r="U10" s="26">
        <f t="shared" si="1"/>
        <v>99251688</v>
      </c>
      <c r="V10" s="26">
        <f t="shared" si="2"/>
        <v>328035240</v>
      </c>
      <c r="W10" s="2"/>
      <c r="X10" s="2"/>
      <c r="Y10" s="2"/>
      <c r="Z10" s="2"/>
    </row>
    <row r="11" spans="1:26" ht="12.75" customHeight="1" x14ac:dyDescent="0.35">
      <c r="A11" s="2"/>
      <c r="B11" s="8" t="s">
        <v>31</v>
      </c>
      <c r="C11" s="8" t="s">
        <v>26</v>
      </c>
      <c r="D11" s="8">
        <v>14</v>
      </c>
      <c r="E11" s="21">
        <v>63</v>
      </c>
      <c r="F11" s="21">
        <v>0</v>
      </c>
      <c r="G11" s="21">
        <v>0</v>
      </c>
      <c r="H11" s="22">
        <v>0</v>
      </c>
      <c r="I11" s="21">
        <v>21</v>
      </c>
      <c r="J11" s="21">
        <v>0</v>
      </c>
      <c r="K11" s="21">
        <f t="shared" si="0"/>
        <v>42</v>
      </c>
      <c r="L11" s="21">
        <v>46</v>
      </c>
      <c r="M11" s="23">
        <v>26</v>
      </c>
      <c r="N11" s="21">
        <f t="shared" si="3"/>
        <v>56.952380952380956</v>
      </c>
      <c r="O11" s="44">
        <v>2</v>
      </c>
      <c r="P11" s="21">
        <v>0</v>
      </c>
      <c r="Q11" s="21">
        <v>0</v>
      </c>
      <c r="R11" s="21">
        <v>0</v>
      </c>
      <c r="S11" s="2"/>
      <c r="T11" s="25">
        <v>928605</v>
      </c>
      <c r="U11" s="26">
        <f t="shared" si="1"/>
        <v>19500705</v>
      </c>
      <c r="V11" s="26">
        <f t="shared" si="2"/>
        <v>42715830</v>
      </c>
      <c r="W11" s="2"/>
      <c r="X11" s="2"/>
      <c r="Y11" s="2"/>
      <c r="Z11" s="2"/>
    </row>
    <row r="12" spans="1:26" ht="12.75" customHeight="1" x14ac:dyDescent="0.35">
      <c r="A12" s="2"/>
      <c r="B12" s="8" t="s">
        <v>118</v>
      </c>
      <c r="C12" s="8" t="s">
        <v>26</v>
      </c>
      <c r="D12" s="8">
        <v>14</v>
      </c>
      <c r="E12" s="21">
        <v>120</v>
      </c>
      <c r="F12" s="21">
        <v>516</v>
      </c>
      <c r="G12" s="21">
        <v>0</v>
      </c>
      <c r="H12" s="22">
        <v>0</v>
      </c>
      <c r="I12" s="21">
        <v>0</v>
      </c>
      <c r="J12" s="21">
        <v>384</v>
      </c>
      <c r="K12" s="21">
        <f t="shared" si="0"/>
        <v>252</v>
      </c>
      <c r="L12" s="21">
        <v>293.33333333333303</v>
      </c>
      <c r="M12" s="23">
        <v>26</v>
      </c>
      <c r="N12" s="21">
        <f t="shared" si="3"/>
        <v>19.861111111111089</v>
      </c>
      <c r="O12" s="44">
        <v>0.65625</v>
      </c>
      <c r="P12" s="21">
        <v>0</v>
      </c>
      <c r="Q12" s="21">
        <v>150</v>
      </c>
      <c r="R12" s="21">
        <v>0</v>
      </c>
      <c r="S12" s="2"/>
      <c r="T12" s="25">
        <v>139965</v>
      </c>
      <c r="U12" s="26">
        <f t="shared" si="1"/>
        <v>53746560</v>
      </c>
      <c r="V12" s="26">
        <f t="shared" si="2"/>
        <v>41056399.999999955</v>
      </c>
      <c r="W12" s="2"/>
      <c r="X12" s="2"/>
      <c r="Y12" s="2"/>
      <c r="Z12" s="2"/>
    </row>
    <row r="13" spans="1:26" ht="12.75" customHeight="1" x14ac:dyDescent="0.35">
      <c r="A13" s="2"/>
      <c r="B13" s="8" t="s">
        <v>101</v>
      </c>
      <c r="C13" s="8" t="s">
        <v>26</v>
      </c>
      <c r="D13" s="8">
        <v>14</v>
      </c>
      <c r="E13" s="21">
        <v>118</v>
      </c>
      <c r="F13" s="21">
        <v>102</v>
      </c>
      <c r="G13" s="21">
        <v>0</v>
      </c>
      <c r="H13" s="22">
        <v>0</v>
      </c>
      <c r="I13" s="21">
        <v>0</v>
      </c>
      <c r="J13" s="21">
        <v>118</v>
      </c>
      <c r="K13" s="21">
        <f t="shared" si="0"/>
        <v>102</v>
      </c>
      <c r="L13" s="21">
        <v>38.3333333333333</v>
      </c>
      <c r="M13" s="23">
        <v>26</v>
      </c>
      <c r="N13" s="21">
        <f t="shared" si="3"/>
        <v>8.446327683615813</v>
      </c>
      <c r="O13" s="44">
        <v>0.86440677966101698</v>
      </c>
      <c r="P13" s="21">
        <v>0</v>
      </c>
      <c r="Q13" s="21">
        <v>48</v>
      </c>
      <c r="R13" s="21">
        <v>0</v>
      </c>
      <c r="S13" s="2"/>
      <c r="T13" s="25">
        <v>165230</v>
      </c>
      <c r="U13" s="26">
        <f t="shared" si="1"/>
        <v>19497140</v>
      </c>
      <c r="V13" s="26">
        <f t="shared" si="2"/>
        <v>6333816.6666666614</v>
      </c>
      <c r="W13" s="2"/>
      <c r="X13" s="2"/>
      <c r="Y13" s="2"/>
      <c r="Z13" s="2"/>
    </row>
    <row r="14" spans="1:26" ht="12.75" customHeight="1" x14ac:dyDescent="0.35">
      <c r="A14" s="2"/>
      <c r="B14" s="8" t="s">
        <v>102</v>
      </c>
      <c r="C14" s="8" t="s">
        <v>26</v>
      </c>
      <c r="D14" s="8">
        <v>14</v>
      </c>
      <c r="E14" s="21">
        <v>4703</v>
      </c>
      <c r="F14" s="21">
        <v>0</v>
      </c>
      <c r="G14" s="21">
        <v>0</v>
      </c>
      <c r="H14" s="22">
        <v>0</v>
      </c>
      <c r="I14" s="21">
        <v>0</v>
      </c>
      <c r="J14" s="21">
        <v>210</v>
      </c>
      <c r="K14" s="21">
        <f t="shared" si="0"/>
        <v>4493</v>
      </c>
      <c r="L14" s="21">
        <v>4493</v>
      </c>
      <c r="M14" s="23">
        <v>26</v>
      </c>
      <c r="N14" s="21">
        <f t="shared" si="3"/>
        <v>556.27619047619044</v>
      </c>
      <c r="O14" s="44">
        <v>21.395238095238096</v>
      </c>
      <c r="P14" s="21">
        <v>330</v>
      </c>
      <c r="Q14" s="21">
        <v>0</v>
      </c>
      <c r="R14" s="21">
        <v>0</v>
      </c>
      <c r="S14" s="2"/>
      <c r="T14" s="25">
        <v>139965</v>
      </c>
      <c r="U14" s="26">
        <f t="shared" si="1"/>
        <v>29392650</v>
      </c>
      <c r="V14" s="26">
        <f t="shared" si="2"/>
        <v>628862745</v>
      </c>
      <c r="W14" s="2"/>
      <c r="X14" s="2"/>
      <c r="Y14" s="2"/>
      <c r="Z14" s="2"/>
    </row>
    <row r="15" spans="1:26" ht="12.75" customHeight="1" x14ac:dyDescent="0.35">
      <c r="A15" s="2"/>
      <c r="B15" s="8" t="s">
        <v>32</v>
      </c>
      <c r="C15" s="8" t="s">
        <v>26</v>
      </c>
      <c r="D15" s="8">
        <v>14</v>
      </c>
      <c r="E15" s="21">
        <v>108</v>
      </c>
      <c r="F15" s="21">
        <v>0</v>
      </c>
      <c r="G15" s="21">
        <v>0</v>
      </c>
      <c r="H15" s="22">
        <v>0</v>
      </c>
      <c r="I15" s="21">
        <v>0</v>
      </c>
      <c r="J15" s="21">
        <v>63</v>
      </c>
      <c r="K15" s="21">
        <f t="shared" si="0"/>
        <v>45</v>
      </c>
      <c r="L15" s="21">
        <v>72</v>
      </c>
      <c r="M15" s="23">
        <v>26</v>
      </c>
      <c r="N15" s="21">
        <f t="shared" si="3"/>
        <v>29.714285714285712</v>
      </c>
      <c r="O15" s="44">
        <v>0.7142857142857143</v>
      </c>
      <c r="P15" s="21">
        <v>0</v>
      </c>
      <c r="Q15" s="21">
        <v>0</v>
      </c>
      <c r="R15" s="21">
        <v>0</v>
      </c>
      <c r="S15" s="2"/>
      <c r="T15" s="25">
        <v>3438210</v>
      </c>
      <c r="U15" s="26">
        <f t="shared" si="1"/>
        <v>216607230</v>
      </c>
      <c r="V15" s="26">
        <f t="shared" si="2"/>
        <v>247551120</v>
      </c>
      <c r="W15" s="2"/>
      <c r="X15" s="2"/>
      <c r="Y15" s="2"/>
      <c r="Z15" s="2"/>
    </row>
    <row r="16" spans="1:26" ht="12.75" customHeight="1" x14ac:dyDescent="0.35">
      <c r="A16" s="2"/>
      <c r="B16" s="8" t="s">
        <v>33</v>
      </c>
      <c r="C16" s="8" t="s">
        <v>26</v>
      </c>
      <c r="D16" s="8">
        <v>14</v>
      </c>
      <c r="E16" s="21">
        <v>787</v>
      </c>
      <c r="F16" s="21">
        <v>1045</v>
      </c>
      <c r="G16" s="21">
        <v>0</v>
      </c>
      <c r="H16" s="22">
        <v>0</v>
      </c>
      <c r="I16" s="21">
        <v>0</v>
      </c>
      <c r="J16" s="21">
        <v>1269</v>
      </c>
      <c r="K16" s="21">
        <f t="shared" si="0"/>
        <v>563</v>
      </c>
      <c r="L16" s="21">
        <v>856.11111111111109</v>
      </c>
      <c r="M16" s="23">
        <v>26</v>
      </c>
      <c r="N16" s="21">
        <f t="shared" si="3"/>
        <v>17.540495578320638</v>
      </c>
      <c r="O16" s="44">
        <v>0.44365642237982661</v>
      </c>
      <c r="P16" s="21">
        <v>0</v>
      </c>
      <c r="Q16" s="21">
        <v>450</v>
      </c>
      <c r="R16" s="21">
        <v>0</v>
      </c>
      <c r="S16" s="2"/>
      <c r="T16" s="25">
        <v>165230</v>
      </c>
      <c r="U16" s="26">
        <f t="shared" si="1"/>
        <v>209676870</v>
      </c>
      <c r="V16" s="26">
        <f t="shared" si="2"/>
        <v>141455238.8888889</v>
      </c>
      <c r="W16" s="2"/>
      <c r="X16" s="2"/>
      <c r="Y16" s="2"/>
      <c r="Z16" s="2"/>
    </row>
    <row r="17" spans="1:26" ht="12.75" customHeight="1" x14ac:dyDescent="0.35">
      <c r="A17" s="2"/>
      <c r="B17" s="8" t="s">
        <v>34</v>
      </c>
      <c r="C17" s="8" t="s">
        <v>26</v>
      </c>
      <c r="D17" s="8">
        <v>14</v>
      </c>
      <c r="E17" s="21">
        <v>270</v>
      </c>
      <c r="F17" s="21">
        <v>30</v>
      </c>
      <c r="G17" s="21">
        <v>0</v>
      </c>
      <c r="H17" s="22">
        <v>0</v>
      </c>
      <c r="I17" s="21">
        <v>26</v>
      </c>
      <c r="J17" s="21">
        <v>0</v>
      </c>
      <c r="K17" s="21">
        <f t="shared" si="0"/>
        <v>274</v>
      </c>
      <c r="L17" s="21">
        <v>256.28571428571399</v>
      </c>
      <c r="M17" s="23">
        <v>26</v>
      </c>
      <c r="N17" s="21">
        <f t="shared" si="3"/>
        <v>256.28571428571399</v>
      </c>
      <c r="O17" s="44">
        <v>10.538461538461538</v>
      </c>
      <c r="P17" s="21">
        <v>2</v>
      </c>
      <c r="Q17" s="21">
        <v>0</v>
      </c>
      <c r="R17" s="21">
        <v>0</v>
      </c>
      <c r="S17" s="2"/>
      <c r="T17" s="25">
        <v>1516675</v>
      </c>
      <c r="U17" s="26">
        <f t="shared" si="1"/>
        <v>39433550</v>
      </c>
      <c r="V17" s="26">
        <f t="shared" si="2"/>
        <v>388702135.71428525</v>
      </c>
      <c r="W17" s="2"/>
      <c r="X17" s="2"/>
      <c r="Y17" s="2"/>
      <c r="Z17" s="2"/>
    </row>
    <row r="18" spans="1:26" ht="12.75" customHeight="1" x14ac:dyDescent="0.35">
      <c r="A18" s="2"/>
      <c r="B18" s="8" t="s">
        <v>119</v>
      </c>
      <c r="C18" s="8" t="s">
        <v>26</v>
      </c>
      <c r="D18" s="8">
        <v>14</v>
      </c>
      <c r="E18" s="21">
        <v>10</v>
      </c>
      <c r="F18" s="21">
        <v>0</v>
      </c>
      <c r="G18" s="21">
        <v>0</v>
      </c>
      <c r="H18" s="22">
        <v>0</v>
      </c>
      <c r="I18" s="21">
        <v>4</v>
      </c>
      <c r="J18" s="21">
        <v>0</v>
      </c>
      <c r="K18" s="21">
        <f t="shared" si="0"/>
        <v>6</v>
      </c>
      <c r="L18" s="21">
        <v>7</v>
      </c>
      <c r="M18" s="23">
        <v>26</v>
      </c>
      <c r="N18" s="21">
        <f t="shared" si="3"/>
        <v>45.5</v>
      </c>
      <c r="O18" s="44">
        <v>1.5</v>
      </c>
      <c r="P18" s="21">
        <v>0</v>
      </c>
      <c r="Q18" s="21">
        <v>15</v>
      </c>
      <c r="R18" s="21">
        <v>0</v>
      </c>
      <c r="S18" s="2"/>
      <c r="T18" s="25">
        <v>1516675</v>
      </c>
      <c r="U18" s="26">
        <f t="shared" si="1"/>
        <v>6066700</v>
      </c>
      <c r="V18" s="26">
        <f t="shared" si="2"/>
        <v>10616725</v>
      </c>
      <c r="W18" s="2"/>
      <c r="X18" s="2"/>
      <c r="Y18" s="2"/>
      <c r="Z18" s="2"/>
    </row>
    <row r="19" spans="1:26" ht="12.75" customHeight="1" x14ac:dyDescent="0.35">
      <c r="A19" s="2"/>
      <c r="B19" s="8" t="s">
        <v>35</v>
      </c>
      <c r="C19" s="8" t="s">
        <v>26</v>
      </c>
      <c r="D19" s="8">
        <v>14</v>
      </c>
      <c r="E19" s="21">
        <v>59</v>
      </c>
      <c r="F19" s="21">
        <v>0</v>
      </c>
      <c r="G19" s="21">
        <v>0</v>
      </c>
      <c r="H19" s="22">
        <v>0</v>
      </c>
      <c r="I19" s="21">
        <v>2</v>
      </c>
      <c r="J19" s="21">
        <v>0</v>
      </c>
      <c r="K19" s="21">
        <f t="shared" si="0"/>
        <v>57</v>
      </c>
      <c r="L19" s="21">
        <v>57</v>
      </c>
      <c r="M19" s="23">
        <v>26</v>
      </c>
      <c r="N19" s="21">
        <f t="shared" si="3"/>
        <v>741</v>
      </c>
      <c r="O19" s="44">
        <v>28.5</v>
      </c>
      <c r="P19" s="21">
        <v>0</v>
      </c>
      <c r="Q19" s="21">
        <v>0</v>
      </c>
      <c r="R19" s="21">
        <v>0</v>
      </c>
      <c r="S19" s="2"/>
      <c r="T19" s="25">
        <v>1516675</v>
      </c>
      <c r="U19" s="26">
        <f t="shared" si="1"/>
        <v>3033350</v>
      </c>
      <c r="V19" s="26">
        <f t="shared" si="2"/>
        <v>86450475</v>
      </c>
      <c r="W19" s="2"/>
      <c r="X19" s="2"/>
      <c r="Y19" s="2"/>
      <c r="Z19" s="2"/>
    </row>
    <row r="20" spans="1:26" ht="12.75" customHeight="1" x14ac:dyDescent="0.35">
      <c r="A20" s="2"/>
      <c r="B20" s="8" t="s">
        <v>36</v>
      </c>
      <c r="C20" s="8" t="s">
        <v>26</v>
      </c>
      <c r="D20" s="8">
        <v>14</v>
      </c>
      <c r="E20" s="21">
        <v>19</v>
      </c>
      <c r="F20" s="21">
        <v>0</v>
      </c>
      <c r="G20" s="21">
        <v>0</v>
      </c>
      <c r="H20" s="22">
        <v>0</v>
      </c>
      <c r="I20" s="21">
        <v>10</v>
      </c>
      <c r="J20" s="21">
        <v>0</v>
      </c>
      <c r="K20" s="21">
        <f t="shared" si="0"/>
        <v>9</v>
      </c>
      <c r="L20" s="21">
        <v>13.5</v>
      </c>
      <c r="M20" s="23">
        <v>26</v>
      </c>
      <c r="N20" s="21">
        <f t="shared" si="3"/>
        <v>35.1</v>
      </c>
      <c r="O20" s="44">
        <v>0.9</v>
      </c>
      <c r="P20" s="21">
        <v>0</v>
      </c>
      <c r="Q20" s="21">
        <v>0</v>
      </c>
      <c r="R20" s="21">
        <v>0</v>
      </c>
      <c r="S20" s="2"/>
      <c r="T20" s="25">
        <v>1516675</v>
      </c>
      <c r="U20" s="26">
        <f t="shared" si="1"/>
        <v>15166750</v>
      </c>
      <c r="V20" s="26">
        <f t="shared" si="2"/>
        <v>20475112.5</v>
      </c>
      <c r="W20" s="2"/>
      <c r="X20" s="2"/>
      <c r="Y20" s="2"/>
      <c r="Z20" s="2"/>
    </row>
    <row r="21" spans="1:26" ht="12.75" customHeight="1" x14ac:dyDescent="0.35">
      <c r="A21" s="2"/>
      <c r="B21" s="8" t="s">
        <v>37</v>
      </c>
      <c r="C21" s="8" t="s">
        <v>26</v>
      </c>
      <c r="D21" s="8">
        <v>14</v>
      </c>
      <c r="E21" s="21">
        <v>61</v>
      </c>
      <c r="F21" s="21">
        <v>0</v>
      </c>
      <c r="G21" s="21">
        <v>0</v>
      </c>
      <c r="H21" s="22">
        <v>0</v>
      </c>
      <c r="I21" s="21">
        <v>12</v>
      </c>
      <c r="J21" s="21">
        <v>0</v>
      </c>
      <c r="K21" s="21">
        <f t="shared" si="0"/>
        <v>49</v>
      </c>
      <c r="L21" s="21">
        <v>52</v>
      </c>
      <c r="M21" s="23">
        <v>26</v>
      </c>
      <c r="N21" s="21">
        <f t="shared" si="3"/>
        <v>112.66666666666666</v>
      </c>
      <c r="O21" s="44">
        <v>4.083333333333333</v>
      </c>
      <c r="P21" s="21">
        <v>0</v>
      </c>
      <c r="Q21" s="21">
        <v>0</v>
      </c>
      <c r="R21" s="21">
        <v>0</v>
      </c>
      <c r="S21" s="2"/>
      <c r="T21" s="25">
        <v>1516675</v>
      </c>
      <c r="U21" s="26">
        <f t="shared" si="1"/>
        <v>18200100</v>
      </c>
      <c r="V21" s="26">
        <f t="shared" si="2"/>
        <v>78867100</v>
      </c>
      <c r="W21" s="2"/>
      <c r="X21" s="2"/>
      <c r="Y21" s="2"/>
      <c r="Z21" s="2"/>
    </row>
    <row r="22" spans="1:26" ht="12.75" customHeight="1" x14ac:dyDescent="0.35">
      <c r="A22" s="2"/>
      <c r="B22" s="8" t="s">
        <v>38</v>
      </c>
      <c r="C22" s="8" t="s">
        <v>26</v>
      </c>
      <c r="D22" s="8">
        <v>14</v>
      </c>
      <c r="E22" s="21">
        <v>59</v>
      </c>
      <c r="F22" s="21">
        <v>0</v>
      </c>
      <c r="G22" s="21">
        <v>0</v>
      </c>
      <c r="H22" s="22">
        <v>0</v>
      </c>
      <c r="I22" s="21">
        <v>39</v>
      </c>
      <c r="J22" s="21">
        <v>0</v>
      </c>
      <c r="K22" s="21">
        <f t="shared" si="0"/>
        <v>20</v>
      </c>
      <c r="L22" s="21">
        <v>35.3333333333333</v>
      </c>
      <c r="M22" s="23">
        <v>26</v>
      </c>
      <c r="N22" s="21">
        <f t="shared" si="3"/>
        <v>23.555555555555532</v>
      </c>
      <c r="O22" s="44">
        <v>0.51282051282051277</v>
      </c>
      <c r="P22" s="21">
        <v>0</v>
      </c>
      <c r="Q22" s="21">
        <v>0</v>
      </c>
      <c r="R22" s="21">
        <v>0</v>
      </c>
      <c r="S22" s="2"/>
      <c r="T22" s="25">
        <v>1516675</v>
      </c>
      <c r="U22" s="26">
        <f t="shared" si="1"/>
        <v>59150325</v>
      </c>
      <c r="V22" s="26">
        <f t="shared" si="2"/>
        <v>53589183.333333284</v>
      </c>
      <c r="W22" s="2"/>
      <c r="X22" s="2"/>
      <c r="Y22" s="2"/>
      <c r="Z22" s="2"/>
    </row>
    <row r="23" spans="1:26" ht="12.75" customHeight="1" x14ac:dyDescent="0.35">
      <c r="A23" s="2"/>
      <c r="B23" s="8" t="s">
        <v>39</v>
      </c>
      <c r="C23" s="8" t="s">
        <v>26</v>
      </c>
      <c r="D23" s="8">
        <v>14</v>
      </c>
      <c r="E23" s="21">
        <v>59</v>
      </c>
      <c r="F23" s="21">
        <v>0</v>
      </c>
      <c r="G23" s="21">
        <v>0</v>
      </c>
      <c r="H23" s="22">
        <v>0</v>
      </c>
      <c r="I23" s="21">
        <v>4</v>
      </c>
      <c r="J23" s="21">
        <v>0</v>
      </c>
      <c r="K23" s="21">
        <f t="shared" si="0"/>
        <v>55</v>
      </c>
      <c r="L23" s="21">
        <v>56</v>
      </c>
      <c r="M23" s="23">
        <v>26</v>
      </c>
      <c r="N23" s="21">
        <f t="shared" si="3"/>
        <v>364</v>
      </c>
      <c r="O23" s="44">
        <v>13.75</v>
      </c>
      <c r="P23" s="21">
        <v>0</v>
      </c>
      <c r="Q23" s="21">
        <v>0</v>
      </c>
      <c r="R23" s="21">
        <v>0</v>
      </c>
      <c r="S23" s="2"/>
      <c r="T23" s="25">
        <v>1516675</v>
      </c>
      <c r="U23" s="26">
        <f t="shared" si="1"/>
        <v>6066700</v>
      </c>
      <c r="V23" s="26">
        <f t="shared" si="2"/>
        <v>84933800</v>
      </c>
      <c r="W23" s="2"/>
      <c r="X23" s="2"/>
      <c r="Y23" s="2"/>
      <c r="Z23" s="2"/>
    </row>
    <row r="24" spans="1:26" ht="12.75" customHeight="1" x14ac:dyDescent="0.35">
      <c r="A24" s="2"/>
      <c r="B24" s="8" t="s">
        <v>40</v>
      </c>
      <c r="C24" s="8" t="s">
        <v>26</v>
      </c>
      <c r="D24" s="8">
        <v>14</v>
      </c>
      <c r="E24" s="21">
        <v>144</v>
      </c>
      <c r="F24" s="21">
        <v>187</v>
      </c>
      <c r="G24" s="21">
        <v>0</v>
      </c>
      <c r="H24" s="22">
        <v>0</v>
      </c>
      <c r="I24" s="21">
        <v>281</v>
      </c>
      <c r="J24" s="21">
        <v>0</v>
      </c>
      <c r="K24" s="21">
        <f t="shared" si="0"/>
        <v>50</v>
      </c>
      <c r="L24" s="21">
        <v>90.0833333333333</v>
      </c>
      <c r="M24" s="23">
        <v>26</v>
      </c>
      <c r="N24" s="21">
        <f t="shared" si="3"/>
        <v>8.3351126927639356</v>
      </c>
      <c r="O24" s="44">
        <v>0.17793594306049823</v>
      </c>
      <c r="P24" s="21">
        <v>0</v>
      </c>
      <c r="Q24" s="21">
        <v>214</v>
      </c>
      <c r="R24" s="21">
        <v>0</v>
      </c>
      <c r="S24" s="2"/>
      <c r="T24" s="25">
        <v>1345865</v>
      </c>
      <c r="U24" s="26">
        <f t="shared" si="1"/>
        <v>378188065</v>
      </c>
      <c r="V24" s="26">
        <f t="shared" si="2"/>
        <v>121240005.41666663</v>
      </c>
      <c r="W24" s="2"/>
      <c r="X24" s="2"/>
      <c r="Y24" s="2"/>
      <c r="Z24" s="2"/>
    </row>
    <row r="25" spans="1:26" ht="12.75" customHeight="1" x14ac:dyDescent="0.35">
      <c r="A25" s="2"/>
      <c r="B25" s="8" t="s">
        <v>41</v>
      </c>
      <c r="C25" s="8" t="s">
        <v>26</v>
      </c>
      <c r="D25" s="8">
        <v>14</v>
      </c>
      <c r="E25" s="21">
        <v>4</v>
      </c>
      <c r="F25" s="21">
        <v>0</v>
      </c>
      <c r="G25" s="21">
        <v>0</v>
      </c>
      <c r="H25" s="22">
        <v>0</v>
      </c>
      <c r="I25" s="21">
        <v>4</v>
      </c>
      <c r="J25" s="21">
        <v>0</v>
      </c>
      <c r="K25" s="21">
        <f t="shared" si="0"/>
        <v>0</v>
      </c>
      <c r="L25" s="21">
        <v>1</v>
      </c>
      <c r="M25" s="23">
        <v>26</v>
      </c>
      <c r="N25" s="21">
        <f t="shared" si="3"/>
        <v>6.5</v>
      </c>
      <c r="O25" s="44">
        <v>0</v>
      </c>
      <c r="P25" s="21">
        <v>0</v>
      </c>
      <c r="Q25" s="21">
        <v>0</v>
      </c>
      <c r="R25" s="21">
        <v>0</v>
      </c>
      <c r="S25" s="2"/>
      <c r="T25" s="25">
        <v>1326180</v>
      </c>
      <c r="U25" s="26">
        <f t="shared" si="1"/>
        <v>5304720</v>
      </c>
      <c r="V25" s="26">
        <f t="shared" si="2"/>
        <v>1326180</v>
      </c>
      <c r="W25" s="2"/>
      <c r="X25" s="2"/>
      <c r="Y25" s="2"/>
      <c r="Z25" s="2"/>
    </row>
    <row r="26" spans="1:26" ht="12.75" customHeight="1" x14ac:dyDescent="0.35">
      <c r="A26" s="2"/>
      <c r="B26" s="8" t="s">
        <v>120</v>
      </c>
      <c r="C26" s="8" t="s">
        <v>26</v>
      </c>
      <c r="D26" s="8">
        <v>14</v>
      </c>
      <c r="E26" s="21">
        <v>92</v>
      </c>
      <c r="F26" s="21">
        <v>0</v>
      </c>
      <c r="G26" s="21">
        <v>0</v>
      </c>
      <c r="H26" s="22">
        <v>0</v>
      </c>
      <c r="I26" s="21">
        <v>8</v>
      </c>
      <c r="J26" s="21">
        <v>0</v>
      </c>
      <c r="K26" s="21">
        <f t="shared" si="0"/>
        <v>84</v>
      </c>
      <c r="L26" s="21">
        <v>86</v>
      </c>
      <c r="M26" s="23">
        <v>26</v>
      </c>
      <c r="N26" s="21">
        <f t="shared" si="3"/>
        <v>279.5</v>
      </c>
      <c r="O26" s="44">
        <v>10.5</v>
      </c>
      <c r="P26" s="21">
        <v>0</v>
      </c>
      <c r="Q26" s="21">
        <v>0</v>
      </c>
      <c r="R26" s="21">
        <v>0</v>
      </c>
      <c r="S26" s="2"/>
      <c r="T26" s="25">
        <v>1326180</v>
      </c>
      <c r="U26" s="26">
        <f t="shared" si="1"/>
        <v>10609440</v>
      </c>
      <c r="V26" s="26">
        <f t="shared" si="2"/>
        <v>114051480</v>
      </c>
      <c r="W26" s="2"/>
      <c r="X26" s="2"/>
      <c r="Y26" s="2"/>
      <c r="Z26" s="2"/>
    </row>
    <row r="27" spans="1:26" ht="12.75" customHeight="1" x14ac:dyDescent="0.35">
      <c r="A27" s="2"/>
      <c r="B27" s="8" t="s">
        <v>42</v>
      </c>
      <c r="C27" s="8" t="s">
        <v>26</v>
      </c>
      <c r="D27" s="8">
        <v>14</v>
      </c>
      <c r="E27" s="21">
        <v>69</v>
      </c>
      <c r="F27" s="21">
        <v>126</v>
      </c>
      <c r="G27" s="21">
        <v>0</v>
      </c>
      <c r="H27" s="22">
        <v>0</v>
      </c>
      <c r="I27" s="21">
        <v>83</v>
      </c>
      <c r="J27" s="21">
        <v>0</v>
      </c>
      <c r="K27" s="21">
        <f t="shared" si="0"/>
        <v>112</v>
      </c>
      <c r="L27" s="21">
        <v>94.25</v>
      </c>
      <c r="M27" s="23">
        <v>26</v>
      </c>
      <c r="N27" s="21">
        <f t="shared" si="3"/>
        <v>29.524096385542165</v>
      </c>
      <c r="O27" s="44">
        <v>1.3493975903614457</v>
      </c>
      <c r="P27" s="21">
        <v>0</v>
      </c>
      <c r="Q27" s="21">
        <v>3</v>
      </c>
      <c r="R27" s="21">
        <v>0</v>
      </c>
      <c r="S27" s="2"/>
      <c r="T27" s="25">
        <v>542345</v>
      </c>
      <c r="U27" s="26">
        <f t="shared" si="1"/>
        <v>45014635</v>
      </c>
      <c r="V27" s="26">
        <f t="shared" si="2"/>
        <v>51116016.25</v>
      </c>
      <c r="W27" s="2"/>
      <c r="X27" s="2"/>
      <c r="Y27" s="2"/>
      <c r="Z27" s="2"/>
    </row>
    <row r="28" spans="1:26" ht="12.75" customHeight="1" x14ac:dyDescent="0.35">
      <c r="A28" s="2"/>
      <c r="B28" s="8" t="s">
        <v>43</v>
      </c>
      <c r="C28" s="8" t="s">
        <v>26</v>
      </c>
      <c r="D28" s="8">
        <v>14</v>
      </c>
      <c r="E28" s="21">
        <v>855</v>
      </c>
      <c r="F28" s="21">
        <v>1607</v>
      </c>
      <c r="G28" s="21">
        <v>0</v>
      </c>
      <c r="H28" s="22">
        <v>0</v>
      </c>
      <c r="I28" s="21">
        <v>0</v>
      </c>
      <c r="J28" s="21">
        <v>1436</v>
      </c>
      <c r="K28" s="21">
        <f t="shared" si="0"/>
        <v>1026</v>
      </c>
      <c r="L28" s="21">
        <v>1366.0869565217399</v>
      </c>
      <c r="M28" s="23">
        <v>26</v>
      </c>
      <c r="N28" s="21">
        <f t="shared" si="3"/>
        <v>24.734164950950721</v>
      </c>
      <c r="O28" s="44">
        <v>0.71448467966573814</v>
      </c>
      <c r="P28" s="21">
        <v>250</v>
      </c>
      <c r="Q28" s="21">
        <v>150</v>
      </c>
      <c r="R28" s="21">
        <v>0</v>
      </c>
      <c r="S28" s="2"/>
      <c r="T28" s="25">
        <v>1054620</v>
      </c>
      <c r="U28" s="26">
        <f t="shared" si="1"/>
        <v>1514434320</v>
      </c>
      <c r="V28" s="26">
        <f t="shared" si="2"/>
        <v>1440702626.0869575</v>
      </c>
      <c r="W28" s="2"/>
      <c r="X28" s="2"/>
      <c r="Y28" s="2"/>
      <c r="Z28" s="2"/>
    </row>
    <row r="29" spans="1:26" ht="12.75" customHeight="1" x14ac:dyDescent="0.35">
      <c r="A29" s="2"/>
      <c r="B29" s="8" t="s">
        <v>44</v>
      </c>
      <c r="C29" s="8" t="s">
        <v>26</v>
      </c>
      <c r="D29" s="8">
        <v>14</v>
      </c>
      <c r="E29" s="21">
        <v>411</v>
      </c>
      <c r="F29" s="21">
        <v>0</v>
      </c>
      <c r="G29" s="21">
        <v>0</v>
      </c>
      <c r="H29" s="22">
        <v>0</v>
      </c>
      <c r="I29" s="21">
        <v>378</v>
      </c>
      <c r="J29" s="21">
        <v>0</v>
      </c>
      <c r="K29" s="21">
        <f t="shared" si="0"/>
        <v>33</v>
      </c>
      <c r="L29" s="21">
        <v>173.4</v>
      </c>
      <c r="M29" s="23">
        <v>26</v>
      </c>
      <c r="N29" s="21">
        <f t="shared" si="3"/>
        <v>11.926984126984127</v>
      </c>
      <c r="O29" s="44">
        <v>8.7301587301587297E-2</v>
      </c>
      <c r="P29" s="21">
        <v>0</v>
      </c>
      <c r="Q29" s="21">
        <v>131</v>
      </c>
      <c r="R29" s="21">
        <v>0</v>
      </c>
      <c r="S29" s="2"/>
      <c r="T29" s="25">
        <v>848935</v>
      </c>
      <c r="U29" s="26">
        <f t="shared" si="1"/>
        <v>320897430</v>
      </c>
      <c r="V29" s="26">
        <f t="shared" si="2"/>
        <v>147205329</v>
      </c>
      <c r="W29" s="2"/>
      <c r="X29" s="2"/>
      <c r="Y29" s="2"/>
      <c r="Z29" s="2"/>
    </row>
    <row r="30" spans="1:26" ht="12.75" customHeight="1" x14ac:dyDescent="0.35">
      <c r="A30" s="2"/>
      <c r="B30" s="8" t="s">
        <v>121</v>
      </c>
      <c r="C30" s="8" t="s">
        <v>26</v>
      </c>
      <c r="D30" s="8">
        <v>14</v>
      </c>
      <c r="E30" s="21">
        <v>306</v>
      </c>
      <c r="F30" s="21">
        <v>102</v>
      </c>
      <c r="G30" s="21">
        <v>0</v>
      </c>
      <c r="H30" s="22">
        <v>0</v>
      </c>
      <c r="I30" s="21">
        <v>318</v>
      </c>
      <c r="J30" s="21">
        <v>0</v>
      </c>
      <c r="K30" s="21">
        <f t="shared" si="0"/>
        <v>90</v>
      </c>
      <c r="L30" s="21">
        <v>235.5</v>
      </c>
      <c r="M30" s="23">
        <v>26</v>
      </c>
      <c r="N30" s="21">
        <f t="shared" si="3"/>
        <v>19.254716981132077</v>
      </c>
      <c r="O30" s="44">
        <v>0.28301886792452829</v>
      </c>
      <c r="P30" s="21">
        <v>0</v>
      </c>
      <c r="Q30" s="21">
        <v>193</v>
      </c>
      <c r="R30" s="21">
        <v>0</v>
      </c>
      <c r="S30" s="2"/>
      <c r="T30" s="25">
        <v>848935</v>
      </c>
      <c r="U30" s="26">
        <f t="shared" si="1"/>
        <v>269961330</v>
      </c>
      <c r="V30" s="26">
        <f t="shared" si="2"/>
        <v>199924192.5</v>
      </c>
      <c r="W30" s="2"/>
      <c r="X30" s="2"/>
      <c r="Y30" s="2"/>
      <c r="Z30" s="2"/>
    </row>
    <row r="31" spans="1:26" ht="12.75" customHeight="1" x14ac:dyDescent="0.35">
      <c r="A31" s="2"/>
      <c r="B31" s="8" t="s">
        <v>122</v>
      </c>
      <c r="C31" s="8" t="s">
        <v>26</v>
      </c>
      <c r="D31" s="8">
        <v>14</v>
      </c>
      <c r="E31" s="21">
        <v>105</v>
      </c>
      <c r="F31" s="21">
        <v>97</v>
      </c>
      <c r="G31" s="21">
        <v>0</v>
      </c>
      <c r="H31" s="22">
        <v>0</v>
      </c>
      <c r="I31" s="21">
        <v>0</v>
      </c>
      <c r="J31" s="21">
        <v>54</v>
      </c>
      <c r="K31" s="21">
        <f t="shared" si="0"/>
        <v>148</v>
      </c>
      <c r="L31" s="21">
        <v>166</v>
      </c>
      <c r="M31" s="23">
        <v>26</v>
      </c>
      <c r="N31" s="21">
        <f t="shared" si="3"/>
        <v>79.925925925925924</v>
      </c>
      <c r="O31" s="44">
        <v>2.7407407407407409</v>
      </c>
      <c r="P31" s="21">
        <v>0</v>
      </c>
      <c r="Q31" s="21">
        <v>0</v>
      </c>
      <c r="R31" s="21">
        <v>0</v>
      </c>
      <c r="S31" s="2"/>
      <c r="T31" s="25">
        <v>819485</v>
      </c>
      <c r="U31" s="26">
        <f t="shared" si="1"/>
        <v>44252190</v>
      </c>
      <c r="V31" s="26">
        <f t="shared" si="2"/>
        <v>136034510</v>
      </c>
      <c r="W31" s="2"/>
      <c r="X31" s="2"/>
      <c r="Y31" s="2"/>
      <c r="Z31" s="2"/>
    </row>
    <row r="32" spans="1:26" ht="12.75" customHeight="1" x14ac:dyDescent="0.35">
      <c r="A32" s="2"/>
      <c r="B32" s="8" t="s">
        <v>46</v>
      </c>
      <c r="C32" s="8" t="s">
        <v>26</v>
      </c>
      <c r="D32" s="8">
        <v>14</v>
      </c>
      <c r="E32" s="21">
        <v>549</v>
      </c>
      <c r="F32" s="21">
        <v>1013</v>
      </c>
      <c r="G32" s="21">
        <v>0</v>
      </c>
      <c r="H32" s="22">
        <v>0</v>
      </c>
      <c r="I32" s="21">
        <v>0</v>
      </c>
      <c r="J32" s="21">
        <v>1013</v>
      </c>
      <c r="K32" s="21">
        <f t="shared" si="0"/>
        <v>549</v>
      </c>
      <c r="L32" s="21">
        <v>739.2</v>
      </c>
      <c r="M32" s="23">
        <v>26</v>
      </c>
      <c r="N32" s="21">
        <f t="shared" si="3"/>
        <v>18.972556762092793</v>
      </c>
      <c r="O32" s="44">
        <v>0.5419545903257651</v>
      </c>
      <c r="P32" s="21">
        <v>0</v>
      </c>
      <c r="Q32" s="21">
        <v>300</v>
      </c>
      <c r="R32" s="21">
        <v>0</v>
      </c>
      <c r="S32" s="2"/>
      <c r="T32" s="25">
        <v>819485</v>
      </c>
      <c r="U32" s="26">
        <f t="shared" si="1"/>
        <v>830138305</v>
      </c>
      <c r="V32" s="26">
        <f t="shared" si="2"/>
        <v>605763312</v>
      </c>
      <c r="W32" s="2"/>
      <c r="X32" s="2"/>
      <c r="Y32" s="2"/>
      <c r="Z32" s="2"/>
    </row>
    <row r="33" spans="1:26" ht="12.75" customHeight="1" x14ac:dyDescent="0.35">
      <c r="A33" s="2"/>
      <c r="B33" s="8" t="s">
        <v>123</v>
      </c>
      <c r="C33" s="8" t="s">
        <v>26</v>
      </c>
      <c r="D33" s="8">
        <v>14</v>
      </c>
      <c r="E33" s="21">
        <v>76</v>
      </c>
      <c r="F33" s="21">
        <v>0</v>
      </c>
      <c r="G33" s="21">
        <v>0</v>
      </c>
      <c r="H33" s="22">
        <v>0</v>
      </c>
      <c r="I33" s="21">
        <v>0</v>
      </c>
      <c r="J33" s="21">
        <v>0</v>
      </c>
      <c r="K33" s="21">
        <f t="shared" si="0"/>
        <v>76</v>
      </c>
      <c r="L33" s="21">
        <v>0</v>
      </c>
      <c r="M33" s="23">
        <v>26</v>
      </c>
      <c r="N33" s="21">
        <v>0</v>
      </c>
      <c r="O33" s="44">
        <v>0</v>
      </c>
      <c r="P33" s="21">
        <v>0</v>
      </c>
      <c r="Q33" s="21">
        <v>0</v>
      </c>
      <c r="R33" s="21">
        <v>0</v>
      </c>
      <c r="S33" s="2"/>
      <c r="T33" s="25">
        <v>1272550</v>
      </c>
      <c r="U33" s="26">
        <f t="shared" si="1"/>
        <v>0</v>
      </c>
      <c r="V33" s="26">
        <f t="shared" si="2"/>
        <v>0</v>
      </c>
      <c r="W33" s="2"/>
      <c r="X33" s="2"/>
      <c r="Y33" s="2"/>
      <c r="Z33" s="2"/>
    </row>
    <row r="34" spans="1:26" ht="12.75" customHeight="1" x14ac:dyDescent="0.35">
      <c r="A34" s="2"/>
      <c r="B34" s="8" t="s">
        <v>47</v>
      </c>
      <c r="C34" s="8" t="s">
        <v>26</v>
      </c>
      <c r="D34" s="8">
        <v>14</v>
      </c>
      <c r="E34" s="21">
        <v>50</v>
      </c>
      <c r="F34" s="21">
        <v>100</v>
      </c>
      <c r="G34" s="21">
        <v>0</v>
      </c>
      <c r="H34" s="22">
        <v>0</v>
      </c>
      <c r="I34" s="21">
        <v>0</v>
      </c>
      <c r="J34" s="21">
        <v>65</v>
      </c>
      <c r="K34" s="21">
        <f t="shared" si="0"/>
        <v>85</v>
      </c>
      <c r="L34" s="21">
        <v>88.3333333333333</v>
      </c>
      <c r="M34" s="23">
        <v>26</v>
      </c>
      <c r="N34" s="21">
        <f t="shared" ref="N34:N45" si="4">(L34/(I34+J34))*M34</f>
        <v>35.333333333333314</v>
      </c>
      <c r="O34" s="44">
        <v>1.3076923076923077</v>
      </c>
      <c r="P34" s="21">
        <v>0</v>
      </c>
      <c r="Q34" s="21">
        <v>100</v>
      </c>
      <c r="R34" s="21">
        <v>0</v>
      </c>
      <c r="S34" s="2"/>
      <c r="T34" s="25">
        <v>1272550</v>
      </c>
      <c r="U34" s="26">
        <f t="shared" si="1"/>
        <v>82715750</v>
      </c>
      <c r="V34" s="26">
        <f t="shared" si="2"/>
        <v>112408583.3333333</v>
      </c>
      <c r="W34" s="2"/>
      <c r="X34" s="2"/>
      <c r="Y34" s="2"/>
      <c r="Z34" s="2"/>
    </row>
    <row r="35" spans="1:26" ht="12.75" customHeight="1" x14ac:dyDescent="0.35">
      <c r="A35" s="2"/>
      <c r="B35" s="8" t="s">
        <v>48</v>
      </c>
      <c r="C35" s="8" t="s">
        <v>26</v>
      </c>
      <c r="D35" s="8">
        <v>14</v>
      </c>
      <c r="E35" s="21">
        <v>219</v>
      </c>
      <c r="F35" s="21">
        <v>97</v>
      </c>
      <c r="G35" s="21">
        <v>0</v>
      </c>
      <c r="H35" s="22">
        <v>0</v>
      </c>
      <c r="I35" s="21">
        <v>0</v>
      </c>
      <c r="J35" s="21">
        <v>143</v>
      </c>
      <c r="K35" s="21">
        <f t="shared" si="0"/>
        <v>173</v>
      </c>
      <c r="L35" s="21">
        <v>171.333333333333</v>
      </c>
      <c r="M35" s="23">
        <v>26</v>
      </c>
      <c r="N35" s="21">
        <f t="shared" si="4"/>
        <v>31.151515151515088</v>
      </c>
      <c r="O35" s="44">
        <v>1.2097902097902098</v>
      </c>
      <c r="P35" s="21">
        <v>0</v>
      </c>
      <c r="Q35" s="21">
        <v>3</v>
      </c>
      <c r="R35" s="21">
        <v>0</v>
      </c>
      <c r="S35" s="2"/>
      <c r="T35" s="25">
        <v>1272550</v>
      </c>
      <c r="U35" s="26">
        <f t="shared" si="1"/>
        <v>181974650</v>
      </c>
      <c r="V35" s="26">
        <f t="shared" si="2"/>
        <v>218030233.33333293</v>
      </c>
      <c r="W35" s="2"/>
      <c r="X35" s="2"/>
      <c r="Y35" s="2"/>
      <c r="Z35" s="2"/>
    </row>
    <row r="36" spans="1:26" ht="12.75" customHeight="1" x14ac:dyDescent="0.35">
      <c r="A36" s="2"/>
      <c r="B36" s="8" t="s">
        <v>49</v>
      </c>
      <c r="C36" s="8" t="s">
        <v>26</v>
      </c>
      <c r="D36" s="8">
        <v>14</v>
      </c>
      <c r="E36" s="21">
        <v>393</v>
      </c>
      <c r="F36" s="21">
        <v>956</v>
      </c>
      <c r="G36" s="21">
        <v>0</v>
      </c>
      <c r="H36" s="22">
        <v>0</v>
      </c>
      <c r="I36" s="21">
        <v>0</v>
      </c>
      <c r="J36" s="21">
        <v>648</v>
      </c>
      <c r="K36" s="21">
        <f t="shared" si="0"/>
        <v>701</v>
      </c>
      <c r="L36" s="21">
        <v>768.5</v>
      </c>
      <c r="M36" s="23">
        <v>26</v>
      </c>
      <c r="N36" s="21">
        <f t="shared" si="4"/>
        <v>30.83487654320988</v>
      </c>
      <c r="O36" s="44">
        <v>1.0817901234567902</v>
      </c>
      <c r="P36" s="21">
        <v>0</v>
      </c>
      <c r="Q36" s="21">
        <v>0</v>
      </c>
      <c r="R36" s="21">
        <v>0</v>
      </c>
      <c r="S36" s="2"/>
      <c r="T36" s="25">
        <v>819485</v>
      </c>
      <c r="U36" s="26">
        <f t="shared" si="1"/>
        <v>531026280</v>
      </c>
      <c r="V36" s="26">
        <f t="shared" si="2"/>
        <v>629774222.5</v>
      </c>
      <c r="W36" s="2"/>
      <c r="X36" s="2"/>
      <c r="Y36" s="2"/>
      <c r="Z36" s="2"/>
    </row>
    <row r="37" spans="1:26" ht="12.75" customHeight="1" x14ac:dyDescent="0.35">
      <c r="A37" s="2"/>
      <c r="B37" s="8" t="s">
        <v>104</v>
      </c>
      <c r="C37" s="8" t="s">
        <v>26</v>
      </c>
      <c r="D37" s="8">
        <v>14</v>
      </c>
      <c r="E37" s="21">
        <v>162</v>
      </c>
      <c r="F37" s="21">
        <v>104</v>
      </c>
      <c r="G37" s="21">
        <v>0</v>
      </c>
      <c r="H37" s="22">
        <v>0</v>
      </c>
      <c r="I37" s="21">
        <v>0</v>
      </c>
      <c r="J37" s="21">
        <v>104</v>
      </c>
      <c r="K37" s="21">
        <f t="shared" si="0"/>
        <v>162</v>
      </c>
      <c r="L37" s="21">
        <v>164.666666666667</v>
      </c>
      <c r="M37" s="23">
        <v>26</v>
      </c>
      <c r="N37" s="21">
        <f t="shared" si="4"/>
        <v>41.16666666666675</v>
      </c>
      <c r="O37" s="44">
        <v>1.5576923076923077</v>
      </c>
      <c r="P37" s="21">
        <v>0</v>
      </c>
      <c r="Q37" s="21">
        <v>0</v>
      </c>
      <c r="R37" s="21">
        <v>0</v>
      </c>
      <c r="S37" s="2"/>
      <c r="T37" s="25">
        <v>1445220</v>
      </c>
      <c r="U37" s="26">
        <f t="shared" si="1"/>
        <v>150302880</v>
      </c>
      <c r="V37" s="26">
        <f t="shared" si="2"/>
        <v>237979560.00000048</v>
      </c>
      <c r="W37" s="2"/>
      <c r="X37" s="2"/>
      <c r="Y37" s="2"/>
      <c r="Z37" s="2"/>
    </row>
    <row r="38" spans="1:26" ht="12.75" customHeight="1" x14ac:dyDescent="0.35">
      <c r="A38" s="2"/>
      <c r="B38" s="8" t="s">
        <v>51</v>
      </c>
      <c r="C38" s="8" t="s">
        <v>26</v>
      </c>
      <c r="D38" s="8">
        <v>14</v>
      </c>
      <c r="E38" s="21">
        <v>50</v>
      </c>
      <c r="F38" s="21">
        <v>0</v>
      </c>
      <c r="G38" s="21">
        <v>0</v>
      </c>
      <c r="H38" s="22">
        <v>0</v>
      </c>
      <c r="I38" s="21">
        <v>0</v>
      </c>
      <c r="J38" s="21">
        <v>50</v>
      </c>
      <c r="K38" s="21">
        <f t="shared" si="0"/>
        <v>0</v>
      </c>
      <c r="L38" s="21">
        <v>1</v>
      </c>
      <c r="M38" s="23">
        <v>26</v>
      </c>
      <c r="N38" s="21">
        <f t="shared" si="4"/>
        <v>0.52</v>
      </c>
      <c r="O38" s="44">
        <v>0</v>
      </c>
      <c r="P38" s="21">
        <v>0</v>
      </c>
      <c r="Q38" s="21">
        <v>0</v>
      </c>
      <c r="R38" s="21">
        <v>0</v>
      </c>
      <c r="S38" s="2"/>
      <c r="T38" s="25">
        <v>1445220</v>
      </c>
      <c r="U38" s="26">
        <f t="shared" si="1"/>
        <v>72261000</v>
      </c>
      <c r="V38" s="26">
        <f t="shared" si="2"/>
        <v>1445220</v>
      </c>
      <c r="W38" s="2"/>
      <c r="X38" s="2"/>
      <c r="Y38" s="2"/>
      <c r="Z38" s="2"/>
    </row>
    <row r="39" spans="1:26" ht="12.75" customHeight="1" x14ac:dyDescent="0.35">
      <c r="A39" s="2"/>
      <c r="B39" s="8" t="s">
        <v>124</v>
      </c>
      <c r="C39" s="8" t="s">
        <v>26</v>
      </c>
      <c r="D39" s="8">
        <v>14</v>
      </c>
      <c r="E39" s="21">
        <v>102</v>
      </c>
      <c r="F39" s="21">
        <v>0</v>
      </c>
      <c r="G39" s="21">
        <v>0</v>
      </c>
      <c r="H39" s="22">
        <v>0</v>
      </c>
      <c r="I39" s="21">
        <v>0</v>
      </c>
      <c r="J39" s="21">
        <v>56</v>
      </c>
      <c r="K39" s="21">
        <f t="shared" si="0"/>
        <v>46</v>
      </c>
      <c r="L39" s="21">
        <v>46</v>
      </c>
      <c r="M39" s="23">
        <v>26</v>
      </c>
      <c r="N39" s="21">
        <f t="shared" si="4"/>
        <v>21.357142857142858</v>
      </c>
      <c r="O39" s="44">
        <v>0.8214285714285714</v>
      </c>
      <c r="P39" s="21">
        <v>0</v>
      </c>
      <c r="Q39" s="21">
        <v>150</v>
      </c>
      <c r="R39" s="21">
        <v>0</v>
      </c>
      <c r="S39" s="2"/>
      <c r="T39" s="25">
        <v>1445220</v>
      </c>
      <c r="U39" s="26">
        <f t="shared" si="1"/>
        <v>80932320</v>
      </c>
      <c r="V39" s="26">
        <f t="shared" si="2"/>
        <v>66480120</v>
      </c>
      <c r="W39" s="2"/>
      <c r="X39" s="2"/>
      <c r="Y39" s="2"/>
      <c r="Z39" s="2"/>
    </row>
    <row r="40" spans="1:26" ht="12.75" customHeight="1" x14ac:dyDescent="0.35">
      <c r="A40" s="2"/>
      <c r="B40" s="8" t="s">
        <v>52</v>
      </c>
      <c r="C40" s="8" t="s">
        <v>26</v>
      </c>
      <c r="D40" s="8">
        <v>14</v>
      </c>
      <c r="E40" s="21">
        <v>148</v>
      </c>
      <c r="F40" s="21">
        <v>0</v>
      </c>
      <c r="G40" s="21">
        <v>0</v>
      </c>
      <c r="H40" s="22">
        <v>0</v>
      </c>
      <c r="I40" s="21">
        <v>0</v>
      </c>
      <c r="J40" s="21">
        <v>100</v>
      </c>
      <c r="K40" s="21">
        <f t="shared" si="0"/>
        <v>48</v>
      </c>
      <c r="L40" s="21">
        <v>74</v>
      </c>
      <c r="M40" s="23">
        <v>26</v>
      </c>
      <c r="N40" s="21">
        <f t="shared" si="4"/>
        <v>19.239999999999998</v>
      </c>
      <c r="O40" s="44">
        <v>0.48</v>
      </c>
      <c r="P40" s="21">
        <v>0</v>
      </c>
      <c r="Q40" s="21">
        <v>150</v>
      </c>
      <c r="R40" s="21">
        <v>0</v>
      </c>
      <c r="S40" s="2"/>
      <c r="T40" s="25">
        <v>1445220</v>
      </c>
      <c r="U40" s="26">
        <f t="shared" si="1"/>
        <v>144522000</v>
      </c>
      <c r="V40" s="26">
        <f t="shared" si="2"/>
        <v>106946280</v>
      </c>
      <c r="W40" s="2"/>
      <c r="X40" s="2"/>
      <c r="Y40" s="2"/>
      <c r="Z40" s="2"/>
    </row>
    <row r="41" spans="1:26" ht="12.75" customHeight="1" x14ac:dyDescent="0.35">
      <c r="A41" s="2"/>
      <c r="B41" s="8" t="s">
        <v>53</v>
      </c>
      <c r="C41" s="8" t="s">
        <v>26</v>
      </c>
      <c r="D41" s="8">
        <v>14</v>
      </c>
      <c r="E41" s="21">
        <v>230</v>
      </c>
      <c r="F41" s="21">
        <v>0</v>
      </c>
      <c r="G41" s="21">
        <v>0</v>
      </c>
      <c r="H41" s="22">
        <v>0</v>
      </c>
      <c r="I41" s="21">
        <v>0</v>
      </c>
      <c r="J41" s="21">
        <v>118</v>
      </c>
      <c r="K41" s="21">
        <f t="shared" si="0"/>
        <v>112</v>
      </c>
      <c r="L41" s="21">
        <v>142.666666666667</v>
      </c>
      <c r="M41" s="23">
        <v>26</v>
      </c>
      <c r="N41" s="21">
        <f t="shared" si="4"/>
        <v>31.435028248587646</v>
      </c>
      <c r="O41" s="44">
        <v>0.94915254237288138</v>
      </c>
      <c r="P41" s="21">
        <v>0</v>
      </c>
      <c r="Q41" s="21">
        <v>105</v>
      </c>
      <c r="R41" s="21">
        <v>0</v>
      </c>
      <c r="S41" s="2"/>
      <c r="T41" s="25">
        <v>1272550</v>
      </c>
      <c r="U41" s="26">
        <f t="shared" si="1"/>
        <v>150160900</v>
      </c>
      <c r="V41" s="26">
        <f t="shared" si="2"/>
        <v>181550466.66666707</v>
      </c>
      <c r="W41" s="2"/>
      <c r="X41" s="2"/>
      <c r="Y41" s="2"/>
      <c r="Z41" s="2"/>
    </row>
    <row r="42" spans="1:26" ht="12.75" customHeight="1" x14ac:dyDescent="0.35">
      <c r="A42" s="2"/>
      <c r="B42" s="8" t="s">
        <v>56</v>
      </c>
      <c r="C42" s="8" t="s">
        <v>26</v>
      </c>
      <c r="D42" s="8">
        <v>14</v>
      </c>
      <c r="E42" s="21">
        <v>270</v>
      </c>
      <c r="F42" s="21">
        <v>0</v>
      </c>
      <c r="G42" s="21">
        <v>0</v>
      </c>
      <c r="H42" s="22">
        <v>0</v>
      </c>
      <c r="I42" s="21">
        <v>0</v>
      </c>
      <c r="J42" s="21">
        <v>54</v>
      </c>
      <c r="K42" s="21">
        <f t="shared" si="0"/>
        <v>216</v>
      </c>
      <c r="L42" s="21">
        <v>216</v>
      </c>
      <c r="M42" s="23">
        <v>26</v>
      </c>
      <c r="N42" s="21">
        <f t="shared" si="4"/>
        <v>104</v>
      </c>
      <c r="O42" s="44">
        <v>4</v>
      </c>
      <c r="P42" s="21">
        <v>0</v>
      </c>
      <c r="Q42" s="21">
        <v>100</v>
      </c>
      <c r="R42" s="21">
        <v>0</v>
      </c>
      <c r="S42" s="2"/>
      <c r="T42" s="25">
        <v>819485</v>
      </c>
      <c r="U42" s="26">
        <f t="shared" si="1"/>
        <v>44252190</v>
      </c>
      <c r="V42" s="26">
        <f t="shared" si="2"/>
        <v>177008760</v>
      </c>
      <c r="W42" s="2"/>
      <c r="X42" s="2"/>
      <c r="Y42" s="2"/>
      <c r="Z42" s="2"/>
    </row>
    <row r="43" spans="1:26" ht="12.75" customHeight="1" x14ac:dyDescent="0.35">
      <c r="A43" s="2"/>
      <c r="B43" s="8" t="s">
        <v>57</v>
      </c>
      <c r="C43" s="8" t="s">
        <v>26</v>
      </c>
      <c r="D43" s="8">
        <v>14</v>
      </c>
      <c r="E43" s="21">
        <v>191.98000000000002</v>
      </c>
      <c r="F43" s="21">
        <v>1010</v>
      </c>
      <c r="G43" s="21">
        <v>0</v>
      </c>
      <c r="H43" s="22">
        <v>0</v>
      </c>
      <c r="I43" s="21">
        <v>0</v>
      </c>
      <c r="J43" s="21">
        <v>794</v>
      </c>
      <c r="K43" s="21">
        <f t="shared" si="0"/>
        <v>407.98</v>
      </c>
      <c r="L43" s="21">
        <v>588.12285714285701</v>
      </c>
      <c r="M43" s="23">
        <v>26</v>
      </c>
      <c r="N43" s="21">
        <f t="shared" si="4"/>
        <v>19.258431090320258</v>
      </c>
      <c r="O43" s="44">
        <v>0.51382871536523933</v>
      </c>
      <c r="P43" s="21">
        <v>100</v>
      </c>
      <c r="Q43" s="21">
        <v>200</v>
      </c>
      <c r="R43" s="21">
        <v>0</v>
      </c>
      <c r="S43" s="2"/>
      <c r="T43" s="25">
        <v>819485</v>
      </c>
      <c r="U43" s="26">
        <f t="shared" si="1"/>
        <v>650671090</v>
      </c>
      <c r="V43" s="26">
        <f t="shared" si="2"/>
        <v>481957859.58571416</v>
      </c>
      <c r="W43" s="2"/>
      <c r="X43" s="2"/>
      <c r="Y43" s="2"/>
      <c r="Z43" s="2"/>
    </row>
    <row r="44" spans="1:26" ht="12.75" customHeight="1" x14ac:dyDescent="0.35">
      <c r="A44" s="2"/>
      <c r="B44" s="8" t="s">
        <v>58</v>
      </c>
      <c r="C44" s="8" t="s">
        <v>26</v>
      </c>
      <c r="D44" s="8">
        <v>14</v>
      </c>
      <c r="E44" s="21">
        <v>136</v>
      </c>
      <c r="F44" s="21">
        <v>0</v>
      </c>
      <c r="G44" s="21">
        <v>0</v>
      </c>
      <c r="H44" s="22">
        <v>0</v>
      </c>
      <c r="I44" s="21">
        <v>4</v>
      </c>
      <c r="J44" s="21">
        <v>0</v>
      </c>
      <c r="K44" s="21">
        <f t="shared" si="0"/>
        <v>132</v>
      </c>
      <c r="L44" s="21">
        <v>132</v>
      </c>
      <c r="M44" s="23">
        <v>26</v>
      </c>
      <c r="N44" s="21">
        <f t="shared" si="4"/>
        <v>858</v>
      </c>
      <c r="O44" s="44">
        <v>33</v>
      </c>
      <c r="P44" s="21">
        <v>0</v>
      </c>
      <c r="Q44" s="21">
        <v>0</v>
      </c>
      <c r="R44" s="21">
        <v>0</v>
      </c>
      <c r="S44" s="2"/>
      <c r="T44" s="25">
        <v>1481800</v>
      </c>
      <c r="U44" s="26">
        <f t="shared" si="1"/>
        <v>5927200</v>
      </c>
      <c r="V44" s="26">
        <f t="shared" si="2"/>
        <v>195597600</v>
      </c>
      <c r="W44" s="2"/>
      <c r="X44" s="2"/>
      <c r="Y44" s="2"/>
      <c r="Z44" s="2"/>
    </row>
    <row r="45" spans="1:26" ht="12.75" customHeight="1" x14ac:dyDescent="0.35">
      <c r="A45" s="2"/>
      <c r="B45" s="8" t="s">
        <v>59</v>
      </c>
      <c r="C45" s="8" t="s">
        <v>26</v>
      </c>
      <c r="D45" s="8">
        <v>14</v>
      </c>
      <c r="E45" s="21">
        <v>18</v>
      </c>
      <c r="F45" s="21">
        <v>0</v>
      </c>
      <c r="G45" s="21">
        <v>0</v>
      </c>
      <c r="H45" s="22">
        <v>0</v>
      </c>
      <c r="I45" s="21">
        <v>10</v>
      </c>
      <c r="J45" s="21">
        <v>0</v>
      </c>
      <c r="K45" s="21">
        <f t="shared" si="0"/>
        <v>8</v>
      </c>
      <c r="L45" s="21">
        <v>10.6666666666667</v>
      </c>
      <c r="M45" s="23">
        <v>26</v>
      </c>
      <c r="N45" s="21">
        <f t="shared" si="4"/>
        <v>27.73333333333342</v>
      </c>
      <c r="O45" s="44">
        <v>0.8</v>
      </c>
      <c r="P45" s="21">
        <v>0</v>
      </c>
      <c r="Q45" s="21">
        <v>0</v>
      </c>
      <c r="R45" s="21">
        <v>0</v>
      </c>
      <c r="S45" s="2"/>
      <c r="T45" s="25">
        <v>1481800</v>
      </c>
      <c r="U45" s="26">
        <f t="shared" si="1"/>
        <v>14818000</v>
      </c>
      <c r="V45" s="26">
        <f t="shared" si="2"/>
        <v>15805866.666666716</v>
      </c>
      <c r="W45" s="2"/>
      <c r="X45" s="2"/>
      <c r="Y45" s="2"/>
      <c r="Z45" s="2"/>
    </row>
    <row r="46" spans="1:26" ht="12.75" customHeight="1" x14ac:dyDescent="0.35">
      <c r="A46" s="2"/>
      <c r="B46" s="8" t="s">
        <v>125</v>
      </c>
      <c r="C46" s="8" t="s">
        <v>26</v>
      </c>
      <c r="D46" s="8">
        <v>14</v>
      </c>
      <c r="E46" s="21">
        <v>0</v>
      </c>
      <c r="F46" s="21">
        <v>28</v>
      </c>
      <c r="G46" s="21">
        <v>0</v>
      </c>
      <c r="H46" s="22">
        <v>0</v>
      </c>
      <c r="I46" s="21">
        <v>0</v>
      </c>
      <c r="J46" s="21">
        <v>0</v>
      </c>
      <c r="K46" s="21">
        <f t="shared" si="0"/>
        <v>28</v>
      </c>
      <c r="L46" s="21">
        <v>28</v>
      </c>
      <c r="M46" s="23">
        <v>26</v>
      </c>
      <c r="N46" s="21">
        <v>0</v>
      </c>
      <c r="O46" s="44">
        <v>0</v>
      </c>
      <c r="P46" s="21">
        <v>0</v>
      </c>
      <c r="Q46" s="21">
        <v>0</v>
      </c>
      <c r="R46" s="21">
        <v>0</v>
      </c>
      <c r="S46" s="2"/>
      <c r="T46" s="25">
        <v>1481800</v>
      </c>
      <c r="U46" s="26">
        <f t="shared" si="1"/>
        <v>0</v>
      </c>
      <c r="V46" s="26">
        <f t="shared" si="2"/>
        <v>41490400</v>
      </c>
      <c r="W46" s="2"/>
      <c r="X46" s="2"/>
      <c r="Y46" s="2"/>
      <c r="Z46" s="2"/>
    </row>
    <row r="47" spans="1:26" ht="12.75" customHeight="1" x14ac:dyDescent="0.35">
      <c r="A47" s="2"/>
      <c r="B47" s="8" t="s">
        <v>60</v>
      </c>
      <c r="C47" s="8" t="s">
        <v>26</v>
      </c>
      <c r="D47" s="8">
        <v>14</v>
      </c>
      <c r="E47" s="21">
        <v>17</v>
      </c>
      <c r="F47" s="21">
        <v>0</v>
      </c>
      <c r="G47" s="21">
        <v>0</v>
      </c>
      <c r="H47" s="22">
        <v>0</v>
      </c>
      <c r="I47" s="21">
        <v>12</v>
      </c>
      <c r="J47" s="21">
        <v>0</v>
      </c>
      <c r="K47" s="21">
        <f t="shared" si="0"/>
        <v>5</v>
      </c>
      <c r="L47" s="21">
        <v>10</v>
      </c>
      <c r="M47" s="23">
        <v>26</v>
      </c>
      <c r="N47" s="21">
        <f t="shared" ref="N47:N52" si="5">(L47/(I47+J47))*M47</f>
        <v>21.666666666666668</v>
      </c>
      <c r="O47" s="44">
        <v>0.41666666666666669</v>
      </c>
      <c r="P47" s="21">
        <v>0</v>
      </c>
      <c r="Q47" s="21">
        <v>0</v>
      </c>
      <c r="R47" s="21">
        <v>0</v>
      </c>
      <c r="S47" s="2"/>
      <c r="T47" s="25">
        <v>1481800</v>
      </c>
      <c r="U47" s="26">
        <f t="shared" si="1"/>
        <v>17781600</v>
      </c>
      <c r="V47" s="26">
        <f t="shared" si="2"/>
        <v>14818000</v>
      </c>
      <c r="W47" s="2"/>
      <c r="X47" s="2"/>
      <c r="Y47" s="2"/>
      <c r="Z47" s="2"/>
    </row>
    <row r="48" spans="1:26" ht="12.75" customHeight="1" x14ac:dyDescent="0.35">
      <c r="A48" s="2"/>
      <c r="B48" s="8" t="s">
        <v>61</v>
      </c>
      <c r="C48" s="8" t="s">
        <v>26</v>
      </c>
      <c r="D48" s="8">
        <v>14</v>
      </c>
      <c r="E48" s="21">
        <v>61</v>
      </c>
      <c r="F48" s="21">
        <v>0</v>
      </c>
      <c r="G48" s="21">
        <v>0</v>
      </c>
      <c r="H48" s="22">
        <v>0</v>
      </c>
      <c r="I48" s="21">
        <v>7</v>
      </c>
      <c r="J48" s="21">
        <v>0</v>
      </c>
      <c r="K48" s="21">
        <f t="shared" si="0"/>
        <v>54</v>
      </c>
      <c r="L48" s="21">
        <v>56.6666666666667</v>
      </c>
      <c r="M48" s="23">
        <v>26</v>
      </c>
      <c r="N48" s="21">
        <f t="shared" si="5"/>
        <v>210.4761904761906</v>
      </c>
      <c r="O48" s="44">
        <v>7.7142857142857144</v>
      </c>
      <c r="P48" s="21">
        <v>0</v>
      </c>
      <c r="Q48" s="21">
        <v>0</v>
      </c>
      <c r="R48" s="21">
        <v>0</v>
      </c>
      <c r="S48" s="2"/>
      <c r="T48" s="25">
        <v>1481800</v>
      </c>
      <c r="U48" s="26">
        <f t="shared" si="1"/>
        <v>10372600</v>
      </c>
      <c r="V48" s="26">
        <f t="shared" si="2"/>
        <v>83968666.666666716</v>
      </c>
      <c r="W48" s="2"/>
      <c r="X48" s="2"/>
      <c r="Y48" s="2"/>
      <c r="Z48" s="2"/>
    </row>
    <row r="49" spans="1:26" ht="12.75" customHeight="1" x14ac:dyDescent="0.35">
      <c r="A49" s="2"/>
      <c r="B49" s="8" t="s">
        <v>62</v>
      </c>
      <c r="C49" s="8" t="s">
        <v>26</v>
      </c>
      <c r="D49" s="8">
        <v>14</v>
      </c>
      <c r="E49" s="21">
        <v>63</v>
      </c>
      <c r="F49" s="21">
        <v>0</v>
      </c>
      <c r="G49" s="21">
        <v>0</v>
      </c>
      <c r="H49" s="22">
        <v>0</v>
      </c>
      <c r="I49" s="21">
        <v>4</v>
      </c>
      <c r="J49" s="21">
        <v>0</v>
      </c>
      <c r="K49" s="21">
        <f t="shared" si="0"/>
        <v>59</v>
      </c>
      <c r="L49" s="21">
        <v>59</v>
      </c>
      <c r="M49" s="23">
        <v>26</v>
      </c>
      <c r="N49" s="21">
        <f t="shared" si="5"/>
        <v>383.5</v>
      </c>
      <c r="O49" s="44">
        <v>14.75</v>
      </c>
      <c r="P49" s="21">
        <v>0</v>
      </c>
      <c r="Q49" s="21">
        <v>0</v>
      </c>
      <c r="R49" s="21">
        <v>0</v>
      </c>
      <c r="S49" s="2"/>
      <c r="T49" s="25">
        <v>1481800</v>
      </c>
      <c r="U49" s="26">
        <f t="shared" si="1"/>
        <v>5927200</v>
      </c>
      <c r="V49" s="26">
        <f t="shared" si="2"/>
        <v>87426200</v>
      </c>
      <c r="W49" s="2"/>
      <c r="X49" s="2"/>
      <c r="Y49" s="2"/>
      <c r="Z49" s="2"/>
    </row>
    <row r="50" spans="1:26" ht="12.75" customHeight="1" x14ac:dyDescent="0.35">
      <c r="A50" s="2"/>
      <c r="B50" s="8" t="s">
        <v>63</v>
      </c>
      <c r="C50" s="8" t="s">
        <v>26</v>
      </c>
      <c r="D50" s="8">
        <v>14</v>
      </c>
      <c r="E50" s="21">
        <v>114</v>
      </c>
      <c r="F50" s="21">
        <v>0</v>
      </c>
      <c r="G50" s="21">
        <v>0</v>
      </c>
      <c r="H50" s="22">
        <v>0</v>
      </c>
      <c r="I50" s="21">
        <v>0</v>
      </c>
      <c r="J50" s="21">
        <v>91</v>
      </c>
      <c r="K50" s="21">
        <f t="shared" si="0"/>
        <v>23</v>
      </c>
      <c r="L50" s="21">
        <v>59</v>
      </c>
      <c r="M50" s="23">
        <v>26</v>
      </c>
      <c r="N50" s="21">
        <f t="shared" si="5"/>
        <v>16.857142857142858</v>
      </c>
      <c r="O50" s="44">
        <v>0.25274725274725274</v>
      </c>
      <c r="P50" s="21">
        <v>0</v>
      </c>
      <c r="Q50" s="21">
        <v>0</v>
      </c>
      <c r="R50" s="21">
        <v>0</v>
      </c>
      <c r="S50" s="2"/>
      <c r="T50" s="25">
        <v>942555</v>
      </c>
      <c r="U50" s="26">
        <f t="shared" si="1"/>
        <v>85772505</v>
      </c>
      <c r="V50" s="26">
        <f t="shared" si="2"/>
        <v>55610745</v>
      </c>
      <c r="W50" s="2"/>
      <c r="X50" s="2"/>
      <c r="Y50" s="2"/>
      <c r="Z50" s="2"/>
    </row>
    <row r="51" spans="1:26" ht="12.75" customHeight="1" x14ac:dyDescent="0.35">
      <c r="A51" s="2"/>
      <c r="B51" s="8" t="s">
        <v>64</v>
      </c>
      <c r="C51" s="8" t="s">
        <v>26</v>
      </c>
      <c r="D51" s="8">
        <v>14</v>
      </c>
      <c r="E51" s="21">
        <v>0</v>
      </c>
      <c r="F51" s="21">
        <v>145</v>
      </c>
      <c r="G51" s="21">
        <v>0</v>
      </c>
      <c r="H51" s="22">
        <v>0</v>
      </c>
      <c r="I51" s="21">
        <v>0</v>
      </c>
      <c r="J51" s="21">
        <v>73</v>
      </c>
      <c r="K51" s="21">
        <f t="shared" si="0"/>
        <v>72</v>
      </c>
      <c r="L51" s="21">
        <v>96.3333333333333</v>
      </c>
      <c r="M51" s="23">
        <v>26</v>
      </c>
      <c r="N51" s="21">
        <f t="shared" si="5"/>
        <v>34.310502283105016</v>
      </c>
      <c r="O51" s="44">
        <v>0.98630136986301364</v>
      </c>
      <c r="P51" s="21">
        <v>150</v>
      </c>
      <c r="Q51" s="21">
        <v>0</v>
      </c>
      <c r="R51" s="21">
        <v>0</v>
      </c>
      <c r="S51" s="2"/>
      <c r="T51" s="25">
        <v>958675</v>
      </c>
      <c r="U51" s="26">
        <f t="shared" si="1"/>
        <v>69983275</v>
      </c>
      <c r="V51" s="26">
        <f t="shared" si="2"/>
        <v>92352358.333333299</v>
      </c>
      <c r="W51" s="2"/>
      <c r="X51" s="2"/>
      <c r="Y51" s="2"/>
      <c r="Z51" s="2"/>
    </row>
    <row r="52" spans="1:26" ht="12.75" customHeight="1" x14ac:dyDescent="0.35">
      <c r="A52" s="2"/>
      <c r="B52" s="8" t="s">
        <v>105</v>
      </c>
      <c r="C52" s="8" t="s">
        <v>26</v>
      </c>
      <c r="D52" s="8">
        <v>14</v>
      </c>
      <c r="E52" s="21">
        <v>200</v>
      </c>
      <c r="F52" s="21">
        <v>200</v>
      </c>
      <c r="G52" s="21">
        <v>0</v>
      </c>
      <c r="H52" s="22">
        <v>0</v>
      </c>
      <c r="I52" s="21">
        <v>200</v>
      </c>
      <c r="J52" s="21">
        <v>0</v>
      </c>
      <c r="K52" s="21">
        <f t="shared" si="0"/>
        <v>200</v>
      </c>
      <c r="L52" s="21">
        <v>138.5</v>
      </c>
      <c r="M52" s="23">
        <v>26</v>
      </c>
      <c r="N52" s="21">
        <f t="shared" si="5"/>
        <v>18.004999999999999</v>
      </c>
      <c r="O52" s="44">
        <v>1</v>
      </c>
      <c r="P52" s="21">
        <v>0</v>
      </c>
      <c r="Q52" s="21">
        <v>200</v>
      </c>
      <c r="R52" s="21">
        <v>0</v>
      </c>
      <c r="S52" s="2"/>
      <c r="T52" s="25">
        <v>848935</v>
      </c>
      <c r="U52" s="26">
        <f t="shared" si="1"/>
        <v>169787000</v>
      </c>
      <c r="V52" s="26">
        <f t="shared" si="2"/>
        <v>117577497.5</v>
      </c>
      <c r="W52" s="2"/>
      <c r="X52" s="2"/>
      <c r="Y52" s="2"/>
      <c r="Z52" s="2"/>
    </row>
    <row r="53" spans="1:26" ht="12.75" customHeight="1" x14ac:dyDescent="0.35">
      <c r="A53" s="2"/>
      <c r="B53" s="8" t="s">
        <v>106</v>
      </c>
      <c r="C53" s="8" t="s">
        <v>26</v>
      </c>
      <c r="D53" s="8">
        <v>14</v>
      </c>
      <c r="E53" s="21">
        <v>135</v>
      </c>
      <c r="F53" s="21">
        <v>0</v>
      </c>
      <c r="G53" s="21">
        <v>0</v>
      </c>
      <c r="H53" s="22">
        <v>0</v>
      </c>
      <c r="I53" s="21">
        <v>0</v>
      </c>
      <c r="J53" s="21">
        <v>0</v>
      </c>
      <c r="K53" s="21">
        <f t="shared" si="0"/>
        <v>135</v>
      </c>
      <c r="L53" s="21">
        <v>0</v>
      </c>
      <c r="M53" s="23">
        <v>26</v>
      </c>
      <c r="N53" s="21">
        <v>0</v>
      </c>
      <c r="O53" s="44">
        <v>0</v>
      </c>
      <c r="P53" s="21">
        <v>0</v>
      </c>
      <c r="Q53" s="21">
        <v>100</v>
      </c>
      <c r="R53" s="21">
        <v>0</v>
      </c>
      <c r="S53" s="2"/>
      <c r="T53" s="25">
        <v>1012770</v>
      </c>
      <c r="U53" s="26">
        <f t="shared" si="1"/>
        <v>0</v>
      </c>
      <c r="V53" s="26">
        <f t="shared" si="2"/>
        <v>0</v>
      </c>
      <c r="W53" s="2"/>
      <c r="X53" s="2"/>
      <c r="Y53" s="2"/>
      <c r="Z53" s="2"/>
    </row>
    <row r="54" spans="1:26" ht="12.75" customHeight="1" x14ac:dyDescent="0.35">
      <c r="A54" s="2"/>
      <c r="B54" s="8" t="s">
        <v>66</v>
      </c>
      <c r="C54" s="8" t="s">
        <v>26</v>
      </c>
      <c r="D54" s="8">
        <v>14</v>
      </c>
      <c r="E54" s="21">
        <v>358</v>
      </c>
      <c r="F54" s="21">
        <v>0</v>
      </c>
      <c r="G54" s="21">
        <v>0</v>
      </c>
      <c r="H54" s="22">
        <v>0</v>
      </c>
      <c r="I54" s="21">
        <v>0</v>
      </c>
      <c r="J54" s="21">
        <v>313</v>
      </c>
      <c r="K54" s="21">
        <f t="shared" si="0"/>
        <v>45</v>
      </c>
      <c r="L54" s="21">
        <v>183.57142857142901</v>
      </c>
      <c r="M54" s="23">
        <v>26</v>
      </c>
      <c r="N54" s="21">
        <f>(L54/(I54+J54))*M54</f>
        <v>15.248744865358319</v>
      </c>
      <c r="O54" s="44">
        <v>0.14376996805111822</v>
      </c>
      <c r="P54" s="21">
        <v>0</v>
      </c>
      <c r="Q54" s="21">
        <v>0</v>
      </c>
      <c r="R54" s="21">
        <v>0</v>
      </c>
      <c r="S54" s="2"/>
      <c r="T54" s="25">
        <v>1012770</v>
      </c>
      <c r="U54" s="26">
        <f t="shared" si="1"/>
        <v>316997010</v>
      </c>
      <c r="V54" s="26">
        <f t="shared" si="2"/>
        <v>185915635.71428615</v>
      </c>
      <c r="W54" s="2"/>
      <c r="X54" s="2"/>
      <c r="Y54" s="2"/>
      <c r="Z54" s="2"/>
    </row>
    <row r="55" spans="1:26" ht="12.75" customHeight="1" x14ac:dyDescent="0.35">
      <c r="A55" s="2"/>
      <c r="B55" s="8" t="s">
        <v>126</v>
      </c>
      <c r="C55" s="8" t="s">
        <v>26</v>
      </c>
      <c r="D55" s="8">
        <v>14</v>
      </c>
      <c r="E55" s="21">
        <v>0</v>
      </c>
      <c r="F55" s="21">
        <v>360</v>
      </c>
      <c r="G55" s="21">
        <v>0</v>
      </c>
      <c r="H55" s="22">
        <v>0</v>
      </c>
      <c r="I55" s="21">
        <v>0</v>
      </c>
      <c r="J55" s="21">
        <v>0</v>
      </c>
      <c r="K55" s="21">
        <f t="shared" si="0"/>
        <v>360</v>
      </c>
      <c r="L55" s="21">
        <v>360</v>
      </c>
      <c r="M55" s="23">
        <v>26</v>
      </c>
      <c r="N55" s="21">
        <v>0</v>
      </c>
      <c r="O55" s="44">
        <v>0</v>
      </c>
      <c r="P55" s="21">
        <v>0</v>
      </c>
      <c r="Q55" s="21">
        <v>120</v>
      </c>
      <c r="R55" s="21">
        <v>0</v>
      </c>
      <c r="S55" s="2"/>
      <c r="T55" s="25">
        <v>1012770</v>
      </c>
      <c r="U55" s="26">
        <f t="shared" si="1"/>
        <v>0</v>
      </c>
      <c r="V55" s="26">
        <f t="shared" si="2"/>
        <v>364597200</v>
      </c>
      <c r="W55" s="2"/>
      <c r="X55" s="2"/>
      <c r="Y55" s="2"/>
      <c r="Z55" s="2"/>
    </row>
    <row r="56" spans="1:26" ht="12.75" customHeight="1" x14ac:dyDescent="0.35">
      <c r="A56" s="2"/>
      <c r="B56" s="8" t="s">
        <v>107</v>
      </c>
      <c r="C56" s="8" t="s">
        <v>26</v>
      </c>
      <c r="D56" s="8">
        <v>14</v>
      </c>
      <c r="E56" s="21">
        <v>135</v>
      </c>
      <c r="F56" s="21">
        <v>1033</v>
      </c>
      <c r="G56" s="21">
        <v>0</v>
      </c>
      <c r="H56" s="22">
        <v>0</v>
      </c>
      <c r="I56" s="21">
        <v>630</v>
      </c>
      <c r="J56" s="21">
        <v>0</v>
      </c>
      <c r="K56" s="21">
        <f t="shared" si="0"/>
        <v>538</v>
      </c>
      <c r="L56" s="21">
        <v>512.20000000000005</v>
      </c>
      <c r="M56" s="23">
        <v>26</v>
      </c>
      <c r="N56" s="21">
        <f t="shared" ref="N56:N58" si="6">(L56/(I56+J56))*M56</f>
        <v>21.138412698412701</v>
      </c>
      <c r="O56" s="44">
        <v>0.85396825396825393</v>
      </c>
      <c r="P56" s="21">
        <v>0</v>
      </c>
      <c r="Q56" s="21">
        <v>350</v>
      </c>
      <c r="R56" s="21">
        <v>0</v>
      </c>
      <c r="S56" s="2"/>
      <c r="T56" s="25">
        <v>1012770</v>
      </c>
      <c r="U56" s="26">
        <f t="shared" si="1"/>
        <v>638045100</v>
      </c>
      <c r="V56" s="26">
        <f t="shared" si="2"/>
        <v>518740794.00000006</v>
      </c>
      <c r="W56" s="2"/>
      <c r="X56" s="2"/>
      <c r="Y56" s="2"/>
      <c r="Z56" s="2"/>
    </row>
    <row r="57" spans="1:26" ht="12.75" customHeight="1" x14ac:dyDescent="0.35">
      <c r="A57" s="2"/>
      <c r="B57" s="8" t="s">
        <v>108</v>
      </c>
      <c r="C57" s="8" t="s">
        <v>26</v>
      </c>
      <c r="D57" s="8">
        <v>14</v>
      </c>
      <c r="E57" s="21">
        <v>84</v>
      </c>
      <c r="F57" s="21">
        <v>0</v>
      </c>
      <c r="G57" s="21">
        <v>0</v>
      </c>
      <c r="H57" s="22">
        <v>0</v>
      </c>
      <c r="I57" s="21">
        <v>24</v>
      </c>
      <c r="J57" s="21">
        <v>0</v>
      </c>
      <c r="K57" s="21">
        <f t="shared" si="0"/>
        <v>60</v>
      </c>
      <c r="L57" s="21">
        <v>68</v>
      </c>
      <c r="M57" s="23">
        <v>26</v>
      </c>
      <c r="N57" s="21">
        <f t="shared" si="6"/>
        <v>73.666666666666671</v>
      </c>
      <c r="O57" s="44">
        <v>2.5</v>
      </c>
      <c r="P57" s="21">
        <v>0</v>
      </c>
      <c r="Q57" s="21">
        <v>0</v>
      </c>
      <c r="R57" s="21">
        <v>0</v>
      </c>
      <c r="S57" s="2"/>
      <c r="T57" s="25">
        <v>1237210</v>
      </c>
      <c r="U57" s="26">
        <f t="shared" si="1"/>
        <v>29693040</v>
      </c>
      <c r="V57" s="26">
        <f t="shared" si="2"/>
        <v>84130280</v>
      </c>
      <c r="W57" s="2"/>
      <c r="X57" s="2"/>
      <c r="Y57" s="2"/>
      <c r="Z57" s="2"/>
    </row>
    <row r="58" spans="1:26" ht="12.75" customHeight="1" x14ac:dyDescent="0.35">
      <c r="A58" s="2"/>
      <c r="B58" s="8" t="s">
        <v>69</v>
      </c>
      <c r="C58" s="8" t="s">
        <v>26</v>
      </c>
      <c r="D58" s="8">
        <v>14</v>
      </c>
      <c r="E58" s="21">
        <v>49</v>
      </c>
      <c r="F58" s="21">
        <v>0</v>
      </c>
      <c r="G58" s="21">
        <v>0</v>
      </c>
      <c r="H58" s="22">
        <v>0</v>
      </c>
      <c r="I58" s="21">
        <v>5</v>
      </c>
      <c r="J58" s="21">
        <v>0</v>
      </c>
      <c r="K58" s="21">
        <f t="shared" si="0"/>
        <v>44</v>
      </c>
      <c r="L58" s="21">
        <v>44</v>
      </c>
      <c r="M58" s="23">
        <v>26</v>
      </c>
      <c r="N58" s="21">
        <f t="shared" si="6"/>
        <v>228.8</v>
      </c>
      <c r="O58" s="44">
        <v>8.8000000000000007</v>
      </c>
      <c r="P58" s="21">
        <v>0</v>
      </c>
      <c r="Q58" s="21">
        <v>0</v>
      </c>
      <c r="R58" s="21">
        <v>0</v>
      </c>
      <c r="S58" s="2"/>
      <c r="T58" s="25">
        <v>1436695</v>
      </c>
      <c r="U58" s="26">
        <f t="shared" si="1"/>
        <v>7183475</v>
      </c>
      <c r="V58" s="26">
        <f t="shared" si="2"/>
        <v>63214580</v>
      </c>
      <c r="W58" s="2"/>
      <c r="X58" s="2"/>
      <c r="Y58" s="2"/>
      <c r="Z58" s="2"/>
    </row>
    <row r="59" spans="1:26" ht="12.75" customHeight="1" x14ac:dyDescent="0.35">
      <c r="A59" s="2"/>
      <c r="B59" s="8" t="s">
        <v>127</v>
      </c>
      <c r="C59" s="8" t="s">
        <v>26</v>
      </c>
      <c r="D59" s="8">
        <v>14</v>
      </c>
      <c r="E59" s="21">
        <v>105</v>
      </c>
      <c r="F59" s="21">
        <v>0</v>
      </c>
      <c r="G59" s="21">
        <v>0</v>
      </c>
      <c r="H59" s="22">
        <v>0</v>
      </c>
      <c r="I59" s="21">
        <v>0</v>
      </c>
      <c r="J59" s="21">
        <v>0</v>
      </c>
      <c r="K59" s="21">
        <f t="shared" si="0"/>
        <v>105</v>
      </c>
      <c r="L59" s="21">
        <v>0</v>
      </c>
      <c r="M59" s="23">
        <v>26</v>
      </c>
      <c r="N59" s="21">
        <v>0</v>
      </c>
      <c r="O59" s="44">
        <v>0</v>
      </c>
      <c r="P59" s="21">
        <v>0</v>
      </c>
      <c r="Q59" s="21">
        <v>0</v>
      </c>
      <c r="R59" s="21">
        <v>0</v>
      </c>
      <c r="S59" s="2"/>
      <c r="T59" s="25">
        <v>1436695</v>
      </c>
      <c r="U59" s="26">
        <f t="shared" si="1"/>
        <v>0</v>
      </c>
      <c r="V59" s="26">
        <f t="shared" si="2"/>
        <v>0</v>
      </c>
      <c r="W59" s="2"/>
      <c r="X59" s="2"/>
      <c r="Y59" s="2"/>
      <c r="Z59" s="2"/>
    </row>
    <row r="60" spans="1:26" ht="12.75" customHeight="1" x14ac:dyDescent="0.35">
      <c r="A60" s="2"/>
      <c r="B60" s="8" t="s">
        <v>70</v>
      </c>
      <c r="C60" s="8" t="s">
        <v>26</v>
      </c>
      <c r="D60" s="8">
        <v>14</v>
      </c>
      <c r="E60" s="21">
        <v>194</v>
      </c>
      <c r="F60" s="21">
        <v>528</v>
      </c>
      <c r="G60" s="21">
        <v>0</v>
      </c>
      <c r="H60" s="22">
        <v>0</v>
      </c>
      <c r="I60" s="21">
        <v>472</v>
      </c>
      <c r="J60" s="21">
        <v>0</v>
      </c>
      <c r="K60" s="21">
        <f t="shared" si="0"/>
        <v>250</v>
      </c>
      <c r="L60" s="21">
        <v>310.25</v>
      </c>
      <c r="M60" s="23">
        <v>26</v>
      </c>
      <c r="N60" s="21">
        <f t="shared" ref="N60:N62" si="7">(L60/(I60+J60))*M60</f>
        <v>17.090042372881356</v>
      </c>
      <c r="O60" s="44">
        <v>0.52966101694915257</v>
      </c>
      <c r="P60" s="21">
        <v>29</v>
      </c>
      <c r="Q60" s="21">
        <v>700</v>
      </c>
      <c r="R60" s="21">
        <v>0</v>
      </c>
      <c r="S60" s="2"/>
      <c r="T60" s="25">
        <v>848935</v>
      </c>
      <c r="U60" s="26">
        <f t="shared" si="1"/>
        <v>400697320</v>
      </c>
      <c r="V60" s="26">
        <f t="shared" si="2"/>
        <v>263382083.75</v>
      </c>
      <c r="W60" s="2"/>
      <c r="X60" s="2"/>
      <c r="Y60" s="2"/>
      <c r="Z60" s="2"/>
    </row>
    <row r="61" spans="1:26" ht="12.75" customHeight="1" x14ac:dyDescent="0.35">
      <c r="A61" s="2"/>
      <c r="B61" s="8" t="s">
        <v>71</v>
      </c>
      <c r="C61" s="8" t="s">
        <v>26</v>
      </c>
      <c r="D61" s="8">
        <v>14</v>
      </c>
      <c r="E61" s="21">
        <v>46</v>
      </c>
      <c r="F61" s="21">
        <v>0</v>
      </c>
      <c r="G61" s="21">
        <v>0</v>
      </c>
      <c r="H61" s="22">
        <v>0</v>
      </c>
      <c r="I61" s="21">
        <v>0</v>
      </c>
      <c r="J61" s="21">
        <v>10</v>
      </c>
      <c r="K61" s="21">
        <f t="shared" si="0"/>
        <v>36</v>
      </c>
      <c r="L61" s="21">
        <v>36</v>
      </c>
      <c r="M61" s="23">
        <v>26</v>
      </c>
      <c r="N61" s="21">
        <f t="shared" si="7"/>
        <v>93.600000000000009</v>
      </c>
      <c r="O61" s="44">
        <v>3.6</v>
      </c>
      <c r="P61" s="21">
        <v>0</v>
      </c>
      <c r="Q61" s="21">
        <v>0</v>
      </c>
      <c r="R61" s="21">
        <v>0</v>
      </c>
      <c r="S61" s="2"/>
      <c r="T61" s="26">
        <v>1497718</v>
      </c>
      <c r="U61" s="26">
        <f t="shared" si="1"/>
        <v>14977180</v>
      </c>
      <c r="V61" s="26">
        <f t="shared" si="2"/>
        <v>53917848</v>
      </c>
      <c r="W61" s="2"/>
      <c r="X61" s="2"/>
      <c r="Y61" s="2"/>
      <c r="Z61" s="2"/>
    </row>
    <row r="62" spans="1:26" ht="12.75" customHeight="1" x14ac:dyDescent="0.35">
      <c r="A62" s="2"/>
      <c r="B62" s="8" t="s">
        <v>72</v>
      </c>
      <c r="C62" s="8" t="s">
        <v>26</v>
      </c>
      <c r="D62" s="8">
        <v>14</v>
      </c>
      <c r="E62" s="21">
        <v>239</v>
      </c>
      <c r="F62" s="21">
        <v>599</v>
      </c>
      <c r="G62" s="21">
        <v>0</v>
      </c>
      <c r="H62" s="22">
        <v>0</v>
      </c>
      <c r="I62" s="21">
        <v>743</v>
      </c>
      <c r="J62" s="21">
        <v>0</v>
      </c>
      <c r="K62" s="21">
        <f t="shared" si="0"/>
        <v>95</v>
      </c>
      <c r="L62" s="21">
        <v>268.59090909090901</v>
      </c>
      <c r="M62" s="23">
        <v>26</v>
      </c>
      <c r="N62" s="21">
        <f t="shared" si="7"/>
        <v>9.3988743423467493</v>
      </c>
      <c r="O62" s="44">
        <v>0.12786002691790041</v>
      </c>
      <c r="P62" s="21">
        <v>0</v>
      </c>
      <c r="Q62" s="21">
        <v>300</v>
      </c>
      <c r="R62" s="21">
        <v>0</v>
      </c>
      <c r="S62" s="2"/>
      <c r="T62" s="25">
        <v>1396550</v>
      </c>
      <c r="U62" s="26">
        <f t="shared" si="1"/>
        <v>1037636650</v>
      </c>
      <c r="V62" s="26">
        <f t="shared" si="2"/>
        <v>375100634.090909</v>
      </c>
      <c r="W62" s="2"/>
      <c r="X62" s="2"/>
      <c r="Y62" s="2"/>
      <c r="Z62" s="2"/>
    </row>
    <row r="63" spans="1:26" ht="12.75" customHeight="1" x14ac:dyDescent="0.35">
      <c r="A63" s="2"/>
      <c r="B63" s="8" t="s">
        <v>128</v>
      </c>
      <c r="C63" s="8" t="s">
        <v>26</v>
      </c>
      <c r="D63" s="8">
        <v>14</v>
      </c>
      <c r="E63" s="21">
        <v>0</v>
      </c>
      <c r="F63" s="21">
        <v>99</v>
      </c>
      <c r="G63" s="21">
        <v>0</v>
      </c>
      <c r="H63" s="22">
        <v>0</v>
      </c>
      <c r="I63" s="21">
        <v>0</v>
      </c>
      <c r="J63" s="21">
        <v>0</v>
      </c>
      <c r="K63" s="21">
        <f t="shared" si="0"/>
        <v>99</v>
      </c>
      <c r="L63" s="21">
        <v>99</v>
      </c>
      <c r="M63" s="23">
        <v>26</v>
      </c>
      <c r="N63" s="21">
        <v>0</v>
      </c>
      <c r="O63" s="44">
        <v>0</v>
      </c>
      <c r="P63" s="21">
        <v>0</v>
      </c>
      <c r="Q63" s="21">
        <v>100</v>
      </c>
      <c r="R63" s="21">
        <v>0</v>
      </c>
      <c r="S63" s="2"/>
      <c r="T63" s="25">
        <v>1396550</v>
      </c>
      <c r="U63" s="26">
        <f t="shared" si="1"/>
        <v>0</v>
      </c>
      <c r="V63" s="26">
        <f t="shared" si="2"/>
        <v>138258450</v>
      </c>
      <c r="W63" s="2"/>
      <c r="X63" s="2"/>
      <c r="Y63" s="2"/>
      <c r="Z63" s="2"/>
    </row>
    <row r="64" spans="1:26" ht="12.75" customHeight="1" x14ac:dyDescent="0.35">
      <c r="A64" s="2"/>
      <c r="B64" s="8" t="s">
        <v>73</v>
      </c>
      <c r="C64" s="8" t="s">
        <v>26</v>
      </c>
      <c r="D64" s="8">
        <v>14</v>
      </c>
      <c r="E64" s="21">
        <v>15</v>
      </c>
      <c r="F64" s="21">
        <v>84</v>
      </c>
      <c r="G64" s="21">
        <v>0</v>
      </c>
      <c r="H64" s="22">
        <v>0</v>
      </c>
      <c r="I64" s="21">
        <v>76</v>
      </c>
      <c r="J64" s="21">
        <v>0</v>
      </c>
      <c r="K64" s="21">
        <f t="shared" si="0"/>
        <v>23</v>
      </c>
      <c r="L64" s="21">
        <v>52.1</v>
      </c>
      <c r="M64" s="23">
        <v>26</v>
      </c>
      <c r="N64" s="21">
        <f>(L64/(I64+J64))*M64</f>
        <v>17.823684210526316</v>
      </c>
      <c r="O64" s="44">
        <v>0.30263157894736842</v>
      </c>
      <c r="P64" s="21">
        <v>0</v>
      </c>
      <c r="Q64" s="21">
        <v>100</v>
      </c>
      <c r="R64" s="21">
        <v>0</v>
      </c>
      <c r="S64" s="2"/>
      <c r="T64" s="25">
        <v>1143590</v>
      </c>
      <c r="U64" s="26">
        <f t="shared" si="1"/>
        <v>86912840</v>
      </c>
      <c r="V64" s="26">
        <f t="shared" si="2"/>
        <v>59581039</v>
      </c>
      <c r="W64" s="2"/>
      <c r="X64" s="2"/>
      <c r="Y64" s="2"/>
      <c r="Z64" s="2"/>
    </row>
    <row r="65" spans="1:26" ht="12.75" customHeight="1" x14ac:dyDescent="0.35">
      <c r="A65" s="2"/>
      <c r="B65" s="8" t="s">
        <v>74</v>
      </c>
      <c r="C65" s="8" t="s">
        <v>26</v>
      </c>
      <c r="D65" s="8">
        <v>14</v>
      </c>
      <c r="E65" s="21">
        <v>6</v>
      </c>
      <c r="F65" s="21">
        <v>0</v>
      </c>
      <c r="G65" s="21">
        <v>0</v>
      </c>
      <c r="H65" s="22">
        <v>0</v>
      </c>
      <c r="I65" s="21">
        <v>0</v>
      </c>
      <c r="J65" s="21">
        <v>0</v>
      </c>
      <c r="K65" s="21">
        <f t="shared" si="0"/>
        <v>6</v>
      </c>
      <c r="L65" s="21">
        <v>6</v>
      </c>
      <c r="M65" s="23">
        <v>26</v>
      </c>
      <c r="N65" s="21">
        <v>0</v>
      </c>
      <c r="O65" s="44">
        <v>0</v>
      </c>
      <c r="P65" s="21">
        <v>0</v>
      </c>
      <c r="Q65" s="21">
        <v>0</v>
      </c>
      <c r="R65" s="21">
        <v>0</v>
      </c>
      <c r="S65" s="2"/>
      <c r="T65" s="25">
        <v>954645</v>
      </c>
      <c r="U65" s="26">
        <f t="shared" si="1"/>
        <v>0</v>
      </c>
      <c r="V65" s="26">
        <f t="shared" si="2"/>
        <v>5727870</v>
      </c>
      <c r="W65" s="2"/>
      <c r="X65" s="2"/>
      <c r="Y65" s="2"/>
      <c r="Z65" s="2"/>
    </row>
    <row r="66" spans="1:26" ht="12.75" customHeight="1" x14ac:dyDescent="0.35">
      <c r="A66" s="2"/>
      <c r="B66" s="8" t="s">
        <v>129</v>
      </c>
      <c r="C66" s="8" t="s">
        <v>26</v>
      </c>
      <c r="D66" s="8">
        <v>14</v>
      </c>
      <c r="E66" s="21">
        <v>105</v>
      </c>
      <c r="F66" s="21">
        <v>0</v>
      </c>
      <c r="G66" s="21">
        <v>0</v>
      </c>
      <c r="H66" s="22">
        <v>0</v>
      </c>
      <c r="I66" s="21">
        <v>81</v>
      </c>
      <c r="J66" s="21">
        <v>0</v>
      </c>
      <c r="K66" s="21">
        <f t="shared" si="0"/>
        <v>24</v>
      </c>
      <c r="L66" s="21">
        <v>53.5</v>
      </c>
      <c r="M66" s="23">
        <v>26</v>
      </c>
      <c r="N66" s="21">
        <f t="shared" ref="N66:N71" si="8">(L66/(I66+J66))*M66</f>
        <v>17.172839506172842</v>
      </c>
      <c r="O66" s="44">
        <v>0.29629629629629628</v>
      </c>
      <c r="P66" s="21">
        <v>0</v>
      </c>
      <c r="Q66" s="21">
        <v>105</v>
      </c>
      <c r="R66" s="21">
        <v>0</v>
      </c>
      <c r="S66" s="2"/>
      <c r="T66" s="25">
        <v>954645</v>
      </c>
      <c r="U66" s="26">
        <f t="shared" si="1"/>
        <v>77326245</v>
      </c>
      <c r="V66" s="26">
        <f t="shared" si="2"/>
        <v>51073507.5</v>
      </c>
      <c r="W66" s="2"/>
      <c r="X66" s="2"/>
      <c r="Y66" s="2"/>
      <c r="Z66" s="2"/>
    </row>
    <row r="67" spans="1:26" ht="12.75" customHeight="1" x14ac:dyDescent="0.35">
      <c r="A67" s="2"/>
      <c r="B67" s="8" t="s">
        <v>75</v>
      </c>
      <c r="C67" s="8" t="s">
        <v>26</v>
      </c>
      <c r="D67" s="8">
        <v>14</v>
      </c>
      <c r="E67" s="21">
        <v>70</v>
      </c>
      <c r="F67" s="21">
        <v>0</v>
      </c>
      <c r="G67" s="21">
        <v>0</v>
      </c>
      <c r="H67" s="22">
        <v>0</v>
      </c>
      <c r="I67" s="21">
        <v>14</v>
      </c>
      <c r="J67" s="21">
        <v>0</v>
      </c>
      <c r="K67" s="21">
        <f t="shared" si="0"/>
        <v>56</v>
      </c>
      <c r="L67" s="21">
        <v>58</v>
      </c>
      <c r="M67" s="23">
        <v>26</v>
      </c>
      <c r="N67" s="21">
        <f t="shared" si="8"/>
        <v>107.71428571428572</v>
      </c>
      <c r="O67" s="44">
        <v>4</v>
      </c>
      <c r="P67" s="21">
        <v>0</v>
      </c>
      <c r="Q67" s="21">
        <v>0</v>
      </c>
      <c r="R67" s="21">
        <v>0</v>
      </c>
      <c r="S67" s="2"/>
      <c r="T67" s="26">
        <v>771202</v>
      </c>
      <c r="U67" s="26">
        <f t="shared" si="1"/>
        <v>10796828</v>
      </c>
      <c r="V67" s="26">
        <f t="shared" si="2"/>
        <v>44729716</v>
      </c>
      <c r="W67" s="2"/>
      <c r="X67" s="2"/>
      <c r="Y67" s="2"/>
      <c r="Z67" s="2"/>
    </row>
    <row r="68" spans="1:26" ht="12.75" customHeight="1" x14ac:dyDescent="0.35">
      <c r="A68" s="2"/>
      <c r="B68" s="8" t="s">
        <v>76</v>
      </c>
      <c r="C68" s="8" t="s">
        <v>26</v>
      </c>
      <c r="D68" s="8">
        <v>14</v>
      </c>
      <c r="E68" s="21">
        <v>20</v>
      </c>
      <c r="F68" s="21">
        <v>88</v>
      </c>
      <c r="G68" s="21">
        <v>0</v>
      </c>
      <c r="H68" s="22">
        <v>0</v>
      </c>
      <c r="I68" s="21">
        <v>3</v>
      </c>
      <c r="J68" s="21">
        <v>0</v>
      </c>
      <c r="K68" s="21">
        <f t="shared" si="0"/>
        <v>105</v>
      </c>
      <c r="L68" s="21">
        <v>95</v>
      </c>
      <c r="M68" s="23">
        <v>26</v>
      </c>
      <c r="N68" s="21">
        <f t="shared" si="8"/>
        <v>823.33333333333337</v>
      </c>
      <c r="O68" s="44">
        <v>35</v>
      </c>
      <c r="P68" s="21">
        <v>0</v>
      </c>
      <c r="Q68" s="21">
        <v>0</v>
      </c>
      <c r="R68" s="21">
        <v>0</v>
      </c>
      <c r="S68" s="2"/>
      <c r="T68" s="26">
        <v>1497718</v>
      </c>
      <c r="U68" s="26">
        <f t="shared" si="1"/>
        <v>4493154</v>
      </c>
      <c r="V68" s="26">
        <f t="shared" si="2"/>
        <v>142283210</v>
      </c>
      <c r="W68" s="2"/>
      <c r="X68" s="2"/>
      <c r="Y68" s="2"/>
      <c r="Z68" s="2"/>
    </row>
    <row r="69" spans="1:26" ht="12.75" customHeight="1" x14ac:dyDescent="0.35">
      <c r="A69" s="2"/>
      <c r="B69" s="8" t="s">
        <v>77</v>
      </c>
      <c r="C69" s="8" t="s">
        <v>26</v>
      </c>
      <c r="D69" s="8">
        <v>14</v>
      </c>
      <c r="E69" s="21">
        <v>170</v>
      </c>
      <c r="F69" s="21">
        <v>188</v>
      </c>
      <c r="G69" s="21">
        <v>0</v>
      </c>
      <c r="H69" s="22">
        <v>0</v>
      </c>
      <c r="I69" s="21">
        <v>142</v>
      </c>
      <c r="J69" s="21">
        <v>0</v>
      </c>
      <c r="K69" s="21">
        <f t="shared" si="0"/>
        <v>216</v>
      </c>
      <c r="L69" s="21">
        <v>193</v>
      </c>
      <c r="M69" s="23">
        <v>26</v>
      </c>
      <c r="N69" s="21">
        <f t="shared" si="8"/>
        <v>35.338028169014081</v>
      </c>
      <c r="O69" s="44">
        <v>1.5211267605633803</v>
      </c>
      <c r="P69" s="21">
        <v>0</v>
      </c>
      <c r="Q69" s="21">
        <v>0</v>
      </c>
      <c r="R69" s="21">
        <v>0</v>
      </c>
      <c r="S69" s="2"/>
      <c r="T69" s="25">
        <v>907060</v>
      </c>
      <c r="U69" s="26">
        <f t="shared" si="1"/>
        <v>128802520</v>
      </c>
      <c r="V69" s="26">
        <f t="shared" si="2"/>
        <v>175062580</v>
      </c>
      <c r="W69" s="2"/>
      <c r="X69" s="2"/>
      <c r="Y69" s="2"/>
      <c r="Z69" s="2"/>
    </row>
    <row r="70" spans="1:26" ht="12.75" customHeight="1" x14ac:dyDescent="0.35">
      <c r="A70" s="2"/>
      <c r="B70" s="8" t="s">
        <v>130</v>
      </c>
      <c r="C70" s="8" t="s">
        <v>26</v>
      </c>
      <c r="D70" s="8">
        <v>14</v>
      </c>
      <c r="E70" s="21">
        <v>720</v>
      </c>
      <c r="F70" s="21">
        <v>4875</v>
      </c>
      <c r="G70" s="21">
        <v>0</v>
      </c>
      <c r="H70" s="22">
        <v>0</v>
      </c>
      <c r="I70" s="21">
        <v>0</v>
      </c>
      <c r="J70" s="21">
        <v>4935</v>
      </c>
      <c r="K70" s="21">
        <f t="shared" si="0"/>
        <v>660</v>
      </c>
      <c r="L70" s="21">
        <v>981.32142857142901</v>
      </c>
      <c r="M70" s="23">
        <v>26</v>
      </c>
      <c r="N70" s="21">
        <f t="shared" si="8"/>
        <v>5.1700825010855427</v>
      </c>
      <c r="O70" s="44">
        <v>0.1337386018237082</v>
      </c>
      <c r="P70" s="21">
        <v>750</v>
      </c>
      <c r="Q70" s="21">
        <v>500</v>
      </c>
      <c r="R70" s="21">
        <v>0</v>
      </c>
      <c r="S70" s="2"/>
      <c r="T70" s="25">
        <v>823515</v>
      </c>
      <c r="U70" s="26">
        <f t="shared" si="1"/>
        <v>4064046525</v>
      </c>
      <c r="V70" s="26">
        <f t="shared" si="2"/>
        <v>808132916.25000036</v>
      </c>
      <c r="W70" s="2"/>
      <c r="X70" s="2"/>
      <c r="Y70" s="2"/>
      <c r="Z70" s="2"/>
    </row>
    <row r="71" spans="1:26" ht="12.75" customHeight="1" x14ac:dyDescent="0.35">
      <c r="A71" s="2"/>
      <c r="B71" s="8" t="s">
        <v>78</v>
      </c>
      <c r="C71" s="8" t="s">
        <v>26</v>
      </c>
      <c r="D71" s="8">
        <v>14</v>
      </c>
      <c r="E71" s="21">
        <v>282</v>
      </c>
      <c r="F71" s="21">
        <v>451</v>
      </c>
      <c r="G71" s="21">
        <v>0</v>
      </c>
      <c r="H71" s="22">
        <v>0</v>
      </c>
      <c r="I71" s="21">
        <v>0</v>
      </c>
      <c r="J71" s="21">
        <v>199</v>
      </c>
      <c r="K71" s="21">
        <f t="shared" si="0"/>
        <v>534</v>
      </c>
      <c r="L71" s="21">
        <v>602.80000000000007</v>
      </c>
      <c r="M71" s="23">
        <v>26</v>
      </c>
      <c r="N71" s="21">
        <f t="shared" si="8"/>
        <v>78.757788944723629</v>
      </c>
      <c r="O71" s="44">
        <v>2.6834170854271355</v>
      </c>
      <c r="P71" s="21">
        <v>0</v>
      </c>
      <c r="Q71" s="21">
        <v>0</v>
      </c>
      <c r="R71" s="21">
        <v>0</v>
      </c>
      <c r="S71" s="2"/>
      <c r="T71" s="25">
        <v>823515</v>
      </c>
      <c r="U71" s="26">
        <f t="shared" si="1"/>
        <v>163879485</v>
      </c>
      <c r="V71" s="26">
        <f t="shared" si="2"/>
        <v>496414842.00000006</v>
      </c>
      <c r="W71" s="2"/>
      <c r="X71" s="2"/>
      <c r="Y71" s="2"/>
      <c r="Z71" s="2"/>
    </row>
    <row r="72" spans="1:26" ht="12.75" customHeight="1" x14ac:dyDescent="0.35">
      <c r="A72" s="2"/>
      <c r="B72" s="8" t="s">
        <v>131</v>
      </c>
      <c r="C72" s="8" t="s">
        <v>26</v>
      </c>
      <c r="D72" s="8">
        <v>14</v>
      </c>
      <c r="E72" s="21">
        <v>0</v>
      </c>
      <c r="F72" s="21">
        <v>399</v>
      </c>
      <c r="G72" s="21">
        <v>0</v>
      </c>
      <c r="H72" s="22">
        <v>0</v>
      </c>
      <c r="I72" s="21">
        <v>0</v>
      </c>
      <c r="J72" s="21">
        <v>0</v>
      </c>
      <c r="K72" s="21">
        <f t="shared" si="0"/>
        <v>399</v>
      </c>
      <c r="L72" s="21">
        <v>307.5</v>
      </c>
      <c r="M72" s="23">
        <v>26</v>
      </c>
      <c r="N72" s="21">
        <v>0</v>
      </c>
      <c r="O72" s="44">
        <v>0</v>
      </c>
      <c r="P72" s="21">
        <v>200</v>
      </c>
      <c r="Q72" s="21">
        <v>0</v>
      </c>
      <c r="R72" s="21">
        <v>0</v>
      </c>
      <c r="S72" s="2"/>
      <c r="T72" s="25">
        <v>823515</v>
      </c>
      <c r="U72" s="26">
        <f t="shared" si="1"/>
        <v>0</v>
      </c>
      <c r="V72" s="26">
        <f t="shared" si="2"/>
        <v>253230862.5</v>
      </c>
      <c r="W72" s="2"/>
      <c r="X72" s="2"/>
      <c r="Y72" s="2"/>
      <c r="Z72" s="2"/>
    </row>
    <row r="73" spans="1:26" ht="12.75" customHeight="1" x14ac:dyDescent="0.35">
      <c r="A73" s="2"/>
      <c r="B73" s="8" t="s">
        <v>132</v>
      </c>
      <c r="C73" s="8" t="s">
        <v>26</v>
      </c>
      <c r="D73" s="8">
        <v>14</v>
      </c>
      <c r="E73" s="21">
        <v>100</v>
      </c>
      <c r="F73" s="21">
        <v>0</v>
      </c>
      <c r="G73" s="21">
        <v>0</v>
      </c>
      <c r="H73" s="22">
        <v>0</v>
      </c>
      <c r="I73" s="21">
        <v>0</v>
      </c>
      <c r="J73" s="21">
        <v>0</v>
      </c>
      <c r="K73" s="21">
        <f t="shared" si="0"/>
        <v>100</v>
      </c>
      <c r="L73" s="21">
        <v>0</v>
      </c>
      <c r="M73" s="23">
        <v>26</v>
      </c>
      <c r="N73" s="21">
        <v>0</v>
      </c>
      <c r="O73" s="44">
        <v>0</v>
      </c>
      <c r="P73" s="21">
        <v>0</v>
      </c>
      <c r="Q73" s="21">
        <v>0</v>
      </c>
      <c r="R73" s="21">
        <v>0</v>
      </c>
      <c r="S73" s="2"/>
      <c r="T73" s="25">
        <v>823515</v>
      </c>
      <c r="U73" s="26">
        <f t="shared" si="1"/>
        <v>0</v>
      </c>
      <c r="V73" s="26">
        <f t="shared" si="2"/>
        <v>0</v>
      </c>
      <c r="W73" s="2"/>
      <c r="X73" s="2"/>
      <c r="Y73" s="2"/>
      <c r="Z73" s="2"/>
    </row>
    <row r="74" spans="1:26" ht="12.75" customHeight="1" x14ac:dyDescent="0.35">
      <c r="A74" s="2"/>
      <c r="B74" s="8" t="s">
        <v>80</v>
      </c>
      <c r="C74" s="8" t="s">
        <v>26</v>
      </c>
      <c r="D74" s="8">
        <v>14</v>
      </c>
      <c r="E74" s="21">
        <v>565</v>
      </c>
      <c r="F74" s="21">
        <v>0</v>
      </c>
      <c r="G74" s="21">
        <v>0</v>
      </c>
      <c r="H74" s="22">
        <v>0</v>
      </c>
      <c r="I74" s="21">
        <v>0</v>
      </c>
      <c r="J74" s="21">
        <v>194</v>
      </c>
      <c r="K74" s="21">
        <f t="shared" si="0"/>
        <v>371</v>
      </c>
      <c r="L74" s="21">
        <v>446.5</v>
      </c>
      <c r="M74" s="23">
        <v>26</v>
      </c>
      <c r="N74" s="21">
        <f t="shared" ref="N74:N79" si="9">(L74/(I74+J74))*M74</f>
        <v>59.840206185567006</v>
      </c>
      <c r="O74" s="44">
        <v>1.9123711340206186</v>
      </c>
      <c r="P74" s="21">
        <v>0</v>
      </c>
      <c r="Q74" s="21">
        <v>0</v>
      </c>
      <c r="R74" s="21">
        <v>0</v>
      </c>
      <c r="S74" s="2"/>
      <c r="T74" s="25">
        <v>823515</v>
      </c>
      <c r="U74" s="26">
        <f t="shared" si="1"/>
        <v>159761910</v>
      </c>
      <c r="V74" s="26">
        <f t="shared" si="2"/>
        <v>367699447.5</v>
      </c>
      <c r="W74" s="2"/>
      <c r="X74" s="2"/>
      <c r="Y74" s="2"/>
      <c r="Z74" s="2"/>
    </row>
    <row r="75" spans="1:26" ht="12.75" customHeight="1" x14ac:dyDescent="0.35">
      <c r="A75" s="2"/>
      <c r="B75" s="8" t="s">
        <v>82</v>
      </c>
      <c r="C75" s="8" t="s">
        <v>26</v>
      </c>
      <c r="D75" s="8">
        <v>14</v>
      </c>
      <c r="E75" s="21">
        <v>31</v>
      </c>
      <c r="F75" s="21">
        <v>0</v>
      </c>
      <c r="G75" s="21">
        <v>0</v>
      </c>
      <c r="H75" s="22">
        <v>0</v>
      </c>
      <c r="I75" s="21">
        <v>4</v>
      </c>
      <c r="J75" s="21">
        <v>0</v>
      </c>
      <c r="K75" s="21">
        <f t="shared" si="0"/>
        <v>27</v>
      </c>
      <c r="L75" s="21">
        <v>27</v>
      </c>
      <c r="M75" s="23">
        <v>26</v>
      </c>
      <c r="N75" s="21">
        <f t="shared" si="9"/>
        <v>175.5</v>
      </c>
      <c r="O75" s="44">
        <v>6.75</v>
      </c>
      <c r="P75" s="21">
        <v>0</v>
      </c>
      <c r="Q75" s="21">
        <v>0</v>
      </c>
      <c r="R75" s="21">
        <v>0</v>
      </c>
      <c r="S75" s="2"/>
      <c r="T75" s="25">
        <v>604345</v>
      </c>
      <c r="U75" s="26">
        <f t="shared" si="1"/>
        <v>2417380</v>
      </c>
      <c r="V75" s="26">
        <f t="shared" si="2"/>
        <v>16317315</v>
      </c>
      <c r="W75" s="2"/>
      <c r="X75" s="2"/>
      <c r="Y75" s="2"/>
      <c r="Z75" s="2"/>
    </row>
    <row r="76" spans="1:26" ht="12.75" customHeight="1" x14ac:dyDescent="0.35">
      <c r="A76" s="2"/>
      <c r="B76" s="8" t="s">
        <v>109</v>
      </c>
      <c r="C76" s="8" t="s">
        <v>26</v>
      </c>
      <c r="D76" s="8">
        <v>14</v>
      </c>
      <c r="E76" s="21">
        <v>5</v>
      </c>
      <c r="F76" s="21">
        <v>6</v>
      </c>
      <c r="G76" s="21">
        <v>0</v>
      </c>
      <c r="H76" s="22">
        <v>0</v>
      </c>
      <c r="I76" s="21">
        <v>11</v>
      </c>
      <c r="J76" s="21">
        <v>0</v>
      </c>
      <c r="K76" s="21">
        <f t="shared" si="0"/>
        <v>0</v>
      </c>
      <c r="L76" s="21">
        <v>2</v>
      </c>
      <c r="M76" s="23">
        <v>26</v>
      </c>
      <c r="N76" s="21">
        <f t="shared" si="9"/>
        <v>4.7272727272727275</v>
      </c>
      <c r="O76" s="44">
        <v>0</v>
      </c>
      <c r="P76" s="21">
        <v>0</v>
      </c>
      <c r="Q76" s="21">
        <v>118</v>
      </c>
      <c r="R76" s="21">
        <v>0</v>
      </c>
      <c r="S76" s="2"/>
      <c r="T76" s="25">
        <v>597835</v>
      </c>
      <c r="U76" s="26">
        <f t="shared" si="1"/>
        <v>6576185</v>
      </c>
      <c r="V76" s="26">
        <f t="shared" si="2"/>
        <v>1195670</v>
      </c>
      <c r="W76" s="2"/>
      <c r="X76" s="2"/>
      <c r="Y76" s="2"/>
      <c r="Z76" s="2"/>
    </row>
    <row r="77" spans="1:26" ht="12.75" customHeight="1" x14ac:dyDescent="0.35">
      <c r="A77" s="2"/>
      <c r="B77" s="8" t="s">
        <v>84</v>
      </c>
      <c r="C77" s="8" t="s">
        <v>26</v>
      </c>
      <c r="D77" s="8">
        <v>14</v>
      </c>
      <c r="E77" s="21">
        <v>238</v>
      </c>
      <c r="F77" s="21">
        <v>604</v>
      </c>
      <c r="G77" s="21">
        <v>0</v>
      </c>
      <c r="H77" s="22">
        <v>0</v>
      </c>
      <c r="I77" s="21">
        <v>408</v>
      </c>
      <c r="J77" s="21">
        <v>0</v>
      </c>
      <c r="K77" s="21">
        <f t="shared" si="0"/>
        <v>434</v>
      </c>
      <c r="L77" s="21">
        <v>437.8</v>
      </c>
      <c r="M77" s="23">
        <v>26</v>
      </c>
      <c r="N77" s="21">
        <f t="shared" si="9"/>
        <v>27.899019607843137</v>
      </c>
      <c r="O77" s="44">
        <v>1.0637254901960784</v>
      </c>
      <c r="P77" s="21">
        <v>0</v>
      </c>
      <c r="Q77" s="21">
        <v>100</v>
      </c>
      <c r="R77" s="21">
        <v>0</v>
      </c>
      <c r="S77" s="2"/>
      <c r="T77" s="25">
        <v>937285</v>
      </c>
      <c r="U77" s="26">
        <f t="shared" si="1"/>
        <v>382412280</v>
      </c>
      <c r="V77" s="26">
        <f t="shared" si="2"/>
        <v>410343373</v>
      </c>
      <c r="W77" s="2"/>
      <c r="X77" s="2"/>
      <c r="Y77" s="2"/>
      <c r="Z77" s="2"/>
    </row>
    <row r="78" spans="1:26" ht="12.75" customHeight="1" x14ac:dyDescent="0.35">
      <c r="A78" s="2"/>
      <c r="B78" s="8" t="s">
        <v>133</v>
      </c>
      <c r="C78" s="8" t="s">
        <v>26</v>
      </c>
      <c r="D78" s="8">
        <v>14</v>
      </c>
      <c r="E78" s="21">
        <v>106</v>
      </c>
      <c r="F78" s="21">
        <v>533</v>
      </c>
      <c r="G78" s="21">
        <v>0</v>
      </c>
      <c r="H78" s="22">
        <v>0</v>
      </c>
      <c r="I78" s="21">
        <v>250</v>
      </c>
      <c r="J78" s="21">
        <v>168</v>
      </c>
      <c r="K78" s="21">
        <f t="shared" si="0"/>
        <v>221</v>
      </c>
      <c r="L78" s="21">
        <v>181.666666666667</v>
      </c>
      <c r="M78" s="23">
        <v>26</v>
      </c>
      <c r="N78" s="21">
        <f t="shared" si="9"/>
        <v>11.299840510366847</v>
      </c>
      <c r="O78" s="44">
        <v>0.5287081339712919</v>
      </c>
      <c r="P78" s="21">
        <v>13</v>
      </c>
      <c r="Q78" s="21">
        <v>450</v>
      </c>
      <c r="R78" s="21">
        <v>0</v>
      </c>
      <c r="S78" s="2"/>
      <c r="T78" s="25">
        <v>1402595</v>
      </c>
      <c r="U78" s="26">
        <f t="shared" si="1"/>
        <v>586284710</v>
      </c>
      <c r="V78" s="26">
        <f t="shared" si="2"/>
        <v>254804758.33333379</v>
      </c>
      <c r="W78" s="2"/>
      <c r="X78" s="2"/>
      <c r="Y78" s="2"/>
      <c r="Z78" s="2"/>
    </row>
    <row r="79" spans="1:26" ht="12.75" customHeight="1" x14ac:dyDescent="0.35">
      <c r="A79" s="2"/>
      <c r="B79" s="8" t="s">
        <v>85</v>
      </c>
      <c r="C79" s="8" t="s">
        <v>26</v>
      </c>
      <c r="D79" s="8">
        <v>14</v>
      </c>
      <c r="E79" s="21">
        <v>16</v>
      </c>
      <c r="F79" s="21">
        <v>0</v>
      </c>
      <c r="G79" s="21">
        <v>0</v>
      </c>
      <c r="H79" s="22">
        <v>0</v>
      </c>
      <c r="I79" s="21">
        <v>10</v>
      </c>
      <c r="J79" s="21">
        <v>0</v>
      </c>
      <c r="K79" s="21">
        <f t="shared" si="0"/>
        <v>6</v>
      </c>
      <c r="L79" s="21">
        <v>9</v>
      </c>
      <c r="M79" s="23">
        <v>26</v>
      </c>
      <c r="N79" s="21">
        <f t="shared" si="9"/>
        <v>23.400000000000002</v>
      </c>
      <c r="O79" s="44">
        <v>0.6</v>
      </c>
      <c r="P79" s="21">
        <v>0</v>
      </c>
      <c r="Q79" s="21">
        <v>0</v>
      </c>
      <c r="R79" s="21">
        <v>0</v>
      </c>
      <c r="S79" s="2"/>
      <c r="T79" s="25">
        <v>10957105</v>
      </c>
      <c r="U79" s="26">
        <f t="shared" si="1"/>
        <v>109571050</v>
      </c>
      <c r="V79" s="26">
        <f t="shared" si="2"/>
        <v>98613945</v>
      </c>
      <c r="W79" s="2"/>
      <c r="X79" s="2"/>
      <c r="Y79" s="2"/>
      <c r="Z79" s="2"/>
    </row>
    <row r="80" spans="1:26" ht="12.75" customHeight="1" x14ac:dyDescent="0.35">
      <c r="A80" s="2"/>
      <c r="B80" s="8" t="s">
        <v>134</v>
      </c>
      <c r="C80" s="8" t="s">
        <v>26</v>
      </c>
      <c r="D80" s="8">
        <v>14</v>
      </c>
      <c r="E80" s="21">
        <v>0</v>
      </c>
      <c r="F80" s="21">
        <v>16</v>
      </c>
      <c r="G80" s="21">
        <v>0</v>
      </c>
      <c r="H80" s="22">
        <v>0</v>
      </c>
      <c r="I80" s="21">
        <v>0</v>
      </c>
      <c r="J80" s="21">
        <v>0</v>
      </c>
      <c r="K80" s="21">
        <f t="shared" si="0"/>
        <v>16</v>
      </c>
      <c r="L80" s="21">
        <v>16</v>
      </c>
      <c r="M80" s="23">
        <v>26</v>
      </c>
      <c r="N80" s="21">
        <v>0</v>
      </c>
      <c r="O80" s="44">
        <v>0</v>
      </c>
      <c r="P80" s="21">
        <v>0</v>
      </c>
      <c r="Q80" s="21">
        <v>0</v>
      </c>
      <c r="R80" s="21">
        <v>0</v>
      </c>
      <c r="S80" s="2"/>
      <c r="T80" s="25">
        <v>10957105</v>
      </c>
      <c r="U80" s="26">
        <f t="shared" si="1"/>
        <v>0</v>
      </c>
      <c r="V80" s="26">
        <f t="shared" si="2"/>
        <v>175313680</v>
      </c>
      <c r="W80" s="2"/>
      <c r="X80" s="2"/>
      <c r="Y80" s="2"/>
      <c r="Z80" s="2"/>
    </row>
    <row r="81" spans="1:26" ht="12.75" customHeight="1" x14ac:dyDescent="0.35">
      <c r="A81" s="2"/>
      <c r="B81" s="8" t="s">
        <v>86</v>
      </c>
      <c r="C81" s="8" t="s">
        <v>26</v>
      </c>
      <c r="D81" s="8">
        <v>14</v>
      </c>
      <c r="E81" s="21">
        <v>478</v>
      </c>
      <c r="F81" s="21">
        <v>1312</v>
      </c>
      <c r="G81" s="21">
        <v>0</v>
      </c>
      <c r="H81" s="22">
        <v>0</v>
      </c>
      <c r="I81" s="21">
        <v>915</v>
      </c>
      <c r="J81" s="21">
        <v>210</v>
      </c>
      <c r="K81" s="21">
        <f t="shared" si="0"/>
        <v>665</v>
      </c>
      <c r="L81" s="21">
        <v>783</v>
      </c>
      <c r="M81" s="23">
        <v>26</v>
      </c>
      <c r="N81" s="21">
        <f t="shared" ref="N81:N89" si="10">(L81/(I81+J81))*M81</f>
        <v>18.096</v>
      </c>
      <c r="O81" s="44">
        <v>0.59111111111111114</v>
      </c>
      <c r="P81" s="21">
        <v>0</v>
      </c>
      <c r="Q81" s="21">
        <v>500</v>
      </c>
      <c r="R81" s="21">
        <v>0</v>
      </c>
      <c r="S81" s="2"/>
      <c r="T81" s="25">
        <v>1322925</v>
      </c>
      <c r="U81" s="26">
        <f t="shared" si="1"/>
        <v>1488290625</v>
      </c>
      <c r="V81" s="26">
        <f t="shared" si="2"/>
        <v>1035850275</v>
      </c>
      <c r="W81" s="2"/>
      <c r="X81" s="2"/>
      <c r="Y81" s="2"/>
      <c r="Z81" s="2"/>
    </row>
    <row r="82" spans="1:26" ht="12.75" customHeight="1" x14ac:dyDescent="0.35">
      <c r="A82" s="2"/>
      <c r="B82" s="8" t="s">
        <v>86</v>
      </c>
      <c r="C82" s="8" t="s">
        <v>26</v>
      </c>
      <c r="D82" s="8">
        <v>14</v>
      </c>
      <c r="E82" s="21">
        <v>48</v>
      </c>
      <c r="F82" s="21">
        <v>87</v>
      </c>
      <c r="G82" s="21">
        <v>0</v>
      </c>
      <c r="H82" s="22">
        <v>0</v>
      </c>
      <c r="I82" s="21">
        <v>34</v>
      </c>
      <c r="J82" s="21">
        <v>0</v>
      </c>
      <c r="K82" s="21">
        <f t="shared" si="0"/>
        <v>101</v>
      </c>
      <c r="L82" s="21">
        <v>112</v>
      </c>
      <c r="M82" s="23">
        <v>26</v>
      </c>
      <c r="N82" s="21">
        <f t="shared" si="10"/>
        <v>85.647058823529406</v>
      </c>
      <c r="O82" s="44">
        <v>2.9705882352941178</v>
      </c>
      <c r="P82" s="21">
        <v>0</v>
      </c>
      <c r="Q82" s="21">
        <v>0</v>
      </c>
      <c r="R82" s="21">
        <v>0</v>
      </c>
      <c r="S82" s="2"/>
      <c r="T82" s="25">
        <v>1027805</v>
      </c>
      <c r="U82" s="26">
        <f t="shared" si="1"/>
        <v>34945370</v>
      </c>
      <c r="V82" s="26">
        <f t="shared" si="2"/>
        <v>115114160</v>
      </c>
      <c r="W82" s="2"/>
      <c r="X82" s="2"/>
      <c r="Y82" s="2"/>
      <c r="Z82" s="2"/>
    </row>
    <row r="83" spans="1:26" ht="12.75" customHeight="1" x14ac:dyDescent="0.35">
      <c r="A83" s="2"/>
      <c r="B83" s="8" t="s">
        <v>111</v>
      </c>
      <c r="C83" s="8" t="s">
        <v>26</v>
      </c>
      <c r="D83" s="8">
        <v>14</v>
      </c>
      <c r="E83" s="21">
        <v>40</v>
      </c>
      <c r="F83" s="21">
        <v>0</v>
      </c>
      <c r="G83" s="21">
        <v>0</v>
      </c>
      <c r="H83" s="22">
        <v>0</v>
      </c>
      <c r="I83" s="21">
        <v>0</v>
      </c>
      <c r="J83" s="21">
        <v>22</v>
      </c>
      <c r="K83" s="21">
        <f t="shared" si="0"/>
        <v>18</v>
      </c>
      <c r="L83" s="21">
        <v>19</v>
      </c>
      <c r="M83" s="23">
        <v>26</v>
      </c>
      <c r="N83" s="21">
        <f t="shared" si="10"/>
        <v>22.454545454545453</v>
      </c>
      <c r="O83" s="44">
        <v>0.81818181818181823</v>
      </c>
      <c r="P83" s="21">
        <v>0</v>
      </c>
      <c r="Q83" s="21">
        <v>50</v>
      </c>
      <c r="R83" s="21">
        <v>0</v>
      </c>
      <c r="S83" s="2"/>
      <c r="T83" s="25">
        <v>746480</v>
      </c>
      <c r="U83" s="26">
        <f t="shared" si="1"/>
        <v>16422560</v>
      </c>
      <c r="V83" s="26">
        <f t="shared" si="2"/>
        <v>14183120</v>
      </c>
      <c r="W83" s="2"/>
      <c r="X83" s="2"/>
      <c r="Y83" s="2"/>
      <c r="Z83" s="2"/>
    </row>
    <row r="84" spans="1:26" ht="12.75" customHeight="1" x14ac:dyDescent="0.35">
      <c r="A84" s="2"/>
      <c r="B84" s="8" t="s">
        <v>88</v>
      </c>
      <c r="C84" s="8" t="s">
        <v>26</v>
      </c>
      <c r="D84" s="8">
        <v>14</v>
      </c>
      <c r="E84" s="21">
        <v>63</v>
      </c>
      <c r="F84" s="21">
        <v>484</v>
      </c>
      <c r="G84" s="21">
        <v>0</v>
      </c>
      <c r="H84" s="22">
        <v>0</v>
      </c>
      <c r="I84" s="21">
        <v>292</v>
      </c>
      <c r="J84" s="21">
        <v>48</v>
      </c>
      <c r="K84" s="21">
        <f t="shared" si="0"/>
        <v>207</v>
      </c>
      <c r="L84" s="21">
        <v>249.875</v>
      </c>
      <c r="M84" s="23">
        <v>26</v>
      </c>
      <c r="N84" s="21">
        <f t="shared" si="10"/>
        <v>19.108088235294119</v>
      </c>
      <c r="O84" s="44">
        <v>0.60882352941176465</v>
      </c>
      <c r="P84" s="21">
        <v>0</v>
      </c>
      <c r="Q84" s="21">
        <v>100</v>
      </c>
      <c r="R84" s="21">
        <v>0</v>
      </c>
      <c r="S84" s="2"/>
      <c r="T84" s="25">
        <v>1372215</v>
      </c>
      <c r="U84" s="26">
        <f t="shared" si="1"/>
        <v>466553100</v>
      </c>
      <c r="V84" s="26">
        <f t="shared" si="2"/>
        <v>342882223.125</v>
      </c>
      <c r="W84" s="2"/>
      <c r="X84" s="2"/>
      <c r="Y84" s="2"/>
      <c r="Z84" s="2"/>
    </row>
    <row r="85" spans="1:26" ht="12.75" customHeight="1" x14ac:dyDescent="0.35">
      <c r="A85" s="2"/>
      <c r="B85" s="8" t="s">
        <v>89</v>
      </c>
      <c r="C85" s="8" t="s">
        <v>26</v>
      </c>
      <c r="D85" s="8">
        <v>14</v>
      </c>
      <c r="E85" s="21">
        <v>72</v>
      </c>
      <c r="F85" s="21">
        <v>0</v>
      </c>
      <c r="G85" s="21">
        <v>0</v>
      </c>
      <c r="H85" s="22">
        <v>0</v>
      </c>
      <c r="I85" s="21">
        <v>32</v>
      </c>
      <c r="J85" s="21">
        <v>0</v>
      </c>
      <c r="K85" s="21">
        <f t="shared" si="0"/>
        <v>40</v>
      </c>
      <c r="L85" s="21">
        <v>52.571428571428598</v>
      </c>
      <c r="M85" s="23">
        <v>26</v>
      </c>
      <c r="N85" s="21">
        <f t="shared" si="10"/>
        <v>42.714285714285737</v>
      </c>
      <c r="O85" s="44">
        <v>1.25</v>
      </c>
      <c r="P85" s="21">
        <v>0</v>
      </c>
      <c r="Q85" s="21">
        <v>36</v>
      </c>
      <c r="R85" s="21">
        <v>0</v>
      </c>
      <c r="S85" s="2"/>
      <c r="T85" s="26">
        <v>6276182</v>
      </c>
      <c r="U85" s="26">
        <f t="shared" si="1"/>
        <v>200837824</v>
      </c>
      <c r="V85" s="26">
        <f t="shared" si="2"/>
        <v>329947853.71428585</v>
      </c>
      <c r="W85" s="2"/>
      <c r="X85" s="2"/>
      <c r="Y85" s="2"/>
      <c r="Z85" s="2"/>
    </row>
    <row r="86" spans="1:26" ht="12.75" customHeight="1" x14ac:dyDescent="0.35">
      <c r="A86" s="2"/>
      <c r="B86" s="8" t="s">
        <v>112</v>
      </c>
      <c r="C86" s="8" t="s">
        <v>26</v>
      </c>
      <c r="D86" s="8">
        <v>14</v>
      </c>
      <c r="E86" s="21">
        <v>32</v>
      </c>
      <c r="F86" s="21">
        <v>65</v>
      </c>
      <c r="G86" s="21">
        <v>0</v>
      </c>
      <c r="H86" s="22">
        <v>0</v>
      </c>
      <c r="I86" s="21">
        <v>16</v>
      </c>
      <c r="J86" s="21">
        <v>0</v>
      </c>
      <c r="K86" s="21">
        <f t="shared" si="0"/>
        <v>81</v>
      </c>
      <c r="L86" s="21">
        <v>65.8333333333333</v>
      </c>
      <c r="M86" s="23">
        <v>26</v>
      </c>
      <c r="N86" s="21">
        <f t="shared" si="10"/>
        <v>106.97916666666661</v>
      </c>
      <c r="O86" s="44">
        <v>5.0625</v>
      </c>
      <c r="P86" s="21">
        <v>0</v>
      </c>
      <c r="Q86" s="21">
        <v>0</v>
      </c>
      <c r="R86" s="21">
        <v>0</v>
      </c>
      <c r="S86" s="2"/>
      <c r="T86" s="26">
        <v>6276182</v>
      </c>
      <c r="U86" s="26">
        <f t="shared" si="1"/>
        <v>100418912</v>
      </c>
      <c r="V86" s="26">
        <f t="shared" si="2"/>
        <v>413181981.66666645</v>
      </c>
      <c r="W86" s="2"/>
      <c r="X86" s="2"/>
      <c r="Y86" s="2"/>
      <c r="Z86" s="2"/>
    </row>
    <row r="87" spans="1:26" ht="12.75" customHeight="1" x14ac:dyDescent="0.35">
      <c r="A87" s="2"/>
      <c r="B87" s="8" t="s">
        <v>90</v>
      </c>
      <c r="C87" s="8" t="s">
        <v>26</v>
      </c>
      <c r="D87" s="8">
        <v>14</v>
      </c>
      <c r="E87" s="21">
        <v>147</v>
      </c>
      <c r="F87" s="21">
        <v>0</v>
      </c>
      <c r="G87" s="21">
        <v>0</v>
      </c>
      <c r="H87" s="22">
        <v>0</v>
      </c>
      <c r="I87" s="21">
        <v>93</v>
      </c>
      <c r="J87" s="21">
        <v>0</v>
      </c>
      <c r="K87" s="21">
        <f t="shared" si="0"/>
        <v>54</v>
      </c>
      <c r="L87" s="21">
        <v>82.6666666666667</v>
      </c>
      <c r="M87" s="23">
        <v>26</v>
      </c>
      <c r="N87" s="21">
        <f t="shared" si="10"/>
        <v>23.111111111111121</v>
      </c>
      <c r="O87" s="44">
        <v>0.58064516129032262</v>
      </c>
      <c r="P87" s="21">
        <v>0</v>
      </c>
      <c r="Q87" s="21">
        <v>0</v>
      </c>
      <c r="R87" s="21">
        <v>0</v>
      </c>
      <c r="S87" s="2"/>
      <c r="T87" s="25">
        <v>848935</v>
      </c>
      <c r="U87" s="26">
        <f t="shared" si="1"/>
        <v>78950955</v>
      </c>
      <c r="V87" s="26">
        <f t="shared" si="2"/>
        <v>70178626.666666701</v>
      </c>
      <c r="W87" s="2"/>
      <c r="X87" s="2"/>
      <c r="Y87" s="2"/>
      <c r="Z87" s="2"/>
    </row>
    <row r="88" spans="1:26" ht="12.75" customHeight="1" x14ac:dyDescent="0.35">
      <c r="A88" s="2"/>
      <c r="B88" s="8" t="s">
        <v>91</v>
      </c>
      <c r="C88" s="8" t="s">
        <v>26</v>
      </c>
      <c r="D88" s="8">
        <v>14</v>
      </c>
      <c r="E88" s="21">
        <v>143</v>
      </c>
      <c r="F88" s="21">
        <v>0</v>
      </c>
      <c r="G88" s="21">
        <v>0</v>
      </c>
      <c r="H88" s="22">
        <v>0</v>
      </c>
      <c r="I88" s="21">
        <v>0</v>
      </c>
      <c r="J88" s="21">
        <v>143</v>
      </c>
      <c r="K88" s="21">
        <f t="shared" si="0"/>
        <v>0</v>
      </c>
      <c r="L88" s="21">
        <v>35.5</v>
      </c>
      <c r="M88" s="23">
        <v>26</v>
      </c>
      <c r="N88" s="21">
        <f t="shared" si="10"/>
        <v>6.454545454545455</v>
      </c>
      <c r="O88" s="44">
        <v>0</v>
      </c>
      <c r="P88" s="21">
        <v>0</v>
      </c>
      <c r="Q88" s="21">
        <v>0</v>
      </c>
      <c r="R88" s="21">
        <v>0</v>
      </c>
      <c r="S88" s="2"/>
      <c r="T88" s="25">
        <v>923955</v>
      </c>
      <c r="U88" s="26">
        <f t="shared" si="1"/>
        <v>132125565</v>
      </c>
      <c r="V88" s="26">
        <f t="shared" si="2"/>
        <v>32800402.5</v>
      </c>
      <c r="W88" s="2"/>
      <c r="X88" s="2"/>
      <c r="Y88" s="2"/>
      <c r="Z88" s="2"/>
    </row>
    <row r="89" spans="1:26" ht="12.75" customHeight="1" x14ac:dyDescent="0.35">
      <c r="A89" s="2"/>
      <c r="B89" s="8" t="s">
        <v>135</v>
      </c>
      <c r="C89" s="8" t="s">
        <v>26</v>
      </c>
      <c r="D89" s="8">
        <v>14</v>
      </c>
      <c r="E89" s="21">
        <v>304</v>
      </c>
      <c r="F89" s="21">
        <v>0</v>
      </c>
      <c r="G89" s="21">
        <v>0</v>
      </c>
      <c r="H89" s="22">
        <v>0</v>
      </c>
      <c r="I89" s="21">
        <v>0</v>
      </c>
      <c r="J89" s="21">
        <v>211</v>
      </c>
      <c r="K89" s="21">
        <f t="shared" si="0"/>
        <v>93</v>
      </c>
      <c r="L89" s="21">
        <v>144</v>
      </c>
      <c r="M89" s="23">
        <v>26</v>
      </c>
      <c r="N89" s="21">
        <f t="shared" si="10"/>
        <v>17.744075829383888</v>
      </c>
      <c r="O89" s="44">
        <v>0.44075829383886256</v>
      </c>
      <c r="P89" s="21">
        <v>0</v>
      </c>
      <c r="Q89" s="21">
        <v>300</v>
      </c>
      <c r="R89" s="21">
        <v>0</v>
      </c>
      <c r="S89" s="2"/>
      <c r="T89" s="25">
        <v>923955</v>
      </c>
      <c r="U89" s="26">
        <f t="shared" si="1"/>
        <v>194954505</v>
      </c>
      <c r="V89" s="26">
        <f t="shared" si="2"/>
        <v>133049520</v>
      </c>
      <c r="W89" s="2"/>
      <c r="X89" s="2"/>
      <c r="Y89" s="2"/>
      <c r="Z89" s="2"/>
    </row>
    <row r="90" spans="1:26" ht="12.75" customHeight="1" x14ac:dyDescent="0.35">
      <c r="A90" s="2"/>
      <c r="B90" s="8" t="s">
        <v>136</v>
      </c>
      <c r="C90" s="8" t="s">
        <v>26</v>
      </c>
      <c r="D90" s="8">
        <v>14</v>
      </c>
      <c r="E90" s="21">
        <v>0</v>
      </c>
      <c r="F90" s="21">
        <v>0</v>
      </c>
      <c r="G90" s="21">
        <v>0</v>
      </c>
      <c r="H90" s="22">
        <v>0</v>
      </c>
      <c r="I90" s="21">
        <v>0</v>
      </c>
      <c r="J90" s="21">
        <v>0</v>
      </c>
      <c r="K90" s="21">
        <f t="shared" si="0"/>
        <v>0</v>
      </c>
      <c r="L90" s="21">
        <v>0</v>
      </c>
      <c r="M90" s="23">
        <v>26</v>
      </c>
      <c r="N90" s="21">
        <v>0</v>
      </c>
      <c r="O90" s="44">
        <v>0</v>
      </c>
      <c r="P90" s="21">
        <v>100</v>
      </c>
      <c r="Q90" s="21">
        <v>0</v>
      </c>
      <c r="R90" s="21">
        <v>0</v>
      </c>
      <c r="S90" s="2"/>
      <c r="T90" s="25">
        <v>923955</v>
      </c>
      <c r="U90" s="26">
        <f t="shared" si="1"/>
        <v>0</v>
      </c>
      <c r="V90" s="26">
        <f t="shared" si="2"/>
        <v>0</v>
      </c>
      <c r="W90" s="2"/>
      <c r="X90" s="2"/>
      <c r="Y90" s="2"/>
      <c r="Z90" s="2"/>
    </row>
    <row r="91" spans="1:26" ht="12.75" customHeight="1" x14ac:dyDescent="0.35">
      <c r="A91" s="2"/>
      <c r="B91" s="8" t="s">
        <v>113</v>
      </c>
      <c r="C91" s="8" t="s">
        <v>26</v>
      </c>
      <c r="D91" s="8">
        <v>14</v>
      </c>
      <c r="E91" s="21">
        <v>36</v>
      </c>
      <c r="F91" s="21">
        <v>88</v>
      </c>
      <c r="G91" s="21">
        <v>0</v>
      </c>
      <c r="H91" s="22">
        <v>0</v>
      </c>
      <c r="I91" s="21">
        <v>72</v>
      </c>
      <c r="J91" s="21">
        <v>0</v>
      </c>
      <c r="K91" s="21">
        <f t="shared" si="0"/>
        <v>52</v>
      </c>
      <c r="L91" s="21">
        <v>56.3333333333333</v>
      </c>
      <c r="M91" s="23">
        <v>26</v>
      </c>
      <c r="N91" s="21">
        <f t="shared" ref="N91:N92" si="11">(L91/(I91+J91))*M91</f>
        <v>20.342592592592581</v>
      </c>
      <c r="O91" s="44">
        <v>0.72222222222222221</v>
      </c>
      <c r="P91" s="21">
        <v>0</v>
      </c>
      <c r="Q91" s="21">
        <v>0</v>
      </c>
      <c r="R91" s="21">
        <v>0</v>
      </c>
      <c r="S91" s="2"/>
      <c r="T91" s="25">
        <v>1345865</v>
      </c>
      <c r="U91" s="26">
        <f t="shared" si="1"/>
        <v>96902280</v>
      </c>
      <c r="V91" s="26">
        <f t="shared" si="2"/>
        <v>75817061.666666627</v>
      </c>
      <c r="W91" s="2"/>
      <c r="X91" s="2"/>
      <c r="Y91" s="2"/>
      <c r="Z91" s="2"/>
    </row>
    <row r="92" spans="1:26" ht="12.75" customHeight="1" x14ac:dyDescent="0.35">
      <c r="A92" s="2"/>
      <c r="B92" s="8" t="s">
        <v>92</v>
      </c>
      <c r="C92" s="8" t="s">
        <v>26</v>
      </c>
      <c r="D92" s="8">
        <v>14</v>
      </c>
      <c r="E92" s="21">
        <v>173</v>
      </c>
      <c r="F92" s="21">
        <v>703</v>
      </c>
      <c r="G92" s="21">
        <v>0</v>
      </c>
      <c r="H92" s="22">
        <v>0</v>
      </c>
      <c r="I92" s="21">
        <v>0</v>
      </c>
      <c r="J92" s="21">
        <v>854</v>
      </c>
      <c r="K92" s="21">
        <f t="shared" si="0"/>
        <v>22</v>
      </c>
      <c r="L92" s="21">
        <v>279</v>
      </c>
      <c r="M92" s="23">
        <v>26</v>
      </c>
      <c r="N92" s="21">
        <f t="shared" si="11"/>
        <v>8.4941451990632313</v>
      </c>
      <c r="O92" s="44">
        <v>2.576112412177986E-2</v>
      </c>
      <c r="P92" s="21">
        <v>0</v>
      </c>
      <c r="Q92" s="21">
        <v>608</v>
      </c>
      <c r="R92" s="21">
        <v>0</v>
      </c>
      <c r="S92" s="2"/>
      <c r="T92" s="25">
        <v>923955</v>
      </c>
      <c r="U92" s="26">
        <f t="shared" si="1"/>
        <v>789057570</v>
      </c>
      <c r="V92" s="26">
        <f t="shared" si="2"/>
        <v>257783445</v>
      </c>
      <c r="W92" s="2"/>
      <c r="X92" s="2"/>
      <c r="Y92" s="2"/>
      <c r="Z92" s="2"/>
    </row>
    <row r="93" spans="1:26" ht="12.75" customHeight="1" x14ac:dyDescent="0.35">
      <c r="A93" s="2"/>
      <c r="B93" s="8" t="s">
        <v>137</v>
      </c>
      <c r="C93" s="8" t="s">
        <v>26</v>
      </c>
      <c r="D93" s="8">
        <v>14</v>
      </c>
      <c r="E93" s="21">
        <v>0</v>
      </c>
      <c r="F93" s="21">
        <v>102</v>
      </c>
      <c r="G93" s="21">
        <v>0</v>
      </c>
      <c r="H93" s="22">
        <v>0</v>
      </c>
      <c r="I93" s="21">
        <v>0</v>
      </c>
      <c r="J93" s="21">
        <v>0</v>
      </c>
      <c r="K93" s="21">
        <f t="shared" si="0"/>
        <v>102</v>
      </c>
      <c r="L93" s="21">
        <v>83</v>
      </c>
      <c r="M93" s="23">
        <v>26</v>
      </c>
      <c r="N93" s="21">
        <v>0</v>
      </c>
      <c r="O93" s="44">
        <v>0</v>
      </c>
      <c r="P93" s="21">
        <v>0</v>
      </c>
      <c r="Q93" s="21">
        <v>0</v>
      </c>
      <c r="R93" s="21">
        <v>0</v>
      </c>
      <c r="S93" s="2"/>
      <c r="T93" s="25">
        <v>923955</v>
      </c>
      <c r="U93" s="26">
        <f t="shared" si="1"/>
        <v>0</v>
      </c>
      <c r="V93" s="26">
        <f t="shared" si="2"/>
        <v>76688265</v>
      </c>
      <c r="W93" s="2"/>
      <c r="X93" s="2"/>
      <c r="Y93" s="2"/>
      <c r="Z93" s="2"/>
    </row>
    <row r="94" spans="1:26" ht="12.75" customHeight="1" x14ac:dyDescent="0.35">
      <c r="A94" s="2"/>
      <c r="B94" s="8" t="s">
        <v>93</v>
      </c>
      <c r="C94" s="8" t="s">
        <v>26</v>
      </c>
      <c r="D94" s="8">
        <v>14</v>
      </c>
      <c r="E94" s="21">
        <v>98</v>
      </c>
      <c r="F94" s="21">
        <v>0</v>
      </c>
      <c r="G94" s="21">
        <v>0</v>
      </c>
      <c r="H94" s="22">
        <v>0</v>
      </c>
      <c r="I94" s="21">
        <v>83</v>
      </c>
      <c r="J94" s="21">
        <v>0</v>
      </c>
      <c r="K94" s="21">
        <f t="shared" si="0"/>
        <v>15</v>
      </c>
      <c r="L94" s="21">
        <v>51.3333333333333</v>
      </c>
      <c r="M94" s="23">
        <v>26</v>
      </c>
      <c r="N94" s="21">
        <f t="shared" ref="N94:N95" si="12">(L94/(I94+J94))*M94</f>
        <v>16.080321285140553</v>
      </c>
      <c r="O94" s="44">
        <v>0.18072289156626506</v>
      </c>
      <c r="P94" s="21">
        <v>0</v>
      </c>
      <c r="Q94" s="21">
        <v>0</v>
      </c>
      <c r="R94" s="21">
        <v>0</v>
      </c>
      <c r="S94" s="2"/>
      <c r="T94" s="25">
        <v>504525</v>
      </c>
      <c r="U94" s="26">
        <f t="shared" si="1"/>
        <v>41875575</v>
      </c>
      <c r="V94" s="26">
        <f t="shared" si="2"/>
        <v>25898949.999999985</v>
      </c>
      <c r="W94" s="2"/>
      <c r="X94" s="2"/>
      <c r="Y94" s="2"/>
      <c r="Z94" s="2"/>
    </row>
    <row r="95" spans="1:26" ht="12.75" customHeight="1" x14ac:dyDescent="0.35">
      <c r="A95" s="2"/>
      <c r="B95" s="8" t="s">
        <v>94</v>
      </c>
      <c r="C95" s="8" t="s">
        <v>26</v>
      </c>
      <c r="D95" s="8">
        <v>14</v>
      </c>
      <c r="E95" s="21">
        <v>325</v>
      </c>
      <c r="F95" s="21">
        <v>516</v>
      </c>
      <c r="G95" s="21">
        <v>0</v>
      </c>
      <c r="H95" s="22">
        <v>0</v>
      </c>
      <c r="I95" s="21">
        <v>723</v>
      </c>
      <c r="J95" s="21">
        <v>0</v>
      </c>
      <c r="K95" s="21">
        <f t="shared" si="0"/>
        <v>118</v>
      </c>
      <c r="L95" s="21">
        <v>263.66666666666703</v>
      </c>
      <c r="M95" s="23">
        <v>26</v>
      </c>
      <c r="N95" s="21">
        <f t="shared" si="12"/>
        <v>9.4817888427847059</v>
      </c>
      <c r="O95" s="44">
        <v>0.16320885200553251</v>
      </c>
      <c r="P95" s="21">
        <v>0</v>
      </c>
      <c r="Q95" s="21">
        <v>0</v>
      </c>
      <c r="R95" s="21">
        <v>0</v>
      </c>
      <c r="S95" s="2"/>
      <c r="T95" s="25">
        <v>848935</v>
      </c>
      <c r="U95" s="26">
        <f t="shared" si="1"/>
        <v>613780005</v>
      </c>
      <c r="V95" s="26">
        <f t="shared" si="2"/>
        <v>223835861.66666698</v>
      </c>
      <c r="W95" s="2"/>
      <c r="X95" s="2"/>
      <c r="Y95" s="2"/>
      <c r="Z95" s="2"/>
    </row>
    <row r="96" spans="1:26" ht="12.75" customHeight="1" x14ac:dyDescent="0.35">
      <c r="A96" s="2"/>
      <c r="B96" s="8" t="s">
        <v>138</v>
      </c>
      <c r="C96" s="8" t="s">
        <v>26</v>
      </c>
      <c r="D96" s="8">
        <v>14</v>
      </c>
      <c r="E96" s="21">
        <v>0</v>
      </c>
      <c r="F96" s="21">
        <v>202</v>
      </c>
      <c r="G96" s="21">
        <v>0</v>
      </c>
      <c r="H96" s="22">
        <v>0</v>
      </c>
      <c r="I96" s="21">
        <v>0</v>
      </c>
      <c r="J96" s="21">
        <v>0</v>
      </c>
      <c r="K96" s="21">
        <f t="shared" si="0"/>
        <v>202</v>
      </c>
      <c r="L96" s="21">
        <v>199.5</v>
      </c>
      <c r="M96" s="23">
        <v>26</v>
      </c>
      <c r="N96" s="21">
        <v>0</v>
      </c>
      <c r="O96" s="44">
        <v>0</v>
      </c>
      <c r="P96" s="21">
        <v>0</v>
      </c>
      <c r="Q96" s="21">
        <v>300</v>
      </c>
      <c r="R96" s="21">
        <v>0</v>
      </c>
      <c r="S96" s="2"/>
      <c r="T96" s="25">
        <v>848935</v>
      </c>
      <c r="U96" s="26">
        <f t="shared" si="1"/>
        <v>0</v>
      </c>
      <c r="V96" s="26">
        <f t="shared" si="2"/>
        <v>169362532.5</v>
      </c>
      <c r="W96" s="4" t="s">
        <v>139</v>
      </c>
      <c r="X96" s="2"/>
      <c r="Y96" s="2"/>
      <c r="Z96" s="2"/>
    </row>
    <row r="97" spans="1:26" ht="18.75" customHeight="1" x14ac:dyDescent="0.35">
      <c r="A97" s="33"/>
      <c r="B97" s="27" t="s">
        <v>96</v>
      </c>
      <c r="C97" s="28"/>
      <c r="D97" s="28"/>
      <c r="E97" s="29">
        <f t="shared" ref="E97:L97" si="13">SUM(E4:E96)</f>
        <v>18716.98</v>
      </c>
      <c r="F97" s="29">
        <f t="shared" si="13"/>
        <v>21707</v>
      </c>
      <c r="G97" s="29">
        <f t="shared" si="13"/>
        <v>0</v>
      </c>
      <c r="H97" s="29">
        <f t="shared" si="13"/>
        <v>0</v>
      </c>
      <c r="I97" s="29">
        <f t="shared" si="13"/>
        <v>7639</v>
      </c>
      <c r="J97" s="29">
        <f t="shared" si="13"/>
        <v>14307</v>
      </c>
      <c r="K97" s="29">
        <f t="shared" si="13"/>
        <v>18477.98</v>
      </c>
      <c r="L97" s="29">
        <f t="shared" si="13"/>
        <v>21168.086833866619</v>
      </c>
      <c r="M97" s="29">
        <v>26</v>
      </c>
      <c r="N97" s="29">
        <f>(L97/(I97+J97))*M97</f>
        <v>25.078385932768253</v>
      </c>
      <c r="O97" s="45">
        <f>+K97/($I97+$J97)*$M$4</f>
        <v>21.891346031167412</v>
      </c>
      <c r="P97" s="29">
        <f t="shared" ref="P97:R97" si="14">SUM(P4:P96)</f>
        <v>1924</v>
      </c>
      <c r="Q97" s="29">
        <f t="shared" si="14"/>
        <v>7929</v>
      </c>
      <c r="R97" s="29">
        <f t="shared" si="14"/>
        <v>0</v>
      </c>
      <c r="S97" s="33"/>
      <c r="T97" s="2"/>
      <c r="U97" s="35">
        <f t="shared" ref="U97:V97" si="15">SUM(U4:U96)</f>
        <v>20240909876</v>
      </c>
      <c r="V97" s="35">
        <f t="shared" si="15"/>
        <v>17512563919.08699</v>
      </c>
      <c r="W97" s="29">
        <f>(V97/U97)*M96</f>
        <v>22.495365311425576</v>
      </c>
      <c r="X97" s="33"/>
      <c r="Y97" s="33"/>
      <c r="Z97" s="33"/>
    </row>
    <row r="98" spans="1:26" ht="18.75" customHeight="1" x14ac:dyDescent="0.35">
      <c r="A98" s="2"/>
      <c r="B98" s="1"/>
      <c r="C98" s="2"/>
      <c r="D98" s="8"/>
      <c r="E98" s="36"/>
      <c r="F98" s="36"/>
      <c r="G98" s="36"/>
      <c r="H98" s="36"/>
      <c r="I98" s="36">
        <f>I97+J97</f>
        <v>21946</v>
      </c>
      <c r="J98" s="36"/>
      <c r="K98" s="36"/>
      <c r="L98" s="36"/>
      <c r="M98" s="3"/>
      <c r="N98" s="36"/>
      <c r="O98" s="36"/>
      <c r="P98" s="37"/>
      <c r="Q98" s="36"/>
      <c r="R98" s="36"/>
      <c r="S98" s="36"/>
      <c r="T98" s="2"/>
      <c r="U98" s="2"/>
      <c r="V98" s="2"/>
      <c r="W98" s="2"/>
      <c r="X98" s="2"/>
      <c r="Y98" s="2"/>
      <c r="Z98" s="2"/>
    </row>
    <row r="99" spans="1:26" ht="12.75" customHeight="1" x14ac:dyDescent="0.35">
      <c r="A99" s="2"/>
      <c r="B99" s="2" t="s">
        <v>97</v>
      </c>
      <c r="C99" s="39">
        <v>24.9</v>
      </c>
      <c r="D99" s="2" t="s">
        <v>98</v>
      </c>
      <c r="E99" s="2"/>
      <c r="F99" s="2"/>
      <c r="G99" s="2"/>
      <c r="H99" s="2"/>
      <c r="I99" s="2"/>
      <c r="J99" s="2"/>
      <c r="K99" s="2"/>
      <c r="L99" s="2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5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5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2"/>
      <c r="B102" s="1"/>
      <c r="C102" s="40"/>
      <c r="D102" s="40"/>
      <c r="E102" s="2"/>
      <c r="F102" s="2"/>
      <c r="G102" s="2"/>
      <c r="H102" s="2"/>
      <c r="I102" s="2"/>
      <c r="J102" s="2"/>
      <c r="K102" s="2"/>
      <c r="L102" s="2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53125" defaultRowHeight="15" customHeight="1" x14ac:dyDescent="0.35"/>
  <cols>
    <col min="1" max="1" width="2.54296875" customWidth="1"/>
    <col min="2" max="2" width="17.81640625" customWidth="1"/>
    <col min="3" max="4" width="15" customWidth="1"/>
    <col min="5" max="5" width="16.08984375" customWidth="1"/>
    <col min="6" max="6" width="13.26953125" customWidth="1"/>
    <col min="7" max="7" width="11.54296875" customWidth="1"/>
    <col min="8" max="8" width="9.54296875" customWidth="1"/>
    <col min="9" max="9" width="13.26953125" customWidth="1"/>
    <col min="10" max="10" width="10.26953125" customWidth="1"/>
    <col min="11" max="11" width="12.7265625" customWidth="1"/>
    <col min="12" max="12" width="11.54296875" customWidth="1"/>
    <col min="13" max="13" width="11.453125" customWidth="1"/>
    <col min="14" max="14" width="10.7265625" customWidth="1"/>
    <col min="15" max="15" width="8.81640625" customWidth="1"/>
    <col min="16" max="17" width="13.26953125" customWidth="1"/>
    <col min="18" max="18" width="7.81640625" customWidth="1"/>
    <col min="19" max="19" width="13.7265625" customWidth="1"/>
    <col min="20" max="20" width="13" customWidth="1"/>
    <col min="21" max="22" width="20.08984375" customWidth="1"/>
    <col min="23" max="23" width="14.54296875" customWidth="1"/>
    <col min="24" max="26" width="8.7265625" customWidth="1"/>
  </cols>
  <sheetData>
    <row r="1" spans="1:26" ht="12.75" customHeight="1" x14ac:dyDescent="0.35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4" t="s">
        <v>0</v>
      </c>
      <c r="T1" s="41">
        <v>5.1999999999999998E-3</v>
      </c>
      <c r="U1" s="4" t="s">
        <v>1</v>
      </c>
      <c r="V1" s="47">
        <f>(V96*$T$1)/U96</f>
        <v>5.1147165209147012E-3</v>
      </c>
      <c r="W1" s="2"/>
      <c r="X1" s="2"/>
      <c r="Y1" s="2"/>
      <c r="Z1" s="2"/>
    </row>
    <row r="2" spans="1:26" ht="12.75" customHeight="1" x14ac:dyDescent="0.35">
      <c r="A2" s="2"/>
      <c r="B2" s="7"/>
      <c r="C2" s="8" t="s">
        <v>2</v>
      </c>
      <c r="D2" s="8"/>
      <c r="E2" s="9" t="s">
        <v>140</v>
      </c>
      <c r="F2" s="10"/>
      <c r="G2" s="11" t="s">
        <v>4</v>
      </c>
      <c r="H2" s="10"/>
      <c r="I2" s="10"/>
      <c r="J2" s="12"/>
      <c r="K2" s="10"/>
      <c r="L2" s="10"/>
      <c r="M2" s="13"/>
      <c r="N2" s="8"/>
      <c r="O2" s="14"/>
      <c r="P2" s="14"/>
      <c r="Q2" s="10"/>
      <c r="R2" s="10"/>
      <c r="S2" s="10"/>
      <c r="T2" s="2"/>
      <c r="U2" s="2"/>
      <c r="V2" s="2"/>
      <c r="W2" s="2"/>
      <c r="X2" s="2"/>
      <c r="Y2" s="2"/>
      <c r="Z2" s="2"/>
    </row>
    <row r="3" spans="1:26" ht="12.75" customHeight="1" x14ac:dyDescent="0.35">
      <c r="A3" s="2"/>
      <c r="B3" s="16" t="s">
        <v>5</v>
      </c>
      <c r="C3" s="16" t="s">
        <v>6</v>
      </c>
      <c r="D3" s="17" t="s">
        <v>7</v>
      </c>
      <c r="E3" s="17" t="s">
        <v>8</v>
      </c>
      <c r="F3" s="17" t="s">
        <v>9</v>
      </c>
      <c r="G3" s="17" t="s">
        <v>10</v>
      </c>
      <c r="H3" s="18" t="s">
        <v>11</v>
      </c>
      <c r="I3" s="17" t="s">
        <v>12</v>
      </c>
      <c r="J3" s="17" t="s">
        <v>13</v>
      </c>
      <c r="K3" s="17" t="s">
        <v>14</v>
      </c>
      <c r="L3" s="17" t="s">
        <v>15</v>
      </c>
      <c r="M3" s="43" t="s">
        <v>16</v>
      </c>
      <c r="N3" s="20" t="s">
        <v>17</v>
      </c>
      <c r="O3" s="20" t="s">
        <v>18</v>
      </c>
      <c r="P3" s="19" t="s">
        <v>19</v>
      </c>
      <c r="Q3" s="19" t="s">
        <v>20</v>
      </c>
      <c r="R3" s="19" t="s">
        <v>21</v>
      </c>
      <c r="S3" s="2"/>
      <c r="T3" s="17" t="s">
        <v>22</v>
      </c>
      <c r="U3" s="19" t="s">
        <v>23</v>
      </c>
      <c r="V3" s="19" t="s">
        <v>24</v>
      </c>
      <c r="W3" s="2"/>
      <c r="X3" s="2"/>
      <c r="Y3" s="2"/>
      <c r="Z3" s="2"/>
    </row>
    <row r="4" spans="1:26" ht="12.75" customHeight="1" x14ac:dyDescent="0.35">
      <c r="A4" s="2"/>
      <c r="B4" s="8" t="s">
        <v>100</v>
      </c>
      <c r="C4" s="8" t="s">
        <v>26</v>
      </c>
      <c r="D4" s="8">
        <v>14</v>
      </c>
      <c r="E4" s="21">
        <v>120</v>
      </c>
      <c r="F4" s="21">
        <v>0</v>
      </c>
      <c r="G4" s="21">
        <v>0</v>
      </c>
      <c r="H4" s="22">
        <v>0</v>
      </c>
      <c r="I4" s="21">
        <v>0</v>
      </c>
      <c r="J4" s="21">
        <v>24</v>
      </c>
      <c r="K4" s="21">
        <f t="shared" ref="K4:K95" si="0">(E4+F4+G4)-(I4+J4)</f>
        <v>96</v>
      </c>
      <c r="L4" s="21">
        <v>97.5</v>
      </c>
      <c r="M4" s="23">
        <v>23</v>
      </c>
      <c r="N4" s="21">
        <f>(L4/(I4+J4))*M4</f>
        <v>93.4375</v>
      </c>
      <c r="O4" s="44">
        <v>4</v>
      </c>
      <c r="P4" s="21">
        <v>0</v>
      </c>
      <c r="Q4" s="21">
        <v>0</v>
      </c>
      <c r="R4" s="21">
        <v>0</v>
      </c>
      <c r="S4" s="2"/>
      <c r="T4" s="25">
        <v>1631375</v>
      </c>
      <c r="U4" s="26">
        <f t="shared" ref="U4:U95" si="1">T4*(I4+J4)</f>
        <v>39153000</v>
      </c>
      <c r="V4" s="26">
        <f t="shared" ref="V4:V95" si="2">T4*L4</f>
        <v>159059062.5</v>
      </c>
      <c r="W4" s="2"/>
      <c r="X4" s="2"/>
      <c r="Y4" s="2"/>
      <c r="Z4" s="2"/>
    </row>
    <row r="5" spans="1:26" ht="12.75" customHeight="1" x14ac:dyDescent="0.35">
      <c r="A5" s="2"/>
      <c r="B5" s="8" t="s">
        <v>27</v>
      </c>
      <c r="C5" s="8" t="s">
        <v>26</v>
      </c>
      <c r="D5" s="8">
        <v>14</v>
      </c>
      <c r="E5" s="21">
        <v>177</v>
      </c>
      <c r="F5" s="21">
        <v>21</v>
      </c>
      <c r="G5" s="21">
        <v>0</v>
      </c>
      <c r="H5" s="22">
        <v>0</v>
      </c>
      <c r="I5" s="21">
        <v>0</v>
      </c>
      <c r="J5" s="21">
        <v>0</v>
      </c>
      <c r="K5" s="21">
        <f t="shared" si="0"/>
        <v>198</v>
      </c>
      <c r="L5" s="21">
        <v>198</v>
      </c>
      <c r="M5" s="23">
        <v>23</v>
      </c>
      <c r="N5" s="21">
        <v>0</v>
      </c>
      <c r="O5" s="44">
        <v>0</v>
      </c>
      <c r="P5" s="21">
        <v>0</v>
      </c>
      <c r="Q5" s="21">
        <v>0</v>
      </c>
      <c r="R5" s="21">
        <v>0</v>
      </c>
      <c r="S5" s="2"/>
      <c r="T5" s="25">
        <v>844750</v>
      </c>
      <c r="U5" s="26">
        <f t="shared" si="1"/>
        <v>0</v>
      </c>
      <c r="V5" s="26">
        <f t="shared" si="2"/>
        <v>167260500</v>
      </c>
      <c r="W5" s="2"/>
      <c r="X5" s="2"/>
      <c r="Y5" s="2"/>
      <c r="Z5" s="2"/>
    </row>
    <row r="6" spans="1:26" ht="12.75" customHeight="1" x14ac:dyDescent="0.35">
      <c r="A6" s="2"/>
      <c r="B6" s="8" t="s">
        <v>28</v>
      </c>
      <c r="C6" s="8" t="s">
        <v>26</v>
      </c>
      <c r="D6" s="8">
        <v>14</v>
      </c>
      <c r="E6" s="21">
        <v>76</v>
      </c>
      <c r="F6" s="21">
        <v>102</v>
      </c>
      <c r="G6" s="21">
        <v>0</v>
      </c>
      <c r="H6" s="22">
        <v>0</v>
      </c>
      <c r="I6" s="21">
        <v>0</v>
      </c>
      <c r="J6" s="21">
        <v>39</v>
      </c>
      <c r="K6" s="21">
        <f t="shared" si="0"/>
        <v>139</v>
      </c>
      <c r="L6" s="21">
        <v>137.4</v>
      </c>
      <c r="M6" s="23">
        <v>23</v>
      </c>
      <c r="N6" s="21">
        <f t="shared" ref="N6:N10" si="3">(L6/(I6+J6))*M6</f>
        <v>81.030769230769238</v>
      </c>
      <c r="O6" s="44">
        <v>3.5641025641025643</v>
      </c>
      <c r="P6" s="21">
        <v>0</v>
      </c>
      <c r="Q6" s="21">
        <v>0</v>
      </c>
      <c r="R6" s="21">
        <v>0</v>
      </c>
      <c r="S6" s="2"/>
      <c r="T6" s="25">
        <v>928605</v>
      </c>
      <c r="U6" s="26">
        <f t="shared" si="1"/>
        <v>36215595</v>
      </c>
      <c r="V6" s="26">
        <f t="shared" si="2"/>
        <v>127590327</v>
      </c>
      <c r="W6" s="2"/>
      <c r="X6" s="2"/>
      <c r="Y6" s="2"/>
      <c r="Z6" s="2"/>
    </row>
    <row r="7" spans="1:26" ht="12.75" customHeight="1" x14ac:dyDescent="0.35">
      <c r="A7" s="2"/>
      <c r="B7" s="8" t="s">
        <v>29</v>
      </c>
      <c r="C7" s="8" t="s">
        <v>26</v>
      </c>
      <c r="D7" s="8">
        <v>14</v>
      </c>
      <c r="E7" s="21">
        <v>55</v>
      </c>
      <c r="F7" s="21">
        <v>94</v>
      </c>
      <c r="G7" s="21">
        <v>0</v>
      </c>
      <c r="H7" s="22">
        <v>0</v>
      </c>
      <c r="I7" s="21">
        <v>0</v>
      </c>
      <c r="J7" s="21">
        <v>81</v>
      </c>
      <c r="K7" s="21">
        <f t="shared" si="0"/>
        <v>68</v>
      </c>
      <c r="L7" s="21">
        <v>57.5</v>
      </c>
      <c r="M7" s="23">
        <v>23</v>
      </c>
      <c r="N7" s="21">
        <f t="shared" si="3"/>
        <v>16.327160493827162</v>
      </c>
      <c r="O7" s="44">
        <v>0.83950617283950613</v>
      </c>
      <c r="P7" s="21">
        <v>6</v>
      </c>
      <c r="Q7" s="21">
        <v>370</v>
      </c>
      <c r="R7" s="21">
        <v>0</v>
      </c>
      <c r="S7" s="2"/>
      <c r="T7" s="25">
        <v>1329900</v>
      </c>
      <c r="U7" s="26">
        <f t="shared" si="1"/>
        <v>107721900</v>
      </c>
      <c r="V7" s="26">
        <f t="shared" si="2"/>
        <v>76469250</v>
      </c>
      <c r="W7" s="2"/>
      <c r="X7" s="2"/>
      <c r="Y7" s="2"/>
      <c r="Z7" s="2"/>
    </row>
    <row r="8" spans="1:26" ht="12.75" customHeight="1" x14ac:dyDescent="0.35">
      <c r="A8" s="2"/>
      <c r="B8" s="8" t="s">
        <v>116</v>
      </c>
      <c r="C8" s="8" t="s">
        <v>26</v>
      </c>
      <c r="D8" s="8">
        <v>14</v>
      </c>
      <c r="E8" s="21">
        <v>112</v>
      </c>
      <c r="F8" s="21">
        <v>258</v>
      </c>
      <c r="G8" s="21">
        <v>0</v>
      </c>
      <c r="H8" s="22">
        <v>0</v>
      </c>
      <c r="I8" s="21">
        <v>0</v>
      </c>
      <c r="J8" s="21">
        <v>108</v>
      </c>
      <c r="K8" s="21">
        <f t="shared" si="0"/>
        <v>262</v>
      </c>
      <c r="L8" s="21">
        <v>183.25</v>
      </c>
      <c r="M8" s="23">
        <v>23</v>
      </c>
      <c r="N8" s="21">
        <f t="shared" si="3"/>
        <v>39.025462962962962</v>
      </c>
      <c r="O8" s="44">
        <v>2.425925925925926</v>
      </c>
      <c r="P8" s="21">
        <v>8</v>
      </c>
      <c r="Q8" s="21">
        <v>126</v>
      </c>
      <c r="R8" s="21">
        <v>0</v>
      </c>
      <c r="S8" s="2"/>
      <c r="T8" s="25">
        <v>865210</v>
      </c>
      <c r="U8" s="26">
        <f t="shared" si="1"/>
        <v>93442680</v>
      </c>
      <c r="V8" s="26">
        <f t="shared" si="2"/>
        <v>158549732.5</v>
      </c>
      <c r="W8" s="2"/>
      <c r="X8" s="2"/>
      <c r="Y8" s="2"/>
      <c r="Z8" s="2"/>
    </row>
    <row r="9" spans="1:26" ht="12.75" customHeight="1" x14ac:dyDescent="0.35">
      <c r="A9" s="2"/>
      <c r="B9" s="8" t="s">
        <v>117</v>
      </c>
      <c r="C9" s="8" t="s">
        <v>26</v>
      </c>
      <c r="D9" s="8">
        <v>14</v>
      </c>
      <c r="E9" s="21">
        <v>212</v>
      </c>
      <c r="F9" s="21">
        <v>111</v>
      </c>
      <c r="G9" s="21">
        <v>0</v>
      </c>
      <c r="H9" s="22">
        <v>0</v>
      </c>
      <c r="I9" s="21">
        <v>0</v>
      </c>
      <c r="J9" s="21">
        <v>210</v>
      </c>
      <c r="K9" s="21">
        <f t="shared" si="0"/>
        <v>113</v>
      </c>
      <c r="L9" s="21">
        <v>86.600000000000009</v>
      </c>
      <c r="M9" s="23">
        <v>23</v>
      </c>
      <c r="N9" s="21">
        <f t="shared" si="3"/>
        <v>9.4847619047619052</v>
      </c>
      <c r="O9" s="44">
        <v>0.53809523809523807</v>
      </c>
      <c r="P9" s="21">
        <v>0</v>
      </c>
      <c r="Q9" s="21">
        <v>624</v>
      </c>
      <c r="R9" s="21">
        <v>0</v>
      </c>
      <c r="S9" s="2"/>
      <c r="T9" s="25">
        <v>865210</v>
      </c>
      <c r="U9" s="26">
        <f t="shared" si="1"/>
        <v>181694100</v>
      </c>
      <c r="V9" s="26">
        <f t="shared" si="2"/>
        <v>74927186</v>
      </c>
      <c r="W9" s="2"/>
      <c r="X9" s="2"/>
      <c r="Y9" s="2"/>
      <c r="Z9" s="2"/>
    </row>
    <row r="10" spans="1:26" ht="12.75" customHeight="1" x14ac:dyDescent="0.35">
      <c r="A10" s="2"/>
      <c r="B10" s="8" t="s">
        <v>30</v>
      </c>
      <c r="C10" s="8" t="s">
        <v>26</v>
      </c>
      <c r="D10" s="8">
        <v>14</v>
      </c>
      <c r="E10" s="21">
        <v>324</v>
      </c>
      <c r="F10" s="21">
        <v>0</v>
      </c>
      <c r="G10" s="21">
        <v>0</v>
      </c>
      <c r="H10" s="22">
        <v>0</v>
      </c>
      <c r="I10" s="21">
        <v>0</v>
      </c>
      <c r="J10" s="21">
        <v>108</v>
      </c>
      <c r="K10" s="21">
        <f t="shared" si="0"/>
        <v>216</v>
      </c>
      <c r="L10" s="21">
        <v>243</v>
      </c>
      <c r="M10" s="23">
        <v>23</v>
      </c>
      <c r="N10" s="21">
        <f t="shared" si="3"/>
        <v>51.75</v>
      </c>
      <c r="O10" s="44">
        <v>2</v>
      </c>
      <c r="P10" s="21">
        <v>0</v>
      </c>
      <c r="Q10" s="21">
        <v>0</v>
      </c>
      <c r="R10" s="21">
        <v>0</v>
      </c>
      <c r="S10" s="2"/>
      <c r="T10" s="25">
        <v>841116</v>
      </c>
      <c r="U10" s="26">
        <f t="shared" si="1"/>
        <v>90840528</v>
      </c>
      <c r="V10" s="26">
        <f t="shared" si="2"/>
        <v>204391188</v>
      </c>
      <c r="W10" s="2"/>
      <c r="X10" s="2"/>
      <c r="Y10" s="2"/>
      <c r="Z10" s="2"/>
    </row>
    <row r="11" spans="1:26" ht="12.75" customHeight="1" x14ac:dyDescent="0.35">
      <c r="A11" s="2"/>
      <c r="B11" s="8" t="s">
        <v>31</v>
      </c>
      <c r="C11" s="8" t="s">
        <v>26</v>
      </c>
      <c r="D11" s="8">
        <v>14</v>
      </c>
      <c r="E11" s="21">
        <v>42</v>
      </c>
      <c r="F11" s="21">
        <v>0</v>
      </c>
      <c r="G11" s="21">
        <v>0</v>
      </c>
      <c r="H11" s="22">
        <v>0</v>
      </c>
      <c r="I11" s="21">
        <v>0</v>
      </c>
      <c r="J11" s="21">
        <v>0</v>
      </c>
      <c r="K11" s="21">
        <f t="shared" si="0"/>
        <v>42</v>
      </c>
      <c r="L11" s="21">
        <v>0</v>
      </c>
      <c r="M11" s="23">
        <v>23</v>
      </c>
      <c r="N11" s="21">
        <v>0</v>
      </c>
      <c r="O11" s="44">
        <v>0</v>
      </c>
      <c r="P11" s="21">
        <v>0</v>
      </c>
      <c r="Q11" s="21">
        <v>0</v>
      </c>
      <c r="R11" s="21">
        <v>0</v>
      </c>
      <c r="S11" s="2"/>
      <c r="T11" s="25">
        <v>928605</v>
      </c>
      <c r="U11" s="26">
        <f t="shared" si="1"/>
        <v>0</v>
      </c>
      <c r="V11" s="26">
        <f t="shared" si="2"/>
        <v>0</v>
      </c>
      <c r="W11" s="2"/>
      <c r="X11" s="2"/>
      <c r="Y11" s="2"/>
      <c r="Z11" s="2"/>
    </row>
    <row r="12" spans="1:26" ht="12.75" customHeight="1" x14ac:dyDescent="0.35">
      <c r="A12" s="2"/>
      <c r="B12" s="8" t="s">
        <v>118</v>
      </c>
      <c r="C12" s="8" t="s">
        <v>26</v>
      </c>
      <c r="D12" s="8">
        <v>14</v>
      </c>
      <c r="E12" s="21">
        <v>252</v>
      </c>
      <c r="F12" s="21">
        <v>133</v>
      </c>
      <c r="G12" s="21">
        <v>0</v>
      </c>
      <c r="H12" s="22">
        <v>0</v>
      </c>
      <c r="I12" s="21">
        <v>0</v>
      </c>
      <c r="J12" s="21">
        <v>0</v>
      </c>
      <c r="K12" s="21">
        <f t="shared" si="0"/>
        <v>385</v>
      </c>
      <c r="L12" s="21">
        <v>334</v>
      </c>
      <c r="M12" s="23">
        <v>23</v>
      </c>
      <c r="N12" s="21">
        <v>0</v>
      </c>
      <c r="O12" s="44">
        <v>0</v>
      </c>
      <c r="P12" s="21">
        <v>17</v>
      </c>
      <c r="Q12" s="21">
        <v>300</v>
      </c>
      <c r="R12" s="21">
        <v>0</v>
      </c>
      <c r="S12" s="2"/>
      <c r="T12" s="25">
        <v>139965</v>
      </c>
      <c r="U12" s="26">
        <f t="shared" si="1"/>
        <v>0</v>
      </c>
      <c r="V12" s="26">
        <f t="shared" si="2"/>
        <v>46748310</v>
      </c>
      <c r="W12" s="2"/>
      <c r="X12" s="2"/>
      <c r="Y12" s="2"/>
      <c r="Z12" s="2"/>
    </row>
    <row r="13" spans="1:26" ht="12.75" customHeight="1" x14ac:dyDescent="0.35">
      <c r="A13" s="2"/>
      <c r="B13" s="8" t="s">
        <v>101</v>
      </c>
      <c r="C13" s="8" t="s">
        <v>26</v>
      </c>
      <c r="D13" s="8">
        <v>14</v>
      </c>
      <c r="E13" s="21">
        <v>102</v>
      </c>
      <c r="F13" s="21">
        <v>55</v>
      </c>
      <c r="G13" s="21">
        <v>0</v>
      </c>
      <c r="H13" s="22">
        <v>0</v>
      </c>
      <c r="I13" s="21">
        <v>0</v>
      </c>
      <c r="J13" s="21">
        <v>102</v>
      </c>
      <c r="K13" s="21">
        <f t="shared" si="0"/>
        <v>55</v>
      </c>
      <c r="L13" s="21">
        <v>99</v>
      </c>
      <c r="M13" s="23">
        <v>23</v>
      </c>
      <c r="N13" s="21">
        <f>(L13/(I13+J13))*M13</f>
        <v>22.323529411764707</v>
      </c>
      <c r="O13" s="44">
        <v>0.53921568627450978</v>
      </c>
      <c r="P13" s="21">
        <v>0</v>
      </c>
      <c r="Q13" s="21">
        <v>0</v>
      </c>
      <c r="R13" s="21">
        <v>0</v>
      </c>
      <c r="S13" s="2"/>
      <c r="T13" s="25">
        <v>165230</v>
      </c>
      <c r="U13" s="26">
        <f t="shared" si="1"/>
        <v>16853460</v>
      </c>
      <c r="V13" s="26">
        <f t="shared" si="2"/>
        <v>16357770</v>
      </c>
      <c r="W13" s="2"/>
      <c r="X13" s="2"/>
      <c r="Y13" s="2"/>
      <c r="Z13" s="2"/>
    </row>
    <row r="14" spans="1:26" ht="12.75" customHeight="1" x14ac:dyDescent="0.35">
      <c r="A14" s="2"/>
      <c r="B14" s="8" t="s">
        <v>102</v>
      </c>
      <c r="C14" s="8" t="s">
        <v>26</v>
      </c>
      <c r="D14" s="8">
        <v>14</v>
      </c>
      <c r="E14" s="21">
        <v>4493</v>
      </c>
      <c r="F14" s="21">
        <v>0</v>
      </c>
      <c r="G14" s="21">
        <v>0</v>
      </c>
      <c r="H14" s="22">
        <v>0</v>
      </c>
      <c r="I14" s="21">
        <v>0</v>
      </c>
      <c r="J14" s="21">
        <v>0</v>
      </c>
      <c r="K14" s="21">
        <f t="shared" si="0"/>
        <v>4493</v>
      </c>
      <c r="L14" s="21">
        <v>0</v>
      </c>
      <c r="M14" s="23">
        <v>23</v>
      </c>
      <c r="N14" s="21">
        <v>0</v>
      </c>
      <c r="O14" s="44">
        <v>0</v>
      </c>
      <c r="P14" s="21">
        <v>330</v>
      </c>
      <c r="Q14" s="21">
        <v>0</v>
      </c>
      <c r="R14" s="21">
        <v>0</v>
      </c>
      <c r="S14" s="2"/>
      <c r="T14" s="25">
        <v>139965</v>
      </c>
      <c r="U14" s="26">
        <f t="shared" si="1"/>
        <v>0</v>
      </c>
      <c r="V14" s="26">
        <f t="shared" si="2"/>
        <v>0</v>
      </c>
      <c r="W14" s="2"/>
      <c r="X14" s="2"/>
      <c r="Y14" s="2"/>
      <c r="Z14" s="2"/>
    </row>
    <row r="15" spans="1:26" ht="12.75" customHeight="1" x14ac:dyDescent="0.35">
      <c r="A15" s="2"/>
      <c r="B15" s="8" t="s">
        <v>32</v>
      </c>
      <c r="C15" s="8" t="s">
        <v>26</v>
      </c>
      <c r="D15" s="8">
        <v>14</v>
      </c>
      <c r="E15" s="21">
        <v>45</v>
      </c>
      <c r="F15" s="21">
        <v>27</v>
      </c>
      <c r="G15" s="21">
        <v>0</v>
      </c>
      <c r="H15" s="22">
        <v>0</v>
      </c>
      <c r="I15" s="21">
        <v>0</v>
      </c>
      <c r="J15" s="21">
        <v>64</v>
      </c>
      <c r="K15" s="21">
        <f t="shared" si="0"/>
        <v>8</v>
      </c>
      <c r="L15" s="21">
        <v>18.111111111111097</v>
      </c>
      <c r="M15" s="23">
        <v>23</v>
      </c>
      <c r="N15" s="21">
        <f t="shared" ref="N15:N17" si="4">(L15/(I15+J15))*M15</f>
        <v>6.50868055555555</v>
      </c>
      <c r="O15" s="44">
        <v>0.125</v>
      </c>
      <c r="P15" s="21">
        <v>0</v>
      </c>
      <c r="Q15" s="21">
        <v>38</v>
      </c>
      <c r="R15" s="21">
        <v>0</v>
      </c>
      <c r="S15" s="2"/>
      <c r="T15" s="25">
        <v>3438210</v>
      </c>
      <c r="U15" s="26">
        <f t="shared" si="1"/>
        <v>220045440</v>
      </c>
      <c r="V15" s="26">
        <f t="shared" si="2"/>
        <v>62269803.333333284</v>
      </c>
      <c r="W15" s="2"/>
      <c r="X15" s="2"/>
      <c r="Y15" s="2"/>
      <c r="Z15" s="2"/>
    </row>
    <row r="16" spans="1:26" ht="12.75" customHeight="1" x14ac:dyDescent="0.35">
      <c r="A16" s="2"/>
      <c r="B16" s="8" t="s">
        <v>33</v>
      </c>
      <c r="C16" s="8" t="s">
        <v>26</v>
      </c>
      <c r="D16" s="8">
        <v>14</v>
      </c>
      <c r="E16" s="21">
        <v>563</v>
      </c>
      <c r="F16" s="21">
        <v>461</v>
      </c>
      <c r="G16" s="21">
        <v>0</v>
      </c>
      <c r="H16" s="22">
        <v>0</v>
      </c>
      <c r="I16" s="21">
        <v>0</v>
      </c>
      <c r="J16" s="21">
        <v>725</v>
      </c>
      <c r="K16" s="21">
        <f t="shared" si="0"/>
        <v>299</v>
      </c>
      <c r="L16" s="21">
        <v>588</v>
      </c>
      <c r="M16" s="23">
        <v>23</v>
      </c>
      <c r="N16" s="21">
        <f t="shared" si="4"/>
        <v>18.653793103448276</v>
      </c>
      <c r="O16" s="44">
        <v>0.41241379310344828</v>
      </c>
      <c r="P16" s="21">
        <v>0</v>
      </c>
      <c r="Q16" s="21">
        <v>1200</v>
      </c>
      <c r="R16" s="21">
        <v>150</v>
      </c>
      <c r="S16" s="2"/>
      <c r="T16" s="25">
        <v>165230</v>
      </c>
      <c r="U16" s="26">
        <f t="shared" si="1"/>
        <v>119791750</v>
      </c>
      <c r="V16" s="26">
        <f t="shared" si="2"/>
        <v>97155240</v>
      </c>
      <c r="W16" s="2"/>
      <c r="X16" s="2"/>
      <c r="Y16" s="2"/>
      <c r="Z16" s="2"/>
    </row>
    <row r="17" spans="1:26" ht="12.75" customHeight="1" x14ac:dyDescent="0.35">
      <c r="A17" s="2"/>
      <c r="B17" s="8" t="s">
        <v>34</v>
      </c>
      <c r="C17" s="8" t="s">
        <v>26</v>
      </c>
      <c r="D17" s="8">
        <v>14</v>
      </c>
      <c r="E17" s="21">
        <v>274</v>
      </c>
      <c r="F17" s="21">
        <v>0</v>
      </c>
      <c r="G17" s="21">
        <v>0</v>
      </c>
      <c r="H17" s="22">
        <v>0</v>
      </c>
      <c r="I17" s="21">
        <v>0</v>
      </c>
      <c r="J17" s="21">
        <v>40</v>
      </c>
      <c r="K17" s="21">
        <f t="shared" si="0"/>
        <v>234</v>
      </c>
      <c r="L17" s="21">
        <v>256.88888888888903</v>
      </c>
      <c r="M17" s="23">
        <v>23</v>
      </c>
      <c r="N17" s="21">
        <f t="shared" si="4"/>
        <v>147.71111111111119</v>
      </c>
      <c r="O17" s="44">
        <v>5.85</v>
      </c>
      <c r="P17" s="21">
        <v>0</v>
      </c>
      <c r="Q17" s="21">
        <v>0</v>
      </c>
      <c r="R17" s="21">
        <v>0</v>
      </c>
      <c r="S17" s="2"/>
      <c r="T17" s="25">
        <v>1516675</v>
      </c>
      <c r="U17" s="26">
        <f t="shared" si="1"/>
        <v>60667000</v>
      </c>
      <c r="V17" s="26">
        <f t="shared" si="2"/>
        <v>389616955.55555576</v>
      </c>
      <c r="W17" s="2"/>
      <c r="X17" s="2"/>
      <c r="Y17" s="2"/>
      <c r="Z17" s="2"/>
    </row>
    <row r="18" spans="1:26" ht="12.75" customHeight="1" x14ac:dyDescent="0.35">
      <c r="A18" s="2"/>
      <c r="B18" s="8" t="s">
        <v>119</v>
      </c>
      <c r="C18" s="8" t="s">
        <v>26</v>
      </c>
      <c r="D18" s="8">
        <v>14</v>
      </c>
      <c r="E18" s="21">
        <v>6</v>
      </c>
      <c r="F18" s="21">
        <v>16</v>
      </c>
      <c r="G18" s="21">
        <v>0</v>
      </c>
      <c r="H18" s="22">
        <v>0</v>
      </c>
      <c r="I18" s="21">
        <v>0</v>
      </c>
      <c r="J18" s="21">
        <v>0</v>
      </c>
      <c r="K18" s="21">
        <f t="shared" si="0"/>
        <v>22</v>
      </c>
      <c r="L18" s="21">
        <v>22</v>
      </c>
      <c r="M18" s="23">
        <v>23</v>
      </c>
      <c r="N18" s="21">
        <v>0</v>
      </c>
      <c r="O18" s="44">
        <v>0</v>
      </c>
      <c r="P18" s="21">
        <v>0</v>
      </c>
      <c r="Q18" s="21">
        <v>0</v>
      </c>
      <c r="R18" s="21">
        <v>0</v>
      </c>
      <c r="S18" s="2"/>
      <c r="T18" s="25">
        <v>1516675</v>
      </c>
      <c r="U18" s="26">
        <f t="shared" si="1"/>
        <v>0</v>
      </c>
      <c r="V18" s="26">
        <f t="shared" si="2"/>
        <v>33366850</v>
      </c>
      <c r="W18" s="2"/>
      <c r="X18" s="2"/>
      <c r="Y18" s="2"/>
      <c r="Z18" s="2"/>
    </row>
    <row r="19" spans="1:26" ht="12.75" customHeight="1" x14ac:dyDescent="0.35">
      <c r="A19" s="2"/>
      <c r="B19" s="8" t="s">
        <v>35</v>
      </c>
      <c r="C19" s="8" t="s">
        <v>26</v>
      </c>
      <c r="D19" s="8">
        <v>14</v>
      </c>
      <c r="E19" s="21">
        <v>57</v>
      </c>
      <c r="F19" s="21">
        <v>0</v>
      </c>
      <c r="G19" s="21">
        <v>0</v>
      </c>
      <c r="H19" s="22">
        <v>0</v>
      </c>
      <c r="I19" s="21">
        <v>0</v>
      </c>
      <c r="J19" s="21">
        <v>0</v>
      </c>
      <c r="K19" s="21">
        <f t="shared" si="0"/>
        <v>57</v>
      </c>
      <c r="L19" s="21">
        <v>0</v>
      </c>
      <c r="M19" s="23">
        <v>23</v>
      </c>
      <c r="N19" s="21">
        <v>0</v>
      </c>
      <c r="O19" s="44">
        <v>0</v>
      </c>
      <c r="P19" s="21">
        <v>0</v>
      </c>
      <c r="Q19" s="21">
        <v>0</v>
      </c>
      <c r="R19" s="21">
        <v>0</v>
      </c>
      <c r="S19" s="2"/>
      <c r="T19" s="25">
        <v>1516675</v>
      </c>
      <c r="U19" s="26">
        <f t="shared" si="1"/>
        <v>0</v>
      </c>
      <c r="V19" s="26">
        <f t="shared" si="2"/>
        <v>0</v>
      </c>
      <c r="W19" s="2"/>
      <c r="X19" s="2"/>
      <c r="Y19" s="2"/>
      <c r="Z19" s="2"/>
    </row>
    <row r="20" spans="1:26" ht="12.75" customHeight="1" x14ac:dyDescent="0.35">
      <c r="A20" s="2"/>
      <c r="B20" s="8" t="s">
        <v>36</v>
      </c>
      <c r="C20" s="8" t="s">
        <v>26</v>
      </c>
      <c r="D20" s="8">
        <v>14</v>
      </c>
      <c r="E20" s="21">
        <v>9</v>
      </c>
      <c r="F20" s="21">
        <v>0</v>
      </c>
      <c r="G20" s="21">
        <v>0</v>
      </c>
      <c r="H20" s="22">
        <v>0</v>
      </c>
      <c r="I20" s="21">
        <v>0</v>
      </c>
      <c r="J20" s="21">
        <v>6</v>
      </c>
      <c r="K20" s="21">
        <f t="shared" si="0"/>
        <v>3</v>
      </c>
      <c r="L20" s="21">
        <v>5</v>
      </c>
      <c r="M20" s="23">
        <v>23</v>
      </c>
      <c r="N20" s="21">
        <f t="shared" ref="N20:N25" si="5">(L20/(I20+J20))*M20</f>
        <v>19.166666666666668</v>
      </c>
      <c r="O20" s="44">
        <v>0.5</v>
      </c>
      <c r="P20" s="21">
        <v>0</v>
      </c>
      <c r="Q20" s="21">
        <v>37</v>
      </c>
      <c r="R20" s="21">
        <v>0</v>
      </c>
      <c r="S20" s="2"/>
      <c r="T20" s="25">
        <v>1516675</v>
      </c>
      <c r="U20" s="26">
        <f t="shared" si="1"/>
        <v>9100050</v>
      </c>
      <c r="V20" s="26">
        <f t="shared" si="2"/>
        <v>7583375</v>
      </c>
      <c r="W20" s="2"/>
      <c r="X20" s="2"/>
      <c r="Y20" s="2"/>
      <c r="Z20" s="2"/>
    </row>
    <row r="21" spans="1:26" ht="12.75" customHeight="1" x14ac:dyDescent="0.35">
      <c r="A21" s="2"/>
      <c r="B21" s="8" t="s">
        <v>37</v>
      </c>
      <c r="C21" s="8" t="s">
        <v>26</v>
      </c>
      <c r="D21" s="8">
        <v>14</v>
      </c>
      <c r="E21" s="21">
        <v>49</v>
      </c>
      <c r="F21" s="21">
        <v>0</v>
      </c>
      <c r="G21" s="21">
        <v>0</v>
      </c>
      <c r="H21" s="22">
        <v>0</v>
      </c>
      <c r="I21" s="21">
        <v>0</v>
      </c>
      <c r="J21" s="21">
        <v>8</v>
      </c>
      <c r="K21" s="21">
        <f t="shared" si="0"/>
        <v>41</v>
      </c>
      <c r="L21" s="21">
        <v>44</v>
      </c>
      <c r="M21" s="23">
        <v>23</v>
      </c>
      <c r="N21" s="21">
        <f t="shared" si="5"/>
        <v>126.5</v>
      </c>
      <c r="O21" s="44">
        <v>5.125</v>
      </c>
      <c r="P21" s="21">
        <v>0</v>
      </c>
      <c r="Q21" s="21">
        <v>0</v>
      </c>
      <c r="R21" s="21">
        <v>0</v>
      </c>
      <c r="S21" s="2"/>
      <c r="T21" s="25">
        <v>1516675</v>
      </c>
      <c r="U21" s="26">
        <f t="shared" si="1"/>
        <v>12133400</v>
      </c>
      <c r="V21" s="26">
        <f t="shared" si="2"/>
        <v>66733700</v>
      </c>
      <c r="W21" s="2"/>
      <c r="X21" s="2"/>
      <c r="Y21" s="2"/>
      <c r="Z21" s="2"/>
    </row>
    <row r="22" spans="1:26" ht="12.75" customHeight="1" x14ac:dyDescent="0.35">
      <c r="A22" s="2"/>
      <c r="B22" s="8" t="s">
        <v>38</v>
      </c>
      <c r="C22" s="8" t="s">
        <v>26</v>
      </c>
      <c r="D22" s="8">
        <v>14</v>
      </c>
      <c r="E22" s="21">
        <v>20</v>
      </c>
      <c r="F22" s="21">
        <v>0</v>
      </c>
      <c r="G22" s="21">
        <v>0</v>
      </c>
      <c r="H22" s="22">
        <v>2</v>
      </c>
      <c r="I22" s="21">
        <v>0</v>
      </c>
      <c r="J22" s="21">
        <v>22</v>
      </c>
      <c r="K22" s="21">
        <f t="shared" si="0"/>
        <v>-2</v>
      </c>
      <c r="L22" s="21">
        <v>7.4285714285714297</v>
      </c>
      <c r="M22" s="23">
        <v>23</v>
      </c>
      <c r="N22" s="21">
        <f t="shared" si="5"/>
        <v>7.7662337662337677</v>
      </c>
      <c r="O22" s="44">
        <v>0</v>
      </c>
      <c r="P22" s="21">
        <v>0</v>
      </c>
      <c r="Q22" s="21">
        <v>0</v>
      </c>
      <c r="R22" s="21">
        <v>0</v>
      </c>
      <c r="S22" s="2"/>
      <c r="T22" s="25">
        <v>1516675</v>
      </c>
      <c r="U22" s="26">
        <f t="shared" si="1"/>
        <v>33366850</v>
      </c>
      <c r="V22" s="26">
        <f t="shared" si="2"/>
        <v>11266728.571428573</v>
      </c>
      <c r="W22" s="2"/>
      <c r="X22" s="2"/>
      <c r="Y22" s="2"/>
      <c r="Z22" s="2"/>
    </row>
    <row r="23" spans="1:26" ht="12.75" customHeight="1" x14ac:dyDescent="0.35">
      <c r="A23" s="2"/>
      <c r="B23" s="8" t="s">
        <v>141</v>
      </c>
      <c r="C23" s="8" t="s">
        <v>26</v>
      </c>
      <c r="D23" s="8">
        <v>14</v>
      </c>
      <c r="E23" s="21">
        <v>74</v>
      </c>
      <c r="F23" s="21">
        <v>75</v>
      </c>
      <c r="G23" s="21">
        <v>0</v>
      </c>
      <c r="H23" s="22">
        <v>0</v>
      </c>
      <c r="I23" s="21">
        <v>0</v>
      </c>
      <c r="J23" s="21">
        <v>38</v>
      </c>
      <c r="K23" s="21">
        <f t="shared" si="0"/>
        <v>111</v>
      </c>
      <c r="L23" s="21">
        <v>73</v>
      </c>
      <c r="M23" s="23">
        <v>23</v>
      </c>
      <c r="N23" s="21">
        <f t="shared" si="5"/>
        <v>44.184210526315788</v>
      </c>
      <c r="O23" s="44">
        <v>2.9210526315789473</v>
      </c>
      <c r="P23" s="21">
        <v>0</v>
      </c>
      <c r="Q23" s="21">
        <v>0</v>
      </c>
      <c r="R23" s="21">
        <v>0</v>
      </c>
      <c r="S23" s="2"/>
      <c r="T23" s="25">
        <v>1516675</v>
      </c>
      <c r="U23" s="26">
        <f t="shared" si="1"/>
        <v>57633650</v>
      </c>
      <c r="V23" s="26">
        <f t="shared" si="2"/>
        <v>110717275</v>
      </c>
      <c r="W23" s="2"/>
      <c r="X23" s="2"/>
      <c r="Y23" s="2"/>
      <c r="Z23" s="2"/>
    </row>
    <row r="24" spans="1:26" ht="12.75" customHeight="1" x14ac:dyDescent="0.35">
      <c r="A24" s="2"/>
      <c r="B24" s="8" t="s">
        <v>39</v>
      </c>
      <c r="C24" s="8" t="s">
        <v>26</v>
      </c>
      <c r="D24" s="8">
        <v>14</v>
      </c>
      <c r="E24" s="21">
        <v>55</v>
      </c>
      <c r="F24" s="21">
        <v>0</v>
      </c>
      <c r="G24" s="21">
        <v>0</v>
      </c>
      <c r="H24" s="22">
        <v>0</v>
      </c>
      <c r="I24" s="21">
        <v>0</v>
      </c>
      <c r="J24" s="21">
        <v>2</v>
      </c>
      <c r="K24" s="21">
        <f t="shared" si="0"/>
        <v>53</v>
      </c>
      <c r="L24" s="21">
        <v>53</v>
      </c>
      <c r="M24" s="23">
        <v>23</v>
      </c>
      <c r="N24" s="21">
        <f t="shared" si="5"/>
        <v>609.5</v>
      </c>
      <c r="O24" s="44">
        <v>26.5</v>
      </c>
      <c r="P24" s="21">
        <v>0</v>
      </c>
      <c r="Q24" s="21">
        <v>0</v>
      </c>
      <c r="R24" s="21">
        <v>36</v>
      </c>
      <c r="S24" s="2"/>
      <c r="T24" s="25">
        <v>1516675</v>
      </c>
      <c r="U24" s="26">
        <f t="shared" si="1"/>
        <v>3033350</v>
      </c>
      <c r="V24" s="26">
        <f t="shared" si="2"/>
        <v>80383775</v>
      </c>
      <c r="W24" s="2"/>
      <c r="X24" s="2"/>
      <c r="Y24" s="2"/>
      <c r="Z24" s="2"/>
    </row>
    <row r="25" spans="1:26" ht="12.75" customHeight="1" x14ac:dyDescent="0.35">
      <c r="A25" s="2"/>
      <c r="B25" s="8" t="s">
        <v>40</v>
      </c>
      <c r="C25" s="8" t="s">
        <v>26</v>
      </c>
      <c r="D25" s="8">
        <v>14</v>
      </c>
      <c r="E25" s="21">
        <v>50</v>
      </c>
      <c r="F25" s="21">
        <v>198</v>
      </c>
      <c r="G25" s="21">
        <v>0</v>
      </c>
      <c r="H25" s="22">
        <v>0</v>
      </c>
      <c r="I25" s="21">
        <v>0</v>
      </c>
      <c r="J25" s="21">
        <v>176</v>
      </c>
      <c r="K25" s="21">
        <f t="shared" si="0"/>
        <v>72</v>
      </c>
      <c r="L25" s="21">
        <v>120.625</v>
      </c>
      <c r="M25" s="23">
        <v>23</v>
      </c>
      <c r="N25" s="21">
        <f t="shared" si="5"/>
        <v>15.76349431818182</v>
      </c>
      <c r="O25" s="44">
        <v>0.40909090909090912</v>
      </c>
      <c r="P25" s="21">
        <v>3</v>
      </c>
      <c r="Q25" s="21">
        <v>140</v>
      </c>
      <c r="R25" s="21">
        <v>0</v>
      </c>
      <c r="S25" s="2"/>
      <c r="T25" s="25">
        <v>1345865</v>
      </c>
      <c r="U25" s="26">
        <f t="shared" si="1"/>
        <v>236872240</v>
      </c>
      <c r="V25" s="26">
        <f t="shared" si="2"/>
        <v>162344965.625</v>
      </c>
      <c r="W25" s="2"/>
      <c r="X25" s="2"/>
      <c r="Y25" s="2"/>
      <c r="Z25" s="2"/>
    </row>
    <row r="26" spans="1:26" ht="12.75" customHeight="1" x14ac:dyDescent="0.35">
      <c r="A26" s="2"/>
      <c r="B26" s="8" t="s">
        <v>120</v>
      </c>
      <c r="C26" s="8" t="s">
        <v>26</v>
      </c>
      <c r="D26" s="8">
        <v>14</v>
      </c>
      <c r="E26" s="21">
        <v>84</v>
      </c>
      <c r="F26" s="21">
        <v>0</v>
      </c>
      <c r="G26" s="21">
        <v>0</v>
      </c>
      <c r="H26" s="22">
        <v>0</v>
      </c>
      <c r="I26" s="21">
        <v>0</v>
      </c>
      <c r="J26" s="21">
        <v>0</v>
      </c>
      <c r="K26" s="21">
        <f t="shared" si="0"/>
        <v>84</v>
      </c>
      <c r="L26" s="21">
        <v>0</v>
      </c>
      <c r="M26" s="23">
        <v>23</v>
      </c>
      <c r="N26" s="21">
        <v>0</v>
      </c>
      <c r="O26" s="44">
        <v>0</v>
      </c>
      <c r="P26" s="21">
        <v>0</v>
      </c>
      <c r="Q26" s="21">
        <v>0</v>
      </c>
      <c r="R26" s="21">
        <v>0</v>
      </c>
      <c r="S26" s="2"/>
      <c r="T26" s="25">
        <v>1326180</v>
      </c>
      <c r="U26" s="26">
        <f t="shared" si="1"/>
        <v>0</v>
      </c>
      <c r="V26" s="26">
        <f t="shared" si="2"/>
        <v>0</v>
      </c>
      <c r="W26" s="2"/>
      <c r="X26" s="2"/>
      <c r="Y26" s="2"/>
      <c r="Z26" s="2"/>
    </row>
    <row r="27" spans="1:26" ht="12.75" customHeight="1" x14ac:dyDescent="0.35">
      <c r="A27" s="2"/>
      <c r="B27" s="8" t="s">
        <v>42</v>
      </c>
      <c r="C27" s="8" t="s">
        <v>26</v>
      </c>
      <c r="D27" s="8">
        <v>14</v>
      </c>
      <c r="E27" s="21">
        <v>112</v>
      </c>
      <c r="F27" s="21">
        <v>0</v>
      </c>
      <c r="G27" s="21">
        <v>0</v>
      </c>
      <c r="H27" s="22">
        <v>0</v>
      </c>
      <c r="I27" s="21">
        <v>0</v>
      </c>
      <c r="J27" s="21">
        <v>81</v>
      </c>
      <c r="K27" s="21">
        <f t="shared" si="0"/>
        <v>31</v>
      </c>
      <c r="L27" s="21">
        <v>31</v>
      </c>
      <c r="M27" s="23">
        <v>23</v>
      </c>
      <c r="N27" s="21">
        <f t="shared" ref="N27:N43" si="6">(L27/(I27+J27))*M27</f>
        <v>8.8024691358024683</v>
      </c>
      <c r="O27" s="44">
        <v>0.38271604938271603</v>
      </c>
      <c r="P27" s="21">
        <v>0</v>
      </c>
      <c r="Q27" s="21">
        <v>0</v>
      </c>
      <c r="R27" s="21">
        <v>0</v>
      </c>
      <c r="S27" s="2"/>
      <c r="T27" s="25">
        <v>542345</v>
      </c>
      <c r="U27" s="26">
        <f t="shared" si="1"/>
        <v>43929945</v>
      </c>
      <c r="V27" s="26">
        <f t="shared" si="2"/>
        <v>16812695</v>
      </c>
      <c r="W27" s="2"/>
      <c r="X27" s="2"/>
      <c r="Y27" s="2"/>
      <c r="Z27" s="2"/>
    </row>
    <row r="28" spans="1:26" ht="12.75" customHeight="1" x14ac:dyDescent="0.35">
      <c r="A28" s="2"/>
      <c r="B28" s="8" t="s">
        <v>44</v>
      </c>
      <c r="C28" s="8" t="s">
        <v>26</v>
      </c>
      <c r="D28" s="8">
        <v>14</v>
      </c>
      <c r="E28" s="21">
        <v>33</v>
      </c>
      <c r="F28" s="21">
        <v>486</v>
      </c>
      <c r="G28" s="21">
        <v>0</v>
      </c>
      <c r="H28" s="22">
        <v>0</v>
      </c>
      <c r="I28" s="21">
        <v>0</v>
      </c>
      <c r="J28" s="21">
        <v>249</v>
      </c>
      <c r="K28" s="21">
        <f t="shared" si="0"/>
        <v>270</v>
      </c>
      <c r="L28" s="21">
        <v>123.428571428571</v>
      </c>
      <c r="M28" s="23">
        <v>23</v>
      </c>
      <c r="N28" s="21">
        <f t="shared" si="6"/>
        <v>11.401032702237481</v>
      </c>
      <c r="O28" s="44">
        <v>1.0843373493975903</v>
      </c>
      <c r="P28" s="21">
        <v>0</v>
      </c>
      <c r="Q28" s="21">
        <v>33</v>
      </c>
      <c r="R28" s="21">
        <v>0</v>
      </c>
      <c r="S28" s="2"/>
      <c r="T28" s="25">
        <v>848935</v>
      </c>
      <c r="U28" s="26">
        <f t="shared" si="1"/>
        <v>211384815</v>
      </c>
      <c r="V28" s="26">
        <f t="shared" si="2"/>
        <v>104782834.28571393</v>
      </c>
      <c r="W28" s="2"/>
      <c r="X28" s="2"/>
      <c r="Y28" s="2"/>
      <c r="Z28" s="2"/>
    </row>
    <row r="29" spans="1:26" ht="12.75" customHeight="1" x14ac:dyDescent="0.35">
      <c r="A29" s="2"/>
      <c r="B29" s="8" t="s">
        <v>121</v>
      </c>
      <c r="C29" s="8" t="s">
        <v>26</v>
      </c>
      <c r="D29" s="8">
        <v>14</v>
      </c>
      <c r="E29" s="21">
        <v>90</v>
      </c>
      <c r="F29" s="21">
        <v>520</v>
      </c>
      <c r="G29" s="21">
        <v>0</v>
      </c>
      <c r="H29" s="22">
        <v>0</v>
      </c>
      <c r="I29" s="21">
        <v>0</v>
      </c>
      <c r="J29" s="21">
        <v>340</v>
      </c>
      <c r="K29" s="21">
        <f t="shared" si="0"/>
        <v>270</v>
      </c>
      <c r="L29" s="21">
        <v>93.7777777777778</v>
      </c>
      <c r="M29" s="23">
        <v>23</v>
      </c>
      <c r="N29" s="21">
        <f t="shared" si="6"/>
        <v>6.3437908496732041</v>
      </c>
      <c r="O29" s="44">
        <v>0.79411764705882348</v>
      </c>
      <c r="P29" s="21">
        <v>0</v>
      </c>
      <c r="Q29" s="21">
        <v>36</v>
      </c>
      <c r="R29" s="21">
        <v>0</v>
      </c>
      <c r="S29" s="2"/>
      <c r="T29" s="25">
        <v>848935</v>
      </c>
      <c r="U29" s="26">
        <f t="shared" si="1"/>
        <v>288637900</v>
      </c>
      <c r="V29" s="26">
        <f t="shared" si="2"/>
        <v>79611237.777777791</v>
      </c>
      <c r="W29" s="2"/>
      <c r="X29" s="2"/>
      <c r="Y29" s="2"/>
      <c r="Z29" s="2"/>
    </row>
    <row r="30" spans="1:26" ht="12.75" customHeight="1" x14ac:dyDescent="0.35">
      <c r="A30" s="2"/>
      <c r="B30" s="8" t="s">
        <v>121</v>
      </c>
      <c r="C30" s="8" t="s">
        <v>26</v>
      </c>
      <c r="D30" s="8">
        <v>14</v>
      </c>
      <c r="E30" s="21">
        <v>148</v>
      </c>
      <c r="F30" s="21">
        <v>0</v>
      </c>
      <c r="G30" s="21">
        <v>0</v>
      </c>
      <c r="H30" s="22">
        <v>0</v>
      </c>
      <c r="I30" s="21">
        <v>0</v>
      </c>
      <c r="J30" s="21">
        <v>101</v>
      </c>
      <c r="K30" s="21">
        <f t="shared" si="0"/>
        <v>47</v>
      </c>
      <c r="L30" s="21">
        <v>92.6666666666667</v>
      </c>
      <c r="M30" s="23">
        <v>23</v>
      </c>
      <c r="N30" s="21">
        <f t="shared" si="6"/>
        <v>21.102310231023111</v>
      </c>
      <c r="O30" s="44">
        <v>0.46534653465346537</v>
      </c>
      <c r="P30" s="21">
        <v>0</v>
      </c>
      <c r="Q30" s="21">
        <v>0</v>
      </c>
      <c r="R30" s="21">
        <v>0</v>
      </c>
      <c r="S30" s="2"/>
      <c r="T30" s="25">
        <v>819485</v>
      </c>
      <c r="U30" s="26">
        <f t="shared" si="1"/>
        <v>82767985</v>
      </c>
      <c r="V30" s="26">
        <f t="shared" si="2"/>
        <v>75938943.333333358</v>
      </c>
      <c r="W30" s="2"/>
      <c r="X30" s="2"/>
      <c r="Y30" s="2"/>
      <c r="Z30" s="2"/>
    </row>
    <row r="31" spans="1:26" ht="12.75" customHeight="1" x14ac:dyDescent="0.35">
      <c r="A31" s="2"/>
      <c r="B31" s="8" t="s">
        <v>122</v>
      </c>
      <c r="C31" s="8" t="s">
        <v>26</v>
      </c>
      <c r="D31" s="8">
        <v>14</v>
      </c>
      <c r="E31" s="21">
        <v>549</v>
      </c>
      <c r="F31" s="21">
        <v>300</v>
      </c>
      <c r="G31" s="21">
        <v>0</v>
      </c>
      <c r="H31" s="22">
        <v>0</v>
      </c>
      <c r="I31" s="21">
        <v>0</v>
      </c>
      <c r="J31" s="21">
        <v>441</v>
      </c>
      <c r="K31" s="21">
        <f t="shared" si="0"/>
        <v>408</v>
      </c>
      <c r="L31" s="21">
        <v>395.57142857142907</v>
      </c>
      <c r="M31" s="23">
        <v>23</v>
      </c>
      <c r="N31" s="21">
        <f t="shared" si="6"/>
        <v>20.630709426627817</v>
      </c>
      <c r="O31" s="44">
        <v>0.92517006802721091</v>
      </c>
      <c r="P31" s="21">
        <v>0</v>
      </c>
      <c r="Q31" s="21">
        <v>1250</v>
      </c>
      <c r="R31" s="21">
        <v>150</v>
      </c>
      <c r="S31" s="2"/>
      <c r="T31" s="25">
        <v>819485</v>
      </c>
      <c r="U31" s="26">
        <f t="shared" si="1"/>
        <v>361392885</v>
      </c>
      <c r="V31" s="26">
        <f t="shared" si="2"/>
        <v>324164852.14285755</v>
      </c>
      <c r="W31" s="2"/>
      <c r="X31" s="2"/>
      <c r="Y31" s="2"/>
      <c r="Z31" s="2"/>
    </row>
    <row r="32" spans="1:26" ht="12.75" customHeight="1" x14ac:dyDescent="0.35">
      <c r="A32" s="2"/>
      <c r="B32" s="8" t="s">
        <v>123</v>
      </c>
      <c r="C32" s="8" t="s">
        <v>26</v>
      </c>
      <c r="D32" s="8">
        <v>14</v>
      </c>
      <c r="E32" s="21">
        <v>76</v>
      </c>
      <c r="F32" s="21">
        <v>0</v>
      </c>
      <c r="G32" s="21">
        <v>0</v>
      </c>
      <c r="H32" s="22">
        <v>0</v>
      </c>
      <c r="I32" s="21">
        <v>0</v>
      </c>
      <c r="J32" s="21">
        <v>13</v>
      </c>
      <c r="K32" s="21">
        <f t="shared" si="0"/>
        <v>63</v>
      </c>
      <c r="L32" s="21">
        <v>68</v>
      </c>
      <c r="M32" s="23">
        <v>23</v>
      </c>
      <c r="N32" s="21">
        <f t="shared" si="6"/>
        <v>120.30769230769231</v>
      </c>
      <c r="O32" s="44">
        <v>4.8461538461538458</v>
      </c>
      <c r="P32" s="21">
        <v>0</v>
      </c>
      <c r="Q32" s="21">
        <v>0</v>
      </c>
      <c r="R32" s="21">
        <v>0</v>
      </c>
      <c r="S32" s="2"/>
      <c r="T32" s="25">
        <v>1272550</v>
      </c>
      <c r="U32" s="26">
        <f t="shared" si="1"/>
        <v>16543150</v>
      </c>
      <c r="V32" s="26">
        <f t="shared" si="2"/>
        <v>86533400</v>
      </c>
      <c r="W32" s="2"/>
      <c r="X32" s="2"/>
      <c r="Y32" s="2"/>
      <c r="Z32" s="2"/>
    </row>
    <row r="33" spans="1:26" ht="12.75" customHeight="1" x14ac:dyDescent="0.35">
      <c r="A33" s="2"/>
      <c r="B33" s="8" t="s">
        <v>123</v>
      </c>
      <c r="C33" s="8" t="s">
        <v>26</v>
      </c>
      <c r="D33" s="8">
        <v>14</v>
      </c>
      <c r="E33" s="21">
        <v>85</v>
      </c>
      <c r="F33" s="21">
        <v>100</v>
      </c>
      <c r="G33" s="21">
        <v>0</v>
      </c>
      <c r="H33" s="22">
        <v>0</v>
      </c>
      <c r="I33" s="21">
        <v>0</v>
      </c>
      <c r="J33" s="21">
        <v>79</v>
      </c>
      <c r="K33" s="21">
        <f t="shared" si="0"/>
        <v>106</v>
      </c>
      <c r="L33" s="21">
        <v>98.2</v>
      </c>
      <c r="M33" s="23">
        <v>23</v>
      </c>
      <c r="N33" s="21">
        <f t="shared" si="6"/>
        <v>28.589873417721517</v>
      </c>
      <c r="O33" s="44">
        <v>1.3417721518987342</v>
      </c>
      <c r="P33" s="21">
        <v>0</v>
      </c>
      <c r="Q33" s="21">
        <v>100</v>
      </c>
      <c r="R33" s="21">
        <v>0</v>
      </c>
      <c r="S33" s="2"/>
      <c r="T33" s="25">
        <v>1272550</v>
      </c>
      <c r="U33" s="26">
        <f t="shared" si="1"/>
        <v>100531450</v>
      </c>
      <c r="V33" s="26">
        <f t="shared" si="2"/>
        <v>124964410</v>
      </c>
      <c r="W33" s="2"/>
      <c r="X33" s="2"/>
      <c r="Y33" s="2"/>
      <c r="Z33" s="2"/>
    </row>
    <row r="34" spans="1:26" ht="12.75" customHeight="1" x14ac:dyDescent="0.35">
      <c r="A34" s="2"/>
      <c r="B34" s="8" t="s">
        <v>48</v>
      </c>
      <c r="C34" s="8" t="s">
        <v>26</v>
      </c>
      <c r="D34" s="8">
        <v>14</v>
      </c>
      <c r="E34" s="21">
        <v>173</v>
      </c>
      <c r="F34" s="21">
        <v>0</v>
      </c>
      <c r="G34" s="21">
        <v>0</v>
      </c>
      <c r="H34" s="22">
        <v>0</v>
      </c>
      <c r="I34" s="21">
        <v>0</v>
      </c>
      <c r="J34" s="21">
        <v>99</v>
      </c>
      <c r="K34" s="21">
        <f t="shared" si="0"/>
        <v>74</v>
      </c>
      <c r="L34" s="21">
        <v>96.5</v>
      </c>
      <c r="M34" s="23">
        <v>23</v>
      </c>
      <c r="N34" s="21">
        <f t="shared" si="6"/>
        <v>22.419191919191917</v>
      </c>
      <c r="O34" s="44">
        <v>0.74747474747474751</v>
      </c>
      <c r="P34" s="21">
        <v>0</v>
      </c>
      <c r="Q34" s="21">
        <v>100</v>
      </c>
      <c r="R34" s="21">
        <v>0</v>
      </c>
      <c r="S34" s="2"/>
      <c r="T34" s="25">
        <v>1272550</v>
      </c>
      <c r="U34" s="26">
        <f t="shared" si="1"/>
        <v>125982450</v>
      </c>
      <c r="V34" s="26">
        <f t="shared" si="2"/>
        <v>122801075</v>
      </c>
      <c r="W34" s="2"/>
      <c r="X34" s="2"/>
      <c r="Y34" s="2"/>
      <c r="Z34" s="2"/>
    </row>
    <row r="35" spans="1:26" ht="12.75" customHeight="1" x14ac:dyDescent="0.35">
      <c r="A35" s="2"/>
      <c r="B35" s="8" t="s">
        <v>49</v>
      </c>
      <c r="C35" s="8" t="s">
        <v>26</v>
      </c>
      <c r="D35" s="8">
        <v>14</v>
      </c>
      <c r="E35" s="21">
        <v>701</v>
      </c>
      <c r="F35" s="21">
        <v>0</v>
      </c>
      <c r="G35" s="21">
        <v>0</v>
      </c>
      <c r="H35" s="22">
        <v>0</v>
      </c>
      <c r="I35" s="21">
        <v>0</v>
      </c>
      <c r="J35" s="21">
        <v>540</v>
      </c>
      <c r="K35" s="21">
        <f t="shared" si="0"/>
        <v>161</v>
      </c>
      <c r="L35" s="21">
        <v>411</v>
      </c>
      <c r="M35" s="23">
        <v>23</v>
      </c>
      <c r="N35" s="21">
        <f t="shared" si="6"/>
        <v>17.505555555555553</v>
      </c>
      <c r="O35" s="44">
        <v>0.29814814814814816</v>
      </c>
      <c r="P35" s="21">
        <v>0</v>
      </c>
      <c r="Q35" s="21">
        <v>250</v>
      </c>
      <c r="R35" s="21">
        <v>0</v>
      </c>
      <c r="S35" s="2"/>
      <c r="T35" s="25">
        <v>819485</v>
      </c>
      <c r="U35" s="26">
        <f t="shared" si="1"/>
        <v>442521900</v>
      </c>
      <c r="V35" s="26">
        <f t="shared" si="2"/>
        <v>336808335</v>
      </c>
      <c r="W35" s="2"/>
      <c r="X35" s="2"/>
      <c r="Y35" s="2"/>
      <c r="Z35" s="2"/>
    </row>
    <row r="36" spans="1:26" ht="12.75" customHeight="1" x14ac:dyDescent="0.35">
      <c r="A36" s="2"/>
      <c r="B36" s="8" t="s">
        <v>142</v>
      </c>
      <c r="C36" s="8" t="s">
        <v>26</v>
      </c>
      <c r="D36" s="8">
        <v>14</v>
      </c>
      <c r="E36" s="21">
        <v>0</v>
      </c>
      <c r="F36" s="21">
        <v>500</v>
      </c>
      <c r="G36" s="21">
        <v>0</v>
      </c>
      <c r="H36" s="22">
        <v>0</v>
      </c>
      <c r="I36" s="21">
        <v>0</v>
      </c>
      <c r="J36" s="21">
        <v>14</v>
      </c>
      <c r="K36" s="21">
        <f t="shared" si="0"/>
        <v>486</v>
      </c>
      <c r="L36" s="21">
        <v>422</v>
      </c>
      <c r="M36" s="23">
        <v>23</v>
      </c>
      <c r="N36" s="21">
        <f t="shared" si="6"/>
        <v>693.28571428571422</v>
      </c>
      <c r="O36" s="44">
        <v>34.714285714285715</v>
      </c>
      <c r="P36" s="21">
        <v>100</v>
      </c>
      <c r="Q36" s="21">
        <v>100</v>
      </c>
      <c r="R36" s="21">
        <v>0</v>
      </c>
      <c r="S36" s="2"/>
      <c r="T36" s="25">
        <v>819485</v>
      </c>
      <c r="U36" s="26">
        <f t="shared" si="1"/>
        <v>11472790</v>
      </c>
      <c r="V36" s="26">
        <f t="shared" si="2"/>
        <v>345822670</v>
      </c>
      <c r="W36" s="2"/>
      <c r="X36" s="2"/>
      <c r="Y36" s="2"/>
      <c r="Z36" s="2"/>
    </row>
    <row r="37" spans="1:26" ht="12.75" customHeight="1" x14ac:dyDescent="0.35">
      <c r="A37" s="2"/>
      <c r="B37" s="8" t="s">
        <v>104</v>
      </c>
      <c r="C37" s="8" t="s">
        <v>26</v>
      </c>
      <c r="D37" s="8">
        <v>14</v>
      </c>
      <c r="E37" s="21">
        <v>162</v>
      </c>
      <c r="F37" s="21">
        <v>0</v>
      </c>
      <c r="G37" s="21">
        <v>0</v>
      </c>
      <c r="H37" s="22">
        <v>0</v>
      </c>
      <c r="I37" s="21">
        <v>0</v>
      </c>
      <c r="J37" s="21">
        <v>96</v>
      </c>
      <c r="K37" s="21">
        <f t="shared" si="0"/>
        <v>66</v>
      </c>
      <c r="L37" s="21">
        <v>90</v>
      </c>
      <c r="M37" s="23">
        <v>23</v>
      </c>
      <c r="N37" s="21">
        <f t="shared" si="6"/>
        <v>21.5625</v>
      </c>
      <c r="O37" s="44">
        <v>0.6875</v>
      </c>
      <c r="P37" s="21">
        <v>0</v>
      </c>
      <c r="Q37" s="21">
        <v>305</v>
      </c>
      <c r="R37" s="21">
        <v>0</v>
      </c>
      <c r="S37" s="2"/>
      <c r="T37" s="25">
        <v>1445220</v>
      </c>
      <c r="U37" s="26">
        <f t="shared" si="1"/>
        <v>138741120</v>
      </c>
      <c r="V37" s="26">
        <f t="shared" si="2"/>
        <v>130069800</v>
      </c>
      <c r="W37" s="2"/>
      <c r="X37" s="2"/>
      <c r="Y37" s="2"/>
      <c r="Z37" s="2"/>
    </row>
    <row r="38" spans="1:26" ht="12.75" customHeight="1" x14ac:dyDescent="0.35">
      <c r="A38" s="2"/>
      <c r="B38" s="8" t="s">
        <v>124</v>
      </c>
      <c r="C38" s="8" t="s">
        <v>26</v>
      </c>
      <c r="D38" s="8">
        <v>14</v>
      </c>
      <c r="E38" s="21">
        <v>46</v>
      </c>
      <c r="F38" s="21">
        <v>154</v>
      </c>
      <c r="G38" s="21">
        <v>0</v>
      </c>
      <c r="H38" s="22">
        <v>0</v>
      </c>
      <c r="I38" s="21">
        <v>0</v>
      </c>
      <c r="J38" s="21">
        <v>74</v>
      </c>
      <c r="K38" s="21">
        <f t="shared" si="0"/>
        <v>126</v>
      </c>
      <c r="L38" s="21">
        <v>150.666666666667</v>
      </c>
      <c r="M38" s="23">
        <v>23</v>
      </c>
      <c r="N38" s="21">
        <f t="shared" si="6"/>
        <v>46.828828828828932</v>
      </c>
      <c r="O38" s="44">
        <v>1.7027027027027026</v>
      </c>
      <c r="P38" s="21">
        <v>0</v>
      </c>
      <c r="Q38" s="21">
        <v>0</v>
      </c>
      <c r="R38" s="21">
        <v>0</v>
      </c>
      <c r="S38" s="2"/>
      <c r="T38" s="25">
        <v>1445220</v>
      </c>
      <c r="U38" s="26">
        <f t="shared" si="1"/>
        <v>106946280</v>
      </c>
      <c r="V38" s="26">
        <f t="shared" si="2"/>
        <v>217746480.00000048</v>
      </c>
      <c r="W38" s="2"/>
      <c r="X38" s="2"/>
      <c r="Y38" s="2"/>
      <c r="Z38" s="2"/>
    </row>
    <row r="39" spans="1:26" ht="12.75" customHeight="1" x14ac:dyDescent="0.35">
      <c r="A39" s="2"/>
      <c r="B39" s="8" t="s">
        <v>124</v>
      </c>
      <c r="C39" s="8" t="s">
        <v>26</v>
      </c>
      <c r="D39" s="8">
        <v>14</v>
      </c>
      <c r="E39" s="21">
        <v>48</v>
      </c>
      <c r="F39" s="21">
        <v>154</v>
      </c>
      <c r="G39" s="21">
        <v>0</v>
      </c>
      <c r="H39" s="22">
        <v>0</v>
      </c>
      <c r="I39" s="21">
        <v>0</v>
      </c>
      <c r="J39" s="21">
        <v>128</v>
      </c>
      <c r="K39" s="21">
        <f t="shared" si="0"/>
        <v>74</v>
      </c>
      <c r="L39" s="21">
        <v>111.60000000000001</v>
      </c>
      <c r="M39" s="23">
        <v>23</v>
      </c>
      <c r="N39" s="21">
        <f t="shared" si="6"/>
        <v>20.053125000000001</v>
      </c>
      <c r="O39" s="44">
        <v>0.578125</v>
      </c>
      <c r="P39" s="21">
        <v>16</v>
      </c>
      <c r="Q39" s="21">
        <v>357</v>
      </c>
      <c r="R39" s="21">
        <v>0</v>
      </c>
      <c r="S39" s="2"/>
      <c r="T39" s="25">
        <v>1445220</v>
      </c>
      <c r="U39" s="26">
        <f t="shared" si="1"/>
        <v>184988160</v>
      </c>
      <c r="V39" s="26">
        <f t="shared" si="2"/>
        <v>161286552</v>
      </c>
      <c r="W39" s="2"/>
      <c r="X39" s="2"/>
      <c r="Y39" s="2"/>
      <c r="Z39" s="2"/>
    </row>
    <row r="40" spans="1:26" ht="12.75" customHeight="1" x14ac:dyDescent="0.35">
      <c r="A40" s="2"/>
      <c r="B40" s="8" t="s">
        <v>53</v>
      </c>
      <c r="C40" s="8" t="s">
        <v>26</v>
      </c>
      <c r="D40" s="8">
        <v>14</v>
      </c>
      <c r="E40" s="21">
        <v>112</v>
      </c>
      <c r="F40" s="21">
        <v>105</v>
      </c>
      <c r="G40" s="21">
        <v>0</v>
      </c>
      <c r="H40" s="22">
        <v>0</v>
      </c>
      <c r="I40" s="21">
        <v>0</v>
      </c>
      <c r="J40" s="21">
        <v>105</v>
      </c>
      <c r="K40" s="21">
        <f t="shared" si="0"/>
        <v>112</v>
      </c>
      <c r="L40" s="21">
        <v>163</v>
      </c>
      <c r="M40" s="23">
        <v>23</v>
      </c>
      <c r="N40" s="21">
        <f t="shared" si="6"/>
        <v>35.704761904761902</v>
      </c>
      <c r="O40" s="44">
        <v>1.0666666666666667</v>
      </c>
      <c r="P40" s="21">
        <v>0</v>
      </c>
      <c r="Q40" s="21">
        <v>100</v>
      </c>
      <c r="R40" s="21">
        <v>0</v>
      </c>
      <c r="S40" s="2"/>
      <c r="T40" s="25">
        <v>1272550</v>
      </c>
      <c r="U40" s="26">
        <f t="shared" si="1"/>
        <v>133617750</v>
      </c>
      <c r="V40" s="26">
        <f t="shared" si="2"/>
        <v>207425650</v>
      </c>
      <c r="W40" s="2"/>
      <c r="X40" s="2"/>
      <c r="Y40" s="2"/>
      <c r="Z40" s="2"/>
    </row>
    <row r="41" spans="1:26" ht="12.75" customHeight="1" x14ac:dyDescent="0.35">
      <c r="A41" s="2"/>
      <c r="B41" s="8" t="s">
        <v>56</v>
      </c>
      <c r="C41" s="8" t="s">
        <v>26</v>
      </c>
      <c r="D41" s="8">
        <v>14</v>
      </c>
      <c r="E41" s="21">
        <v>216</v>
      </c>
      <c r="F41" s="21">
        <v>100</v>
      </c>
      <c r="G41" s="21">
        <v>0</v>
      </c>
      <c r="H41" s="22">
        <v>0</v>
      </c>
      <c r="I41" s="21">
        <v>0</v>
      </c>
      <c r="J41" s="21">
        <v>162</v>
      </c>
      <c r="K41" s="21">
        <f t="shared" si="0"/>
        <v>154</v>
      </c>
      <c r="L41" s="21">
        <v>196.5</v>
      </c>
      <c r="M41" s="23">
        <v>23</v>
      </c>
      <c r="N41" s="21">
        <f t="shared" si="6"/>
        <v>27.898148148148149</v>
      </c>
      <c r="O41" s="44">
        <v>0.95061728395061729</v>
      </c>
      <c r="P41" s="21">
        <v>0</v>
      </c>
      <c r="Q41" s="21">
        <v>100</v>
      </c>
      <c r="R41" s="21">
        <v>0</v>
      </c>
      <c r="S41" s="2"/>
      <c r="T41" s="25">
        <v>819485</v>
      </c>
      <c r="U41" s="26">
        <f t="shared" si="1"/>
        <v>132756570</v>
      </c>
      <c r="V41" s="26">
        <f t="shared" si="2"/>
        <v>161028802.5</v>
      </c>
      <c r="W41" s="2"/>
      <c r="X41" s="2"/>
      <c r="Y41" s="2"/>
      <c r="Z41" s="2"/>
    </row>
    <row r="42" spans="1:26" ht="12.75" customHeight="1" x14ac:dyDescent="0.35">
      <c r="A42" s="2"/>
      <c r="B42" s="8" t="s">
        <v>57</v>
      </c>
      <c r="C42" s="8" t="s">
        <v>26</v>
      </c>
      <c r="D42" s="8">
        <v>14</v>
      </c>
      <c r="E42" s="21">
        <v>407.98</v>
      </c>
      <c r="F42" s="21">
        <v>310</v>
      </c>
      <c r="G42" s="21">
        <v>0</v>
      </c>
      <c r="H42" s="22">
        <v>0</v>
      </c>
      <c r="I42" s="21">
        <v>0</v>
      </c>
      <c r="J42" s="21">
        <v>554</v>
      </c>
      <c r="K42" s="21">
        <f t="shared" si="0"/>
        <v>163.98000000000002</v>
      </c>
      <c r="L42" s="21">
        <v>292.78000000000003</v>
      </c>
      <c r="M42" s="23">
        <v>23</v>
      </c>
      <c r="N42" s="21">
        <f t="shared" si="6"/>
        <v>12.155126353790614</v>
      </c>
      <c r="O42" s="44">
        <v>0.2959927797833935</v>
      </c>
      <c r="P42" s="21">
        <v>100</v>
      </c>
      <c r="Q42" s="21">
        <v>1240</v>
      </c>
      <c r="R42" s="21">
        <v>100</v>
      </c>
      <c r="S42" s="2"/>
      <c r="T42" s="25">
        <v>819485</v>
      </c>
      <c r="U42" s="26">
        <f t="shared" si="1"/>
        <v>453994690</v>
      </c>
      <c r="V42" s="26">
        <f t="shared" si="2"/>
        <v>239928818.30000001</v>
      </c>
      <c r="W42" s="2"/>
      <c r="X42" s="2"/>
      <c r="Y42" s="2"/>
      <c r="Z42" s="2"/>
    </row>
    <row r="43" spans="1:26" ht="12.75" customHeight="1" x14ac:dyDescent="0.35">
      <c r="A43" s="2"/>
      <c r="B43" s="8" t="s">
        <v>143</v>
      </c>
      <c r="C43" s="8" t="s">
        <v>26</v>
      </c>
      <c r="D43" s="8">
        <v>14</v>
      </c>
      <c r="E43" s="21">
        <v>28</v>
      </c>
      <c r="F43" s="21">
        <v>0</v>
      </c>
      <c r="G43" s="21">
        <v>0</v>
      </c>
      <c r="H43" s="22">
        <v>0</v>
      </c>
      <c r="I43" s="21">
        <v>0</v>
      </c>
      <c r="J43" s="21">
        <v>5</v>
      </c>
      <c r="K43" s="21">
        <f t="shared" si="0"/>
        <v>23</v>
      </c>
      <c r="L43" s="21">
        <v>23</v>
      </c>
      <c r="M43" s="23">
        <v>23</v>
      </c>
      <c r="N43" s="21">
        <f t="shared" si="6"/>
        <v>105.8</v>
      </c>
      <c r="O43" s="44">
        <v>4.5999999999999996</v>
      </c>
      <c r="P43" s="21">
        <v>0</v>
      </c>
      <c r="Q43" s="21">
        <v>0</v>
      </c>
      <c r="R43" s="21">
        <v>0</v>
      </c>
      <c r="S43" s="2"/>
      <c r="T43" s="25">
        <v>1481800</v>
      </c>
      <c r="U43" s="26">
        <f t="shared" si="1"/>
        <v>7409000</v>
      </c>
      <c r="V43" s="26">
        <f t="shared" si="2"/>
        <v>34081400</v>
      </c>
      <c r="W43" s="2"/>
      <c r="X43" s="2"/>
      <c r="Y43" s="2"/>
      <c r="Z43" s="2"/>
    </row>
    <row r="44" spans="1:26" ht="12.75" customHeight="1" x14ac:dyDescent="0.35">
      <c r="A44" s="2"/>
      <c r="B44" s="8" t="s">
        <v>58</v>
      </c>
      <c r="C44" s="8" t="s">
        <v>26</v>
      </c>
      <c r="D44" s="8">
        <v>14</v>
      </c>
      <c r="E44" s="21">
        <v>132</v>
      </c>
      <c r="F44" s="21">
        <v>0</v>
      </c>
      <c r="G44" s="21">
        <v>0</v>
      </c>
      <c r="H44" s="22">
        <v>0</v>
      </c>
      <c r="I44" s="21">
        <v>0</v>
      </c>
      <c r="J44" s="21">
        <v>0</v>
      </c>
      <c r="K44" s="21">
        <f t="shared" si="0"/>
        <v>132</v>
      </c>
      <c r="L44" s="21">
        <v>0</v>
      </c>
      <c r="M44" s="23">
        <v>23</v>
      </c>
      <c r="N44" s="21">
        <v>0</v>
      </c>
      <c r="O44" s="44">
        <v>0</v>
      </c>
      <c r="P44" s="21">
        <v>0</v>
      </c>
      <c r="Q44" s="21">
        <v>0</v>
      </c>
      <c r="R44" s="21">
        <v>0</v>
      </c>
      <c r="S44" s="2"/>
      <c r="T44" s="25">
        <v>1481800</v>
      </c>
      <c r="U44" s="26">
        <f t="shared" si="1"/>
        <v>0</v>
      </c>
      <c r="V44" s="26">
        <f t="shared" si="2"/>
        <v>0</v>
      </c>
      <c r="W44" s="2"/>
      <c r="X44" s="2"/>
      <c r="Y44" s="2"/>
      <c r="Z44" s="2"/>
    </row>
    <row r="45" spans="1:26" ht="12.75" customHeight="1" x14ac:dyDescent="0.35">
      <c r="A45" s="2"/>
      <c r="B45" s="8" t="s">
        <v>59</v>
      </c>
      <c r="C45" s="8" t="s">
        <v>26</v>
      </c>
      <c r="D45" s="8">
        <v>14</v>
      </c>
      <c r="E45" s="21">
        <v>8</v>
      </c>
      <c r="F45" s="21">
        <v>0</v>
      </c>
      <c r="G45" s="21">
        <v>0</v>
      </c>
      <c r="H45" s="22">
        <v>0</v>
      </c>
      <c r="I45" s="21">
        <v>0</v>
      </c>
      <c r="J45" s="21">
        <v>0</v>
      </c>
      <c r="K45" s="21">
        <f t="shared" si="0"/>
        <v>8</v>
      </c>
      <c r="L45" s="21">
        <v>0</v>
      </c>
      <c r="M45" s="23">
        <v>23</v>
      </c>
      <c r="N45" s="21">
        <v>0</v>
      </c>
      <c r="O45" s="44">
        <v>0</v>
      </c>
      <c r="P45" s="21">
        <v>0</v>
      </c>
      <c r="Q45" s="21">
        <v>0</v>
      </c>
      <c r="R45" s="21">
        <v>0</v>
      </c>
      <c r="S45" s="2"/>
      <c r="T45" s="25">
        <v>1481800</v>
      </c>
      <c r="U45" s="26">
        <f t="shared" si="1"/>
        <v>0</v>
      </c>
      <c r="V45" s="26">
        <f t="shared" si="2"/>
        <v>0</v>
      </c>
      <c r="W45" s="2"/>
      <c r="X45" s="2"/>
      <c r="Y45" s="2"/>
      <c r="Z45" s="2"/>
    </row>
    <row r="46" spans="1:26" ht="12.75" customHeight="1" x14ac:dyDescent="0.35">
      <c r="A46" s="2"/>
      <c r="B46" s="8" t="s">
        <v>125</v>
      </c>
      <c r="C46" s="8" t="s">
        <v>26</v>
      </c>
      <c r="D46" s="8">
        <v>14</v>
      </c>
      <c r="E46" s="21">
        <v>28</v>
      </c>
      <c r="F46" s="21">
        <v>0</v>
      </c>
      <c r="G46" s="21">
        <v>0</v>
      </c>
      <c r="H46" s="22">
        <v>0</v>
      </c>
      <c r="I46" s="21">
        <v>0</v>
      </c>
      <c r="J46" s="21">
        <v>0</v>
      </c>
      <c r="K46" s="21">
        <f t="shared" si="0"/>
        <v>28</v>
      </c>
      <c r="L46" s="21">
        <v>0</v>
      </c>
      <c r="M46" s="23">
        <v>23</v>
      </c>
      <c r="N46" s="21">
        <v>0</v>
      </c>
      <c r="O46" s="44">
        <v>0</v>
      </c>
      <c r="P46" s="21">
        <v>0</v>
      </c>
      <c r="Q46" s="21">
        <v>0</v>
      </c>
      <c r="R46" s="21">
        <v>0</v>
      </c>
      <c r="S46" s="2"/>
      <c r="T46" s="25">
        <v>1481800</v>
      </c>
      <c r="U46" s="26">
        <f t="shared" si="1"/>
        <v>0</v>
      </c>
      <c r="V46" s="26">
        <f t="shared" si="2"/>
        <v>0</v>
      </c>
      <c r="W46" s="2"/>
      <c r="X46" s="2"/>
      <c r="Y46" s="2"/>
      <c r="Z46" s="2"/>
    </row>
    <row r="47" spans="1:26" ht="12.75" customHeight="1" x14ac:dyDescent="0.35">
      <c r="A47" s="2"/>
      <c r="B47" s="8" t="s">
        <v>60</v>
      </c>
      <c r="C47" s="8" t="s">
        <v>26</v>
      </c>
      <c r="D47" s="8">
        <v>14</v>
      </c>
      <c r="E47" s="21">
        <v>5</v>
      </c>
      <c r="F47" s="21">
        <v>0</v>
      </c>
      <c r="G47" s="21">
        <v>0</v>
      </c>
      <c r="H47" s="22">
        <v>0</v>
      </c>
      <c r="I47" s="21">
        <v>0</v>
      </c>
      <c r="J47" s="21">
        <v>5</v>
      </c>
      <c r="K47" s="21">
        <f t="shared" si="0"/>
        <v>0</v>
      </c>
      <c r="L47" s="21">
        <v>0</v>
      </c>
      <c r="M47" s="23">
        <v>23</v>
      </c>
      <c r="N47" s="21">
        <f t="shared" ref="N47:N49" si="7">(L47/(I47+J47))*M47</f>
        <v>0</v>
      </c>
      <c r="O47" s="44">
        <v>0</v>
      </c>
      <c r="P47" s="21">
        <v>0</v>
      </c>
      <c r="Q47" s="21">
        <v>0</v>
      </c>
      <c r="R47" s="21">
        <v>0</v>
      </c>
      <c r="S47" s="2"/>
      <c r="T47" s="25">
        <v>1481800</v>
      </c>
      <c r="U47" s="26">
        <f t="shared" si="1"/>
        <v>7409000</v>
      </c>
      <c r="V47" s="26">
        <f t="shared" si="2"/>
        <v>0</v>
      </c>
      <c r="W47" s="2"/>
      <c r="X47" s="2"/>
      <c r="Y47" s="2"/>
      <c r="Z47" s="2"/>
    </row>
    <row r="48" spans="1:26" ht="12.75" customHeight="1" x14ac:dyDescent="0.35">
      <c r="A48" s="2"/>
      <c r="B48" s="8" t="s">
        <v>61</v>
      </c>
      <c r="C48" s="8" t="s">
        <v>26</v>
      </c>
      <c r="D48" s="8">
        <v>14</v>
      </c>
      <c r="E48" s="21">
        <v>54</v>
      </c>
      <c r="F48" s="21">
        <v>0</v>
      </c>
      <c r="G48" s="21">
        <v>0</v>
      </c>
      <c r="H48" s="22">
        <v>0</v>
      </c>
      <c r="I48" s="21">
        <v>0</v>
      </c>
      <c r="J48" s="21">
        <v>4</v>
      </c>
      <c r="K48" s="21">
        <f t="shared" si="0"/>
        <v>50</v>
      </c>
      <c r="L48" s="21">
        <v>50</v>
      </c>
      <c r="M48" s="23">
        <v>23</v>
      </c>
      <c r="N48" s="21">
        <f t="shared" si="7"/>
        <v>287.5</v>
      </c>
      <c r="O48" s="44">
        <v>12.5</v>
      </c>
      <c r="P48" s="21">
        <v>0</v>
      </c>
      <c r="Q48" s="21">
        <v>0</v>
      </c>
      <c r="R48" s="21">
        <v>0</v>
      </c>
      <c r="S48" s="2"/>
      <c r="T48" s="25">
        <v>1481800</v>
      </c>
      <c r="U48" s="26">
        <f t="shared" si="1"/>
        <v>5927200</v>
      </c>
      <c r="V48" s="26">
        <f t="shared" si="2"/>
        <v>74090000</v>
      </c>
      <c r="W48" s="2"/>
      <c r="X48" s="2"/>
      <c r="Y48" s="2"/>
      <c r="Z48" s="2"/>
    </row>
    <row r="49" spans="1:26" ht="12.75" customHeight="1" x14ac:dyDescent="0.35">
      <c r="A49" s="2"/>
      <c r="B49" s="8" t="s">
        <v>62</v>
      </c>
      <c r="C49" s="8" t="s">
        <v>26</v>
      </c>
      <c r="D49" s="8">
        <v>14</v>
      </c>
      <c r="E49" s="21">
        <v>59</v>
      </c>
      <c r="F49" s="21">
        <v>0</v>
      </c>
      <c r="G49" s="21">
        <v>0</v>
      </c>
      <c r="H49" s="22">
        <v>0</v>
      </c>
      <c r="I49" s="21">
        <v>0</v>
      </c>
      <c r="J49" s="21">
        <v>2</v>
      </c>
      <c r="K49" s="21">
        <f t="shared" si="0"/>
        <v>57</v>
      </c>
      <c r="L49" s="21">
        <v>57</v>
      </c>
      <c r="M49" s="23">
        <v>23</v>
      </c>
      <c r="N49" s="21">
        <f t="shared" si="7"/>
        <v>655.5</v>
      </c>
      <c r="O49" s="44">
        <v>28.5</v>
      </c>
      <c r="P49" s="21">
        <v>0</v>
      </c>
      <c r="Q49" s="21">
        <v>0</v>
      </c>
      <c r="R49" s="21">
        <v>0</v>
      </c>
      <c r="S49" s="2"/>
      <c r="T49" s="25">
        <v>1481800</v>
      </c>
      <c r="U49" s="26">
        <f t="shared" si="1"/>
        <v>2963600</v>
      </c>
      <c r="V49" s="26">
        <f t="shared" si="2"/>
        <v>84462600</v>
      </c>
      <c r="W49" s="2"/>
      <c r="X49" s="2"/>
      <c r="Y49" s="2"/>
      <c r="Z49" s="2"/>
    </row>
    <row r="50" spans="1:26" ht="12.75" customHeight="1" x14ac:dyDescent="0.35">
      <c r="A50" s="2"/>
      <c r="B50" s="8" t="s">
        <v>63</v>
      </c>
      <c r="C50" s="8" t="s">
        <v>26</v>
      </c>
      <c r="D50" s="8">
        <v>14</v>
      </c>
      <c r="E50" s="21">
        <v>23</v>
      </c>
      <c r="F50" s="21">
        <v>0</v>
      </c>
      <c r="G50" s="21">
        <v>0</v>
      </c>
      <c r="H50" s="22">
        <v>0</v>
      </c>
      <c r="I50" s="21">
        <v>0</v>
      </c>
      <c r="J50" s="21">
        <v>0</v>
      </c>
      <c r="K50" s="21">
        <f t="shared" si="0"/>
        <v>23</v>
      </c>
      <c r="L50" s="21">
        <v>0</v>
      </c>
      <c r="M50" s="23">
        <v>23</v>
      </c>
      <c r="N50" s="21">
        <v>0</v>
      </c>
      <c r="O50" s="44">
        <v>0</v>
      </c>
      <c r="P50" s="21">
        <v>0</v>
      </c>
      <c r="Q50" s="21">
        <v>0</v>
      </c>
      <c r="R50" s="21">
        <v>0</v>
      </c>
      <c r="S50" s="2"/>
      <c r="T50" s="25">
        <v>942555</v>
      </c>
      <c r="U50" s="26">
        <f t="shared" si="1"/>
        <v>0</v>
      </c>
      <c r="V50" s="26">
        <f t="shared" si="2"/>
        <v>0</v>
      </c>
      <c r="W50" s="2"/>
      <c r="X50" s="2"/>
      <c r="Y50" s="2"/>
      <c r="Z50" s="2"/>
    </row>
    <row r="51" spans="1:26" ht="12.75" customHeight="1" x14ac:dyDescent="0.35">
      <c r="A51" s="2"/>
      <c r="B51" s="8" t="s">
        <v>64</v>
      </c>
      <c r="C51" s="8" t="s">
        <v>26</v>
      </c>
      <c r="D51" s="8">
        <v>14</v>
      </c>
      <c r="E51" s="21">
        <v>72</v>
      </c>
      <c r="F51" s="21">
        <v>146</v>
      </c>
      <c r="G51" s="21">
        <v>0</v>
      </c>
      <c r="H51" s="22">
        <v>0</v>
      </c>
      <c r="I51" s="21">
        <v>0</v>
      </c>
      <c r="J51" s="21">
        <v>72</v>
      </c>
      <c r="K51" s="21">
        <f t="shared" si="0"/>
        <v>146</v>
      </c>
      <c r="L51" s="21">
        <v>142.666666666667</v>
      </c>
      <c r="M51" s="23">
        <v>23</v>
      </c>
      <c r="N51" s="21">
        <f t="shared" ref="N51:N56" si="8">(L51/(I51+J51))*M51</f>
        <v>45.574074074074183</v>
      </c>
      <c r="O51" s="44">
        <v>2.0277777777777777</v>
      </c>
      <c r="P51" s="21">
        <v>0</v>
      </c>
      <c r="Q51" s="21">
        <v>0</v>
      </c>
      <c r="R51" s="21">
        <v>0</v>
      </c>
      <c r="S51" s="2"/>
      <c r="T51" s="25">
        <v>958675</v>
      </c>
      <c r="U51" s="26">
        <f t="shared" si="1"/>
        <v>69024600</v>
      </c>
      <c r="V51" s="26">
        <f t="shared" si="2"/>
        <v>136770966.66666698</v>
      </c>
      <c r="W51" s="2"/>
      <c r="X51" s="2"/>
      <c r="Y51" s="2"/>
      <c r="Z51" s="2"/>
    </row>
    <row r="52" spans="1:26" ht="12.75" customHeight="1" x14ac:dyDescent="0.35">
      <c r="A52" s="2"/>
      <c r="B52" s="8" t="s">
        <v>105</v>
      </c>
      <c r="C52" s="8" t="s">
        <v>26</v>
      </c>
      <c r="D52" s="8">
        <v>14</v>
      </c>
      <c r="E52" s="21">
        <v>200</v>
      </c>
      <c r="F52" s="21">
        <v>348</v>
      </c>
      <c r="G52" s="21">
        <v>0</v>
      </c>
      <c r="H52" s="22">
        <v>0</v>
      </c>
      <c r="I52" s="21">
        <v>0</v>
      </c>
      <c r="J52" s="21">
        <v>418</v>
      </c>
      <c r="K52" s="21">
        <f t="shared" si="0"/>
        <v>130</v>
      </c>
      <c r="L52" s="21">
        <v>209.4</v>
      </c>
      <c r="M52" s="23">
        <v>23</v>
      </c>
      <c r="N52" s="21">
        <f t="shared" si="8"/>
        <v>11.522009569377991</v>
      </c>
      <c r="O52" s="44">
        <v>0.31100478468899523</v>
      </c>
      <c r="P52" s="21">
        <v>0</v>
      </c>
      <c r="Q52" s="21">
        <v>202</v>
      </c>
      <c r="R52" s="21">
        <v>0</v>
      </c>
      <c r="S52" s="2"/>
      <c r="T52" s="25">
        <v>848935</v>
      </c>
      <c r="U52" s="26">
        <f t="shared" si="1"/>
        <v>354854830</v>
      </c>
      <c r="V52" s="26">
        <f t="shared" si="2"/>
        <v>177766989</v>
      </c>
      <c r="W52" s="2"/>
      <c r="X52" s="2"/>
      <c r="Y52" s="2"/>
      <c r="Z52" s="2"/>
    </row>
    <row r="53" spans="1:26" ht="12.75" customHeight="1" x14ac:dyDescent="0.35">
      <c r="A53" s="2"/>
      <c r="B53" s="8" t="s">
        <v>106</v>
      </c>
      <c r="C53" s="8" t="s">
        <v>26</v>
      </c>
      <c r="D53" s="8">
        <v>14</v>
      </c>
      <c r="E53" s="21">
        <v>135</v>
      </c>
      <c r="F53" s="21">
        <v>100</v>
      </c>
      <c r="G53" s="21">
        <v>0</v>
      </c>
      <c r="H53" s="22">
        <v>0</v>
      </c>
      <c r="I53" s="21">
        <v>0</v>
      </c>
      <c r="J53" s="21">
        <v>235</v>
      </c>
      <c r="K53" s="21">
        <f t="shared" si="0"/>
        <v>0</v>
      </c>
      <c r="L53" s="21">
        <v>103.333333333333</v>
      </c>
      <c r="M53" s="23">
        <v>23</v>
      </c>
      <c r="N53" s="21">
        <f t="shared" si="8"/>
        <v>10.113475177304933</v>
      </c>
      <c r="O53" s="44">
        <v>0</v>
      </c>
      <c r="P53" s="21">
        <v>0</v>
      </c>
      <c r="Q53" s="21">
        <v>300</v>
      </c>
      <c r="R53" s="21">
        <v>0</v>
      </c>
      <c r="S53" s="2"/>
      <c r="T53" s="25">
        <v>1012770</v>
      </c>
      <c r="U53" s="26">
        <f t="shared" si="1"/>
        <v>238000950</v>
      </c>
      <c r="V53" s="26">
        <f t="shared" si="2"/>
        <v>104652899.99999966</v>
      </c>
      <c r="W53" s="2"/>
      <c r="X53" s="2"/>
      <c r="Y53" s="2"/>
      <c r="Z53" s="2"/>
    </row>
    <row r="54" spans="1:26" ht="12.75" customHeight="1" x14ac:dyDescent="0.35">
      <c r="A54" s="2"/>
      <c r="B54" s="8" t="s">
        <v>66</v>
      </c>
      <c r="C54" s="8" t="s">
        <v>26</v>
      </c>
      <c r="D54" s="8">
        <v>14</v>
      </c>
      <c r="E54" s="21">
        <v>45</v>
      </c>
      <c r="F54" s="21">
        <v>0</v>
      </c>
      <c r="G54" s="21">
        <v>0</v>
      </c>
      <c r="H54" s="22">
        <v>0</v>
      </c>
      <c r="I54" s="21">
        <v>0</v>
      </c>
      <c r="J54" s="21">
        <v>45</v>
      </c>
      <c r="K54" s="21">
        <f t="shared" si="0"/>
        <v>0</v>
      </c>
      <c r="L54" s="21">
        <v>0</v>
      </c>
      <c r="M54" s="23">
        <v>23</v>
      </c>
      <c r="N54" s="21">
        <f t="shared" si="8"/>
        <v>0</v>
      </c>
      <c r="O54" s="44">
        <v>0</v>
      </c>
      <c r="P54" s="21">
        <v>0</v>
      </c>
      <c r="Q54" s="21">
        <v>0</v>
      </c>
      <c r="R54" s="21">
        <v>0</v>
      </c>
      <c r="S54" s="2"/>
      <c r="T54" s="25">
        <v>1012770</v>
      </c>
      <c r="U54" s="26">
        <f t="shared" si="1"/>
        <v>45574650</v>
      </c>
      <c r="V54" s="26">
        <f t="shared" si="2"/>
        <v>0</v>
      </c>
      <c r="W54" s="2"/>
      <c r="X54" s="2"/>
      <c r="Y54" s="2"/>
      <c r="Z54" s="2"/>
    </row>
    <row r="55" spans="1:26" ht="12.75" customHeight="1" x14ac:dyDescent="0.35">
      <c r="A55" s="2"/>
      <c r="B55" s="8" t="s">
        <v>126</v>
      </c>
      <c r="C55" s="8" t="s">
        <v>26</v>
      </c>
      <c r="D55" s="8">
        <v>14</v>
      </c>
      <c r="E55" s="21">
        <v>360</v>
      </c>
      <c r="F55" s="21">
        <v>120</v>
      </c>
      <c r="G55" s="21">
        <v>0</v>
      </c>
      <c r="H55" s="22">
        <v>0</v>
      </c>
      <c r="I55" s="21">
        <v>0</v>
      </c>
      <c r="J55" s="21">
        <v>45</v>
      </c>
      <c r="K55" s="21">
        <f t="shared" si="0"/>
        <v>435</v>
      </c>
      <c r="L55" s="21">
        <v>457.5</v>
      </c>
      <c r="M55" s="23">
        <v>23</v>
      </c>
      <c r="N55" s="21">
        <f t="shared" si="8"/>
        <v>233.83333333333331</v>
      </c>
      <c r="O55" s="44">
        <v>9.6666666666666661</v>
      </c>
      <c r="P55" s="21">
        <v>0</v>
      </c>
      <c r="Q55" s="21">
        <v>0</v>
      </c>
      <c r="R55" s="21">
        <v>0</v>
      </c>
      <c r="S55" s="2"/>
      <c r="T55" s="25">
        <v>1012770</v>
      </c>
      <c r="U55" s="26">
        <f t="shared" si="1"/>
        <v>45574650</v>
      </c>
      <c r="V55" s="26">
        <f t="shared" si="2"/>
        <v>463342275</v>
      </c>
      <c r="W55" s="2"/>
      <c r="X55" s="2"/>
      <c r="Y55" s="2"/>
      <c r="Z55" s="2"/>
    </row>
    <row r="56" spans="1:26" ht="12.75" customHeight="1" x14ac:dyDescent="0.35">
      <c r="A56" s="2"/>
      <c r="B56" s="8" t="s">
        <v>107</v>
      </c>
      <c r="C56" s="8" t="s">
        <v>26</v>
      </c>
      <c r="D56" s="8">
        <v>14</v>
      </c>
      <c r="E56" s="21">
        <v>538</v>
      </c>
      <c r="F56" s="21">
        <v>350</v>
      </c>
      <c r="G56" s="21">
        <v>0</v>
      </c>
      <c r="H56" s="22">
        <v>0</v>
      </c>
      <c r="I56" s="21">
        <v>0</v>
      </c>
      <c r="J56" s="21">
        <v>358</v>
      </c>
      <c r="K56" s="21">
        <f t="shared" si="0"/>
        <v>530</v>
      </c>
      <c r="L56" s="21">
        <v>514.444444444444</v>
      </c>
      <c r="M56" s="23">
        <v>23</v>
      </c>
      <c r="N56" s="21">
        <f t="shared" si="8"/>
        <v>33.050900062073218</v>
      </c>
      <c r="O56" s="44">
        <v>1.4804469273743017</v>
      </c>
      <c r="P56" s="21">
        <v>0</v>
      </c>
      <c r="Q56" s="21">
        <v>0</v>
      </c>
      <c r="R56" s="21">
        <v>0</v>
      </c>
      <c r="S56" s="2"/>
      <c r="T56" s="25">
        <v>1012770</v>
      </c>
      <c r="U56" s="26">
        <f t="shared" si="1"/>
        <v>362571660</v>
      </c>
      <c r="V56" s="26">
        <f t="shared" si="2"/>
        <v>521013899.99999952</v>
      </c>
      <c r="W56" s="2"/>
      <c r="X56" s="2"/>
      <c r="Y56" s="2"/>
      <c r="Z56" s="2"/>
    </row>
    <row r="57" spans="1:26" ht="12.75" customHeight="1" x14ac:dyDescent="0.35">
      <c r="A57" s="2"/>
      <c r="B57" s="8" t="s">
        <v>108</v>
      </c>
      <c r="C57" s="8" t="s">
        <v>26</v>
      </c>
      <c r="D57" s="8">
        <v>14</v>
      </c>
      <c r="E57" s="21">
        <v>60</v>
      </c>
      <c r="F57" s="21">
        <v>0</v>
      </c>
      <c r="G57" s="21">
        <v>0</v>
      </c>
      <c r="H57" s="22">
        <v>0</v>
      </c>
      <c r="I57" s="21">
        <v>0</v>
      </c>
      <c r="J57" s="21">
        <v>0</v>
      </c>
      <c r="K57" s="21">
        <f t="shared" si="0"/>
        <v>60</v>
      </c>
      <c r="L57" s="21">
        <v>0</v>
      </c>
      <c r="M57" s="23">
        <v>23</v>
      </c>
      <c r="N57" s="21">
        <v>0</v>
      </c>
      <c r="O57" s="44">
        <v>0</v>
      </c>
      <c r="P57" s="21">
        <v>0</v>
      </c>
      <c r="Q57" s="21">
        <v>0</v>
      </c>
      <c r="R57" s="21">
        <v>0</v>
      </c>
      <c r="S57" s="2"/>
      <c r="T57" s="25">
        <v>1237210</v>
      </c>
      <c r="U57" s="26">
        <f t="shared" si="1"/>
        <v>0</v>
      </c>
      <c r="V57" s="26">
        <f t="shared" si="2"/>
        <v>0</v>
      </c>
      <c r="W57" s="2"/>
      <c r="X57" s="2"/>
      <c r="Y57" s="2"/>
      <c r="Z57" s="2"/>
    </row>
    <row r="58" spans="1:26" ht="12.75" customHeight="1" x14ac:dyDescent="0.35">
      <c r="A58" s="2"/>
      <c r="B58" s="8" t="s">
        <v>69</v>
      </c>
      <c r="C58" s="8" t="s">
        <v>26</v>
      </c>
      <c r="D58" s="8">
        <v>14</v>
      </c>
      <c r="E58" s="21">
        <v>44</v>
      </c>
      <c r="F58" s="21">
        <v>0</v>
      </c>
      <c r="G58" s="21">
        <v>0</v>
      </c>
      <c r="H58" s="22">
        <v>0</v>
      </c>
      <c r="I58" s="21">
        <v>0</v>
      </c>
      <c r="J58" s="21">
        <v>4</v>
      </c>
      <c r="K58" s="21">
        <f t="shared" si="0"/>
        <v>40</v>
      </c>
      <c r="L58" s="21">
        <v>40</v>
      </c>
      <c r="M58" s="23">
        <v>23</v>
      </c>
      <c r="N58" s="21">
        <f>(L58/(I58+J58))*M58</f>
        <v>230</v>
      </c>
      <c r="O58" s="44">
        <v>10</v>
      </c>
      <c r="P58" s="21">
        <v>0</v>
      </c>
      <c r="Q58" s="21">
        <v>0</v>
      </c>
      <c r="R58" s="21">
        <v>0</v>
      </c>
      <c r="S58" s="2"/>
      <c r="T58" s="25">
        <v>1436695</v>
      </c>
      <c r="U58" s="26">
        <f t="shared" si="1"/>
        <v>5746780</v>
      </c>
      <c r="V58" s="26">
        <f t="shared" si="2"/>
        <v>57467800</v>
      </c>
      <c r="W58" s="2"/>
      <c r="X58" s="2"/>
      <c r="Y58" s="2"/>
      <c r="Z58" s="2"/>
    </row>
    <row r="59" spans="1:26" ht="12.75" customHeight="1" x14ac:dyDescent="0.35">
      <c r="A59" s="2"/>
      <c r="B59" s="8" t="s">
        <v>127</v>
      </c>
      <c r="C59" s="8" t="s">
        <v>26</v>
      </c>
      <c r="D59" s="8">
        <v>14</v>
      </c>
      <c r="E59" s="21">
        <v>105</v>
      </c>
      <c r="F59" s="21">
        <v>0</v>
      </c>
      <c r="G59" s="21">
        <v>0</v>
      </c>
      <c r="H59" s="22">
        <v>0</v>
      </c>
      <c r="I59" s="21">
        <v>0</v>
      </c>
      <c r="J59" s="21">
        <v>0</v>
      </c>
      <c r="K59" s="21">
        <f t="shared" si="0"/>
        <v>105</v>
      </c>
      <c r="L59" s="21">
        <v>0</v>
      </c>
      <c r="M59" s="23">
        <v>23</v>
      </c>
      <c r="N59" s="21">
        <v>0</v>
      </c>
      <c r="O59" s="44">
        <v>0</v>
      </c>
      <c r="P59" s="21">
        <v>0</v>
      </c>
      <c r="Q59" s="21">
        <v>0</v>
      </c>
      <c r="R59" s="21">
        <v>0</v>
      </c>
      <c r="S59" s="2"/>
      <c r="T59" s="25">
        <v>1436695</v>
      </c>
      <c r="U59" s="26">
        <f t="shared" si="1"/>
        <v>0</v>
      </c>
      <c r="V59" s="26">
        <f t="shared" si="2"/>
        <v>0</v>
      </c>
      <c r="W59" s="2"/>
      <c r="X59" s="2"/>
      <c r="Y59" s="2"/>
      <c r="Z59" s="2"/>
    </row>
    <row r="60" spans="1:26" ht="12.75" customHeight="1" x14ac:dyDescent="0.35">
      <c r="A60" s="2"/>
      <c r="B60" s="8" t="s">
        <v>70</v>
      </c>
      <c r="C60" s="8" t="s">
        <v>26</v>
      </c>
      <c r="D60" s="8">
        <v>14</v>
      </c>
      <c r="E60" s="21">
        <v>250</v>
      </c>
      <c r="F60" s="21">
        <v>748</v>
      </c>
      <c r="G60" s="21">
        <v>0</v>
      </c>
      <c r="H60" s="22">
        <v>0</v>
      </c>
      <c r="I60" s="21">
        <v>0</v>
      </c>
      <c r="J60" s="21">
        <v>714</v>
      </c>
      <c r="K60" s="21">
        <f t="shared" si="0"/>
        <v>284</v>
      </c>
      <c r="L60" s="21">
        <v>402.88888888888903</v>
      </c>
      <c r="M60" s="23">
        <v>23</v>
      </c>
      <c r="N60" s="21">
        <f t="shared" ref="N60:N65" si="9">(L60/(I60+J60))*M60</f>
        <v>12.978213507625275</v>
      </c>
      <c r="O60" s="44">
        <v>0.39775910364145656</v>
      </c>
      <c r="P60" s="21">
        <v>0</v>
      </c>
      <c r="Q60" s="21">
        <v>700</v>
      </c>
      <c r="R60" s="21">
        <v>0</v>
      </c>
      <c r="S60" s="2"/>
      <c r="T60" s="25">
        <v>848935</v>
      </c>
      <c r="U60" s="26">
        <f t="shared" si="1"/>
        <v>606139590</v>
      </c>
      <c r="V60" s="26">
        <f t="shared" si="2"/>
        <v>342026478.88888901</v>
      </c>
      <c r="W60" s="2"/>
      <c r="X60" s="2"/>
      <c r="Y60" s="2"/>
      <c r="Z60" s="2"/>
    </row>
    <row r="61" spans="1:26" ht="12.75" customHeight="1" x14ac:dyDescent="0.35">
      <c r="A61" s="2"/>
      <c r="B61" s="8" t="s">
        <v>71</v>
      </c>
      <c r="C61" s="8" t="s">
        <v>26</v>
      </c>
      <c r="D61" s="8">
        <v>14</v>
      </c>
      <c r="E61" s="21">
        <v>36</v>
      </c>
      <c r="F61" s="21">
        <v>0</v>
      </c>
      <c r="G61" s="21">
        <v>0</v>
      </c>
      <c r="H61" s="22">
        <v>0</v>
      </c>
      <c r="I61" s="21">
        <v>0</v>
      </c>
      <c r="J61" s="21">
        <v>7</v>
      </c>
      <c r="K61" s="21">
        <f t="shared" si="0"/>
        <v>29</v>
      </c>
      <c r="L61" s="21">
        <v>29</v>
      </c>
      <c r="M61" s="23">
        <v>23</v>
      </c>
      <c r="N61" s="21">
        <f t="shared" si="9"/>
        <v>95.285714285714292</v>
      </c>
      <c r="O61" s="44">
        <v>4.1428571428571432</v>
      </c>
      <c r="P61" s="21">
        <v>0</v>
      </c>
      <c r="Q61" s="21">
        <v>100</v>
      </c>
      <c r="R61" s="21">
        <v>0</v>
      </c>
      <c r="S61" s="2"/>
      <c r="T61" s="26">
        <v>1497718</v>
      </c>
      <c r="U61" s="26">
        <f t="shared" si="1"/>
        <v>10484026</v>
      </c>
      <c r="V61" s="26">
        <f t="shared" si="2"/>
        <v>43433822</v>
      </c>
      <c r="W61" s="2"/>
      <c r="X61" s="2"/>
      <c r="Y61" s="2"/>
      <c r="Z61" s="2"/>
    </row>
    <row r="62" spans="1:26" ht="12.75" customHeight="1" x14ac:dyDescent="0.35">
      <c r="A62" s="2"/>
      <c r="B62" s="8" t="s">
        <v>144</v>
      </c>
      <c r="C62" s="8" t="s">
        <v>26</v>
      </c>
      <c r="D62" s="8">
        <v>14</v>
      </c>
      <c r="E62" s="21">
        <v>248</v>
      </c>
      <c r="F62" s="21">
        <v>666</v>
      </c>
      <c r="G62" s="21">
        <v>0</v>
      </c>
      <c r="H62" s="22">
        <v>0</v>
      </c>
      <c r="I62" s="21">
        <v>0</v>
      </c>
      <c r="J62" s="21">
        <v>652</v>
      </c>
      <c r="K62" s="21">
        <f t="shared" si="0"/>
        <v>262</v>
      </c>
      <c r="L62" s="21">
        <v>372</v>
      </c>
      <c r="M62" s="23">
        <v>23</v>
      </c>
      <c r="N62" s="21">
        <f t="shared" si="9"/>
        <v>13.122699386503069</v>
      </c>
      <c r="O62" s="44">
        <v>0.40184049079754602</v>
      </c>
      <c r="P62" s="21">
        <v>994</v>
      </c>
      <c r="Q62" s="21">
        <v>654</v>
      </c>
      <c r="R62" s="21">
        <v>0</v>
      </c>
      <c r="S62" s="2"/>
      <c r="T62" s="25">
        <v>1372215</v>
      </c>
      <c r="U62" s="26">
        <f t="shared" si="1"/>
        <v>894684180</v>
      </c>
      <c r="V62" s="26">
        <f t="shared" si="2"/>
        <v>510463980</v>
      </c>
      <c r="W62" s="2"/>
      <c r="X62" s="2"/>
      <c r="Y62" s="2"/>
      <c r="Z62" s="2"/>
    </row>
    <row r="63" spans="1:26" ht="12.75" customHeight="1" x14ac:dyDescent="0.35">
      <c r="A63" s="2"/>
      <c r="B63" s="8" t="s">
        <v>128</v>
      </c>
      <c r="C63" s="8" t="s">
        <v>26</v>
      </c>
      <c r="D63" s="8">
        <v>14</v>
      </c>
      <c r="E63" s="21">
        <v>95</v>
      </c>
      <c r="F63" s="21">
        <v>610</v>
      </c>
      <c r="G63" s="21">
        <v>0</v>
      </c>
      <c r="H63" s="22">
        <v>0</v>
      </c>
      <c r="I63" s="21">
        <v>0</v>
      </c>
      <c r="J63" s="21">
        <v>460</v>
      </c>
      <c r="K63" s="21">
        <f t="shared" si="0"/>
        <v>245</v>
      </c>
      <c r="L63" s="21">
        <v>155.1875</v>
      </c>
      <c r="M63" s="23">
        <v>23</v>
      </c>
      <c r="N63" s="21">
        <f t="shared" si="9"/>
        <v>7.7593749999999995</v>
      </c>
      <c r="O63" s="44">
        <v>0.53260869565217395</v>
      </c>
      <c r="P63" s="21">
        <v>14</v>
      </c>
      <c r="Q63" s="21">
        <v>882</v>
      </c>
      <c r="R63" s="21">
        <v>100</v>
      </c>
      <c r="S63" s="2"/>
      <c r="T63" s="25">
        <v>1396550</v>
      </c>
      <c r="U63" s="26">
        <f t="shared" si="1"/>
        <v>642413000</v>
      </c>
      <c r="V63" s="26">
        <f t="shared" si="2"/>
        <v>216727103.125</v>
      </c>
      <c r="W63" s="2"/>
      <c r="X63" s="2"/>
      <c r="Y63" s="2"/>
      <c r="Z63" s="2"/>
    </row>
    <row r="64" spans="1:26" ht="12.75" customHeight="1" x14ac:dyDescent="0.35">
      <c r="A64" s="2"/>
      <c r="B64" s="8" t="s">
        <v>73</v>
      </c>
      <c r="C64" s="8" t="s">
        <v>26</v>
      </c>
      <c r="D64" s="8">
        <v>14</v>
      </c>
      <c r="E64" s="21">
        <v>23</v>
      </c>
      <c r="F64" s="21">
        <v>86</v>
      </c>
      <c r="G64" s="21">
        <v>0</v>
      </c>
      <c r="H64" s="22">
        <v>0</v>
      </c>
      <c r="I64" s="21">
        <v>0</v>
      </c>
      <c r="J64" s="21">
        <v>70</v>
      </c>
      <c r="K64" s="21">
        <f t="shared" si="0"/>
        <v>39</v>
      </c>
      <c r="L64" s="21">
        <v>21.25</v>
      </c>
      <c r="M64" s="23">
        <v>23</v>
      </c>
      <c r="N64" s="21">
        <f t="shared" si="9"/>
        <v>6.9821428571428568</v>
      </c>
      <c r="O64" s="44">
        <v>0.55714285714285716</v>
      </c>
      <c r="P64" s="21">
        <v>0</v>
      </c>
      <c r="Q64" s="21">
        <v>100</v>
      </c>
      <c r="R64" s="21">
        <v>0</v>
      </c>
      <c r="S64" s="2"/>
      <c r="T64" s="25">
        <v>1143590</v>
      </c>
      <c r="U64" s="26">
        <f t="shared" si="1"/>
        <v>80051300</v>
      </c>
      <c r="V64" s="26">
        <f t="shared" si="2"/>
        <v>24301287.5</v>
      </c>
      <c r="W64" s="2"/>
      <c r="X64" s="2"/>
      <c r="Y64" s="2"/>
      <c r="Z64" s="2"/>
    </row>
    <row r="65" spans="1:26" ht="12.75" customHeight="1" x14ac:dyDescent="0.35">
      <c r="A65" s="2"/>
      <c r="B65" s="8" t="s">
        <v>129</v>
      </c>
      <c r="C65" s="8" t="s">
        <v>26</v>
      </c>
      <c r="D65" s="8">
        <v>14</v>
      </c>
      <c r="E65" s="21">
        <v>24</v>
      </c>
      <c r="F65" s="21">
        <v>105</v>
      </c>
      <c r="G65" s="21">
        <v>0</v>
      </c>
      <c r="H65" s="22">
        <v>0</v>
      </c>
      <c r="I65" s="21">
        <v>0</v>
      </c>
      <c r="J65" s="21">
        <v>59</v>
      </c>
      <c r="K65" s="21">
        <f t="shared" si="0"/>
        <v>70</v>
      </c>
      <c r="L65" s="21">
        <v>92.6666666666667</v>
      </c>
      <c r="M65" s="23">
        <v>23</v>
      </c>
      <c r="N65" s="21">
        <f t="shared" si="9"/>
        <v>36.124293785310748</v>
      </c>
      <c r="O65" s="44">
        <v>1.1864406779661016</v>
      </c>
      <c r="P65" s="21">
        <v>0</v>
      </c>
      <c r="Q65" s="21">
        <v>200</v>
      </c>
      <c r="R65" s="21">
        <v>0</v>
      </c>
      <c r="S65" s="2"/>
      <c r="T65" s="25">
        <v>954645</v>
      </c>
      <c r="U65" s="26">
        <f t="shared" si="1"/>
        <v>56324055</v>
      </c>
      <c r="V65" s="26">
        <f t="shared" si="2"/>
        <v>88463770.00000003</v>
      </c>
      <c r="W65" s="2"/>
      <c r="X65" s="2"/>
      <c r="Y65" s="2"/>
      <c r="Z65" s="2"/>
    </row>
    <row r="66" spans="1:26" ht="12.75" customHeight="1" x14ac:dyDescent="0.35">
      <c r="A66" s="2"/>
      <c r="B66" s="8" t="s">
        <v>129</v>
      </c>
      <c r="C66" s="8" t="s">
        <v>26</v>
      </c>
      <c r="D66" s="8">
        <v>14</v>
      </c>
      <c r="E66" s="21">
        <v>56</v>
      </c>
      <c r="F66" s="21">
        <v>0</v>
      </c>
      <c r="G66" s="21">
        <v>0</v>
      </c>
      <c r="H66" s="22">
        <v>0</v>
      </c>
      <c r="I66" s="21">
        <v>0</v>
      </c>
      <c r="J66" s="21">
        <v>0</v>
      </c>
      <c r="K66" s="21">
        <f t="shared" si="0"/>
        <v>56</v>
      </c>
      <c r="L66" s="21">
        <v>0</v>
      </c>
      <c r="M66" s="23">
        <v>23</v>
      </c>
      <c r="N66" s="21">
        <v>0</v>
      </c>
      <c r="O66" s="44">
        <v>0</v>
      </c>
      <c r="P66" s="21">
        <v>0</v>
      </c>
      <c r="Q66" s="21">
        <v>0</v>
      </c>
      <c r="R66" s="21">
        <v>0</v>
      </c>
      <c r="S66" s="2"/>
      <c r="T66" s="26">
        <v>771202</v>
      </c>
      <c r="U66" s="26">
        <f t="shared" si="1"/>
        <v>0</v>
      </c>
      <c r="V66" s="26">
        <f t="shared" si="2"/>
        <v>0</v>
      </c>
      <c r="W66" s="2"/>
      <c r="X66" s="2"/>
      <c r="Y66" s="2"/>
      <c r="Z66" s="2"/>
    </row>
    <row r="67" spans="1:26" ht="12.75" customHeight="1" x14ac:dyDescent="0.35">
      <c r="A67" s="2"/>
      <c r="B67" s="8" t="s">
        <v>76</v>
      </c>
      <c r="C67" s="8" t="s">
        <v>26</v>
      </c>
      <c r="D67" s="8">
        <v>14</v>
      </c>
      <c r="E67" s="21">
        <v>105</v>
      </c>
      <c r="F67" s="21">
        <v>0</v>
      </c>
      <c r="G67" s="21">
        <v>0</v>
      </c>
      <c r="H67" s="22">
        <v>0</v>
      </c>
      <c r="I67" s="21">
        <v>0</v>
      </c>
      <c r="J67" s="21">
        <v>9</v>
      </c>
      <c r="K67" s="21">
        <f t="shared" si="0"/>
        <v>96</v>
      </c>
      <c r="L67" s="21">
        <v>97</v>
      </c>
      <c r="M67" s="23">
        <v>23</v>
      </c>
      <c r="N67" s="21">
        <f t="shared" ref="N67:N70" si="10">(L67/(I67+J67))*M67</f>
        <v>247.88888888888891</v>
      </c>
      <c r="O67" s="44">
        <v>10.666666666666666</v>
      </c>
      <c r="P67" s="21">
        <v>0</v>
      </c>
      <c r="Q67" s="21">
        <v>0</v>
      </c>
      <c r="R67" s="21">
        <v>0</v>
      </c>
      <c r="S67" s="2"/>
      <c r="T67" s="26">
        <v>1497718</v>
      </c>
      <c r="U67" s="26">
        <f t="shared" si="1"/>
        <v>13479462</v>
      </c>
      <c r="V67" s="26">
        <f t="shared" si="2"/>
        <v>145278646</v>
      </c>
      <c r="W67" s="2"/>
      <c r="X67" s="2"/>
      <c r="Y67" s="2"/>
      <c r="Z67" s="2"/>
    </row>
    <row r="68" spans="1:26" ht="12.75" customHeight="1" x14ac:dyDescent="0.35">
      <c r="A68" s="2"/>
      <c r="B68" s="8" t="s">
        <v>77</v>
      </c>
      <c r="C68" s="8" t="s">
        <v>26</v>
      </c>
      <c r="D68" s="8">
        <v>14</v>
      </c>
      <c r="E68" s="21">
        <v>216</v>
      </c>
      <c r="F68" s="21">
        <v>91</v>
      </c>
      <c r="G68" s="21">
        <v>0</v>
      </c>
      <c r="H68" s="22">
        <v>0</v>
      </c>
      <c r="I68" s="21">
        <v>0</v>
      </c>
      <c r="J68" s="21">
        <v>64</v>
      </c>
      <c r="K68" s="21">
        <f t="shared" si="0"/>
        <v>243</v>
      </c>
      <c r="L68" s="21">
        <v>193.666666666667</v>
      </c>
      <c r="M68" s="23">
        <v>23</v>
      </c>
      <c r="N68" s="21">
        <f t="shared" si="10"/>
        <v>69.598958333333456</v>
      </c>
      <c r="O68" s="44">
        <v>3.796875</v>
      </c>
      <c r="P68" s="21">
        <v>9</v>
      </c>
      <c r="Q68" s="21">
        <v>100</v>
      </c>
      <c r="R68" s="21">
        <v>0</v>
      </c>
      <c r="S68" s="2"/>
      <c r="T68" s="25">
        <v>907060</v>
      </c>
      <c r="U68" s="26">
        <f t="shared" si="1"/>
        <v>58051840</v>
      </c>
      <c r="V68" s="26">
        <f t="shared" si="2"/>
        <v>175667286.66666695</v>
      </c>
      <c r="W68" s="2"/>
      <c r="X68" s="2"/>
      <c r="Y68" s="2"/>
      <c r="Z68" s="2"/>
    </row>
    <row r="69" spans="1:26" ht="12.75" customHeight="1" x14ac:dyDescent="0.35">
      <c r="A69" s="2"/>
      <c r="B69" s="8" t="s">
        <v>78</v>
      </c>
      <c r="C69" s="8" t="s">
        <v>26</v>
      </c>
      <c r="D69" s="8">
        <v>14</v>
      </c>
      <c r="E69" s="21">
        <v>534</v>
      </c>
      <c r="F69" s="21">
        <v>0</v>
      </c>
      <c r="G69" s="21">
        <v>0</v>
      </c>
      <c r="H69" s="22">
        <v>0</v>
      </c>
      <c r="I69" s="21">
        <v>0</v>
      </c>
      <c r="J69" s="21">
        <v>324</v>
      </c>
      <c r="K69" s="21">
        <f t="shared" si="0"/>
        <v>210</v>
      </c>
      <c r="L69" s="21">
        <v>369.42857142857105</v>
      </c>
      <c r="M69" s="23">
        <v>23</v>
      </c>
      <c r="N69" s="21">
        <f t="shared" si="10"/>
        <v>26.2248677248677</v>
      </c>
      <c r="O69" s="44">
        <v>0.64814814814814814</v>
      </c>
      <c r="P69" s="21">
        <v>0</v>
      </c>
      <c r="Q69" s="21">
        <v>0</v>
      </c>
      <c r="R69" s="21">
        <v>0</v>
      </c>
      <c r="S69" s="2"/>
      <c r="T69" s="25">
        <v>823515</v>
      </c>
      <c r="U69" s="26">
        <f t="shared" si="1"/>
        <v>266818860</v>
      </c>
      <c r="V69" s="26">
        <f t="shared" si="2"/>
        <v>304229969.9999997</v>
      </c>
      <c r="W69" s="2"/>
      <c r="X69" s="2"/>
      <c r="Y69" s="2"/>
      <c r="Z69" s="2"/>
    </row>
    <row r="70" spans="1:26" ht="12.75" customHeight="1" x14ac:dyDescent="0.35">
      <c r="A70" s="2"/>
      <c r="B70" s="8" t="s">
        <v>130</v>
      </c>
      <c r="C70" s="8" t="s">
        <v>26</v>
      </c>
      <c r="D70" s="8">
        <v>14</v>
      </c>
      <c r="E70" s="21">
        <v>399</v>
      </c>
      <c r="F70" s="21">
        <v>115</v>
      </c>
      <c r="G70" s="21">
        <v>0</v>
      </c>
      <c r="H70" s="22">
        <v>0</v>
      </c>
      <c r="I70" s="21">
        <v>0</v>
      </c>
      <c r="J70" s="21">
        <v>219</v>
      </c>
      <c r="K70" s="21">
        <f t="shared" si="0"/>
        <v>295</v>
      </c>
      <c r="L70" s="21">
        <v>341.16666666666703</v>
      </c>
      <c r="M70" s="23">
        <v>23</v>
      </c>
      <c r="N70" s="21">
        <f t="shared" si="10"/>
        <v>35.830289193302931</v>
      </c>
      <c r="O70" s="44">
        <v>1.3470319634703196</v>
      </c>
      <c r="P70" s="21">
        <v>100</v>
      </c>
      <c r="Q70" s="21">
        <v>200</v>
      </c>
      <c r="R70" s="21">
        <v>0</v>
      </c>
      <c r="S70" s="2"/>
      <c r="T70" s="25">
        <v>823515</v>
      </c>
      <c r="U70" s="26">
        <f t="shared" si="1"/>
        <v>180349785</v>
      </c>
      <c r="V70" s="26">
        <f t="shared" si="2"/>
        <v>280955867.5000003</v>
      </c>
      <c r="W70" s="2"/>
      <c r="X70" s="2"/>
      <c r="Y70" s="2"/>
      <c r="Z70" s="2"/>
    </row>
    <row r="71" spans="1:26" ht="12.75" customHeight="1" x14ac:dyDescent="0.35">
      <c r="A71" s="2"/>
      <c r="B71" s="8" t="s">
        <v>132</v>
      </c>
      <c r="C71" s="8" t="s">
        <v>26</v>
      </c>
      <c r="D71" s="8">
        <v>14</v>
      </c>
      <c r="E71" s="21">
        <v>100</v>
      </c>
      <c r="F71" s="21">
        <v>0</v>
      </c>
      <c r="G71" s="21">
        <v>0</v>
      </c>
      <c r="H71" s="22">
        <v>0</v>
      </c>
      <c r="I71" s="21">
        <v>0</v>
      </c>
      <c r="J71" s="21">
        <v>0</v>
      </c>
      <c r="K71" s="21">
        <f t="shared" si="0"/>
        <v>100</v>
      </c>
      <c r="L71" s="21">
        <v>0</v>
      </c>
      <c r="M71" s="23">
        <v>23</v>
      </c>
      <c r="N71" s="21">
        <v>0</v>
      </c>
      <c r="O71" s="44">
        <v>0</v>
      </c>
      <c r="P71" s="21">
        <v>0</v>
      </c>
      <c r="Q71" s="21">
        <v>0</v>
      </c>
      <c r="R71" s="21">
        <v>0</v>
      </c>
      <c r="S71" s="2"/>
      <c r="T71" s="25">
        <v>823515</v>
      </c>
      <c r="U71" s="26">
        <f t="shared" si="1"/>
        <v>0</v>
      </c>
      <c r="V71" s="26">
        <f t="shared" si="2"/>
        <v>0</v>
      </c>
      <c r="W71" s="2"/>
      <c r="X71" s="2"/>
      <c r="Y71" s="2"/>
      <c r="Z71" s="2"/>
    </row>
    <row r="72" spans="1:26" ht="12.75" customHeight="1" x14ac:dyDescent="0.35">
      <c r="A72" s="2"/>
      <c r="B72" s="8" t="s">
        <v>131</v>
      </c>
      <c r="C72" s="8" t="s">
        <v>26</v>
      </c>
      <c r="D72" s="8">
        <v>14</v>
      </c>
      <c r="E72" s="21">
        <v>371</v>
      </c>
      <c r="F72" s="21">
        <v>0</v>
      </c>
      <c r="G72" s="21">
        <v>0</v>
      </c>
      <c r="H72" s="22">
        <v>0</v>
      </c>
      <c r="I72" s="21">
        <v>0</v>
      </c>
      <c r="J72" s="21">
        <v>108</v>
      </c>
      <c r="K72" s="21">
        <f t="shared" si="0"/>
        <v>263</v>
      </c>
      <c r="L72" s="21">
        <v>290</v>
      </c>
      <c r="M72" s="23">
        <v>23</v>
      </c>
      <c r="N72" s="21">
        <f>(L72/(I72+J72))*M72</f>
        <v>61.75925925925926</v>
      </c>
      <c r="O72" s="44">
        <v>2.4351851851851851</v>
      </c>
      <c r="P72" s="21">
        <v>0</v>
      </c>
      <c r="Q72" s="21">
        <v>0</v>
      </c>
      <c r="R72" s="21">
        <v>0</v>
      </c>
      <c r="S72" s="2"/>
      <c r="T72" s="25">
        <v>823515</v>
      </c>
      <c r="U72" s="26">
        <f t="shared" si="1"/>
        <v>88939620</v>
      </c>
      <c r="V72" s="26">
        <f t="shared" si="2"/>
        <v>238819350</v>
      </c>
      <c r="W72" s="2"/>
      <c r="X72" s="2"/>
      <c r="Y72" s="2"/>
      <c r="Z72" s="2"/>
    </row>
    <row r="73" spans="1:26" ht="12.75" customHeight="1" x14ac:dyDescent="0.35">
      <c r="A73" s="2"/>
      <c r="B73" s="8" t="s">
        <v>132</v>
      </c>
      <c r="C73" s="8" t="s">
        <v>26</v>
      </c>
      <c r="D73" s="8">
        <v>14</v>
      </c>
      <c r="E73" s="21">
        <v>27</v>
      </c>
      <c r="F73" s="21">
        <v>0</v>
      </c>
      <c r="G73" s="21">
        <v>0</v>
      </c>
      <c r="H73" s="22">
        <v>0</v>
      </c>
      <c r="I73" s="21">
        <v>0</v>
      </c>
      <c r="J73" s="21">
        <v>0</v>
      </c>
      <c r="K73" s="21">
        <f t="shared" si="0"/>
        <v>27</v>
      </c>
      <c r="L73" s="21">
        <v>0</v>
      </c>
      <c r="M73" s="23">
        <v>23</v>
      </c>
      <c r="N73" s="21">
        <v>0</v>
      </c>
      <c r="O73" s="44">
        <v>0</v>
      </c>
      <c r="P73" s="21">
        <v>2.3000000000000003</v>
      </c>
      <c r="Q73" s="21">
        <v>15</v>
      </c>
      <c r="R73" s="21">
        <v>15</v>
      </c>
      <c r="S73" s="2"/>
      <c r="T73" s="25">
        <v>604345</v>
      </c>
      <c r="U73" s="26">
        <f t="shared" si="1"/>
        <v>0</v>
      </c>
      <c r="V73" s="26">
        <f t="shared" si="2"/>
        <v>0</v>
      </c>
      <c r="W73" s="2"/>
      <c r="X73" s="2"/>
      <c r="Y73" s="2"/>
      <c r="Z73" s="2"/>
    </row>
    <row r="74" spans="1:26" ht="12.75" customHeight="1" x14ac:dyDescent="0.35">
      <c r="A74" s="2"/>
      <c r="B74" s="8" t="s">
        <v>109</v>
      </c>
      <c r="C74" s="8" t="s">
        <v>26</v>
      </c>
      <c r="D74" s="8">
        <v>14</v>
      </c>
      <c r="E74" s="21">
        <v>0</v>
      </c>
      <c r="F74" s="21">
        <v>111</v>
      </c>
      <c r="G74" s="21">
        <v>0</v>
      </c>
      <c r="H74" s="22">
        <v>0</v>
      </c>
      <c r="I74" s="21">
        <v>0</v>
      </c>
      <c r="J74" s="21">
        <v>30</v>
      </c>
      <c r="K74" s="21">
        <f t="shared" si="0"/>
        <v>81</v>
      </c>
      <c r="L74" s="21">
        <v>51.857142857142897</v>
      </c>
      <c r="M74" s="23">
        <v>23</v>
      </c>
      <c r="N74" s="21">
        <f t="shared" ref="N74:N83" si="11">(L74/(I74+J74))*M74</f>
        <v>39.757142857142888</v>
      </c>
      <c r="O74" s="44">
        <v>2.7</v>
      </c>
      <c r="P74" s="21">
        <v>7</v>
      </c>
      <c r="Q74" s="21">
        <v>0</v>
      </c>
      <c r="R74" s="21">
        <v>0</v>
      </c>
      <c r="S74" s="2"/>
      <c r="T74" s="25">
        <v>597835</v>
      </c>
      <c r="U74" s="26">
        <f t="shared" si="1"/>
        <v>17935050</v>
      </c>
      <c r="V74" s="26">
        <f t="shared" si="2"/>
        <v>31002015.000000022</v>
      </c>
      <c r="W74" s="2"/>
      <c r="X74" s="2"/>
      <c r="Y74" s="2"/>
      <c r="Z74" s="2"/>
    </row>
    <row r="75" spans="1:26" ht="12.75" customHeight="1" x14ac:dyDescent="0.35">
      <c r="A75" s="2"/>
      <c r="B75" s="8" t="s">
        <v>83</v>
      </c>
      <c r="C75" s="8" t="s">
        <v>26</v>
      </c>
      <c r="D75" s="8">
        <v>14</v>
      </c>
      <c r="E75" s="21">
        <v>585</v>
      </c>
      <c r="F75" s="21">
        <v>405</v>
      </c>
      <c r="G75" s="21">
        <v>0</v>
      </c>
      <c r="H75" s="22">
        <v>0</v>
      </c>
      <c r="I75" s="21">
        <v>0</v>
      </c>
      <c r="J75" s="21">
        <v>990</v>
      </c>
      <c r="K75" s="21">
        <f t="shared" si="0"/>
        <v>0</v>
      </c>
      <c r="L75" s="21">
        <v>398.66666666666703</v>
      </c>
      <c r="M75" s="23">
        <v>23</v>
      </c>
      <c r="N75" s="21">
        <f t="shared" si="11"/>
        <v>9.2619528619528708</v>
      </c>
      <c r="O75" s="44">
        <v>0</v>
      </c>
      <c r="P75" s="21">
        <v>72</v>
      </c>
      <c r="Q75" s="21">
        <v>1000</v>
      </c>
      <c r="R75" s="21">
        <v>0</v>
      </c>
      <c r="S75" s="2"/>
      <c r="T75" s="25">
        <v>597835</v>
      </c>
      <c r="U75" s="26">
        <f t="shared" si="1"/>
        <v>591856650</v>
      </c>
      <c r="V75" s="26">
        <f t="shared" si="2"/>
        <v>238336886.6666669</v>
      </c>
      <c r="W75" s="2"/>
      <c r="X75" s="2"/>
      <c r="Y75" s="2"/>
      <c r="Z75" s="2"/>
    </row>
    <row r="76" spans="1:26" ht="12.75" customHeight="1" x14ac:dyDescent="0.35">
      <c r="A76" s="2"/>
      <c r="B76" s="8" t="s">
        <v>110</v>
      </c>
      <c r="C76" s="8" t="s">
        <v>26</v>
      </c>
      <c r="D76" s="8">
        <v>14</v>
      </c>
      <c r="E76" s="21">
        <v>0</v>
      </c>
      <c r="F76" s="21">
        <v>994</v>
      </c>
      <c r="G76" s="21">
        <v>0</v>
      </c>
      <c r="H76" s="22">
        <v>0</v>
      </c>
      <c r="I76" s="21">
        <v>0</v>
      </c>
      <c r="J76" s="21">
        <v>500</v>
      </c>
      <c r="K76" s="21">
        <f t="shared" si="0"/>
        <v>494</v>
      </c>
      <c r="L76" s="21">
        <v>632.72727272727309</v>
      </c>
      <c r="M76" s="23">
        <v>23</v>
      </c>
      <c r="N76" s="21">
        <f t="shared" si="11"/>
        <v>29.105454545454563</v>
      </c>
      <c r="O76" s="44">
        <v>0.98799999999999999</v>
      </c>
      <c r="P76" s="21">
        <v>8</v>
      </c>
      <c r="Q76" s="21">
        <v>613</v>
      </c>
      <c r="R76" s="21">
        <v>0</v>
      </c>
      <c r="S76" s="2"/>
      <c r="T76" s="25">
        <v>597835</v>
      </c>
      <c r="U76" s="26">
        <f t="shared" si="1"/>
        <v>298917500</v>
      </c>
      <c r="V76" s="26">
        <f t="shared" si="2"/>
        <v>378266509.0909093</v>
      </c>
      <c r="W76" s="2"/>
      <c r="X76" s="2"/>
      <c r="Y76" s="2"/>
      <c r="Z76" s="2"/>
    </row>
    <row r="77" spans="1:26" ht="12.75" customHeight="1" x14ac:dyDescent="0.35">
      <c r="A77" s="2"/>
      <c r="B77" s="8" t="s">
        <v>84</v>
      </c>
      <c r="C77" s="8" t="s">
        <v>26</v>
      </c>
      <c r="D77" s="8">
        <v>14</v>
      </c>
      <c r="E77" s="21">
        <v>434</v>
      </c>
      <c r="F77" s="21">
        <v>105</v>
      </c>
      <c r="G77" s="21">
        <v>0</v>
      </c>
      <c r="H77" s="22">
        <v>0</v>
      </c>
      <c r="I77" s="21">
        <v>0</v>
      </c>
      <c r="J77" s="21">
        <v>252</v>
      </c>
      <c r="K77" s="21">
        <f t="shared" si="0"/>
        <v>287</v>
      </c>
      <c r="L77" s="21">
        <v>344.857142857143</v>
      </c>
      <c r="M77" s="23">
        <v>23</v>
      </c>
      <c r="N77" s="21">
        <f t="shared" si="11"/>
        <v>31.475056689342416</v>
      </c>
      <c r="O77" s="44">
        <v>1.1388888888888888</v>
      </c>
      <c r="P77" s="21">
        <v>0</v>
      </c>
      <c r="Q77" s="21">
        <v>500</v>
      </c>
      <c r="R77" s="21">
        <v>0</v>
      </c>
      <c r="S77" s="2"/>
      <c r="T77" s="25">
        <v>937285</v>
      </c>
      <c r="U77" s="26">
        <f t="shared" si="1"/>
        <v>236195820</v>
      </c>
      <c r="V77" s="26">
        <f t="shared" si="2"/>
        <v>323229427.14285725</v>
      </c>
      <c r="W77" s="2"/>
      <c r="X77" s="2"/>
      <c r="Y77" s="2"/>
      <c r="Z77" s="2"/>
    </row>
    <row r="78" spans="1:26" ht="12.75" customHeight="1" x14ac:dyDescent="0.35">
      <c r="A78" s="2"/>
      <c r="B78" s="8" t="s">
        <v>133</v>
      </c>
      <c r="C78" s="8" t="s">
        <v>26</v>
      </c>
      <c r="D78" s="8">
        <v>14</v>
      </c>
      <c r="E78" s="21">
        <v>221</v>
      </c>
      <c r="F78" s="21">
        <v>427</v>
      </c>
      <c r="G78" s="21">
        <v>0</v>
      </c>
      <c r="H78" s="22">
        <v>0</v>
      </c>
      <c r="I78" s="21">
        <v>0</v>
      </c>
      <c r="J78" s="21">
        <v>408</v>
      </c>
      <c r="K78" s="21">
        <f t="shared" si="0"/>
        <v>240</v>
      </c>
      <c r="L78" s="21">
        <v>247</v>
      </c>
      <c r="M78" s="23">
        <v>23</v>
      </c>
      <c r="N78" s="21">
        <f t="shared" si="11"/>
        <v>13.924019607843137</v>
      </c>
      <c r="O78" s="44">
        <v>0.58823529411764708</v>
      </c>
      <c r="P78" s="21">
        <v>36</v>
      </c>
      <c r="Q78" s="21">
        <v>600</v>
      </c>
      <c r="R78" s="21">
        <v>0</v>
      </c>
      <c r="S78" s="2"/>
      <c r="T78" s="25">
        <v>1402595</v>
      </c>
      <c r="U78" s="26">
        <f t="shared" si="1"/>
        <v>572258760</v>
      </c>
      <c r="V78" s="26">
        <f t="shared" si="2"/>
        <v>346440965</v>
      </c>
      <c r="W78" s="2"/>
      <c r="X78" s="2"/>
      <c r="Y78" s="2"/>
      <c r="Z78" s="2"/>
    </row>
    <row r="79" spans="1:26" ht="12.75" customHeight="1" x14ac:dyDescent="0.35">
      <c r="A79" s="2"/>
      <c r="B79" s="8" t="s">
        <v>85</v>
      </c>
      <c r="C79" s="8" t="s">
        <v>26</v>
      </c>
      <c r="D79" s="8">
        <v>14</v>
      </c>
      <c r="E79" s="21">
        <v>6</v>
      </c>
      <c r="F79" s="21">
        <v>0</v>
      </c>
      <c r="G79" s="21">
        <v>0</v>
      </c>
      <c r="H79" s="22">
        <v>0</v>
      </c>
      <c r="I79" s="21">
        <v>0</v>
      </c>
      <c r="J79" s="21">
        <v>6</v>
      </c>
      <c r="K79" s="21">
        <f t="shared" si="0"/>
        <v>0</v>
      </c>
      <c r="L79" s="21">
        <v>2</v>
      </c>
      <c r="M79" s="23">
        <v>23</v>
      </c>
      <c r="N79" s="21">
        <f t="shared" si="11"/>
        <v>7.6666666666666661</v>
      </c>
      <c r="O79" s="44">
        <v>0</v>
      </c>
      <c r="P79" s="21">
        <v>0</v>
      </c>
      <c r="Q79" s="21">
        <v>0</v>
      </c>
      <c r="R79" s="21">
        <v>0</v>
      </c>
      <c r="S79" s="2"/>
      <c r="T79" s="25">
        <v>10957105</v>
      </c>
      <c r="U79" s="26">
        <f t="shared" si="1"/>
        <v>65742630</v>
      </c>
      <c r="V79" s="26">
        <f t="shared" si="2"/>
        <v>21914210</v>
      </c>
      <c r="W79" s="2"/>
      <c r="X79" s="2"/>
      <c r="Y79" s="2"/>
      <c r="Z79" s="2"/>
    </row>
    <row r="80" spans="1:26" ht="12.75" customHeight="1" x14ac:dyDescent="0.35">
      <c r="A80" s="2"/>
      <c r="B80" s="8" t="s">
        <v>134</v>
      </c>
      <c r="C80" s="8" t="s">
        <v>26</v>
      </c>
      <c r="D80" s="8">
        <v>14</v>
      </c>
      <c r="E80" s="21">
        <v>16</v>
      </c>
      <c r="F80" s="21">
        <v>12</v>
      </c>
      <c r="G80" s="21">
        <v>0</v>
      </c>
      <c r="H80" s="22">
        <v>0</v>
      </c>
      <c r="I80" s="21">
        <v>0</v>
      </c>
      <c r="J80" s="21">
        <v>10</v>
      </c>
      <c r="K80" s="21">
        <f t="shared" si="0"/>
        <v>18</v>
      </c>
      <c r="L80" s="21">
        <v>12</v>
      </c>
      <c r="M80" s="23">
        <v>23</v>
      </c>
      <c r="N80" s="21">
        <f t="shared" si="11"/>
        <v>27.599999999999998</v>
      </c>
      <c r="O80" s="44">
        <v>1.8</v>
      </c>
      <c r="P80" s="21">
        <v>0</v>
      </c>
      <c r="Q80" s="21">
        <v>29</v>
      </c>
      <c r="R80" s="21">
        <v>0</v>
      </c>
      <c r="S80" s="2"/>
      <c r="T80" s="25">
        <v>10957105</v>
      </c>
      <c r="U80" s="26">
        <f t="shared" si="1"/>
        <v>109571050</v>
      </c>
      <c r="V80" s="26">
        <f t="shared" si="2"/>
        <v>131485260</v>
      </c>
      <c r="W80" s="2"/>
      <c r="X80" s="2"/>
      <c r="Y80" s="2"/>
      <c r="Z80" s="2"/>
    </row>
    <row r="81" spans="1:26" ht="12.75" customHeight="1" x14ac:dyDescent="0.35">
      <c r="A81" s="2"/>
      <c r="B81" s="8" t="s">
        <v>86</v>
      </c>
      <c r="C81" s="8" t="s">
        <v>26</v>
      </c>
      <c r="D81" s="8">
        <v>14</v>
      </c>
      <c r="E81" s="21">
        <v>665</v>
      </c>
      <c r="F81" s="21">
        <v>515</v>
      </c>
      <c r="G81" s="21">
        <v>0</v>
      </c>
      <c r="H81" s="22">
        <v>0</v>
      </c>
      <c r="I81" s="21">
        <v>0</v>
      </c>
      <c r="J81" s="21">
        <v>697</v>
      </c>
      <c r="K81" s="21">
        <f t="shared" si="0"/>
        <v>483</v>
      </c>
      <c r="L81" s="21">
        <v>396.84615384615404</v>
      </c>
      <c r="M81" s="23">
        <v>23</v>
      </c>
      <c r="N81" s="21">
        <f t="shared" si="11"/>
        <v>13.09535371371814</v>
      </c>
      <c r="O81" s="44">
        <v>0.69296987087517936</v>
      </c>
      <c r="P81" s="21">
        <v>627</v>
      </c>
      <c r="Q81" s="21">
        <v>200</v>
      </c>
      <c r="R81" s="21">
        <v>0</v>
      </c>
      <c r="S81" s="2"/>
      <c r="T81" s="25">
        <v>1322925</v>
      </c>
      <c r="U81" s="26">
        <f t="shared" si="1"/>
        <v>922078725</v>
      </c>
      <c r="V81" s="26">
        <f t="shared" si="2"/>
        <v>524997698.07692331</v>
      </c>
      <c r="W81" s="2"/>
      <c r="X81" s="2"/>
      <c r="Y81" s="2"/>
      <c r="Z81" s="2"/>
    </row>
    <row r="82" spans="1:26" ht="12.75" customHeight="1" x14ac:dyDescent="0.35">
      <c r="A82" s="2"/>
      <c r="B82" s="8" t="s">
        <v>145</v>
      </c>
      <c r="C82" s="8" t="s">
        <v>26</v>
      </c>
      <c r="D82" s="8">
        <v>14</v>
      </c>
      <c r="E82" s="21">
        <v>100</v>
      </c>
      <c r="F82" s="21">
        <v>0</v>
      </c>
      <c r="G82" s="21">
        <v>0</v>
      </c>
      <c r="H82" s="22">
        <v>0</v>
      </c>
      <c r="I82" s="21">
        <v>0</v>
      </c>
      <c r="J82" s="21">
        <v>60</v>
      </c>
      <c r="K82" s="21">
        <f t="shared" si="0"/>
        <v>40</v>
      </c>
      <c r="L82" s="21">
        <v>55</v>
      </c>
      <c r="M82" s="23">
        <v>23</v>
      </c>
      <c r="N82" s="21">
        <f t="shared" si="11"/>
        <v>21.083333333333332</v>
      </c>
      <c r="O82" s="44">
        <v>0.66666666666666663</v>
      </c>
      <c r="P82" s="21">
        <v>160</v>
      </c>
      <c r="Q82" s="21">
        <v>0</v>
      </c>
      <c r="R82" s="21">
        <v>0</v>
      </c>
      <c r="S82" s="2"/>
      <c r="T82" s="25">
        <v>1322925</v>
      </c>
      <c r="U82" s="26">
        <f t="shared" si="1"/>
        <v>79375500</v>
      </c>
      <c r="V82" s="26">
        <f t="shared" si="2"/>
        <v>72760875</v>
      </c>
      <c r="W82" s="2"/>
      <c r="X82" s="2"/>
      <c r="Y82" s="2"/>
      <c r="Z82" s="2"/>
    </row>
    <row r="83" spans="1:26" ht="12.75" customHeight="1" x14ac:dyDescent="0.35">
      <c r="A83" s="2"/>
      <c r="B83" s="8" t="s">
        <v>146</v>
      </c>
      <c r="C83" s="8" t="s">
        <v>26</v>
      </c>
      <c r="D83" s="8">
        <v>14</v>
      </c>
      <c r="E83" s="21">
        <v>95</v>
      </c>
      <c r="F83" s="21">
        <v>0</v>
      </c>
      <c r="G83" s="21">
        <v>0</v>
      </c>
      <c r="H83" s="22">
        <v>0</v>
      </c>
      <c r="I83" s="21">
        <v>0</v>
      </c>
      <c r="J83" s="21">
        <v>53</v>
      </c>
      <c r="K83" s="21">
        <f t="shared" si="0"/>
        <v>42</v>
      </c>
      <c r="L83" s="21">
        <v>66</v>
      </c>
      <c r="M83" s="23">
        <v>23</v>
      </c>
      <c r="N83" s="21">
        <f t="shared" si="11"/>
        <v>28.641509433962263</v>
      </c>
      <c r="O83" s="44">
        <v>0.79245283018867929</v>
      </c>
      <c r="P83" s="21">
        <v>0</v>
      </c>
      <c r="Q83" s="21">
        <v>100</v>
      </c>
      <c r="R83" s="21">
        <v>0</v>
      </c>
      <c r="S83" s="2"/>
      <c r="T83" s="25">
        <v>1372215</v>
      </c>
      <c r="U83" s="26">
        <f t="shared" si="1"/>
        <v>72727395</v>
      </c>
      <c r="V83" s="26">
        <f t="shared" si="2"/>
        <v>90566190</v>
      </c>
      <c r="W83" s="2"/>
      <c r="X83" s="2"/>
      <c r="Y83" s="2"/>
      <c r="Z83" s="2"/>
    </row>
    <row r="84" spans="1:26" ht="12.75" customHeight="1" x14ac:dyDescent="0.35">
      <c r="A84" s="2"/>
      <c r="B84" s="8" t="s">
        <v>86</v>
      </c>
      <c r="C84" s="8" t="s">
        <v>26</v>
      </c>
      <c r="D84" s="8">
        <v>14</v>
      </c>
      <c r="E84" s="21">
        <v>101</v>
      </c>
      <c r="F84" s="21">
        <v>0</v>
      </c>
      <c r="G84" s="21">
        <v>0</v>
      </c>
      <c r="H84" s="22">
        <v>0</v>
      </c>
      <c r="I84" s="21">
        <v>0</v>
      </c>
      <c r="J84" s="21">
        <v>0</v>
      </c>
      <c r="K84" s="21">
        <f t="shared" si="0"/>
        <v>101</v>
      </c>
      <c r="L84" s="21">
        <v>0</v>
      </c>
      <c r="M84" s="23">
        <v>23</v>
      </c>
      <c r="N84" s="21">
        <v>0</v>
      </c>
      <c r="O84" s="44">
        <v>0</v>
      </c>
      <c r="P84" s="21">
        <v>0</v>
      </c>
      <c r="Q84" s="21">
        <v>0</v>
      </c>
      <c r="R84" s="21">
        <v>0</v>
      </c>
      <c r="S84" s="2"/>
      <c r="T84" s="25">
        <v>1027805</v>
      </c>
      <c r="U84" s="26">
        <f t="shared" si="1"/>
        <v>0</v>
      </c>
      <c r="V84" s="26">
        <f t="shared" si="2"/>
        <v>0</v>
      </c>
      <c r="W84" s="2"/>
      <c r="X84" s="2"/>
      <c r="Y84" s="2"/>
      <c r="Z84" s="2"/>
    </row>
    <row r="85" spans="1:26" ht="12.75" customHeight="1" x14ac:dyDescent="0.35">
      <c r="A85" s="2"/>
      <c r="B85" s="8" t="s">
        <v>111</v>
      </c>
      <c r="C85" s="8" t="s">
        <v>26</v>
      </c>
      <c r="D85" s="8">
        <v>14</v>
      </c>
      <c r="E85" s="21">
        <v>18</v>
      </c>
      <c r="F85" s="21">
        <v>46</v>
      </c>
      <c r="G85" s="21">
        <v>0</v>
      </c>
      <c r="H85" s="22">
        <v>0</v>
      </c>
      <c r="I85" s="21">
        <v>0</v>
      </c>
      <c r="J85" s="21">
        <v>3</v>
      </c>
      <c r="K85" s="21">
        <f t="shared" si="0"/>
        <v>61</v>
      </c>
      <c r="L85" s="21">
        <v>51.3333333333333</v>
      </c>
      <c r="M85" s="23">
        <v>23</v>
      </c>
      <c r="N85" s="21">
        <f t="shared" ref="N85:N92" si="12">(L85/(I85+J85))*M85</f>
        <v>393.55555555555532</v>
      </c>
      <c r="O85" s="44">
        <v>20.333333333333332</v>
      </c>
      <c r="P85" s="21">
        <v>0</v>
      </c>
      <c r="Q85" s="21">
        <v>0</v>
      </c>
      <c r="R85" s="21">
        <v>0</v>
      </c>
      <c r="S85" s="2"/>
      <c r="T85" s="25">
        <v>746480</v>
      </c>
      <c r="U85" s="26">
        <f t="shared" si="1"/>
        <v>2239440</v>
      </c>
      <c r="V85" s="26">
        <f t="shared" si="2"/>
        <v>38319306.666666642</v>
      </c>
      <c r="W85" s="2"/>
      <c r="X85" s="2"/>
      <c r="Y85" s="2"/>
      <c r="Z85" s="2"/>
    </row>
    <row r="86" spans="1:26" ht="12.75" customHeight="1" x14ac:dyDescent="0.35">
      <c r="A86" s="2"/>
      <c r="B86" s="8" t="s">
        <v>88</v>
      </c>
      <c r="C86" s="8" t="s">
        <v>26</v>
      </c>
      <c r="D86" s="8">
        <v>14</v>
      </c>
      <c r="E86" s="21">
        <v>207</v>
      </c>
      <c r="F86" s="21">
        <v>397</v>
      </c>
      <c r="G86" s="21">
        <v>0</v>
      </c>
      <c r="H86" s="22">
        <v>0</v>
      </c>
      <c r="I86" s="21">
        <v>0</v>
      </c>
      <c r="J86" s="21">
        <v>388</v>
      </c>
      <c r="K86" s="21">
        <f t="shared" si="0"/>
        <v>216</v>
      </c>
      <c r="L86" s="21">
        <v>203.4</v>
      </c>
      <c r="M86" s="23">
        <v>23</v>
      </c>
      <c r="N86" s="21">
        <f t="shared" si="12"/>
        <v>12.057216494845362</v>
      </c>
      <c r="O86" s="44">
        <v>0.55670103092783507</v>
      </c>
      <c r="P86" s="21">
        <v>3</v>
      </c>
      <c r="Q86" s="21">
        <v>705</v>
      </c>
      <c r="R86" s="21">
        <v>95</v>
      </c>
      <c r="S86" s="2"/>
      <c r="T86" s="25">
        <v>1372215</v>
      </c>
      <c r="U86" s="26">
        <f t="shared" si="1"/>
        <v>532419420</v>
      </c>
      <c r="V86" s="26">
        <f t="shared" si="2"/>
        <v>279108531</v>
      </c>
      <c r="W86" s="2"/>
      <c r="X86" s="2"/>
      <c r="Y86" s="2"/>
      <c r="Z86" s="2"/>
    </row>
    <row r="87" spans="1:26" ht="12.75" customHeight="1" x14ac:dyDescent="0.35">
      <c r="A87" s="2"/>
      <c r="B87" s="8" t="s">
        <v>89</v>
      </c>
      <c r="C87" s="8" t="s">
        <v>26</v>
      </c>
      <c r="D87" s="8">
        <v>14</v>
      </c>
      <c r="E87" s="21">
        <v>40</v>
      </c>
      <c r="F87" s="21">
        <v>18</v>
      </c>
      <c r="G87" s="21">
        <v>0</v>
      </c>
      <c r="H87" s="22">
        <v>0</v>
      </c>
      <c r="I87" s="21">
        <v>0</v>
      </c>
      <c r="J87" s="21">
        <v>4</v>
      </c>
      <c r="K87" s="21">
        <f t="shared" si="0"/>
        <v>54</v>
      </c>
      <c r="L87" s="21">
        <v>45</v>
      </c>
      <c r="M87" s="23">
        <v>23</v>
      </c>
      <c r="N87" s="21">
        <f t="shared" si="12"/>
        <v>258.75</v>
      </c>
      <c r="O87" s="44">
        <v>13.5</v>
      </c>
      <c r="P87" s="21">
        <v>18</v>
      </c>
      <c r="Q87" s="21">
        <v>0</v>
      </c>
      <c r="R87" s="21">
        <v>0</v>
      </c>
      <c r="S87" s="2"/>
      <c r="T87" s="26">
        <v>6276182</v>
      </c>
      <c r="U87" s="26">
        <f t="shared" si="1"/>
        <v>25104728</v>
      </c>
      <c r="V87" s="26">
        <f t="shared" si="2"/>
        <v>282428190</v>
      </c>
      <c r="W87" s="2"/>
      <c r="X87" s="2"/>
      <c r="Y87" s="2"/>
      <c r="Z87" s="2"/>
    </row>
    <row r="88" spans="1:26" ht="12.75" customHeight="1" x14ac:dyDescent="0.35">
      <c r="A88" s="2"/>
      <c r="B88" s="8" t="s">
        <v>112</v>
      </c>
      <c r="C88" s="8" t="s">
        <v>26</v>
      </c>
      <c r="D88" s="8">
        <v>14</v>
      </c>
      <c r="E88" s="21">
        <v>81</v>
      </c>
      <c r="F88" s="21">
        <v>0</v>
      </c>
      <c r="G88" s="21">
        <v>0</v>
      </c>
      <c r="H88" s="22">
        <v>0</v>
      </c>
      <c r="I88" s="21">
        <v>0</v>
      </c>
      <c r="J88" s="21">
        <v>12</v>
      </c>
      <c r="K88" s="21">
        <f t="shared" si="0"/>
        <v>69</v>
      </c>
      <c r="L88" s="21">
        <v>73</v>
      </c>
      <c r="M88" s="23">
        <v>23</v>
      </c>
      <c r="N88" s="21">
        <f t="shared" si="12"/>
        <v>139.91666666666666</v>
      </c>
      <c r="O88" s="44">
        <v>5.75</v>
      </c>
      <c r="P88" s="21">
        <v>0</v>
      </c>
      <c r="Q88" s="21">
        <v>0</v>
      </c>
      <c r="R88" s="21">
        <v>0</v>
      </c>
      <c r="S88" s="2"/>
      <c r="T88" s="26">
        <v>6276182</v>
      </c>
      <c r="U88" s="26">
        <f t="shared" si="1"/>
        <v>75314184</v>
      </c>
      <c r="V88" s="26">
        <f t="shared" si="2"/>
        <v>458161286</v>
      </c>
      <c r="W88" s="2"/>
      <c r="X88" s="2"/>
      <c r="Y88" s="2"/>
      <c r="Z88" s="2"/>
    </row>
    <row r="89" spans="1:26" ht="12.75" customHeight="1" x14ac:dyDescent="0.35">
      <c r="A89" s="2"/>
      <c r="B89" s="8" t="s">
        <v>135</v>
      </c>
      <c r="C89" s="8" t="s">
        <v>26</v>
      </c>
      <c r="D89" s="8">
        <v>14</v>
      </c>
      <c r="E89" s="21">
        <v>54</v>
      </c>
      <c r="F89" s="21">
        <v>0</v>
      </c>
      <c r="G89" s="21">
        <v>0</v>
      </c>
      <c r="H89" s="22">
        <v>0</v>
      </c>
      <c r="I89" s="21">
        <v>0</v>
      </c>
      <c r="J89" s="21">
        <v>54</v>
      </c>
      <c r="K89" s="21">
        <f t="shared" si="0"/>
        <v>0</v>
      </c>
      <c r="L89" s="21">
        <v>0</v>
      </c>
      <c r="M89" s="23">
        <v>23</v>
      </c>
      <c r="N89" s="21">
        <f t="shared" si="12"/>
        <v>0</v>
      </c>
      <c r="O89" s="44">
        <v>0</v>
      </c>
      <c r="P89" s="21">
        <v>0</v>
      </c>
      <c r="Q89" s="21">
        <v>150</v>
      </c>
      <c r="R89" s="21">
        <v>0</v>
      </c>
      <c r="S89" s="2"/>
      <c r="T89" s="25">
        <v>848935</v>
      </c>
      <c r="U89" s="26">
        <f t="shared" si="1"/>
        <v>45842490</v>
      </c>
      <c r="V89" s="26">
        <f t="shared" si="2"/>
        <v>0</v>
      </c>
      <c r="W89" s="2"/>
      <c r="X89" s="2"/>
      <c r="Y89" s="2"/>
      <c r="Z89" s="2"/>
    </row>
    <row r="90" spans="1:26" ht="12.75" customHeight="1" x14ac:dyDescent="0.35">
      <c r="A90" s="2"/>
      <c r="B90" s="8" t="s">
        <v>136</v>
      </c>
      <c r="C90" s="8" t="s">
        <v>26</v>
      </c>
      <c r="D90" s="8">
        <v>14</v>
      </c>
      <c r="E90" s="21">
        <v>93</v>
      </c>
      <c r="F90" s="21">
        <v>204</v>
      </c>
      <c r="G90" s="21">
        <v>0</v>
      </c>
      <c r="H90" s="22">
        <v>0</v>
      </c>
      <c r="I90" s="21">
        <v>0</v>
      </c>
      <c r="J90" s="21">
        <v>72</v>
      </c>
      <c r="K90" s="21">
        <f t="shared" si="0"/>
        <v>225</v>
      </c>
      <c r="L90" s="21">
        <v>184.5</v>
      </c>
      <c r="M90" s="23">
        <v>23</v>
      </c>
      <c r="N90" s="21">
        <f t="shared" si="12"/>
        <v>58.9375</v>
      </c>
      <c r="O90" s="44">
        <v>3.125</v>
      </c>
      <c r="P90" s="21">
        <v>100</v>
      </c>
      <c r="Q90" s="21">
        <v>100</v>
      </c>
      <c r="R90" s="21">
        <v>0</v>
      </c>
      <c r="S90" s="2"/>
      <c r="T90" s="25">
        <v>923955</v>
      </c>
      <c r="U90" s="26">
        <f t="shared" si="1"/>
        <v>66524760</v>
      </c>
      <c r="V90" s="26">
        <f t="shared" si="2"/>
        <v>170469697.5</v>
      </c>
      <c r="W90" s="2"/>
      <c r="X90" s="2"/>
      <c r="Y90" s="2"/>
      <c r="Z90" s="2"/>
    </row>
    <row r="91" spans="1:26" ht="12.75" customHeight="1" x14ac:dyDescent="0.35">
      <c r="A91" s="2"/>
      <c r="B91" s="8" t="s">
        <v>113</v>
      </c>
      <c r="C91" s="8" t="s">
        <v>26</v>
      </c>
      <c r="D91" s="8">
        <v>14</v>
      </c>
      <c r="E91" s="21">
        <v>52</v>
      </c>
      <c r="F91" s="21">
        <v>80</v>
      </c>
      <c r="G91" s="21">
        <v>0</v>
      </c>
      <c r="H91" s="22">
        <v>0</v>
      </c>
      <c r="I91" s="21">
        <v>0</v>
      </c>
      <c r="J91" s="21">
        <v>54</v>
      </c>
      <c r="K91" s="21">
        <f t="shared" si="0"/>
        <v>78</v>
      </c>
      <c r="L91" s="21">
        <v>63</v>
      </c>
      <c r="M91" s="23">
        <v>23</v>
      </c>
      <c r="N91" s="21">
        <f t="shared" si="12"/>
        <v>26.833333333333336</v>
      </c>
      <c r="O91" s="44">
        <v>1.4444444444444444</v>
      </c>
      <c r="P91" s="21">
        <v>0</v>
      </c>
      <c r="Q91" s="21">
        <v>120</v>
      </c>
      <c r="R91" s="21">
        <v>0</v>
      </c>
      <c r="S91" s="2"/>
      <c r="T91" s="25">
        <v>1345865</v>
      </c>
      <c r="U91" s="26">
        <f t="shared" si="1"/>
        <v>72676710</v>
      </c>
      <c r="V91" s="26">
        <f t="shared" si="2"/>
        <v>84789495</v>
      </c>
      <c r="W91" s="2"/>
      <c r="X91" s="2"/>
      <c r="Y91" s="2"/>
      <c r="Z91" s="2"/>
    </row>
    <row r="92" spans="1:26" ht="12.75" customHeight="1" x14ac:dyDescent="0.35">
      <c r="A92" s="2"/>
      <c r="B92" s="8" t="s">
        <v>92</v>
      </c>
      <c r="C92" s="8" t="s">
        <v>26</v>
      </c>
      <c r="D92" s="8">
        <v>14</v>
      </c>
      <c r="E92" s="21">
        <v>22</v>
      </c>
      <c r="F92" s="21">
        <v>795</v>
      </c>
      <c r="G92" s="21">
        <v>0</v>
      </c>
      <c r="H92" s="22">
        <v>0</v>
      </c>
      <c r="I92" s="21">
        <v>0</v>
      </c>
      <c r="J92" s="21">
        <v>672</v>
      </c>
      <c r="K92" s="21">
        <f t="shared" si="0"/>
        <v>145</v>
      </c>
      <c r="L92" s="21">
        <v>333</v>
      </c>
      <c r="M92" s="23">
        <v>23</v>
      </c>
      <c r="N92" s="21">
        <f t="shared" si="12"/>
        <v>11.397321428571429</v>
      </c>
      <c r="O92" s="44">
        <v>0.21577380952380953</v>
      </c>
      <c r="P92" s="21">
        <v>0</v>
      </c>
      <c r="Q92" s="21">
        <v>849</v>
      </c>
      <c r="R92" s="21">
        <v>100</v>
      </c>
      <c r="S92" s="2"/>
      <c r="T92" s="25">
        <v>923955</v>
      </c>
      <c r="U92" s="26">
        <f t="shared" si="1"/>
        <v>620897760</v>
      </c>
      <c r="V92" s="26">
        <f t="shared" si="2"/>
        <v>307677015</v>
      </c>
      <c r="W92" s="2"/>
      <c r="X92" s="2"/>
      <c r="Y92" s="2"/>
      <c r="Z92" s="2"/>
    </row>
    <row r="93" spans="1:26" ht="12.75" customHeight="1" x14ac:dyDescent="0.35">
      <c r="A93" s="2"/>
      <c r="B93" s="8" t="s">
        <v>137</v>
      </c>
      <c r="C93" s="8" t="s">
        <v>26</v>
      </c>
      <c r="D93" s="8">
        <v>14</v>
      </c>
      <c r="E93" s="21">
        <v>15</v>
      </c>
      <c r="F93" s="21">
        <v>0</v>
      </c>
      <c r="G93" s="21">
        <v>0</v>
      </c>
      <c r="H93" s="22">
        <v>0</v>
      </c>
      <c r="I93" s="21">
        <v>0</v>
      </c>
      <c r="J93" s="21">
        <v>0</v>
      </c>
      <c r="K93" s="21">
        <f t="shared" si="0"/>
        <v>15</v>
      </c>
      <c r="L93" s="21">
        <v>0</v>
      </c>
      <c r="M93" s="23">
        <v>23</v>
      </c>
      <c r="N93" s="21">
        <v>0</v>
      </c>
      <c r="O93" s="44">
        <v>0</v>
      </c>
      <c r="P93" s="21">
        <v>0</v>
      </c>
      <c r="Q93" s="21">
        <v>0</v>
      </c>
      <c r="R93" s="21">
        <v>0</v>
      </c>
      <c r="S93" s="2"/>
      <c r="T93" s="25">
        <v>504525</v>
      </c>
      <c r="U93" s="26">
        <f t="shared" si="1"/>
        <v>0</v>
      </c>
      <c r="V93" s="26">
        <f t="shared" si="2"/>
        <v>0</v>
      </c>
      <c r="W93" s="2"/>
      <c r="X93" s="2"/>
      <c r="Y93" s="2"/>
      <c r="Z93" s="2"/>
    </row>
    <row r="94" spans="1:26" ht="12.75" customHeight="1" x14ac:dyDescent="0.35">
      <c r="A94" s="2"/>
      <c r="B94" s="8" t="s">
        <v>94</v>
      </c>
      <c r="C94" s="8" t="s">
        <v>26</v>
      </c>
      <c r="D94" s="8">
        <v>14</v>
      </c>
      <c r="E94" s="21">
        <v>118</v>
      </c>
      <c r="F94" s="21">
        <v>0</v>
      </c>
      <c r="G94" s="21">
        <v>0</v>
      </c>
      <c r="H94" s="22">
        <v>0</v>
      </c>
      <c r="I94" s="21">
        <v>0</v>
      </c>
      <c r="J94" s="21">
        <v>118</v>
      </c>
      <c r="K94" s="21">
        <f t="shared" si="0"/>
        <v>0</v>
      </c>
      <c r="L94" s="21">
        <v>23</v>
      </c>
      <c r="M94" s="23">
        <v>23</v>
      </c>
      <c r="N94" s="21">
        <f t="shared" ref="N94:N96" si="13">(L94/(I94+J94))*M94</f>
        <v>4.4830508474576272</v>
      </c>
      <c r="O94" s="44">
        <v>0</v>
      </c>
      <c r="P94" s="21">
        <v>0</v>
      </c>
      <c r="Q94" s="21">
        <v>0</v>
      </c>
      <c r="R94" s="21">
        <v>0</v>
      </c>
      <c r="S94" s="2"/>
      <c r="T94" s="25">
        <v>848935</v>
      </c>
      <c r="U94" s="26">
        <f t="shared" si="1"/>
        <v>100174330</v>
      </c>
      <c r="V94" s="26">
        <f t="shared" si="2"/>
        <v>19525505</v>
      </c>
      <c r="W94" s="2"/>
      <c r="X94" s="2"/>
      <c r="Y94" s="2"/>
      <c r="Z94" s="2"/>
    </row>
    <row r="95" spans="1:26" ht="12.75" customHeight="1" x14ac:dyDescent="0.35">
      <c r="A95" s="2"/>
      <c r="B95" s="8" t="s">
        <v>138</v>
      </c>
      <c r="C95" s="8" t="s">
        <v>26</v>
      </c>
      <c r="D95" s="8">
        <v>14</v>
      </c>
      <c r="E95" s="21">
        <v>202</v>
      </c>
      <c r="F95" s="21">
        <v>300</v>
      </c>
      <c r="G95" s="21">
        <v>0</v>
      </c>
      <c r="H95" s="22">
        <v>0</v>
      </c>
      <c r="I95" s="21">
        <v>0</v>
      </c>
      <c r="J95" s="21">
        <v>425</v>
      </c>
      <c r="K95" s="21">
        <f t="shared" si="0"/>
        <v>77</v>
      </c>
      <c r="L95" s="21">
        <v>282.60000000000002</v>
      </c>
      <c r="M95" s="23">
        <v>23</v>
      </c>
      <c r="N95" s="21">
        <f t="shared" si="13"/>
        <v>15.293647058823529</v>
      </c>
      <c r="O95" s="44">
        <v>0.1811764705882353</v>
      </c>
      <c r="P95" s="21">
        <v>0</v>
      </c>
      <c r="Q95" s="21">
        <v>600</v>
      </c>
      <c r="R95" s="21">
        <v>0</v>
      </c>
      <c r="S95" s="2"/>
      <c r="T95" s="25">
        <v>848935</v>
      </c>
      <c r="U95" s="26">
        <f t="shared" si="1"/>
        <v>360797375</v>
      </c>
      <c r="V95" s="26">
        <f t="shared" si="2"/>
        <v>239909031.00000003</v>
      </c>
      <c r="W95" s="4" t="s">
        <v>147</v>
      </c>
      <c r="X95" s="2"/>
      <c r="Y95" s="2"/>
      <c r="Z95" s="2"/>
    </row>
    <row r="96" spans="1:26" ht="18.75" customHeight="1" x14ac:dyDescent="0.35">
      <c r="A96" s="33"/>
      <c r="B96" s="27" t="s">
        <v>96</v>
      </c>
      <c r="C96" s="28"/>
      <c r="D96" s="28"/>
      <c r="E96" s="29">
        <f t="shared" ref="E96:L96" si="14">SUM(E4:E95)</f>
        <v>17714.98</v>
      </c>
      <c r="F96" s="29">
        <f t="shared" si="14"/>
        <v>12174</v>
      </c>
      <c r="G96" s="29">
        <f t="shared" si="14"/>
        <v>0</v>
      </c>
      <c r="H96" s="29">
        <f t="shared" si="14"/>
        <v>2</v>
      </c>
      <c r="I96" s="29">
        <f t="shared" si="14"/>
        <v>0</v>
      </c>
      <c r="J96" s="29">
        <f t="shared" si="14"/>
        <v>13516</v>
      </c>
      <c r="K96" s="29">
        <f t="shared" si="14"/>
        <v>16372.98</v>
      </c>
      <c r="L96" s="29">
        <f t="shared" si="14"/>
        <v>12888.381799589304</v>
      </c>
      <c r="M96" s="30">
        <f>M95</f>
        <v>23</v>
      </c>
      <c r="N96" s="30">
        <f t="shared" si="13"/>
        <v>21.931990336679046</v>
      </c>
      <c r="O96" s="45">
        <f>+K96/($I96+$J96)*$M$4</f>
        <v>27.861685409884579</v>
      </c>
      <c r="P96" s="29">
        <f t="shared" ref="P96:R96" si="15">SUM(P4:P95)</f>
        <v>2730.3</v>
      </c>
      <c r="Q96" s="29">
        <f t="shared" si="15"/>
        <v>15825</v>
      </c>
      <c r="R96" s="29">
        <f t="shared" si="15"/>
        <v>746</v>
      </c>
      <c r="S96" s="33"/>
      <c r="T96" s="2"/>
      <c r="U96" s="35">
        <f t="shared" ref="U96:V96" si="16">SUM(U4:U95)</f>
        <v>13066217748</v>
      </c>
      <c r="V96" s="35">
        <f t="shared" si="16"/>
        <v>12851923034.916246</v>
      </c>
      <c r="W96" s="29">
        <f>(V96/U96)*M95</f>
        <v>22.622784611738101</v>
      </c>
      <c r="X96" s="33"/>
      <c r="Y96" s="33"/>
      <c r="Z96" s="33"/>
    </row>
    <row r="97" spans="1:26" ht="18.75" customHeight="1" x14ac:dyDescent="0.35">
      <c r="A97" s="2"/>
      <c r="B97" s="1"/>
      <c r="C97" s="2"/>
      <c r="D97" s="2"/>
      <c r="E97" s="36"/>
      <c r="F97" s="36"/>
      <c r="G97" s="36"/>
      <c r="H97" s="36"/>
      <c r="I97" s="36"/>
      <c r="J97" s="36"/>
      <c r="K97" s="36"/>
      <c r="L97" s="36"/>
      <c r="M97" s="3"/>
      <c r="N97" s="36"/>
      <c r="O97" s="36"/>
      <c r="P97" s="37"/>
      <c r="Q97" s="36"/>
      <c r="R97" s="36"/>
      <c r="S97" s="36"/>
      <c r="T97" s="2"/>
      <c r="U97" s="48"/>
      <c r="V97" s="48"/>
      <c r="W97" s="2"/>
      <c r="X97" s="2"/>
      <c r="Y97" s="2"/>
      <c r="Z97" s="2"/>
    </row>
    <row r="98" spans="1:26" ht="12.75" customHeight="1" x14ac:dyDescent="0.35">
      <c r="A98" s="2"/>
      <c r="B98" s="2" t="s">
        <v>97</v>
      </c>
      <c r="C98" s="39">
        <v>24.9</v>
      </c>
      <c r="D98" s="2" t="s">
        <v>98</v>
      </c>
      <c r="E98" s="2"/>
      <c r="F98" s="2"/>
      <c r="G98" s="2"/>
      <c r="H98" s="2"/>
      <c r="I98" s="2"/>
      <c r="J98" s="2"/>
      <c r="K98" s="2"/>
      <c r="L98" s="2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5">
      <c r="A99" s="2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5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5">
      <c r="A101" s="2"/>
      <c r="B101" s="1"/>
      <c r="C101" s="40"/>
      <c r="D101" s="40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53125" defaultRowHeight="15" customHeight="1" x14ac:dyDescent="0.35"/>
  <cols>
    <col min="1" max="1" width="2.54296875" customWidth="1"/>
    <col min="2" max="2" width="17.81640625" customWidth="1"/>
    <col min="3" max="4" width="15" customWidth="1"/>
    <col min="5" max="5" width="16.08984375" customWidth="1"/>
    <col min="6" max="6" width="13.26953125" customWidth="1"/>
    <col min="7" max="7" width="11.54296875" customWidth="1"/>
    <col min="8" max="8" width="9.54296875" customWidth="1"/>
    <col min="9" max="9" width="13.26953125" customWidth="1"/>
    <col min="10" max="10" width="10.26953125" customWidth="1"/>
    <col min="11" max="11" width="12.7265625" customWidth="1"/>
    <col min="12" max="12" width="11.54296875" customWidth="1"/>
    <col min="13" max="13" width="11.453125" customWidth="1"/>
    <col min="14" max="14" width="9.81640625" customWidth="1"/>
    <col min="15" max="15" width="8.81640625" customWidth="1"/>
    <col min="16" max="17" width="13.26953125" customWidth="1"/>
    <col min="18" max="18" width="7.81640625" customWidth="1"/>
    <col min="19" max="19" width="13.7265625" customWidth="1"/>
    <col min="20" max="20" width="13" customWidth="1"/>
    <col min="21" max="21" width="17.453125" customWidth="1"/>
    <col min="22" max="22" width="17.81640625" customWidth="1"/>
    <col min="23" max="23" width="16.453125" customWidth="1"/>
    <col min="24" max="26" width="8.7265625" customWidth="1"/>
  </cols>
  <sheetData>
    <row r="1" spans="1:26" ht="12.75" customHeight="1" x14ac:dyDescent="0.35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4" t="s">
        <v>0</v>
      </c>
      <c r="T1" s="41">
        <v>5.1999999999999998E-3</v>
      </c>
      <c r="U1" s="4" t="s">
        <v>1</v>
      </c>
      <c r="V1" s="47">
        <f>(V100*$T$1)/U100</f>
        <v>4.1515582077350848E-3</v>
      </c>
      <c r="W1" s="2"/>
      <c r="X1" s="2"/>
      <c r="Y1" s="2"/>
      <c r="Z1" s="2"/>
    </row>
    <row r="2" spans="1:26" ht="12.75" customHeight="1" x14ac:dyDescent="0.35">
      <c r="A2" s="2"/>
      <c r="B2" s="7"/>
      <c r="C2" s="8" t="s">
        <v>2</v>
      </c>
      <c r="D2" s="8"/>
      <c r="E2" s="9" t="s">
        <v>148</v>
      </c>
      <c r="F2" s="10"/>
      <c r="G2" s="11" t="s">
        <v>4</v>
      </c>
      <c r="H2" s="10"/>
      <c r="I2" s="10"/>
      <c r="J2" s="12"/>
      <c r="K2" s="10"/>
      <c r="L2" s="10"/>
      <c r="M2" s="13"/>
      <c r="N2" s="8"/>
      <c r="O2" s="14"/>
      <c r="P2" s="14"/>
      <c r="Q2" s="10"/>
      <c r="R2" s="10"/>
      <c r="S2" s="10"/>
      <c r="T2" s="2"/>
      <c r="U2" s="2"/>
      <c r="V2" s="2"/>
      <c r="W2" s="2"/>
      <c r="X2" s="2"/>
      <c r="Y2" s="2"/>
      <c r="Z2" s="2"/>
    </row>
    <row r="3" spans="1:26" ht="12.75" customHeight="1" x14ac:dyDescent="0.35">
      <c r="A3" s="2"/>
      <c r="B3" s="16" t="s">
        <v>5</v>
      </c>
      <c r="C3" s="16" t="s">
        <v>6</v>
      </c>
      <c r="D3" s="17" t="s">
        <v>7</v>
      </c>
      <c r="E3" s="17" t="s">
        <v>8</v>
      </c>
      <c r="F3" s="17" t="s">
        <v>9</v>
      </c>
      <c r="G3" s="17" t="s">
        <v>10</v>
      </c>
      <c r="H3" s="18" t="s">
        <v>11</v>
      </c>
      <c r="I3" s="17" t="s">
        <v>12</v>
      </c>
      <c r="J3" s="17" t="s">
        <v>13</v>
      </c>
      <c r="K3" s="17" t="s">
        <v>14</v>
      </c>
      <c r="L3" s="17" t="s">
        <v>15</v>
      </c>
      <c r="M3" s="43" t="s">
        <v>16</v>
      </c>
      <c r="N3" s="20" t="s">
        <v>17</v>
      </c>
      <c r="O3" s="20" t="s">
        <v>18</v>
      </c>
      <c r="P3" s="19" t="s">
        <v>19</v>
      </c>
      <c r="Q3" s="19" t="s">
        <v>20</v>
      </c>
      <c r="R3" s="19" t="s">
        <v>21</v>
      </c>
      <c r="S3" s="2"/>
      <c r="T3" s="17" t="s">
        <v>22</v>
      </c>
      <c r="U3" s="19" t="s">
        <v>23</v>
      </c>
      <c r="V3" s="19" t="s">
        <v>24</v>
      </c>
      <c r="W3" s="2"/>
      <c r="X3" s="2"/>
      <c r="Y3" s="2"/>
      <c r="Z3" s="2"/>
    </row>
    <row r="4" spans="1:26" ht="12.75" customHeight="1" x14ac:dyDescent="0.35">
      <c r="A4" s="2"/>
      <c r="B4" s="8" t="s">
        <v>100</v>
      </c>
      <c r="C4" s="8" t="s">
        <v>26</v>
      </c>
      <c r="D4" s="8">
        <v>14</v>
      </c>
      <c r="E4" s="21">
        <v>96</v>
      </c>
      <c r="F4" s="21">
        <v>102</v>
      </c>
      <c r="G4" s="21">
        <v>0</v>
      </c>
      <c r="H4" s="22">
        <v>0</v>
      </c>
      <c r="I4" s="21">
        <v>73</v>
      </c>
      <c r="J4" s="21">
        <v>0</v>
      </c>
      <c r="K4" s="21">
        <f t="shared" ref="K4:K99" si="0">(E4+F4+G4)-(I4+J4)</f>
        <v>125</v>
      </c>
      <c r="L4" s="21">
        <v>74.8</v>
      </c>
      <c r="M4" s="23">
        <v>24</v>
      </c>
      <c r="N4" s="21">
        <f t="shared" ref="N4:N18" si="1">(L4/(I4+J4))*M4</f>
        <v>24.591780821917808</v>
      </c>
      <c r="O4" s="44">
        <v>1.7123287671232876</v>
      </c>
      <c r="P4" s="21">
        <v>0</v>
      </c>
      <c r="Q4" s="21">
        <v>0</v>
      </c>
      <c r="R4" s="21">
        <v>0</v>
      </c>
      <c r="S4" s="2"/>
      <c r="T4" s="25">
        <v>1631375</v>
      </c>
      <c r="U4" s="26">
        <f t="shared" ref="U4:U99" si="2">T4*(I4+J4)</f>
        <v>119090375</v>
      </c>
      <c r="V4" s="26">
        <f t="shared" ref="V4:V99" si="3">T4*L4</f>
        <v>122026850</v>
      </c>
      <c r="W4" s="2"/>
      <c r="X4" s="2"/>
      <c r="Y4" s="2"/>
      <c r="Z4" s="2"/>
    </row>
    <row r="5" spans="1:26" ht="12.75" customHeight="1" x14ac:dyDescent="0.35">
      <c r="A5" s="2"/>
      <c r="B5" s="8" t="s">
        <v>27</v>
      </c>
      <c r="C5" s="8" t="s">
        <v>26</v>
      </c>
      <c r="D5" s="8">
        <v>14</v>
      </c>
      <c r="E5" s="21">
        <v>198</v>
      </c>
      <c r="F5" s="21">
        <v>0</v>
      </c>
      <c r="G5" s="21">
        <v>0</v>
      </c>
      <c r="H5" s="22">
        <v>0</v>
      </c>
      <c r="I5" s="21">
        <v>52</v>
      </c>
      <c r="J5" s="21">
        <v>0</v>
      </c>
      <c r="K5" s="21">
        <f t="shared" si="0"/>
        <v>146</v>
      </c>
      <c r="L5" s="21">
        <v>161</v>
      </c>
      <c r="M5" s="23">
        <v>24</v>
      </c>
      <c r="N5" s="21">
        <f t="shared" si="1"/>
        <v>74.307692307692307</v>
      </c>
      <c r="O5" s="44">
        <v>2.8076923076923075</v>
      </c>
      <c r="P5" s="21">
        <v>0</v>
      </c>
      <c r="Q5" s="21">
        <v>0</v>
      </c>
      <c r="R5" s="21">
        <v>0</v>
      </c>
      <c r="S5" s="2"/>
      <c r="T5" s="25">
        <v>844750</v>
      </c>
      <c r="U5" s="26">
        <f t="shared" si="2"/>
        <v>43927000</v>
      </c>
      <c r="V5" s="26">
        <f t="shared" si="3"/>
        <v>136004750</v>
      </c>
      <c r="W5" s="2"/>
      <c r="X5" s="2"/>
      <c r="Y5" s="2"/>
      <c r="Z5" s="2"/>
    </row>
    <row r="6" spans="1:26" ht="12.75" customHeight="1" x14ac:dyDescent="0.35">
      <c r="A6" s="2"/>
      <c r="B6" s="8" t="s">
        <v>28</v>
      </c>
      <c r="C6" s="8" t="s">
        <v>26</v>
      </c>
      <c r="D6" s="8">
        <v>14</v>
      </c>
      <c r="E6" s="21">
        <v>139</v>
      </c>
      <c r="F6" s="21">
        <v>0</v>
      </c>
      <c r="G6" s="21">
        <v>0</v>
      </c>
      <c r="H6" s="22">
        <v>0</v>
      </c>
      <c r="I6" s="21">
        <v>58</v>
      </c>
      <c r="J6" s="21">
        <v>0</v>
      </c>
      <c r="K6" s="21">
        <f t="shared" si="0"/>
        <v>81</v>
      </c>
      <c r="L6" s="21">
        <v>81</v>
      </c>
      <c r="M6" s="23">
        <v>24</v>
      </c>
      <c r="N6" s="21">
        <f t="shared" si="1"/>
        <v>33.517241379310349</v>
      </c>
      <c r="O6" s="44">
        <v>1.396551724137931</v>
      </c>
      <c r="P6" s="21">
        <v>0</v>
      </c>
      <c r="Q6" s="21">
        <v>100</v>
      </c>
      <c r="R6" s="21">
        <v>0</v>
      </c>
      <c r="S6" s="2"/>
      <c r="T6" s="25">
        <v>928605</v>
      </c>
      <c r="U6" s="26">
        <f t="shared" si="2"/>
        <v>53859090</v>
      </c>
      <c r="V6" s="26">
        <f t="shared" si="3"/>
        <v>75217005</v>
      </c>
      <c r="W6" s="2"/>
      <c r="X6" s="2"/>
      <c r="Y6" s="2"/>
      <c r="Z6" s="2"/>
    </row>
    <row r="7" spans="1:26" ht="12.75" customHeight="1" x14ac:dyDescent="0.35">
      <c r="A7" s="2"/>
      <c r="B7" s="8" t="s">
        <v>29</v>
      </c>
      <c r="C7" s="8" t="s">
        <v>26</v>
      </c>
      <c r="D7" s="8">
        <v>14</v>
      </c>
      <c r="E7" s="21">
        <v>68</v>
      </c>
      <c r="F7" s="21">
        <v>347</v>
      </c>
      <c r="G7" s="21">
        <v>0</v>
      </c>
      <c r="H7" s="22">
        <v>0</v>
      </c>
      <c r="I7" s="21">
        <v>0</v>
      </c>
      <c r="J7" s="21">
        <v>229</v>
      </c>
      <c r="K7" s="21">
        <f t="shared" si="0"/>
        <v>186</v>
      </c>
      <c r="L7" s="21">
        <v>96.454545454545496</v>
      </c>
      <c r="M7" s="23">
        <v>24</v>
      </c>
      <c r="N7" s="21">
        <f t="shared" si="1"/>
        <v>10.108773322747126</v>
      </c>
      <c r="O7" s="44">
        <v>0.81222707423580787</v>
      </c>
      <c r="P7" s="21">
        <v>23</v>
      </c>
      <c r="Q7" s="21">
        <v>100</v>
      </c>
      <c r="R7" s="21">
        <v>0</v>
      </c>
      <c r="S7" s="2"/>
      <c r="T7" s="25">
        <v>1329900</v>
      </c>
      <c r="U7" s="26">
        <f t="shared" si="2"/>
        <v>304547100</v>
      </c>
      <c r="V7" s="26">
        <f t="shared" si="3"/>
        <v>128274900.00000006</v>
      </c>
      <c r="W7" s="2"/>
      <c r="X7" s="2"/>
      <c r="Y7" s="2"/>
      <c r="Z7" s="2"/>
    </row>
    <row r="8" spans="1:26" ht="12.75" customHeight="1" x14ac:dyDescent="0.35">
      <c r="A8" s="2"/>
      <c r="B8" s="8" t="s">
        <v>116</v>
      </c>
      <c r="C8" s="8" t="s">
        <v>26</v>
      </c>
      <c r="D8" s="8">
        <v>14</v>
      </c>
      <c r="E8" s="21">
        <v>262</v>
      </c>
      <c r="F8" s="21">
        <v>83</v>
      </c>
      <c r="G8" s="21">
        <v>0</v>
      </c>
      <c r="H8" s="22">
        <v>0</v>
      </c>
      <c r="I8" s="21">
        <v>159</v>
      </c>
      <c r="J8" s="21">
        <v>0</v>
      </c>
      <c r="K8" s="21">
        <f t="shared" si="0"/>
        <v>186</v>
      </c>
      <c r="L8" s="21">
        <v>164.25</v>
      </c>
      <c r="M8" s="23">
        <v>24</v>
      </c>
      <c r="N8" s="21">
        <f t="shared" si="1"/>
        <v>24.79245283018868</v>
      </c>
      <c r="O8" s="44">
        <v>1.1698113207547169</v>
      </c>
      <c r="P8" s="21">
        <v>17</v>
      </c>
      <c r="Q8" s="21">
        <v>160</v>
      </c>
      <c r="R8" s="21">
        <v>0</v>
      </c>
      <c r="S8" s="2"/>
      <c r="T8" s="25">
        <v>865210</v>
      </c>
      <c r="U8" s="26">
        <f t="shared" si="2"/>
        <v>137568390</v>
      </c>
      <c r="V8" s="26">
        <f t="shared" si="3"/>
        <v>142110742.5</v>
      </c>
      <c r="W8" s="2"/>
      <c r="X8" s="2"/>
      <c r="Y8" s="2"/>
      <c r="Z8" s="2"/>
    </row>
    <row r="9" spans="1:26" ht="12.75" customHeight="1" x14ac:dyDescent="0.35">
      <c r="A9" s="2"/>
      <c r="B9" s="8" t="s">
        <v>117</v>
      </c>
      <c r="C9" s="8" t="s">
        <v>26</v>
      </c>
      <c r="D9" s="8">
        <v>14</v>
      </c>
      <c r="E9" s="21">
        <v>113</v>
      </c>
      <c r="F9" s="21">
        <v>460</v>
      </c>
      <c r="G9" s="21">
        <v>0</v>
      </c>
      <c r="H9" s="22">
        <v>0</v>
      </c>
      <c r="I9" s="21">
        <v>437</v>
      </c>
      <c r="J9" s="21">
        <v>0</v>
      </c>
      <c r="K9" s="21">
        <f t="shared" si="0"/>
        <v>136</v>
      </c>
      <c r="L9" s="21">
        <v>253.5</v>
      </c>
      <c r="M9" s="23">
        <v>24</v>
      </c>
      <c r="N9" s="21">
        <f t="shared" si="1"/>
        <v>13.922196796338671</v>
      </c>
      <c r="O9" s="44">
        <v>0.31121281464530892</v>
      </c>
      <c r="P9" s="21">
        <v>0</v>
      </c>
      <c r="Q9" s="21">
        <v>425</v>
      </c>
      <c r="R9" s="21">
        <v>0</v>
      </c>
      <c r="S9" s="2"/>
      <c r="T9" s="25">
        <v>865210</v>
      </c>
      <c r="U9" s="26">
        <f t="shared" si="2"/>
        <v>378096770</v>
      </c>
      <c r="V9" s="26">
        <f t="shared" si="3"/>
        <v>219330735</v>
      </c>
      <c r="W9" s="2"/>
      <c r="X9" s="2"/>
      <c r="Y9" s="2"/>
      <c r="Z9" s="2"/>
    </row>
    <row r="10" spans="1:26" ht="12.75" customHeight="1" x14ac:dyDescent="0.35">
      <c r="A10" s="2"/>
      <c r="B10" s="8" t="s">
        <v>30</v>
      </c>
      <c r="C10" s="8" t="s">
        <v>26</v>
      </c>
      <c r="D10" s="8">
        <v>14</v>
      </c>
      <c r="E10" s="21">
        <v>216</v>
      </c>
      <c r="F10" s="21">
        <v>23</v>
      </c>
      <c r="G10" s="21">
        <v>0</v>
      </c>
      <c r="H10" s="22">
        <v>0</v>
      </c>
      <c r="I10" s="21">
        <v>54</v>
      </c>
      <c r="J10" s="21">
        <v>0</v>
      </c>
      <c r="K10" s="21">
        <f t="shared" si="0"/>
        <v>185</v>
      </c>
      <c r="L10" s="21">
        <v>173.5</v>
      </c>
      <c r="M10" s="23">
        <v>24</v>
      </c>
      <c r="N10" s="21">
        <f t="shared" si="1"/>
        <v>77.111111111111114</v>
      </c>
      <c r="O10" s="44">
        <v>3.425925925925926</v>
      </c>
      <c r="P10" s="21">
        <v>0</v>
      </c>
      <c r="Q10" s="21">
        <v>100</v>
      </c>
      <c r="R10" s="21">
        <v>0</v>
      </c>
      <c r="S10" s="2"/>
      <c r="T10" s="25">
        <v>841116</v>
      </c>
      <c r="U10" s="26">
        <f t="shared" si="2"/>
        <v>45420264</v>
      </c>
      <c r="V10" s="26">
        <f t="shared" si="3"/>
        <v>145933626</v>
      </c>
      <c r="W10" s="2"/>
      <c r="X10" s="2"/>
      <c r="Y10" s="2"/>
      <c r="Z10" s="2"/>
    </row>
    <row r="11" spans="1:26" ht="12.75" customHeight="1" x14ac:dyDescent="0.35">
      <c r="A11" s="2"/>
      <c r="B11" s="8" t="s">
        <v>31</v>
      </c>
      <c r="C11" s="8" t="s">
        <v>26</v>
      </c>
      <c r="D11" s="8">
        <v>14</v>
      </c>
      <c r="E11" s="21">
        <v>42</v>
      </c>
      <c r="F11" s="21">
        <v>0</v>
      </c>
      <c r="G11" s="21">
        <v>0</v>
      </c>
      <c r="H11" s="22">
        <v>0</v>
      </c>
      <c r="I11" s="21">
        <v>16</v>
      </c>
      <c r="J11" s="21">
        <v>0</v>
      </c>
      <c r="K11" s="21">
        <f t="shared" si="0"/>
        <v>26</v>
      </c>
      <c r="L11" s="21">
        <v>26</v>
      </c>
      <c r="M11" s="23">
        <v>24</v>
      </c>
      <c r="N11" s="21">
        <f t="shared" si="1"/>
        <v>39</v>
      </c>
      <c r="O11" s="44">
        <v>1.625</v>
      </c>
      <c r="P11" s="21">
        <v>0</v>
      </c>
      <c r="Q11" s="21">
        <v>0</v>
      </c>
      <c r="R11" s="21">
        <v>0</v>
      </c>
      <c r="S11" s="2"/>
      <c r="T11" s="25">
        <v>928605</v>
      </c>
      <c r="U11" s="26">
        <f t="shared" si="2"/>
        <v>14857680</v>
      </c>
      <c r="V11" s="26">
        <f t="shared" si="3"/>
        <v>24143730</v>
      </c>
      <c r="W11" s="2"/>
      <c r="X11" s="2"/>
      <c r="Y11" s="2"/>
      <c r="Z11" s="2"/>
    </row>
    <row r="12" spans="1:26" ht="12.75" customHeight="1" x14ac:dyDescent="0.35">
      <c r="A12" s="2"/>
      <c r="B12" s="8" t="s">
        <v>118</v>
      </c>
      <c r="C12" s="8" t="s">
        <v>26</v>
      </c>
      <c r="D12" s="8">
        <v>14</v>
      </c>
      <c r="E12" s="21">
        <v>385</v>
      </c>
      <c r="F12" s="21">
        <v>327</v>
      </c>
      <c r="G12" s="21">
        <v>0</v>
      </c>
      <c r="H12" s="22">
        <v>0</v>
      </c>
      <c r="I12" s="21">
        <v>0</v>
      </c>
      <c r="J12" s="21">
        <v>223</v>
      </c>
      <c r="K12" s="21">
        <f t="shared" si="0"/>
        <v>489</v>
      </c>
      <c r="L12" s="21">
        <v>503</v>
      </c>
      <c r="M12" s="23">
        <v>24</v>
      </c>
      <c r="N12" s="21">
        <f t="shared" si="1"/>
        <v>54.134529147982065</v>
      </c>
      <c r="O12" s="44">
        <v>2.1928251121076232</v>
      </c>
      <c r="P12" s="21">
        <v>0</v>
      </c>
      <c r="Q12" s="21">
        <v>0</v>
      </c>
      <c r="R12" s="21">
        <v>0</v>
      </c>
      <c r="S12" s="2"/>
      <c r="T12" s="25">
        <v>139965</v>
      </c>
      <c r="U12" s="26">
        <f t="shared" si="2"/>
        <v>31212195</v>
      </c>
      <c r="V12" s="26">
        <f t="shared" si="3"/>
        <v>70402395</v>
      </c>
      <c r="W12" s="2"/>
      <c r="X12" s="2"/>
      <c r="Y12" s="2"/>
      <c r="Z12" s="2"/>
    </row>
    <row r="13" spans="1:26" ht="12.75" customHeight="1" x14ac:dyDescent="0.35">
      <c r="A13" s="2"/>
      <c r="B13" s="8" t="s">
        <v>101</v>
      </c>
      <c r="C13" s="8" t="s">
        <v>26</v>
      </c>
      <c r="D13" s="8">
        <v>14</v>
      </c>
      <c r="E13" s="21">
        <v>55</v>
      </c>
      <c r="F13" s="21">
        <v>160</v>
      </c>
      <c r="G13" s="21">
        <v>0</v>
      </c>
      <c r="H13" s="22">
        <v>0</v>
      </c>
      <c r="I13" s="21">
        <v>0</v>
      </c>
      <c r="J13" s="21">
        <v>55</v>
      </c>
      <c r="K13" s="21">
        <f t="shared" si="0"/>
        <v>160</v>
      </c>
      <c r="L13" s="21">
        <v>80</v>
      </c>
      <c r="M13" s="23">
        <v>24</v>
      </c>
      <c r="N13" s="21">
        <f t="shared" si="1"/>
        <v>34.909090909090907</v>
      </c>
      <c r="O13" s="44">
        <v>2.9090909090909092</v>
      </c>
      <c r="P13" s="21">
        <v>0</v>
      </c>
      <c r="Q13" s="21">
        <v>0</v>
      </c>
      <c r="R13" s="21">
        <v>0</v>
      </c>
      <c r="S13" s="2"/>
      <c r="T13" s="25">
        <v>165230</v>
      </c>
      <c r="U13" s="26">
        <f t="shared" si="2"/>
        <v>9087650</v>
      </c>
      <c r="V13" s="26">
        <f t="shared" si="3"/>
        <v>13218400</v>
      </c>
      <c r="W13" s="2"/>
      <c r="X13" s="2"/>
      <c r="Y13" s="2"/>
      <c r="Z13" s="2"/>
    </row>
    <row r="14" spans="1:26" ht="12.75" customHeight="1" x14ac:dyDescent="0.35">
      <c r="A14" s="2"/>
      <c r="B14" s="8" t="s">
        <v>102</v>
      </c>
      <c r="C14" s="8" t="s">
        <v>26</v>
      </c>
      <c r="D14" s="8">
        <v>14</v>
      </c>
      <c r="E14" s="21">
        <v>4493</v>
      </c>
      <c r="F14" s="21">
        <v>0</v>
      </c>
      <c r="G14" s="21">
        <v>0</v>
      </c>
      <c r="H14" s="22">
        <v>0</v>
      </c>
      <c r="I14" s="21">
        <v>0</v>
      </c>
      <c r="J14" s="21">
        <v>576</v>
      </c>
      <c r="K14" s="21">
        <f t="shared" si="0"/>
        <v>3917</v>
      </c>
      <c r="L14" s="21">
        <v>4109</v>
      </c>
      <c r="M14" s="23">
        <v>24</v>
      </c>
      <c r="N14" s="21">
        <f t="shared" si="1"/>
        <v>171.20833333333331</v>
      </c>
      <c r="O14" s="44">
        <v>6.8003472222222223</v>
      </c>
      <c r="P14" s="21">
        <v>330</v>
      </c>
      <c r="Q14" s="21">
        <v>0</v>
      </c>
      <c r="R14" s="21">
        <v>0</v>
      </c>
      <c r="S14" s="2"/>
      <c r="T14" s="25">
        <v>139965</v>
      </c>
      <c r="U14" s="26">
        <f t="shared" si="2"/>
        <v>80619840</v>
      </c>
      <c r="V14" s="26">
        <f t="shared" si="3"/>
        <v>575116185</v>
      </c>
      <c r="W14" s="2"/>
      <c r="X14" s="2"/>
      <c r="Y14" s="2"/>
      <c r="Z14" s="2"/>
    </row>
    <row r="15" spans="1:26" ht="12.75" customHeight="1" x14ac:dyDescent="0.35">
      <c r="A15" s="2"/>
      <c r="B15" s="8" t="s">
        <v>103</v>
      </c>
      <c r="C15" s="8" t="s">
        <v>26</v>
      </c>
      <c r="D15" s="8">
        <v>14</v>
      </c>
      <c r="E15" s="21">
        <v>494.25</v>
      </c>
      <c r="F15" s="21">
        <v>0</v>
      </c>
      <c r="G15" s="21">
        <v>0</v>
      </c>
      <c r="H15" s="22">
        <v>0</v>
      </c>
      <c r="I15" s="21">
        <v>0</v>
      </c>
      <c r="J15" s="21">
        <v>321</v>
      </c>
      <c r="K15" s="21">
        <f t="shared" si="0"/>
        <v>173.25</v>
      </c>
      <c r="L15" s="21">
        <v>237.75</v>
      </c>
      <c r="M15" s="23">
        <v>24</v>
      </c>
      <c r="N15" s="21">
        <f t="shared" si="1"/>
        <v>17.77570093457944</v>
      </c>
      <c r="O15" s="44">
        <v>0.53971962616822433</v>
      </c>
      <c r="P15" s="21">
        <v>0</v>
      </c>
      <c r="Q15" s="21">
        <v>0</v>
      </c>
      <c r="R15" s="21">
        <v>0</v>
      </c>
      <c r="S15" s="2"/>
      <c r="T15" s="25">
        <v>139965</v>
      </c>
      <c r="U15" s="26">
        <f t="shared" si="2"/>
        <v>44928765</v>
      </c>
      <c r="V15" s="26">
        <f t="shared" si="3"/>
        <v>33276678.75</v>
      </c>
      <c r="W15" s="2"/>
      <c r="X15" s="2"/>
      <c r="Y15" s="2"/>
      <c r="Z15" s="2"/>
    </row>
    <row r="16" spans="1:26" ht="12.75" customHeight="1" x14ac:dyDescent="0.35">
      <c r="A16" s="2"/>
      <c r="B16" s="8" t="s">
        <v>32</v>
      </c>
      <c r="C16" s="8" t="s">
        <v>26</v>
      </c>
      <c r="D16" s="8">
        <v>14</v>
      </c>
      <c r="E16" s="21">
        <v>8</v>
      </c>
      <c r="F16" s="21">
        <v>165</v>
      </c>
      <c r="G16" s="21">
        <v>0</v>
      </c>
      <c r="H16" s="22">
        <v>0</v>
      </c>
      <c r="I16" s="21">
        <v>0</v>
      </c>
      <c r="J16" s="21">
        <v>120</v>
      </c>
      <c r="K16" s="21">
        <f t="shared" si="0"/>
        <v>53</v>
      </c>
      <c r="L16" s="21">
        <v>42.2</v>
      </c>
      <c r="M16" s="23">
        <v>24</v>
      </c>
      <c r="N16" s="21">
        <f t="shared" si="1"/>
        <v>8.4400000000000013</v>
      </c>
      <c r="O16" s="44">
        <v>0.44166666666666665</v>
      </c>
      <c r="P16" s="21">
        <v>0</v>
      </c>
      <c r="Q16" s="21">
        <v>50</v>
      </c>
      <c r="R16" s="21">
        <v>0</v>
      </c>
      <c r="S16" s="2"/>
      <c r="T16" s="25">
        <v>3438210</v>
      </c>
      <c r="U16" s="26">
        <f t="shared" si="2"/>
        <v>412585200</v>
      </c>
      <c r="V16" s="26">
        <f t="shared" si="3"/>
        <v>145092462</v>
      </c>
      <c r="W16" s="2"/>
      <c r="X16" s="2"/>
      <c r="Y16" s="2"/>
      <c r="Z16" s="2"/>
    </row>
    <row r="17" spans="1:26" ht="12.75" customHeight="1" x14ac:dyDescent="0.35">
      <c r="A17" s="2"/>
      <c r="B17" s="8" t="s">
        <v>33</v>
      </c>
      <c r="C17" s="8" t="s">
        <v>26</v>
      </c>
      <c r="D17" s="8">
        <v>14</v>
      </c>
      <c r="E17" s="21">
        <v>299</v>
      </c>
      <c r="F17" s="21">
        <v>1319</v>
      </c>
      <c r="G17" s="21">
        <v>0</v>
      </c>
      <c r="H17" s="22">
        <v>0</v>
      </c>
      <c r="I17" s="21">
        <v>0</v>
      </c>
      <c r="J17" s="21">
        <v>960</v>
      </c>
      <c r="K17" s="21">
        <f t="shared" si="0"/>
        <v>658</v>
      </c>
      <c r="L17" s="21">
        <v>845.33333333333303</v>
      </c>
      <c r="M17" s="23">
        <v>24</v>
      </c>
      <c r="N17" s="21">
        <f t="shared" si="1"/>
        <v>21.133333333333326</v>
      </c>
      <c r="O17" s="44">
        <v>0.68541666666666667</v>
      </c>
      <c r="P17" s="21">
        <v>0</v>
      </c>
      <c r="Q17" s="21">
        <v>431</v>
      </c>
      <c r="R17" s="21">
        <v>100</v>
      </c>
      <c r="S17" s="2"/>
      <c r="T17" s="25">
        <v>165230</v>
      </c>
      <c r="U17" s="26">
        <f t="shared" si="2"/>
        <v>158620800</v>
      </c>
      <c r="V17" s="26">
        <f t="shared" si="3"/>
        <v>139674426.66666663</v>
      </c>
      <c r="W17" s="2"/>
      <c r="X17" s="2"/>
      <c r="Y17" s="2"/>
      <c r="Z17" s="2"/>
    </row>
    <row r="18" spans="1:26" ht="12.75" customHeight="1" x14ac:dyDescent="0.35">
      <c r="A18" s="2"/>
      <c r="B18" s="8" t="s">
        <v>119</v>
      </c>
      <c r="C18" s="8" t="s">
        <v>26</v>
      </c>
      <c r="D18" s="8">
        <v>14</v>
      </c>
      <c r="E18" s="21">
        <v>234</v>
      </c>
      <c r="F18" s="21">
        <v>0</v>
      </c>
      <c r="G18" s="21">
        <v>0</v>
      </c>
      <c r="H18" s="22">
        <v>0</v>
      </c>
      <c r="I18" s="21">
        <v>12</v>
      </c>
      <c r="J18" s="21">
        <v>0</v>
      </c>
      <c r="K18" s="21">
        <f t="shared" si="0"/>
        <v>222</v>
      </c>
      <c r="L18" s="21">
        <v>225</v>
      </c>
      <c r="M18" s="23">
        <v>24</v>
      </c>
      <c r="N18" s="21">
        <f t="shared" si="1"/>
        <v>450</v>
      </c>
      <c r="O18" s="44">
        <v>18.5</v>
      </c>
      <c r="P18" s="21">
        <v>0</v>
      </c>
      <c r="Q18" s="21">
        <v>0</v>
      </c>
      <c r="R18" s="21">
        <v>0</v>
      </c>
      <c r="S18" s="2"/>
      <c r="T18" s="25">
        <v>1516675</v>
      </c>
      <c r="U18" s="26">
        <f t="shared" si="2"/>
        <v>18200100</v>
      </c>
      <c r="V18" s="26">
        <f t="shared" si="3"/>
        <v>341251875</v>
      </c>
      <c r="W18" s="2"/>
      <c r="X18" s="2"/>
      <c r="Y18" s="2"/>
      <c r="Z18" s="2"/>
    </row>
    <row r="19" spans="1:26" ht="12.75" customHeight="1" x14ac:dyDescent="0.35">
      <c r="A19" s="2"/>
      <c r="B19" s="8" t="s">
        <v>119</v>
      </c>
      <c r="C19" s="8" t="s">
        <v>26</v>
      </c>
      <c r="D19" s="8">
        <v>14</v>
      </c>
      <c r="E19" s="21">
        <v>22</v>
      </c>
      <c r="F19" s="21">
        <v>0</v>
      </c>
      <c r="G19" s="21">
        <v>0</v>
      </c>
      <c r="H19" s="22">
        <v>0</v>
      </c>
      <c r="I19" s="21">
        <v>0</v>
      </c>
      <c r="J19" s="21">
        <v>0</v>
      </c>
      <c r="K19" s="21">
        <f t="shared" si="0"/>
        <v>22</v>
      </c>
      <c r="L19" s="21">
        <v>0</v>
      </c>
      <c r="M19" s="23">
        <v>24</v>
      </c>
      <c r="N19" s="21">
        <v>0</v>
      </c>
      <c r="O19" s="44">
        <v>0</v>
      </c>
      <c r="P19" s="21">
        <v>0</v>
      </c>
      <c r="Q19" s="21">
        <v>0</v>
      </c>
      <c r="R19" s="21">
        <v>0</v>
      </c>
      <c r="S19" s="2"/>
      <c r="T19" s="25">
        <v>1516675</v>
      </c>
      <c r="U19" s="26">
        <f t="shared" si="2"/>
        <v>0</v>
      </c>
      <c r="V19" s="26">
        <f t="shared" si="3"/>
        <v>0</v>
      </c>
      <c r="W19" s="2"/>
      <c r="X19" s="2"/>
      <c r="Y19" s="2"/>
      <c r="Z19" s="2"/>
    </row>
    <row r="20" spans="1:26" ht="12.75" customHeight="1" x14ac:dyDescent="0.35">
      <c r="A20" s="2"/>
      <c r="B20" s="8" t="s">
        <v>35</v>
      </c>
      <c r="C20" s="8" t="s">
        <v>26</v>
      </c>
      <c r="D20" s="8">
        <v>14</v>
      </c>
      <c r="E20" s="21">
        <v>57</v>
      </c>
      <c r="F20" s="21">
        <v>0</v>
      </c>
      <c r="G20" s="21">
        <v>0</v>
      </c>
      <c r="H20" s="22">
        <v>0</v>
      </c>
      <c r="I20" s="21">
        <v>0</v>
      </c>
      <c r="J20" s="21">
        <v>0</v>
      </c>
      <c r="K20" s="21">
        <f t="shared" si="0"/>
        <v>57</v>
      </c>
      <c r="L20" s="21">
        <v>0</v>
      </c>
      <c r="M20" s="23">
        <v>24</v>
      </c>
      <c r="N20" s="21">
        <v>0</v>
      </c>
      <c r="O20" s="44">
        <v>0</v>
      </c>
      <c r="P20" s="21">
        <v>0</v>
      </c>
      <c r="Q20" s="21">
        <v>0</v>
      </c>
      <c r="R20" s="21">
        <v>0</v>
      </c>
      <c r="S20" s="2"/>
      <c r="T20" s="25">
        <v>1516675</v>
      </c>
      <c r="U20" s="26">
        <f t="shared" si="2"/>
        <v>0</v>
      </c>
      <c r="V20" s="26">
        <f t="shared" si="3"/>
        <v>0</v>
      </c>
      <c r="W20" s="2"/>
      <c r="X20" s="2"/>
      <c r="Y20" s="2"/>
      <c r="Z20" s="2"/>
    </row>
    <row r="21" spans="1:26" ht="12.75" customHeight="1" x14ac:dyDescent="0.35">
      <c r="A21" s="2"/>
      <c r="B21" s="8" t="s">
        <v>149</v>
      </c>
      <c r="C21" s="8" t="s">
        <v>26</v>
      </c>
      <c r="D21" s="8">
        <v>14</v>
      </c>
      <c r="E21" s="21">
        <v>0</v>
      </c>
      <c r="F21" s="21">
        <v>55</v>
      </c>
      <c r="G21" s="21">
        <v>0</v>
      </c>
      <c r="H21" s="22">
        <v>0</v>
      </c>
      <c r="I21" s="21">
        <v>0</v>
      </c>
      <c r="J21" s="21">
        <v>0</v>
      </c>
      <c r="K21" s="21">
        <f t="shared" si="0"/>
        <v>55</v>
      </c>
      <c r="L21" s="21">
        <v>55</v>
      </c>
      <c r="M21" s="23">
        <v>24</v>
      </c>
      <c r="N21" s="21">
        <v>0</v>
      </c>
      <c r="O21" s="44">
        <v>0</v>
      </c>
      <c r="P21" s="21">
        <v>0</v>
      </c>
      <c r="Q21" s="21">
        <v>0</v>
      </c>
      <c r="R21" s="21">
        <v>0</v>
      </c>
      <c r="S21" s="2"/>
      <c r="T21" s="25">
        <v>1516675</v>
      </c>
      <c r="U21" s="26">
        <f t="shared" si="2"/>
        <v>0</v>
      </c>
      <c r="V21" s="26">
        <f t="shared" si="3"/>
        <v>83417125</v>
      </c>
      <c r="W21" s="2"/>
      <c r="X21" s="2"/>
      <c r="Y21" s="2"/>
      <c r="Z21" s="2"/>
    </row>
    <row r="22" spans="1:26" ht="12.75" customHeight="1" x14ac:dyDescent="0.35">
      <c r="A22" s="2"/>
      <c r="B22" s="8" t="s">
        <v>36</v>
      </c>
      <c r="C22" s="8" t="s">
        <v>26</v>
      </c>
      <c r="D22" s="8">
        <v>14</v>
      </c>
      <c r="E22" s="21">
        <v>3</v>
      </c>
      <c r="F22" s="21">
        <v>37</v>
      </c>
      <c r="G22" s="21">
        <v>0</v>
      </c>
      <c r="H22" s="22">
        <v>0</v>
      </c>
      <c r="I22" s="21">
        <v>11</v>
      </c>
      <c r="J22" s="21">
        <v>0</v>
      </c>
      <c r="K22" s="21">
        <f t="shared" si="0"/>
        <v>29</v>
      </c>
      <c r="L22" s="21">
        <v>26.400000000000002</v>
      </c>
      <c r="M22" s="23">
        <v>24</v>
      </c>
      <c r="N22" s="21">
        <f t="shared" ref="N22:N32" si="4">(L22/(I22+J22))*M22</f>
        <v>57.600000000000009</v>
      </c>
      <c r="O22" s="44">
        <v>2.6363636363636362</v>
      </c>
      <c r="P22" s="21">
        <v>0</v>
      </c>
      <c r="Q22" s="21">
        <v>0</v>
      </c>
      <c r="R22" s="21">
        <v>0</v>
      </c>
      <c r="S22" s="2"/>
      <c r="T22" s="25">
        <v>1516675</v>
      </c>
      <c r="U22" s="26">
        <f t="shared" si="2"/>
        <v>16683425</v>
      </c>
      <c r="V22" s="26">
        <f t="shared" si="3"/>
        <v>40040220</v>
      </c>
      <c r="W22" s="2"/>
      <c r="X22" s="2"/>
      <c r="Y22" s="2"/>
      <c r="Z22" s="2"/>
    </row>
    <row r="23" spans="1:26" ht="12.75" customHeight="1" x14ac:dyDescent="0.35">
      <c r="A23" s="2"/>
      <c r="B23" s="8" t="s">
        <v>141</v>
      </c>
      <c r="C23" s="8" t="s">
        <v>26</v>
      </c>
      <c r="D23" s="8">
        <v>14</v>
      </c>
      <c r="E23" s="21">
        <v>41</v>
      </c>
      <c r="F23" s="21">
        <v>0</v>
      </c>
      <c r="G23" s="21">
        <v>0</v>
      </c>
      <c r="H23" s="22">
        <v>0</v>
      </c>
      <c r="I23" s="21">
        <v>12</v>
      </c>
      <c r="J23" s="21">
        <v>0</v>
      </c>
      <c r="K23" s="21">
        <f t="shared" si="0"/>
        <v>29</v>
      </c>
      <c r="L23" s="21">
        <v>34.5</v>
      </c>
      <c r="M23" s="23">
        <v>24</v>
      </c>
      <c r="N23" s="21">
        <f t="shared" si="4"/>
        <v>69</v>
      </c>
      <c r="O23" s="44">
        <v>2.4166666666666665</v>
      </c>
      <c r="P23" s="21">
        <v>0</v>
      </c>
      <c r="Q23" s="21">
        <v>0</v>
      </c>
      <c r="R23" s="21">
        <v>0</v>
      </c>
      <c r="S23" s="2"/>
      <c r="T23" s="25">
        <v>1516675</v>
      </c>
      <c r="U23" s="26">
        <f t="shared" si="2"/>
        <v>18200100</v>
      </c>
      <c r="V23" s="26">
        <f t="shared" si="3"/>
        <v>52325287.5</v>
      </c>
      <c r="W23" s="2"/>
      <c r="X23" s="2"/>
      <c r="Y23" s="2"/>
      <c r="Z23" s="2"/>
    </row>
    <row r="24" spans="1:26" ht="12.75" customHeight="1" x14ac:dyDescent="0.35">
      <c r="A24" s="2"/>
      <c r="B24" s="8" t="s">
        <v>141</v>
      </c>
      <c r="C24" s="8" t="s">
        <v>26</v>
      </c>
      <c r="D24" s="8">
        <v>14</v>
      </c>
      <c r="E24" s="21">
        <v>111</v>
      </c>
      <c r="F24" s="21">
        <v>0</v>
      </c>
      <c r="G24" s="21">
        <v>0</v>
      </c>
      <c r="H24" s="22">
        <v>0</v>
      </c>
      <c r="I24" s="21">
        <v>36</v>
      </c>
      <c r="J24" s="21">
        <v>0</v>
      </c>
      <c r="K24" s="21">
        <f t="shared" si="0"/>
        <v>75</v>
      </c>
      <c r="L24" s="21">
        <v>89.285714285714292</v>
      </c>
      <c r="M24" s="23">
        <v>24</v>
      </c>
      <c r="N24" s="21">
        <f t="shared" si="4"/>
        <v>59.523809523809526</v>
      </c>
      <c r="O24" s="44">
        <v>2.0833333333333335</v>
      </c>
      <c r="P24" s="21">
        <v>0</v>
      </c>
      <c r="Q24" s="21">
        <v>0</v>
      </c>
      <c r="R24" s="21">
        <v>0</v>
      </c>
      <c r="S24" s="2"/>
      <c r="T24" s="25">
        <v>1516675</v>
      </c>
      <c r="U24" s="26">
        <f t="shared" si="2"/>
        <v>54600300</v>
      </c>
      <c r="V24" s="26">
        <f t="shared" si="3"/>
        <v>135417410.71428573</v>
      </c>
      <c r="W24" s="2"/>
      <c r="X24" s="2"/>
      <c r="Y24" s="2"/>
      <c r="Z24" s="2"/>
    </row>
    <row r="25" spans="1:26" ht="12.75" customHeight="1" x14ac:dyDescent="0.35">
      <c r="A25" s="2"/>
      <c r="B25" s="8" t="s">
        <v>39</v>
      </c>
      <c r="C25" s="8" t="s">
        <v>26</v>
      </c>
      <c r="D25" s="8">
        <v>14</v>
      </c>
      <c r="E25" s="21">
        <v>53</v>
      </c>
      <c r="F25" s="21">
        <v>0</v>
      </c>
      <c r="G25" s="21">
        <v>0</v>
      </c>
      <c r="H25" s="22">
        <v>0</v>
      </c>
      <c r="I25" s="21">
        <v>12</v>
      </c>
      <c r="J25" s="21">
        <v>0</v>
      </c>
      <c r="K25" s="21">
        <f t="shared" si="0"/>
        <v>41</v>
      </c>
      <c r="L25" s="21">
        <v>46.5</v>
      </c>
      <c r="M25" s="23">
        <v>24</v>
      </c>
      <c r="N25" s="21">
        <f t="shared" si="4"/>
        <v>93</v>
      </c>
      <c r="O25" s="44">
        <v>3.4166666666666665</v>
      </c>
      <c r="P25" s="21">
        <v>0</v>
      </c>
      <c r="Q25" s="21">
        <v>36</v>
      </c>
      <c r="R25" s="21">
        <v>0</v>
      </c>
      <c r="S25" s="2"/>
      <c r="T25" s="25">
        <v>1516675</v>
      </c>
      <c r="U25" s="26">
        <f t="shared" si="2"/>
        <v>18200100</v>
      </c>
      <c r="V25" s="26">
        <f t="shared" si="3"/>
        <v>70525387.5</v>
      </c>
      <c r="W25" s="2"/>
      <c r="X25" s="2"/>
      <c r="Y25" s="2"/>
      <c r="Z25" s="2"/>
    </row>
    <row r="26" spans="1:26" ht="12.75" customHeight="1" x14ac:dyDescent="0.35">
      <c r="A26" s="2"/>
      <c r="B26" s="8" t="s">
        <v>120</v>
      </c>
      <c r="C26" s="8" t="s">
        <v>26</v>
      </c>
      <c r="D26" s="8">
        <v>14</v>
      </c>
      <c r="E26" s="21">
        <v>72</v>
      </c>
      <c r="F26" s="21">
        <v>138</v>
      </c>
      <c r="G26" s="21">
        <v>0</v>
      </c>
      <c r="H26" s="22">
        <v>0</v>
      </c>
      <c r="I26" s="21">
        <v>172</v>
      </c>
      <c r="J26" s="21">
        <v>0</v>
      </c>
      <c r="K26" s="21">
        <f t="shared" si="0"/>
        <v>38</v>
      </c>
      <c r="L26" s="21">
        <v>83.75</v>
      </c>
      <c r="M26" s="23">
        <v>24</v>
      </c>
      <c r="N26" s="21">
        <f t="shared" si="4"/>
        <v>11.686046511627907</v>
      </c>
      <c r="O26" s="44">
        <v>0.22093023255813954</v>
      </c>
      <c r="P26" s="21">
        <v>3</v>
      </c>
      <c r="Q26" s="21">
        <v>0</v>
      </c>
      <c r="R26" s="21">
        <v>0</v>
      </c>
      <c r="S26" s="2"/>
      <c r="T26" s="25">
        <v>1345865</v>
      </c>
      <c r="U26" s="26">
        <f t="shared" si="2"/>
        <v>231488780</v>
      </c>
      <c r="V26" s="26">
        <f t="shared" si="3"/>
        <v>112716193.75</v>
      </c>
      <c r="W26" s="2"/>
      <c r="X26" s="2"/>
      <c r="Y26" s="2"/>
      <c r="Z26" s="2"/>
    </row>
    <row r="27" spans="1:26" ht="12.75" customHeight="1" x14ac:dyDescent="0.35">
      <c r="A27" s="2"/>
      <c r="B27" s="8" t="s">
        <v>120</v>
      </c>
      <c r="C27" s="8" t="s">
        <v>26</v>
      </c>
      <c r="D27" s="8">
        <v>14</v>
      </c>
      <c r="E27" s="21">
        <v>84</v>
      </c>
      <c r="F27" s="21">
        <v>0</v>
      </c>
      <c r="G27" s="21">
        <v>0</v>
      </c>
      <c r="H27" s="22">
        <v>0</v>
      </c>
      <c r="I27" s="21">
        <v>6</v>
      </c>
      <c r="J27" s="21">
        <v>0</v>
      </c>
      <c r="K27" s="21">
        <f t="shared" si="0"/>
        <v>78</v>
      </c>
      <c r="L27" s="21">
        <v>80</v>
      </c>
      <c r="M27" s="23">
        <v>24</v>
      </c>
      <c r="N27" s="21">
        <f t="shared" si="4"/>
        <v>320</v>
      </c>
      <c r="O27" s="44">
        <v>13</v>
      </c>
      <c r="P27" s="21">
        <v>0</v>
      </c>
      <c r="Q27" s="21">
        <v>0</v>
      </c>
      <c r="R27" s="21">
        <v>0</v>
      </c>
      <c r="S27" s="2"/>
      <c r="T27" s="25">
        <v>1326180</v>
      </c>
      <c r="U27" s="26">
        <f t="shared" si="2"/>
        <v>7957080</v>
      </c>
      <c r="V27" s="26">
        <f t="shared" si="3"/>
        <v>106094400</v>
      </c>
      <c r="W27" s="2"/>
      <c r="X27" s="2"/>
      <c r="Y27" s="2"/>
      <c r="Z27" s="2"/>
    </row>
    <row r="28" spans="1:26" ht="12.75" customHeight="1" x14ac:dyDescent="0.35">
      <c r="A28" s="2"/>
      <c r="B28" s="8" t="s">
        <v>42</v>
      </c>
      <c r="C28" s="8" t="s">
        <v>26</v>
      </c>
      <c r="D28" s="8">
        <v>14</v>
      </c>
      <c r="E28" s="21">
        <v>31</v>
      </c>
      <c r="F28" s="21">
        <v>76</v>
      </c>
      <c r="G28" s="21">
        <v>0</v>
      </c>
      <c r="H28" s="22">
        <v>0</v>
      </c>
      <c r="I28" s="21">
        <v>31</v>
      </c>
      <c r="J28" s="21">
        <v>0</v>
      </c>
      <c r="K28" s="21">
        <f t="shared" si="0"/>
        <v>76</v>
      </c>
      <c r="L28" s="21">
        <v>46</v>
      </c>
      <c r="M28" s="23">
        <v>24</v>
      </c>
      <c r="N28" s="21">
        <f t="shared" si="4"/>
        <v>35.612903225806448</v>
      </c>
      <c r="O28" s="44">
        <v>2.4516129032258065</v>
      </c>
      <c r="P28" s="21">
        <v>0</v>
      </c>
      <c r="Q28" s="21">
        <v>0</v>
      </c>
      <c r="R28" s="21">
        <v>0</v>
      </c>
      <c r="S28" s="2"/>
      <c r="T28" s="25">
        <v>542345</v>
      </c>
      <c r="U28" s="26">
        <f t="shared" si="2"/>
        <v>16812695</v>
      </c>
      <c r="V28" s="26">
        <f t="shared" si="3"/>
        <v>24947870</v>
      </c>
      <c r="W28" s="2"/>
      <c r="X28" s="2"/>
      <c r="Y28" s="2"/>
      <c r="Z28" s="2"/>
    </row>
    <row r="29" spans="1:26" ht="12.75" customHeight="1" x14ac:dyDescent="0.35">
      <c r="A29" s="2"/>
      <c r="B29" s="8" t="s">
        <v>150</v>
      </c>
      <c r="C29" s="8" t="s">
        <v>26</v>
      </c>
      <c r="D29" s="8">
        <v>14</v>
      </c>
      <c r="E29" s="21">
        <v>0</v>
      </c>
      <c r="F29" s="21">
        <v>266</v>
      </c>
      <c r="G29" s="21">
        <v>0</v>
      </c>
      <c r="H29" s="22">
        <v>0</v>
      </c>
      <c r="I29" s="21">
        <v>266</v>
      </c>
      <c r="J29" s="21">
        <v>0</v>
      </c>
      <c r="K29" s="21">
        <f t="shared" si="0"/>
        <v>0</v>
      </c>
      <c r="L29" s="21">
        <v>146.625</v>
      </c>
      <c r="M29" s="23">
        <v>24</v>
      </c>
      <c r="N29" s="21">
        <f t="shared" si="4"/>
        <v>13.229323308270677</v>
      </c>
      <c r="O29" s="44">
        <v>0</v>
      </c>
      <c r="P29" s="21">
        <v>0</v>
      </c>
      <c r="Q29" s="21">
        <v>300</v>
      </c>
      <c r="R29" s="21">
        <v>0</v>
      </c>
      <c r="S29" s="2"/>
      <c r="T29" s="25">
        <v>848935</v>
      </c>
      <c r="U29" s="26">
        <f t="shared" si="2"/>
        <v>225816710</v>
      </c>
      <c r="V29" s="26">
        <f t="shared" si="3"/>
        <v>124475094.375</v>
      </c>
      <c r="W29" s="2"/>
      <c r="X29" s="2"/>
      <c r="Y29" s="2"/>
      <c r="Z29" s="2"/>
    </row>
    <row r="30" spans="1:26" ht="12.75" customHeight="1" x14ac:dyDescent="0.35">
      <c r="A30" s="2"/>
      <c r="B30" s="8" t="s">
        <v>121</v>
      </c>
      <c r="C30" s="8" t="s">
        <v>26</v>
      </c>
      <c r="D30" s="8">
        <v>14</v>
      </c>
      <c r="E30" s="21">
        <v>270</v>
      </c>
      <c r="F30" s="21">
        <v>23</v>
      </c>
      <c r="G30" s="21">
        <v>0</v>
      </c>
      <c r="H30" s="22">
        <v>0</v>
      </c>
      <c r="I30" s="21">
        <v>293</v>
      </c>
      <c r="J30" s="21">
        <v>0</v>
      </c>
      <c r="K30" s="21">
        <f t="shared" si="0"/>
        <v>0</v>
      </c>
      <c r="L30" s="21">
        <v>101.5</v>
      </c>
      <c r="M30" s="23">
        <v>24</v>
      </c>
      <c r="N30" s="21">
        <f t="shared" si="4"/>
        <v>8.3139931740614337</v>
      </c>
      <c r="O30" s="44">
        <v>0</v>
      </c>
      <c r="P30" s="21">
        <v>10</v>
      </c>
      <c r="Q30" s="21">
        <v>0</v>
      </c>
      <c r="R30" s="21">
        <v>0</v>
      </c>
      <c r="S30" s="2"/>
      <c r="T30" s="25">
        <v>848935</v>
      </c>
      <c r="U30" s="26">
        <f t="shared" si="2"/>
        <v>248737955</v>
      </c>
      <c r="V30" s="26">
        <f t="shared" si="3"/>
        <v>86166902.5</v>
      </c>
      <c r="W30" s="2"/>
      <c r="X30" s="2"/>
      <c r="Y30" s="2"/>
      <c r="Z30" s="2"/>
    </row>
    <row r="31" spans="1:26" ht="12.75" customHeight="1" x14ac:dyDescent="0.35">
      <c r="A31" s="2"/>
      <c r="B31" s="8" t="s">
        <v>122</v>
      </c>
      <c r="C31" s="8" t="s">
        <v>26</v>
      </c>
      <c r="D31" s="8">
        <v>14</v>
      </c>
      <c r="E31" s="21">
        <v>270</v>
      </c>
      <c r="F31" s="21">
        <v>29</v>
      </c>
      <c r="G31" s="21">
        <v>0</v>
      </c>
      <c r="H31" s="22">
        <v>0</v>
      </c>
      <c r="I31" s="21">
        <v>299</v>
      </c>
      <c r="J31" s="21">
        <v>0</v>
      </c>
      <c r="K31" s="21">
        <f t="shared" si="0"/>
        <v>0</v>
      </c>
      <c r="L31" s="21">
        <v>125.4</v>
      </c>
      <c r="M31" s="23">
        <v>24</v>
      </c>
      <c r="N31" s="21">
        <f t="shared" si="4"/>
        <v>10.065551839464884</v>
      </c>
      <c r="O31" s="44">
        <v>0</v>
      </c>
      <c r="P31" s="21">
        <v>7</v>
      </c>
      <c r="Q31" s="21">
        <v>0</v>
      </c>
      <c r="R31" s="21">
        <v>0</v>
      </c>
      <c r="S31" s="2"/>
      <c r="T31" s="25">
        <v>848935</v>
      </c>
      <c r="U31" s="26">
        <f t="shared" si="2"/>
        <v>253831565</v>
      </c>
      <c r="V31" s="26">
        <f t="shared" si="3"/>
        <v>106456449</v>
      </c>
      <c r="W31" s="2"/>
      <c r="X31" s="2"/>
      <c r="Y31" s="2"/>
      <c r="Z31" s="2"/>
    </row>
    <row r="32" spans="1:26" ht="12.75" customHeight="1" x14ac:dyDescent="0.35">
      <c r="A32" s="2"/>
      <c r="B32" s="8" t="s">
        <v>151</v>
      </c>
      <c r="C32" s="8" t="s">
        <v>26</v>
      </c>
      <c r="D32" s="8">
        <v>14</v>
      </c>
      <c r="E32" s="21">
        <v>600</v>
      </c>
      <c r="F32" s="21">
        <v>1052</v>
      </c>
      <c r="G32" s="21">
        <v>0</v>
      </c>
      <c r="H32" s="22">
        <v>0</v>
      </c>
      <c r="I32" s="21">
        <v>0</v>
      </c>
      <c r="J32" s="21">
        <v>1112</v>
      </c>
      <c r="K32" s="21">
        <f t="shared" si="0"/>
        <v>540</v>
      </c>
      <c r="L32" s="21">
        <v>394.42857142857105</v>
      </c>
      <c r="M32" s="23">
        <v>24</v>
      </c>
      <c r="N32" s="21">
        <f t="shared" si="4"/>
        <v>8.5128468653648426</v>
      </c>
      <c r="O32" s="44">
        <v>0.48561151079136688</v>
      </c>
      <c r="P32" s="21">
        <v>58.31</v>
      </c>
      <c r="Q32" s="21">
        <v>638</v>
      </c>
      <c r="R32" s="21">
        <v>0</v>
      </c>
      <c r="S32" s="2"/>
      <c r="T32" s="25">
        <v>1040050</v>
      </c>
      <c r="U32" s="26">
        <f t="shared" si="2"/>
        <v>1156535600</v>
      </c>
      <c r="V32" s="26">
        <f t="shared" si="3"/>
        <v>410225435.71428531</v>
      </c>
      <c r="W32" s="2"/>
      <c r="X32" s="2"/>
      <c r="Y32" s="2"/>
      <c r="Z32" s="2"/>
    </row>
    <row r="33" spans="1:26" ht="12.75" customHeight="1" x14ac:dyDescent="0.35">
      <c r="A33" s="2"/>
      <c r="B33" s="8" t="s">
        <v>123</v>
      </c>
      <c r="C33" s="8" t="s">
        <v>26</v>
      </c>
      <c r="D33" s="8">
        <v>14</v>
      </c>
      <c r="E33" s="21">
        <v>47</v>
      </c>
      <c r="F33" s="21">
        <v>0</v>
      </c>
      <c r="G33" s="21">
        <v>0</v>
      </c>
      <c r="H33" s="22">
        <v>0</v>
      </c>
      <c r="I33" s="21">
        <v>0</v>
      </c>
      <c r="J33" s="21">
        <v>0</v>
      </c>
      <c r="K33" s="21">
        <f t="shared" si="0"/>
        <v>47</v>
      </c>
      <c r="L33" s="21">
        <v>0</v>
      </c>
      <c r="M33" s="23">
        <v>24</v>
      </c>
      <c r="N33" s="21">
        <v>0</v>
      </c>
      <c r="O33" s="44">
        <v>0</v>
      </c>
      <c r="P33" s="21">
        <v>0</v>
      </c>
      <c r="Q33" s="21">
        <v>100</v>
      </c>
      <c r="R33" s="21">
        <v>0</v>
      </c>
      <c r="S33" s="2"/>
      <c r="T33" s="25">
        <v>819485</v>
      </c>
      <c r="U33" s="26">
        <f t="shared" si="2"/>
        <v>0</v>
      </c>
      <c r="V33" s="26">
        <f t="shared" si="3"/>
        <v>0</v>
      </c>
      <c r="W33" s="2"/>
      <c r="X33" s="2"/>
      <c r="Y33" s="2"/>
      <c r="Z33" s="2"/>
    </row>
    <row r="34" spans="1:26" ht="12.75" customHeight="1" x14ac:dyDescent="0.35">
      <c r="A34" s="2"/>
      <c r="B34" s="8" t="s">
        <v>46</v>
      </c>
      <c r="C34" s="8" t="s">
        <v>26</v>
      </c>
      <c r="D34" s="8">
        <v>14</v>
      </c>
      <c r="E34" s="21">
        <v>408</v>
      </c>
      <c r="F34" s="21">
        <v>1332</v>
      </c>
      <c r="G34" s="21">
        <v>0</v>
      </c>
      <c r="H34" s="22">
        <v>0</v>
      </c>
      <c r="I34" s="21">
        <v>0</v>
      </c>
      <c r="J34" s="21">
        <v>1110</v>
      </c>
      <c r="K34" s="21">
        <f t="shared" si="0"/>
        <v>630</v>
      </c>
      <c r="L34" s="21">
        <v>735.42857142857099</v>
      </c>
      <c r="M34" s="23">
        <v>24</v>
      </c>
      <c r="N34" s="21">
        <f t="shared" ref="N34:N44" si="5">(L34/(I34+J34))*M34</f>
        <v>15.901158301158292</v>
      </c>
      <c r="O34" s="44">
        <v>0.56756756756756754</v>
      </c>
      <c r="P34" s="21">
        <v>0</v>
      </c>
      <c r="Q34" s="21">
        <v>468</v>
      </c>
      <c r="R34" s="21">
        <v>100</v>
      </c>
      <c r="S34" s="2"/>
      <c r="T34" s="25">
        <v>819485</v>
      </c>
      <c r="U34" s="26">
        <f t="shared" si="2"/>
        <v>909628350</v>
      </c>
      <c r="V34" s="26">
        <f t="shared" si="3"/>
        <v>602672682.85714245</v>
      </c>
      <c r="W34" s="2"/>
      <c r="X34" s="2"/>
      <c r="Y34" s="2"/>
      <c r="Z34" s="2"/>
    </row>
    <row r="35" spans="1:26" ht="12.75" customHeight="1" x14ac:dyDescent="0.35">
      <c r="A35" s="2"/>
      <c r="B35" s="8" t="s">
        <v>47</v>
      </c>
      <c r="C35" s="8" t="s">
        <v>26</v>
      </c>
      <c r="D35" s="8">
        <v>14</v>
      </c>
      <c r="E35" s="21">
        <v>106</v>
      </c>
      <c r="F35" s="21">
        <v>90</v>
      </c>
      <c r="G35" s="21">
        <v>0</v>
      </c>
      <c r="H35" s="22">
        <v>0</v>
      </c>
      <c r="I35" s="21">
        <v>0</v>
      </c>
      <c r="J35" s="21">
        <v>90</v>
      </c>
      <c r="K35" s="21">
        <f t="shared" si="0"/>
        <v>106</v>
      </c>
      <c r="L35" s="21">
        <v>149.333333333333</v>
      </c>
      <c r="M35" s="23">
        <v>24</v>
      </c>
      <c r="N35" s="21">
        <f t="shared" si="5"/>
        <v>39.822222222222138</v>
      </c>
      <c r="O35" s="44">
        <v>1.1777777777777778</v>
      </c>
      <c r="P35" s="21">
        <v>10</v>
      </c>
      <c r="Q35" s="21">
        <v>100</v>
      </c>
      <c r="R35" s="21">
        <v>0</v>
      </c>
      <c r="S35" s="2"/>
      <c r="T35" s="25">
        <v>1272550</v>
      </c>
      <c r="U35" s="26">
        <f t="shared" si="2"/>
        <v>114529500</v>
      </c>
      <c r="V35" s="26">
        <f t="shared" si="3"/>
        <v>190034133.33333293</v>
      </c>
      <c r="W35" s="2"/>
      <c r="X35" s="2"/>
      <c r="Y35" s="2"/>
      <c r="Z35" s="2"/>
    </row>
    <row r="36" spans="1:26" ht="12.75" customHeight="1" x14ac:dyDescent="0.35">
      <c r="A36" s="2"/>
      <c r="B36" s="8" t="s">
        <v>142</v>
      </c>
      <c r="C36" s="8" t="s">
        <v>26</v>
      </c>
      <c r="D36" s="8">
        <v>14</v>
      </c>
      <c r="E36" s="21">
        <v>74</v>
      </c>
      <c r="F36" s="21">
        <v>259</v>
      </c>
      <c r="G36" s="21">
        <v>0</v>
      </c>
      <c r="H36" s="22">
        <v>0</v>
      </c>
      <c r="I36" s="21">
        <v>0</v>
      </c>
      <c r="J36" s="21">
        <v>108</v>
      </c>
      <c r="K36" s="21">
        <f t="shared" si="0"/>
        <v>225</v>
      </c>
      <c r="L36" s="21">
        <v>148.857142857143</v>
      </c>
      <c r="M36" s="23">
        <v>24</v>
      </c>
      <c r="N36" s="21">
        <f t="shared" si="5"/>
        <v>33.079365079365111</v>
      </c>
      <c r="O36" s="44">
        <v>2.0833333333333335</v>
      </c>
      <c r="P36" s="21">
        <v>4</v>
      </c>
      <c r="Q36" s="21">
        <v>100</v>
      </c>
      <c r="R36" s="21">
        <v>0</v>
      </c>
      <c r="S36" s="2"/>
      <c r="T36" s="25">
        <v>1272550</v>
      </c>
      <c r="U36" s="26">
        <f t="shared" si="2"/>
        <v>137435400</v>
      </c>
      <c r="V36" s="26">
        <f t="shared" si="3"/>
        <v>189428157.14285734</v>
      </c>
      <c r="W36" s="2"/>
      <c r="X36" s="2"/>
      <c r="Y36" s="2"/>
      <c r="Z36" s="2"/>
    </row>
    <row r="37" spans="1:26" ht="12.75" customHeight="1" x14ac:dyDescent="0.35">
      <c r="A37" s="2"/>
      <c r="B37" s="8" t="s">
        <v>49</v>
      </c>
      <c r="C37" s="8" t="s">
        <v>26</v>
      </c>
      <c r="D37" s="8">
        <v>14</v>
      </c>
      <c r="E37" s="21">
        <v>161</v>
      </c>
      <c r="F37" s="21">
        <v>251</v>
      </c>
      <c r="G37" s="21">
        <v>0</v>
      </c>
      <c r="H37" s="22">
        <v>0</v>
      </c>
      <c r="I37" s="21">
        <v>0</v>
      </c>
      <c r="J37" s="21">
        <v>223</v>
      </c>
      <c r="K37" s="21">
        <f t="shared" si="0"/>
        <v>189</v>
      </c>
      <c r="L37" s="21">
        <v>106.57142857142901</v>
      </c>
      <c r="M37" s="23">
        <v>24</v>
      </c>
      <c r="N37" s="21">
        <f t="shared" si="5"/>
        <v>11.469570787956485</v>
      </c>
      <c r="O37" s="44">
        <v>0.84753363228699552</v>
      </c>
      <c r="P37" s="21">
        <v>0</v>
      </c>
      <c r="Q37" s="21">
        <v>300</v>
      </c>
      <c r="R37" s="21">
        <v>0</v>
      </c>
      <c r="S37" s="2"/>
      <c r="T37" s="25">
        <v>819485</v>
      </c>
      <c r="U37" s="26">
        <f t="shared" si="2"/>
        <v>182745155</v>
      </c>
      <c r="V37" s="26">
        <f t="shared" si="3"/>
        <v>87333687.142857507</v>
      </c>
      <c r="W37" s="2"/>
      <c r="X37" s="2"/>
      <c r="Y37" s="2"/>
      <c r="Z37" s="2"/>
    </row>
    <row r="38" spans="1:26" ht="12.75" customHeight="1" x14ac:dyDescent="0.35">
      <c r="A38" s="2"/>
      <c r="B38" s="8" t="s">
        <v>142</v>
      </c>
      <c r="C38" s="8" t="s">
        <v>26</v>
      </c>
      <c r="D38" s="8">
        <v>14</v>
      </c>
      <c r="E38" s="21">
        <v>486</v>
      </c>
      <c r="F38" s="21">
        <v>711</v>
      </c>
      <c r="G38" s="21">
        <v>0</v>
      </c>
      <c r="H38" s="22">
        <v>0</v>
      </c>
      <c r="I38" s="21">
        <v>0</v>
      </c>
      <c r="J38" s="21">
        <v>765</v>
      </c>
      <c r="K38" s="21">
        <f t="shared" si="0"/>
        <v>432</v>
      </c>
      <c r="L38" s="21">
        <v>493.4375</v>
      </c>
      <c r="M38" s="23">
        <v>24</v>
      </c>
      <c r="N38" s="21">
        <f t="shared" si="5"/>
        <v>15.480392156862745</v>
      </c>
      <c r="O38" s="44">
        <v>0.56470588235294117</v>
      </c>
      <c r="P38" s="21">
        <v>0</v>
      </c>
      <c r="Q38" s="21">
        <v>300</v>
      </c>
      <c r="R38" s="21">
        <v>0</v>
      </c>
      <c r="S38" s="2"/>
      <c r="T38" s="25">
        <v>819485</v>
      </c>
      <c r="U38" s="26">
        <f t="shared" si="2"/>
        <v>626906025</v>
      </c>
      <c r="V38" s="26">
        <f t="shared" si="3"/>
        <v>404364629.6875</v>
      </c>
      <c r="W38" s="2"/>
      <c r="X38" s="2"/>
      <c r="Y38" s="2"/>
      <c r="Z38" s="2"/>
    </row>
    <row r="39" spans="1:26" ht="12.75" customHeight="1" x14ac:dyDescent="0.35">
      <c r="A39" s="2"/>
      <c r="B39" s="8" t="s">
        <v>124</v>
      </c>
      <c r="C39" s="8" t="s">
        <v>26</v>
      </c>
      <c r="D39" s="8">
        <v>14</v>
      </c>
      <c r="E39" s="21">
        <v>66</v>
      </c>
      <c r="F39" s="21">
        <v>315</v>
      </c>
      <c r="G39" s="21">
        <v>0</v>
      </c>
      <c r="H39" s="22">
        <v>0</v>
      </c>
      <c r="I39" s="21">
        <v>0</v>
      </c>
      <c r="J39" s="21">
        <v>105</v>
      </c>
      <c r="K39" s="21">
        <f t="shared" si="0"/>
        <v>276</v>
      </c>
      <c r="L39" s="21">
        <v>159</v>
      </c>
      <c r="M39" s="23">
        <v>24</v>
      </c>
      <c r="N39" s="21">
        <f t="shared" si="5"/>
        <v>36.342857142857142</v>
      </c>
      <c r="O39" s="44">
        <v>2.6285714285714286</v>
      </c>
      <c r="P39" s="21">
        <v>0</v>
      </c>
      <c r="Q39" s="21">
        <v>0</v>
      </c>
      <c r="R39" s="21">
        <v>0</v>
      </c>
      <c r="S39" s="2"/>
      <c r="T39" s="25">
        <v>1445220</v>
      </c>
      <c r="U39" s="26">
        <f t="shared" si="2"/>
        <v>151748100</v>
      </c>
      <c r="V39" s="26">
        <f t="shared" si="3"/>
        <v>229789980</v>
      </c>
      <c r="W39" s="2"/>
      <c r="X39" s="2"/>
      <c r="Y39" s="2"/>
      <c r="Z39" s="2"/>
    </row>
    <row r="40" spans="1:26" ht="12.75" customHeight="1" x14ac:dyDescent="0.35">
      <c r="A40" s="2"/>
      <c r="B40" s="8" t="s">
        <v>124</v>
      </c>
      <c r="C40" s="8" t="s">
        <v>26</v>
      </c>
      <c r="D40" s="8">
        <v>14</v>
      </c>
      <c r="E40" s="21">
        <v>126</v>
      </c>
      <c r="F40" s="21">
        <v>150</v>
      </c>
      <c r="G40" s="21">
        <v>0</v>
      </c>
      <c r="H40" s="22">
        <v>0</v>
      </c>
      <c r="I40" s="21">
        <v>0</v>
      </c>
      <c r="J40" s="21">
        <v>150</v>
      </c>
      <c r="K40" s="21">
        <f t="shared" si="0"/>
        <v>126</v>
      </c>
      <c r="L40" s="21">
        <v>103.5</v>
      </c>
      <c r="M40" s="23">
        <v>24</v>
      </c>
      <c r="N40" s="21">
        <f t="shared" si="5"/>
        <v>16.559999999999999</v>
      </c>
      <c r="O40" s="44">
        <v>0.84</v>
      </c>
      <c r="P40" s="21">
        <v>0</v>
      </c>
      <c r="Q40" s="21">
        <v>100</v>
      </c>
      <c r="R40" s="21">
        <v>0</v>
      </c>
      <c r="S40" s="2"/>
      <c r="T40" s="25">
        <v>1445220</v>
      </c>
      <c r="U40" s="26">
        <f t="shared" si="2"/>
        <v>216783000</v>
      </c>
      <c r="V40" s="26">
        <f t="shared" si="3"/>
        <v>149580270</v>
      </c>
      <c r="W40" s="2"/>
      <c r="X40" s="2"/>
      <c r="Y40" s="2"/>
      <c r="Z40" s="2"/>
    </row>
    <row r="41" spans="1:26" ht="12.75" customHeight="1" x14ac:dyDescent="0.35">
      <c r="A41" s="2"/>
      <c r="B41" s="8" t="s">
        <v>52</v>
      </c>
      <c r="C41" s="8" t="s">
        <v>26</v>
      </c>
      <c r="D41" s="8">
        <v>14</v>
      </c>
      <c r="E41" s="21">
        <v>74</v>
      </c>
      <c r="F41" s="21">
        <v>381</v>
      </c>
      <c r="G41" s="21">
        <v>0</v>
      </c>
      <c r="H41" s="22">
        <v>0</v>
      </c>
      <c r="I41" s="21">
        <v>0</v>
      </c>
      <c r="J41" s="21">
        <v>127</v>
      </c>
      <c r="K41" s="21">
        <f t="shared" si="0"/>
        <v>328</v>
      </c>
      <c r="L41" s="21">
        <v>287.75</v>
      </c>
      <c r="M41" s="23">
        <v>24</v>
      </c>
      <c r="N41" s="21">
        <f t="shared" si="5"/>
        <v>54.377952755905511</v>
      </c>
      <c r="O41" s="44">
        <v>2.5826771653543306</v>
      </c>
      <c r="P41" s="21">
        <v>0</v>
      </c>
      <c r="Q41" s="21">
        <v>0</v>
      </c>
      <c r="R41" s="21">
        <v>0</v>
      </c>
      <c r="S41" s="2"/>
      <c r="T41" s="25">
        <v>1445220</v>
      </c>
      <c r="U41" s="26">
        <f t="shared" si="2"/>
        <v>183542940</v>
      </c>
      <c r="V41" s="26">
        <f t="shared" si="3"/>
        <v>415862055</v>
      </c>
      <c r="W41" s="2"/>
      <c r="X41" s="2"/>
      <c r="Y41" s="2"/>
      <c r="Z41" s="2"/>
    </row>
    <row r="42" spans="1:26" ht="12.75" customHeight="1" x14ac:dyDescent="0.35">
      <c r="A42" s="2"/>
      <c r="B42" s="8" t="s">
        <v>53</v>
      </c>
      <c r="C42" s="8" t="s">
        <v>26</v>
      </c>
      <c r="D42" s="8">
        <v>14</v>
      </c>
      <c r="E42" s="21">
        <v>112</v>
      </c>
      <c r="F42" s="21">
        <v>105</v>
      </c>
      <c r="G42" s="21">
        <v>0</v>
      </c>
      <c r="H42" s="22">
        <v>0</v>
      </c>
      <c r="I42" s="21">
        <v>0</v>
      </c>
      <c r="J42" s="21">
        <v>112</v>
      </c>
      <c r="K42" s="21">
        <f t="shared" si="0"/>
        <v>105</v>
      </c>
      <c r="L42" s="21">
        <v>51.4</v>
      </c>
      <c r="M42" s="23">
        <v>24</v>
      </c>
      <c r="N42" s="21">
        <f t="shared" si="5"/>
        <v>11.014285714285714</v>
      </c>
      <c r="O42" s="44">
        <v>0.9375</v>
      </c>
      <c r="P42" s="21">
        <v>0</v>
      </c>
      <c r="Q42" s="21">
        <v>250</v>
      </c>
      <c r="R42" s="21">
        <v>0</v>
      </c>
      <c r="S42" s="2"/>
      <c r="T42" s="25">
        <v>1272550</v>
      </c>
      <c r="U42" s="26">
        <f t="shared" si="2"/>
        <v>142525600</v>
      </c>
      <c r="V42" s="26">
        <f t="shared" si="3"/>
        <v>65409070</v>
      </c>
      <c r="W42" s="2"/>
      <c r="X42" s="2"/>
      <c r="Y42" s="2"/>
      <c r="Z42" s="2"/>
    </row>
    <row r="43" spans="1:26" ht="12.75" customHeight="1" x14ac:dyDescent="0.35">
      <c r="A43" s="2"/>
      <c r="B43" s="8" t="s">
        <v>143</v>
      </c>
      <c r="C43" s="8" t="s">
        <v>26</v>
      </c>
      <c r="D43" s="8">
        <v>14</v>
      </c>
      <c r="E43" s="21">
        <v>429</v>
      </c>
      <c r="F43" s="21">
        <v>1094</v>
      </c>
      <c r="G43" s="21">
        <v>0</v>
      </c>
      <c r="H43" s="22">
        <v>0</v>
      </c>
      <c r="I43" s="21">
        <v>0</v>
      </c>
      <c r="J43" s="21">
        <v>983</v>
      </c>
      <c r="K43" s="21">
        <f t="shared" si="0"/>
        <v>540</v>
      </c>
      <c r="L43" s="21">
        <v>305.944444444444</v>
      </c>
      <c r="M43" s="23">
        <v>24</v>
      </c>
      <c r="N43" s="21">
        <f t="shared" si="5"/>
        <v>7.4696507290606871</v>
      </c>
      <c r="O43" s="44">
        <v>0.54933875890132244</v>
      </c>
      <c r="P43" s="21">
        <v>26.92</v>
      </c>
      <c r="Q43" s="21">
        <v>621</v>
      </c>
      <c r="R43" s="21">
        <v>0</v>
      </c>
      <c r="S43" s="2"/>
      <c r="T43" s="25">
        <v>819485</v>
      </c>
      <c r="U43" s="26">
        <f t="shared" si="2"/>
        <v>805553755</v>
      </c>
      <c r="V43" s="26">
        <f t="shared" si="3"/>
        <v>250716883.05555519</v>
      </c>
      <c r="W43" s="2"/>
      <c r="X43" s="2"/>
      <c r="Y43" s="2"/>
      <c r="Z43" s="2"/>
    </row>
    <row r="44" spans="1:26" ht="12.75" customHeight="1" x14ac:dyDescent="0.35">
      <c r="A44" s="2"/>
      <c r="B44" s="8" t="s">
        <v>56</v>
      </c>
      <c r="C44" s="8" t="s">
        <v>26</v>
      </c>
      <c r="D44" s="8">
        <v>14</v>
      </c>
      <c r="E44" s="21">
        <v>154</v>
      </c>
      <c r="F44" s="21">
        <v>300</v>
      </c>
      <c r="G44" s="21">
        <v>0</v>
      </c>
      <c r="H44" s="22">
        <v>0</v>
      </c>
      <c r="I44" s="21">
        <v>0</v>
      </c>
      <c r="J44" s="21">
        <v>234</v>
      </c>
      <c r="K44" s="21">
        <f t="shared" si="0"/>
        <v>220</v>
      </c>
      <c r="L44" s="21">
        <v>105.428571428571</v>
      </c>
      <c r="M44" s="23">
        <v>24</v>
      </c>
      <c r="N44" s="21">
        <f t="shared" si="5"/>
        <v>10.813186813186769</v>
      </c>
      <c r="O44" s="44">
        <v>0.94017094017094016</v>
      </c>
      <c r="P44" s="21">
        <v>0</v>
      </c>
      <c r="Q44" s="21">
        <v>100</v>
      </c>
      <c r="R44" s="21">
        <v>0</v>
      </c>
      <c r="S44" s="2"/>
      <c r="T44" s="25">
        <v>819485</v>
      </c>
      <c r="U44" s="26">
        <f t="shared" si="2"/>
        <v>191759490</v>
      </c>
      <c r="V44" s="26">
        <f t="shared" si="3"/>
        <v>86397132.857142508</v>
      </c>
      <c r="W44" s="2"/>
      <c r="X44" s="2"/>
      <c r="Y44" s="2"/>
      <c r="Z44" s="2"/>
    </row>
    <row r="45" spans="1:26" ht="12.75" customHeight="1" x14ac:dyDescent="0.35">
      <c r="A45" s="2"/>
      <c r="B45" s="8" t="s">
        <v>152</v>
      </c>
      <c r="C45" s="8" t="s">
        <v>26</v>
      </c>
      <c r="D45" s="8">
        <v>14</v>
      </c>
      <c r="E45" s="21">
        <v>0</v>
      </c>
      <c r="F45" s="21">
        <v>250</v>
      </c>
      <c r="G45" s="21">
        <v>0</v>
      </c>
      <c r="H45" s="22">
        <v>0</v>
      </c>
      <c r="I45" s="21">
        <v>0</v>
      </c>
      <c r="J45" s="21">
        <v>0</v>
      </c>
      <c r="K45" s="21">
        <f t="shared" si="0"/>
        <v>250</v>
      </c>
      <c r="L45" s="21">
        <v>179</v>
      </c>
      <c r="M45" s="23">
        <v>24</v>
      </c>
      <c r="N45" s="21">
        <v>0</v>
      </c>
      <c r="O45" s="44">
        <v>0</v>
      </c>
      <c r="P45" s="21">
        <v>0</v>
      </c>
      <c r="Q45" s="21">
        <v>0</v>
      </c>
      <c r="R45" s="21">
        <v>0</v>
      </c>
      <c r="S45" s="2"/>
      <c r="T45" s="25">
        <v>819485</v>
      </c>
      <c r="U45" s="26">
        <f t="shared" si="2"/>
        <v>0</v>
      </c>
      <c r="V45" s="26">
        <f t="shared" si="3"/>
        <v>146687815</v>
      </c>
      <c r="W45" s="2"/>
      <c r="X45" s="2"/>
      <c r="Y45" s="2"/>
      <c r="Z45" s="2"/>
    </row>
    <row r="46" spans="1:26" ht="12.75" customHeight="1" x14ac:dyDescent="0.35">
      <c r="A46" s="2"/>
      <c r="B46" s="8" t="s">
        <v>125</v>
      </c>
      <c r="C46" s="8" t="s">
        <v>26</v>
      </c>
      <c r="D46" s="8">
        <v>14</v>
      </c>
      <c r="E46" s="21">
        <v>163.98</v>
      </c>
      <c r="F46" s="21">
        <v>1292</v>
      </c>
      <c r="G46" s="21">
        <v>0</v>
      </c>
      <c r="H46" s="22">
        <v>0</v>
      </c>
      <c r="I46" s="21">
        <v>0</v>
      </c>
      <c r="J46" s="21">
        <v>876</v>
      </c>
      <c r="K46" s="21">
        <f t="shared" si="0"/>
        <v>579.98</v>
      </c>
      <c r="L46" s="21">
        <v>654.60500000000002</v>
      </c>
      <c r="M46" s="23">
        <v>24</v>
      </c>
      <c r="N46" s="21">
        <f>(L46/(I46+J46))*M46</f>
        <v>17.934383561643834</v>
      </c>
      <c r="O46" s="44">
        <v>0.66207762557077632</v>
      </c>
      <c r="P46" s="21">
        <v>0</v>
      </c>
      <c r="Q46" s="21">
        <v>480</v>
      </c>
      <c r="R46" s="21">
        <v>120</v>
      </c>
      <c r="S46" s="2"/>
      <c r="T46" s="25">
        <v>819485</v>
      </c>
      <c r="U46" s="26">
        <f t="shared" si="2"/>
        <v>717868860</v>
      </c>
      <c r="V46" s="26">
        <f t="shared" si="3"/>
        <v>536438978.42500001</v>
      </c>
      <c r="W46" s="2"/>
      <c r="X46" s="2"/>
      <c r="Y46" s="2"/>
      <c r="Z46" s="2"/>
    </row>
    <row r="47" spans="1:26" ht="12.75" customHeight="1" x14ac:dyDescent="0.35">
      <c r="A47" s="2"/>
      <c r="B47" s="8" t="s">
        <v>143</v>
      </c>
      <c r="C47" s="8" t="s">
        <v>26</v>
      </c>
      <c r="D47" s="8">
        <v>14</v>
      </c>
      <c r="E47" s="21">
        <v>23</v>
      </c>
      <c r="F47" s="21">
        <v>0</v>
      </c>
      <c r="G47" s="21">
        <v>0</v>
      </c>
      <c r="H47" s="22">
        <v>0</v>
      </c>
      <c r="I47" s="21">
        <v>0</v>
      </c>
      <c r="J47" s="21">
        <v>0</v>
      </c>
      <c r="K47" s="21">
        <f t="shared" si="0"/>
        <v>23</v>
      </c>
      <c r="L47" s="21">
        <v>0</v>
      </c>
      <c r="M47" s="23">
        <v>24</v>
      </c>
      <c r="N47" s="21">
        <v>0</v>
      </c>
      <c r="O47" s="44">
        <v>0</v>
      </c>
      <c r="P47" s="21">
        <v>0</v>
      </c>
      <c r="Q47" s="21">
        <v>0</v>
      </c>
      <c r="R47" s="21">
        <v>0</v>
      </c>
      <c r="S47" s="2"/>
      <c r="T47" s="25">
        <v>1481800</v>
      </c>
      <c r="U47" s="26">
        <f t="shared" si="2"/>
        <v>0</v>
      </c>
      <c r="V47" s="26">
        <f t="shared" si="3"/>
        <v>0</v>
      </c>
      <c r="W47" s="2"/>
      <c r="X47" s="2"/>
      <c r="Y47" s="2"/>
      <c r="Z47" s="2"/>
    </row>
    <row r="48" spans="1:26" ht="12.75" customHeight="1" x14ac:dyDescent="0.35">
      <c r="A48" s="2"/>
      <c r="B48" s="8" t="s">
        <v>58</v>
      </c>
      <c r="C48" s="8" t="s">
        <v>26</v>
      </c>
      <c r="D48" s="8">
        <v>14</v>
      </c>
      <c r="E48" s="21">
        <v>132</v>
      </c>
      <c r="F48" s="21">
        <v>0</v>
      </c>
      <c r="G48" s="21">
        <v>0</v>
      </c>
      <c r="H48" s="22">
        <v>0</v>
      </c>
      <c r="I48" s="21">
        <v>2</v>
      </c>
      <c r="J48" s="21">
        <v>0</v>
      </c>
      <c r="K48" s="21">
        <f t="shared" si="0"/>
        <v>130</v>
      </c>
      <c r="L48" s="21">
        <v>130</v>
      </c>
      <c r="M48" s="23">
        <v>24</v>
      </c>
      <c r="N48" s="21">
        <f t="shared" ref="N48:N50" si="6">(L48/(I48+J48))*M48</f>
        <v>1560</v>
      </c>
      <c r="O48" s="44">
        <v>65</v>
      </c>
      <c r="P48" s="21">
        <v>0</v>
      </c>
      <c r="Q48" s="21">
        <v>0</v>
      </c>
      <c r="R48" s="21">
        <v>0</v>
      </c>
      <c r="S48" s="2"/>
      <c r="T48" s="25">
        <v>1481800</v>
      </c>
      <c r="U48" s="26">
        <f t="shared" si="2"/>
        <v>2963600</v>
      </c>
      <c r="V48" s="26">
        <f t="shared" si="3"/>
        <v>192634000</v>
      </c>
      <c r="W48" s="2"/>
      <c r="X48" s="2"/>
      <c r="Y48" s="2"/>
      <c r="Z48" s="2"/>
    </row>
    <row r="49" spans="1:26" ht="12.75" customHeight="1" x14ac:dyDescent="0.35">
      <c r="A49" s="2"/>
      <c r="B49" s="8" t="s">
        <v>59</v>
      </c>
      <c r="C49" s="8" t="s">
        <v>26</v>
      </c>
      <c r="D49" s="8">
        <v>14</v>
      </c>
      <c r="E49" s="21">
        <v>8</v>
      </c>
      <c r="F49" s="21">
        <v>0</v>
      </c>
      <c r="G49" s="21">
        <v>0</v>
      </c>
      <c r="H49" s="22">
        <v>0</v>
      </c>
      <c r="I49" s="21">
        <v>7</v>
      </c>
      <c r="J49" s="21">
        <v>0</v>
      </c>
      <c r="K49" s="21">
        <f t="shared" si="0"/>
        <v>1</v>
      </c>
      <c r="L49" s="21">
        <v>3</v>
      </c>
      <c r="M49" s="23">
        <v>24</v>
      </c>
      <c r="N49" s="21">
        <f t="shared" si="6"/>
        <v>10.285714285714285</v>
      </c>
      <c r="O49" s="44">
        <v>0.14285714285714285</v>
      </c>
      <c r="P49" s="21">
        <v>0</v>
      </c>
      <c r="Q49" s="21">
        <v>0</v>
      </c>
      <c r="R49" s="21">
        <v>0</v>
      </c>
      <c r="S49" s="2"/>
      <c r="T49" s="25">
        <v>1481800</v>
      </c>
      <c r="U49" s="26">
        <f t="shared" si="2"/>
        <v>10372600</v>
      </c>
      <c r="V49" s="26">
        <f t="shared" si="3"/>
        <v>4445400</v>
      </c>
      <c r="W49" s="2"/>
      <c r="X49" s="2"/>
      <c r="Y49" s="2"/>
      <c r="Z49" s="2"/>
    </row>
    <row r="50" spans="1:26" ht="12.75" customHeight="1" x14ac:dyDescent="0.35">
      <c r="A50" s="2"/>
      <c r="B50" s="8" t="s">
        <v>153</v>
      </c>
      <c r="C50" s="8" t="s">
        <v>26</v>
      </c>
      <c r="D50" s="8">
        <v>14</v>
      </c>
      <c r="E50" s="21">
        <v>0</v>
      </c>
      <c r="F50" s="21">
        <v>36</v>
      </c>
      <c r="G50" s="21">
        <v>0</v>
      </c>
      <c r="H50" s="22">
        <v>0</v>
      </c>
      <c r="I50" s="21">
        <v>10</v>
      </c>
      <c r="J50" s="21">
        <v>0</v>
      </c>
      <c r="K50" s="21">
        <f t="shared" si="0"/>
        <v>26</v>
      </c>
      <c r="L50" s="21">
        <v>23.3333333333333</v>
      </c>
      <c r="M50" s="23">
        <v>24</v>
      </c>
      <c r="N50" s="21">
        <f t="shared" si="6"/>
        <v>55.999999999999915</v>
      </c>
      <c r="O50" s="44">
        <v>2.6</v>
      </c>
      <c r="P50" s="21">
        <v>0</v>
      </c>
      <c r="Q50" s="21">
        <v>0</v>
      </c>
      <c r="R50" s="21">
        <v>0</v>
      </c>
      <c r="S50" s="2"/>
      <c r="T50" s="25">
        <v>1481800</v>
      </c>
      <c r="U50" s="26">
        <f t="shared" si="2"/>
        <v>14818000</v>
      </c>
      <c r="V50" s="26">
        <f t="shared" si="3"/>
        <v>34575333.333333284</v>
      </c>
      <c r="W50" s="2"/>
      <c r="X50" s="2"/>
      <c r="Y50" s="2"/>
      <c r="Z50" s="2"/>
    </row>
    <row r="51" spans="1:26" ht="12.75" customHeight="1" x14ac:dyDescent="0.35">
      <c r="A51" s="2"/>
      <c r="B51" s="8" t="s">
        <v>61</v>
      </c>
      <c r="C51" s="8" t="s">
        <v>26</v>
      </c>
      <c r="D51" s="8">
        <v>14</v>
      </c>
      <c r="E51" s="21">
        <v>50</v>
      </c>
      <c r="F51" s="21">
        <v>0</v>
      </c>
      <c r="G51" s="21">
        <v>0</v>
      </c>
      <c r="H51" s="22">
        <v>0</v>
      </c>
      <c r="I51" s="21">
        <v>0</v>
      </c>
      <c r="J51" s="21">
        <v>0</v>
      </c>
      <c r="K51" s="21">
        <f t="shared" si="0"/>
        <v>50</v>
      </c>
      <c r="L51" s="21">
        <v>0</v>
      </c>
      <c r="M51" s="23">
        <v>24</v>
      </c>
      <c r="N51" s="21">
        <v>0</v>
      </c>
      <c r="O51" s="44">
        <v>0</v>
      </c>
      <c r="P51" s="21">
        <v>0</v>
      </c>
      <c r="Q51" s="21">
        <v>0</v>
      </c>
      <c r="R51" s="21">
        <v>0</v>
      </c>
      <c r="S51" s="2"/>
      <c r="T51" s="25">
        <v>1481800</v>
      </c>
      <c r="U51" s="26">
        <f t="shared" si="2"/>
        <v>0</v>
      </c>
      <c r="V51" s="26">
        <f t="shared" si="3"/>
        <v>0</v>
      </c>
      <c r="W51" s="2"/>
      <c r="X51" s="2"/>
      <c r="Y51" s="2"/>
      <c r="Z51" s="2"/>
    </row>
    <row r="52" spans="1:26" ht="12.75" customHeight="1" x14ac:dyDescent="0.35">
      <c r="A52" s="2"/>
      <c r="B52" s="8" t="s">
        <v>62</v>
      </c>
      <c r="C52" s="8" t="s">
        <v>26</v>
      </c>
      <c r="D52" s="8">
        <v>14</v>
      </c>
      <c r="E52" s="21">
        <v>57</v>
      </c>
      <c r="F52" s="21">
        <v>0</v>
      </c>
      <c r="G52" s="21">
        <v>0</v>
      </c>
      <c r="H52" s="22">
        <v>0</v>
      </c>
      <c r="I52" s="21">
        <v>3</v>
      </c>
      <c r="J52" s="21">
        <v>0</v>
      </c>
      <c r="K52" s="21">
        <f t="shared" si="0"/>
        <v>54</v>
      </c>
      <c r="L52" s="21">
        <v>54</v>
      </c>
      <c r="M52" s="23">
        <v>24</v>
      </c>
      <c r="N52" s="21">
        <f>(L52/(I52+J52))*M52</f>
        <v>432</v>
      </c>
      <c r="O52" s="44">
        <v>18</v>
      </c>
      <c r="P52" s="21">
        <v>0</v>
      </c>
      <c r="Q52" s="21">
        <v>0</v>
      </c>
      <c r="R52" s="21">
        <v>0</v>
      </c>
      <c r="S52" s="2"/>
      <c r="T52" s="25">
        <v>1481800</v>
      </c>
      <c r="U52" s="26">
        <f t="shared" si="2"/>
        <v>4445400</v>
      </c>
      <c r="V52" s="26">
        <f t="shared" si="3"/>
        <v>80017200</v>
      </c>
      <c r="W52" s="2"/>
      <c r="X52" s="2"/>
      <c r="Y52" s="2"/>
      <c r="Z52" s="2"/>
    </row>
    <row r="53" spans="1:26" ht="12.75" customHeight="1" x14ac:dyDescent="0.35">
      <c r="A53" s="2"/>
      <c r="B53" s="8" t="s">
        <v>63</v>
      </c>
      <c r="C53" s="8" t="s">
        <v>26</v>
      </c>
      <c r="D53" s="8">
        <v>14</v>
      </c>
      <c r="E53" s="21">
        <v>23</v>
      </c>
      <c r="F53" s="21">
        <v>0</v>
      </c>
      <c r="G53" s="21">
        <v>0</v>
      </c>
      <c r="H53" s="22">
        <v>0</v>
      </c>
      <c r="I53" s="21">
        <v>0</v>
      </c>
      <c r="J53" s="21">
        <v>0</v>
      </c>
      <c r="K53" s="21">
        <f t="shared" si="0"/>
        <v>23</v>
      </c>
      <c r="L53" s="21">
        <v>0</v>
      </c>
      <c r="M53" s="23">
        <v>24</v>
      </c>
      <c r="N53" s="21">
        <v>0</v>
      </c>
      <c r="O53" s="44">
        <v>0</v>
      </c>
      <c r="P53" s="21">
        <v>0</v>
      </c>
      <c r="Q53" s="21">
        <v>0</v>
      </c>
      <c r="R53" s="21">
        <v>0</v>
      </c>
      <c r="S53" s="2"/>
      <c r="T53" s="25">
        <v>942555</v>
      </c>
      <c r="U53" s="26">
        <f t="shared" si="2"/>
        <v>0</v>
      </c>
      <c r="V53" s="26">
        <f t="shared" si="3"/>
        <v>0</v>
      </c>
      <c r="W53" s="2"/>
      <c r="X53" s="2"/>
      <c r="Y53" s="2"/>
      <c r="Z53" s="2"/>
    </row>
    <row r="54" spans="1:26" ht="12.75" customHeight="1" x14ac:dyDescent="0.35">
      <c r="A54" s="2"/>
      <c r="B54" s="8" t="s">
        <v>64</v>
      </c>
      <c r="C54" s="8" t="s">
        <v>26</v>
      </c>
      <c r="D54" s="8">
        <v>14</v>
      </c>
      <c r="E54" s="21">
        <v>146</v>
      </c>
      <c r="F54" s="21">
        <v>187</v>
      </c>
      <c r="G54" s="21">
        <v>0</v>
      </c>
      <c r="H54" s="22">
        <v>0</v>
      </c>
      <c r="I54" s="21">
        <v>0</v>
      </c>
      <c r="J54" s="21">
        <v>84</v>
      </c>
      <c r="K54" s="21">
        <f t="shared" si="0"/>
        <v>249</v>
      </c>
      <c r="L54" s="21">
        <v>155.5</v>
      </c>
      <c r="M54" s="23">
        <v>24</v>
      </c>
      <c r="N54" s="21">
        <f t="shared" ref="N54:N58" si="7">(L54/(I54+J54))*M54</f>
        <v>44.428571428571431</v>
      </c>
      <c r="O54" s="44">
        <v>2.9642857142857144</v>
      </c>
      <c r="P54" s="21">
        <v>0</v>
      </c>
      <c r="Q54" s="21">
        <v>10</v>
      </c>
      <c r="R54" s="21">
        <v>0</v>
      </c>
      <c r="S54" s="2"/>
      <c r="T54" s="25">
        <v>958675</v>
      </c>
      <c r="U54" s="26">
        <f t="shared" si="2"/>
        <v>80528700</v>
      </c>
      <c r="V54" s="26">
        <f t="shared" si="3"/>
        <v>149073962.5</v>
      </c>
      <c r="W54" s="2"/>
      <c r="X54" s="2"/>
      <c r="Y54" s="2"/>
      <c r="Z54" s="2"/>
    </row>
    <row r="55" spans="1:26" ht="12.75" customHeight="1" x14ac:dyDescent="0.35">
      <c r="A55" s="2"/>
      <c r="B55" s="8" t="s">
        <v>126</v>
      </c>
      <c r="C55" s="8" t="s">
        <v>26</v>
      </c>
      <c r="D55" s="8">
        <v>14</v>
      </c>
      <c r="E55" s="21">
        <v>130</v>
      </c>
      <c r="F55" s="21">
        <v>504</v>
      </c>
      <c r="G55" s="21">
        <v>0</v>
      </c>
      <c r="H55" s="22">
        <v>0</v>
      </c>
      <c r="I55" s="21">
        <v>231</v>
      </c>
      <c r="J55" s="21">
        <v>0</v>
      </c>
      <c r="K55" s="21">
        <f t="shared" si="0"/>
        <v>403</v>
      </c>
      <c r="L55" s="21">
        <v>237</v>
      </c>
      <c r="M55" s="23">
        <v>24</v>
      </c>
      <c r="N55" s="21">
        <f t="shared" si="7"/>
        <v>24.623376623376622</v>
      </c>
      <c r="O55" s="44">
        <v>1.7445887445887447</v>
      </c>
      <c r="P55" s="21">
        <v>0</v>
      </c>
      <c r="Q55" s="21">
        <v>200</v>
      </c>
      <c r="R55" s="21">
        <v>0</v>
      </c>
      <c r="S55" s="2"/>
      <c r="T55" s="25">
        <v>848935</v>
      </c>
      <c r="U55" s="26">
        <f t="shared" si="2"/>
        <v>196103985</v>
      </c>
      <c r="V55" s="26">
        <f t="shared" si="3"/>
        <v>201197595</v>
      </c>
      <c r="W55" s="2"/>
      <c r="X55" s="2"/>
      <c r="Y55" s="2"/>
      <c r="Z55" s="2"/>
    </row>
    <row r="56" spans="1:26" ht="12.75" customHeight="1" x14ac:dyDescent="0.35">
      <c r="A56" s="2"/>
      <c r="B56" s="8" t="s">
        <v>106</v>
      </c>
      <c r="C56" s="8" t="s">
        <v>26</v>
      </c>
      <c r="D56" s="8">
        <v>14</v>
      </c>
      <c r="E56" s="21">
        <v>0</v>
      </c>
      <c r="F56" s="21">
        <v>269</v>
      </c>
      <c r="G56" s="21">
        <v>0</v>
      </c>
      <c r="H56" s="22">
        <v>0</v>
      </c>
      <c r="I56" s="21">
        <v>60</v>
      </c>
      <c r="J56" s="21">
        <v>0</v>
      </c>
      <c r="K56" s="21">
        <f t="shared" si="0"/>
        <v>209</v>
      </c>
      <c r="L56" s="21">
        <v>159.666666666667</v>
      </c>
      <c r="M56" s="23">
        <v>24</v>
      </c>
      <c r="N56" s="21">
        <f t="shared" si="7"/>
        <v>63.866666666666802</v>
      </c>
      <c r="O56" s="44">
        <v>3.4833333333333334</v>
      </c>
      <c r="P56" s="21">
        <v>36.54</v>
      </c>
      <c r="Q56" s="21">
        <v>100</v>
      </c>
      <c r="R56" s="21">
        <v>0</v>
      </c>
      <c r="S56" s="2"/>
      <c r="T56" s="25">
        <v>1012770</v>
      </c>
      <c r="U56" s="26">
        <f t="shared" si="2"/>
        <v>60766200</v>
      </c>
      <c r="V56" s="26">
        <f t="shared" si="3"/>
        <v>161705610.00000033</v>
      </c>
      <c r="W56" s="2"/>
      <c r="X56" s="2"/>
      <c r="Y56" s="2"/>
      <c r="Z56" s="2"/>
    </row>
    <row r="57" spans="1:26" ht="12.75" customHeight="1" x14ac:dyDescent="0.35">
      <c r="A57" s="2"/>
      <c r="B57" s="8" t="s">
        <v>126</v>
      </c>
      <c r="C57" s="8" t="s">
        <v>26</v>
      </c>
      <c r="D57" s="8">
        <v>14</v>
      </c>
      <c r="E57" s="21">
        <v>435</v>
      </c>
      <c r="F57" s="21">
        <v>40</v>
      </c>
      <c r="G57" s="21">
        <v>0</v>
      </c>
      <c r="H57" s="22">
        <v>0</v>
      </c>
      <c r="I57" s="21">
        <v>0</v>
      </c>
      <c r="J57" s="21">
        <v>220</v>
      </c>
      <c r="K57" s="21">
        <f t="shared" si="0"/>
        <v>255</v>
      </c>
      <c r="L57" s="21">
        <v>321.66666666666703</v>
      </c>
      <c r="M57" s="23">
        <v>24</v>
      </c>
      <c r="N57" s="21">
        <f t="shared" si="7"/>
        <v>35.090909090909129</v>
      </c>
      <c r="O57" s="44">
        <v>1.1590909090909092</v>
      </c>
      <c r="P57" s="21">
        <v>0</v>
      </c>
      <c r="Q57" s="21">
        <v>0</v>
      </c>
      <c r="R57" s="21">
        <v>0</v>
      </c>
      <c r="S57" s="2"/>
      <c r="T57" s="25">
        <v>1012770</v>
      </c>
      <c r="U57" s="26">
        <f t="shared" si="2"/>
        <v>222809400</v>
      </c>
      <c r="V57" s="26">
        <f t="shared" si="3"/>
        <v>325774350.00000036</v>
      </c>
      <c r="W57" s="2"/>
      <c r="X57" s="2"/>
      <c r="Y57" s="2"/>
      <c r="Z57" s="2"/>
    </row>
    <row r="58" spans="1:26" ht="12.75" customHeight="1" x14ac:dyDescent="0.35">
      <c r="A58" s="2"/>
      <c r="B58" s="8" t="s">
        <v>107</v>
      </c>
      <c r="C58" s="8" t="s">
        <v>26</v>
      </c>
      <c r="D58" s="8">
        <v>14</v>
      </c>
      <c r="E58" s="21">
        <v>530</v>
      </c>
      <c r="F58" s="21">
        <v>62</v>
      </c>
      <c r="G58" s="21">
        <v>0</v>
      </c>
      <c r="H58" s="22">
        <v>0</v>
      </c>
      <c r="I58" s="21">
        <v>547</v>
      </c>
      <c r="J58" s="21">
        <v>0</v>
      </c>
      <c r="K58" s="21">
        <f t="shared" si="0"/>
        <v>45</v>
      </c>
      <c r="L58" s="21">
        <v>251.69230769230802</v>
      </c>
      <c r="M58" s="23">
        <v>24</v>
      </c>
      <c r="N58" s="21">
        <f t="shared" si="7"/>
        <v>11.0431725495711</v>
      </c>
      <c r="O58" s="44">
        <v>8.226691042047532E-2</v>
      </c>
      <c r="P58" s="21">
        <v>0</v>
      </c>
      <c r="Q58" s="21">
        <v>0</v>
      </c>
      <c r="R58" s="21">
        <v>0</v>
      </c>
      <c r="S58" s="2"/>
      <c r="T58" s="25">
        <v>1012770</v>
      </c>
      <c r="U58" s="26">
        <f t="shared" si="2"/>
        <v>553985190</v>
      </c>
      <c r="V58" s="26">
        <f t="shared" si="3"/>
        <v>254906418.46153879</v>
      </c>
      <c r="W58" s="2"/>
      <c r="X58" s="2"/>
      <c r="Y58" s="2"/>
      <c r="Z58" s="2"/>
    </row>
    <row r="59" spans="1:26" ht="12.75" customHeight="1" x14ac:dyDescent="0.35">
      <c r="A59" s="2"/>
      <c r="B59" s="8" t="s">
        <v>127</v>
      </c>
      <c r="C59" s="8" t="s">
        <v>26</v>
      </c>
      <c r="D59" s="8">
        <v>14</v>
      </c>
      <c r="E59" s="21">
        <v>60</v>
      </c>
      <c r="F59" s="21">
        <v>0</v>
      </c>
      <c r="G59" s="21">
        <v>0</v>
      </c>
      <c r="H59" s="22">
        <v>0</v>
      </c>
      <c r="I59" s="21">
        <v>0</v>
      </c>
      <c r="J59" s="21">
        <v>0</v>
      </c>
      <c r="K59" s="21">
        <f t="shared" si="0"/>
        <v>60</v>
      </c>
      <c r="L59" s="21">
        <v>0</v>
      </c>
      <c r="M59" s="23">
        <v>24</v>
      </c>
      <c r="N59" s="21">
        <v>0</v>
      </c>
      <c r="O59" s="44">
        <v>0</v>
      </c>
      <c r="P59" s="21">
        <v>5.14</v>
      </c>
      <c r="Q59" s="21">
        <v>0</v>
      </c>
      <c r="R59" s="21">
        <v>0</v>
      </c>
      <c r="S59" s="2"/>
      <c r="T59" s="25">
        <v>1237210</v>
      </c>
      <c r="U59" s="26">
        <f t="shared" si="2"/>
        <v>0</v>
      </c>
      <c r="V59" s="26">
        <f t="shared" si="3"/>
        <v>0</v>
      </c>
      <c r="W59" s="2"/>
      <c r="X59" s="2"/>
      <c r="Y59" s="2"/>
      <c r="Z59" s="2"/>
    </row>
    <row r="60" spans="1:26" ht="12.75" customHeight="1" x14ac:dyDescent="0.35">
      <c r="A60" s="2"/>
      <c r="B60" s="8" t="s">
        <v>69</v>
      </c>
      <c r="C60" s="8" t="s">
        <v>26</v>
      </c>
      <c r="D60" s="8">
        <v>14</v>
      </c>
      <c r="E60" s="21">
        <v>40</v>
      </c>
      <c r="F60" s="21">
        <v>0</v>
      </c>
      <c r="G60" s="21">
        <v>0</v>
      </c>
      <c r="H60" s="22">
        <v>0</v>
      </c>
      <c r="I60" s="21">
        <v>3</v>
      </c>
      <c r="J60" s="21">
        <v>0</v>
      </c>
      <c r="K60" s="21">
        <f t="shared" si="0"/>
        <v>37</v>
      </c>
      <c r="L60" s="21">
        <v>37</v>
      </c>
      <c r="M60" s="23">
        <v>24</v>
      </c>
      <c r="N60" s="21">
        <f t="shared" ref="N60:N66" si="8">(L60/(I60+J60))*M60</f>
        <v>296</v>
      </c>
      <c r="O60" s="44">
        <v>12.333333333333334</v>
      </c>
      <c r="P60" s="21">
        <v>0</v>
      </c>
      <c r="Q60" s="21">
        <v>0</v>
      </c>
      <c r="R60" s="21">
        <v>0</v>
      </c>
      <c r="S60" s="2"/>
      <c r="T60" s="25">
        <v>1436695</v>
      </c>
      <c r="U60" s="26">
        <f t="shared" si="2"/>
        <v>4310085</v>
      </c>
      <c r="V60" s="26">
        <f t="shared" si="3"/>
        <v>53157715</v>
      </c>
      <c r="W60" s="2"/>
      <c r="X60" s="2"/>
      <c r="Y60" s="2"/>
      <c r="Z60" s="2"/>
    </row>
    <row r="61" spans="1:26" ht="12.75" customHeight="1" x14ac:dyDescent="0.35">
      <c r="A61" s="2"/>
      <c r="B61" s="8" t="s">
        <v>70</v>
      </c>
      <c r="C61" s="8" t="s">
        <v>26</v>
      </c>
      <c r="D61" s="8">
        <v>14</v>
      </c>
      <c r="E61" s="21">
        <v>284</v>
      </c>
      <c r="F61" s="21">
        <v>1353</v>
      </c>
      <c r="G61" s="21">
        <v>0</v>
      </c>
      <c r="H61" s="22">
        <v>0</v>
      </c>
      <c r="I61" s="21">
        <v>916</v>
      </c>
      <c r="J61" s="21">
        <v>0</v>
      </c>
      <c r="K61" s="21">
        <f t="shared" si="0"/>
        <v>721</v>
      </c>
      <c r="L61" s="21">
        <v>402.6153846153851</v>
      </c>
      <c r="M61" s="23">
        <v>24</v>
      </c>
      <c r="N61" s="21">
        <f t="shared" si="8"/>
        <v>10.54887470607996</v>
      </c>
      <c r="O61" s="44">
        <v>0.78711790393013104</v>
      </c>
      <c r="P61" s="21">
        <v>250</v>
      </c>
      <c r="Q61" s="21">
        <v>500</v>
      </c>
      <c r="R61" s="21">
        <v>0</v>
      </c>
      <c r="S61" s="2"/>
      <c r="T61" s="25">
        <v>848935</v>
      </c>
      <c r="U61" s="26">
        <f t="shared" si="2"/>
        <v>777624460</v>
      </c>
      <c r="V61" s="26">
        <f t="shared" si="3"/>
        <v>341794291.53846192</v>
      </c>
      <c r="W61" s="2"/>
      <c r="X61" s="2"/>
      <c r="Y61" s="2"/>
      <c r="Z61" s="2"/>
    </row>
    <row r="62" spans="1:26" ht="12.75" customHeight="1" x14ac:dyDescent="0.35">
      <c r="A62" s="2"/>
      <c r="B62" s="8" t="s">
        <v>144</v>
      </c>
      <c r="C62" s="8" t="s">
        <v>26</v>
      </c>
      <c r="D62" s="8">
        <v>14</v>
      </c>
      <c r="E62" s="21">
        <v>29</v>
      </c>
      <c r="F62" s="21">
        <v>52</v>
      </c>
      <c r="G62" s="21">
        <v>0</v>
      </c>
      <c r="H62" s="22">
        <v>0</v>
      </c>
      <c r="I62" s="21">
        <v>0</v>
      </c>
      <c r="J62" s="21">
        <v>8</v>
      </c>
      <c r="K62" s="21">
        <f t="shared" si="0"/>
        <v>73</v>
      </c>
      <c r="L62" s="21">
        <v>39.6666666666667</v>
      </c>
      <c r="M62" s="23">
        <v>24</v>
      </c>
      <c r="N62" s="21">
        <f t="shared" si="8"/>
        <v>119.0000000000001</v>
      </c>
      <c r="O62" s="44">
        <v>9.125</v>
      </c>
      <c r="P62" s="21">
        <v>48</v>
      </c>
      <c r="Q62" s="21">
        <v>0</v>
      </c>
      <c r="R62" s="21">
        <v>0</v>
      </c>
      <c r="S62" s="2"/>
      <c r="T62" s="26">
        <v>1497718</v>
      </c>
      <c r="U62" s="26">
        <f t="shared" si="2"/>
        <v>11981744</v>
      </c>
      <c r="V62" s="26">
        <f t="shared" si="3"/>
        <v>59409480.666666716</v>
      </c>
      <c r="W62" s="2"/>
      <c r="X62" s="2"/>
      <c r="Y62" s="2"/>
      <c r="Z62" s="2"/>
    </row>
    <row r="63" spans="1:26" ht="12.75" customHeight="1" x14ac:dyDescent="0.35">
      <c r="A63" s="2"/>
      <c r="B63" s="8" t="s">
        <v>128</v>
      </c>
      <c r="C63" s="8" t="s">
        <v>26</v>
      </c>
      <c r="D63" s="8">
        <v>14</v>
      </c>
      <c r="E63" s="21">
        <v>262</v>
      </c>
      <c r="F63" s="21">
        <v>1199</v>
      </c>
      <c r="G63" s="21">
        <v>0</v>
      </c>
      <c r="H63" s="22">
        <v>0</v>
      </c>
      <c r="I63" s="21">
        <v>0</v>
      </c>
      <c r="J63" s="21">
        <v>1038</v>
      </c>
      <c r="K63" s="21">
        <f t="shared" si="0"/>
        <v>423</v>
      </c>
      <c r="L63" s="21">
        <v>517.125</v>
      </c>
      <c r="M63" s="23">
        <v>24</v>
      </c>
      <c r="N63" s="21">
        <f t="shared" si="8"/>
        <v>11.956647398843931</v>
      </c>
      <c r="O63" s="44">
        <v>0.40751445086705201</v>
      </c>
      <c r="P63" s="21">
        <v>685.32</v>
      </c>
      <c r="Q63" s="21">
        <v>0</v>
      </c>
      <c r="R63" s="21">
        <v>0</v>
      </c>
      <c r="S63" s="2"/>
      <c r="T63" s="25">
        <v>1372215</v>
      </c>
      <c r="U63" s="26">
        <f t="shared" si="2"/>
        <v>1424359170</v>
      </c>
      <c r="V63" s="26">
        <f t="shared" si="3"/>
        <v>709606681.875</v>
      </c>
      <c r="W63" s="2"/>
      <c r="X63" s="2"/>
      <c r="Y63" s="2"/>
      <c r="Z63" s="2"/>
    </row>
    <row r="64" spans="1:26" ht="12.75" customHeight="1" x14ac:dyDescent="0.35">
      <c r="A64" s="2"/>
      <c r="B64" s="8" t="s">
        <v>72</v>
      </c>
      <c r="C64" s="8" t="s">
        <v>26</v>
      </c>
      <c r="D64" s="8">
        <v>14</v>
      </c>
      <c r="E64" s="21">
        <v>245</v>
      </c>
      <c r="F64" s="21">
        <v>900</v>
      </c>
      <c r="G64" s="21">
        <v>0</v>
      </c>
      <c r="H64" s="22">
        <v>0</v>
      </c>
      <c r="I64" s="21">
        <v>566</v>
      </c>
      <c r="J64" s="21">
        <v>0</v>
      </c>
      <c r="K64" s="21">
        <f t="shared" si="0"/>
        <v>579</v>
      </c>
      <c r="L64" s="21">
        <v>554.88888888888903</v>
      </c>
      <c r="M64" s="23">
        <v>24</v>
      </c>
      <c r="N64" s="21">
        <f t="shared" si="8"/>
        <v>23.528857479387518</v>
      </c>
      <c r="O64" s="44">
        <v>1.0229681978798586</v>
      </c>
      <c r="P64" s="21">
        <v>0</v>
      </c>
      <c r="Q64" s="21">
        <v>296</v>
      </c>
      <c r="R64" s="21">
        <v>0</v>
      </c>
      <c r="S64" s="2"/>
      <c r="T64" s="25">
        <v>1396550</v>
      </c>
      <c r="U64" s="26">
        <f t="shared" si="2"/>
        <v>790447300</v>
      </c>
      <c r="V64" s="26">
        <f t="shared" si="3"/>
        <v>774930077.77777803</v>
      </c>
      <c r="W64" s="2"/>
      <c r="X64" s="2"/>
      <c r="Y64" s="2"/>
      <c r="Z64" s="2"/>
    </row>
    <row r="65" spans="1:26" ht="12.75" customHeight="1" x14ac:dyDescent="0.35">
      <c r="A65" s="2"/>
      <c r="B65" s="8" t="s">
        <v>128</v>
      </c>
      <c r="C65" s="8" t="s">
        <v>26</v>
      </c>
      <c r="D65" s="8">
        <v>14</v>
      </c>
      <c r="E65" s="21">
        <v>99</v>
      </c>
      <c r="F65" s="21">
        <v>0</v>
      </c>
      <c r="G65" s="21">
        <v>0</v>
      </c>
      <c r="H65" s="22">
        <v>0</v>
      </c>
      <c r="I65" s="21">
        <v>99</v>
      </c>
      <c r="J65" s="21">
        <v>0</v>
      </c>
      <c r="K65" s="21">
        <f t="shared" si="0"/>
        <v>0</v>
      </c>
      <c r="L65" s="21">
        <v>37.5</v>
      </c>
      <c r="M65" s="23">
        <v>24</v>
      </c>
      <c r="N65" s="21">
        <f t="shared" si="8"/>
        <v>9.0909090909090899</v>
      </c>
      <c r="O65" s="44">
        <v>0</v>
      </c>
      <c r="P65" s="21">
        <v>0</v>
      </c>
      <c r="Q65" s="21">
        <v>0</v>
      </c>
      <c r="R65" s="21">
        <v>0</v>
      </c>
      <c r="S65" s="2"/>
      <c r="T65" s="25">
        <v>1396550</v>
      </c>
      <c r="U65" s="26">
        <f t="shared" si="2"/>
        <v>138258450</v>
      </c>
      <c r="V65" s="26">
        <f t="shared" si="3"/>
        <v>52370625</v>
      </c>
      <c r="W65" s="2"/>
      <c r="X65" s="2"/>
      <c r="Y65" s="2"/>
      <c r="Z65" s="2"/>
    </row>
    <row r="66" spans="1:26" ht="12.75" customHeight="1" x14ac:dyDescent="0.35">
      <c r="A66" s="2"/>
      <c r="B66" s="8" t="s">
        <v>129</v>
      </c>
      <c r="C66" s="8" t="s">
        <v>26</v>
      </c>
      <c r="D66" s="8">
        <v>14</v>
      </c>
      <c r="E66" s="21">
        <v>39</v>
      </c>
      <c r="F66" s="21">
        <v>84</v>
      </c>
      <c r="G66" s="21">
        <v>0</v>
      </c>
      <c r="H66" s="22">
        <v>0</v>
      </c>
      <c r="I66" s="21">
        <v>80</v>
      </c>
      <c r="J66" s="21">
        <v>0</v>
      </c>
      <c r="K66" s="21">
        <f t="shared" si="0"/>
        <v>43</v>
      </c>
      <c r="L66" s="21">
        <v>31.3333333333333</v>
      </c>
      <c r="M66" s="23">
        <v>24</v>
      </c>
      <c r="N66" s="21">
        <f t="shared" si="8"/>
        <v>9.3999999999999915</v>
      </c>
      <c r="O66" s="44">
        <v>0.53749999999999998</v>
      </c>
      <c r="P66" s="21">
        <v>50</v>
      </c>
      <c r="Q66" s="21">
        <v>50</v>
      </c>
      <c r="R66" s="21">
        <v>0</v>
      </c>
      <c r="S66" s="2"/>
      <c r="T66" s="25">
        <v>1143590</v>
      </c>
      <c r="U66" s="26">
        <f t="shared" si="2"/>
        <v>91487200</v>
      </c>
      <c r="V66" s="26">
        <f t="shared" si="3"/>
        <v>35832486.666666627</v>
      </c>
      <c r="W66" s="2"/>
      <c r="X66" s="2"/>
      <c r="Y66" s="2"/>
      <c r="Z66" s="2"/>
    </row>
    <row r="67" spans="1:26" ht="12.75" customHeight="1" x14ac:dyDescent="0.35">
      <c r="A67" s="2"/>
      <c r="B67" s="8" t="s">
        <v>74</v>
      </c>
      <c r="C67" s="8" t="s">
        <v>26</v>
      </c>
      <c r="D67" s="8">
        <v>14</v>
      </c>
      <c r="E67" s="21">
        <v>6</v>
      </c>
      <c r="F67" s="21">
        <v>0</v>
      </c>
      <c r="G67" s="21">
        <v>0</v>
      </c>
      <c r="H67" s="22">
        <v>0</v>
      </c>
      <c r="I67" s="21">
        <v>0</v>
      </c>
      <c r="J67" s="21">
        <v>0</v>
      </c>
      <c r="K67" s="21">
        <f t="shared" si="0"/>
        <v>6</v>
      </c>
      <c r="L67" s="21">
        <v>0</v>
      </c>
      <c r="M67" s="23">
        <v>24</v>
      </c>
      <c r="N67" s="21">
        <v>0</v>
      </c>
      <c r="O67" s="44">
        <v>0</v>
      </c>
      <c r="P67" s="21">
        <v>0</v>
      </c>
      <c r="Q67" s="21">
        <v>0</v>
      </c>
      <c r="R67" s="21">
        <v>0</v>
      </c>
      <c r="S67" s="2"/>
      <c r="T67" s="25">
        <v>954645</v>
      </c>
      <c r="U67" s="26">
        <f t="shared" si="2"/>
        <v>0</v>
      </c>
      <c r="V67" s="26">
        <f t="shared" si="3"/>
        <v>0</v>
      </c>
      <c r="W67" s="2"/>
      <c r="X67" s="2"/>
      <c r="Y67" s="2"/>
      <c r="Z67" s="2"/>
    </row>
    <row r="68" spans="1:26" ht="12.75" customHeight="1" x14ac:dyDescent="0.35">
      <c r="A68" s="2"/>
      <c r="B68" s="8" t="s">
        <v>129</v>
      </c>
      <c r="C68" s="8" t="s">
        <v>26</v>
      </c>
      <c r="D68" s="8">
        <v>14</v>
      </c>
      <c r="E68" s="21">
        <v>70</v>
      </c>
      <c r="F68" s="21">
        <v>179</v>
      </c>
      <c r="G68" s="21">
        <v>0</v>
      </c>
      <c r="H68" s="22">
        <v>0</v>
      </c>
      <c r="I68" s="21">
        <v>60</v>
      </c>
      <c r="J68" s="21">
        <v>0</v>
      </c>
      <c r="K68" s="21">
        <f t="shared" si="0"/>
        <v>189</v>
      </c>
      <c r="L68" s="21">
        <v>195.75</v>
      </c>
      <c r="M68" s="23">
        <v>24</v>
      </c>
      <c r="N68" s="21">
        <f t="shared" ref="N68:N92" si="9">(L68/(I68+J68))*M68</f>
        <v>78.300000000000011</v>
      </c>
      <c r="O68" s="44">
        <v>3.15</v>
      </c>
      <c r="P68" s="21">
        <v>21</v>
      </c>
      <c r="Q68" s="21">
        <v>0</v>
      </c>
      <c r="R68" s="21">
        <v>0</v>
      </c>
      <c r="S68" s="2"/>
      <c r="T68" s="25">
        <v>954645</v>
      </c>
      <c r="U68" s="26">
        <f t="shared" si="2"/>
        <v>57278700</v>
      </c>
      <c r="V68" s="26">
        <f t="shared" si="3"/>
        <v>186871758.75</v>
      </c>
      <c r="W68" s="2"/>
      <c r="X68" s="2"/>
      <c r="Y68" s="2"/>
      <c r="Z68" s="2"/>
    </row>
    <row r="69" spans="1:26" ht="12.75" customHeight="1" x14ac:dyDescent="0.35">
      <c r="A69" s="2"/>
      <c r="B69" s="8" t="s">
        <v>75</v>
      </c>
      <c r="C69" s="8" t="s">
        <v>26</v>
      </c>
      <c r="D69" s="8">
        <v>14</v>
      </c>
      <c r="E69" s="21">
        <v>56</v>
      </c>
      <c r="F69" s="21">
        <v>3</v>
      </c>
      <c r="G69" s="21">
        <v>0</v>
      </c>
      <c r="H69" s="22">
        <v>0</v>
      </c>
      <c r="I69" s="21">
        <v>38</v>
      </c>
      <c r="J69" s="21">
        <v>0</v>
      </c>
      <c r="K69" s="21">
        <f t="shared" si="0"/>
        <v>21</v>
      </c>
      <c r="L69" s="21">
        <v>28.6</v>
      </c>
      <c r="M69" s="23">
        <v>24</v>
      </c>
      <c r="N69" s="21">
        <f t="shared" si="9"/>
        <v>18.063157894736843</v>
      </c>
      <c r="O69" s="44">
        <v>0.55263157894736847</v>
      </c>
      <c r="P69" s="21">
        <v>4</v>
      </c>
      <c r="Q69" s="21">
        <v>0</v>
      </c>
      <c r="R69" s="21">
        <v>0</v>
      </c>
      <c r="S69" s="2"/>
      <c r="T69" s="26">
        <v>771202</v>
      </c>
      <c r="U69" s="26">
        <f t="shared" si="2"/>
        <v>29305676</v>
      </c>
      <c r="V69" s="26">
        <f t="shared" si="3"/>
        <v>22056377.199999999</v>
      </c>
      <c r="W69" s="2"/>
      <c r="X69" s="2"/>
      <c r="Y69" s="2"/>
      <c r="Z69" s="2"/>
    </row>
    <row r="70" spans="1:26" ht="12.75" customHeight="1" x14ac:dyDescent="0.35">
      <c r="A70" s="2"/>
      <c r="B70" s="8" t="s">
        <v>130</v>
      </c>
      <c r="C70" s="8" t="s">
        <v>26</v>
      </c>
      <c r="D70" s="8">
        <v>14</v>
      </c>
      <c r="E70" s="21">
        <v>96</v>
      </c>
      <c r="F70" s="21">
        <v>0</v>
      </c>
      <c r="G70" s="21">
        <v>0</v>
      </c>
      <c r="H70" s="22">
        <v>0</v>
      </c>
      <c r="I70" s="21">
        <v>24</v>
      </c>
      <c r="J70" s="21">
        <v>0</v>
      </c>
      <c r="K70" s="21">
        <f t="shared" si="0"/>
        <v>72</v>
      </c>
      <c r="L70" s="21">
        <v>81.6666666666667</v>
      </c>
      <c r="M70" s="23">
        <v>24</v>
      </c>
      <c r="N70" s="21">
        <f t="shared" si="9"/>
        <v>81.6666666666667</v>
      </c>
      <c r="O70" s="44">
        <v>3</v>
      </c>
      <c r="P70" s="21">
        <v>0</v>
      </c>
      <c r="Q70" s="21">
        <v>0</v>
      </c>
      <c r="R70" s="21">
        <v>0</v>
      </c>
      <c r="S70" s="2"/>
      <c r="T70" s="26">
        <v>1497718</v>
      </c>
      <c r="U70" s="26">
        <f t="shared" si="2"/>
        <v>35945232</v>
      </c>
      <c r="V70" s="26">
        <f t="shared" si="3"/>
        <v>122313636.66666672</v>
      </c>
      <c r="W70" s="2"/>
      <c r="X70" s="2"/>
      <c r="Y70" s="2"/>
      <c r="Z70" s="2"/>
    </row>
    <row r="71" spans="1:26" ht="12.75" customHeight="1" x14ac:dyDescent="0.35">
      <c r="A71" s="2"/>
      <c r="B71" s="8" t="s">
        <v>77</v>
      </c>
      <c r="C71" s="8" t="s">
        <v>26</v>
      </c>
      <c r="D71" s="8">
        <v>14</v>
      </c>
      <c r="E71" s="21">
        <v>243</v>
      </c>
      <c r="F71" s="21">
        <v>94</v>
      </c>
      <c r="G71" s="21">
        <v>0</v>
      </c>
      <c r="H71" s="22">
        <v>0</v>
      </c>
      <c r="I71" s="21">
        <v>140</v>
      </c>
      <c r="J71" s="21">
        <v>0</v>
      </c>
      <c r="K71" s="21">
        <f t="shared" si="0"/>
        <v>197</v>
      </c>
      <c r="L71" s="21">
        <v>195.666666666667</v>
      </c>
      <c r="M71" s="23">
        <v>24</v>
      </c>
      <c r="N71" s="21">
        <f t="shared" si="9"/>
        <v>33.542857142857201</v>
      </c>
      <c r="O71" s="44">
        <v>1.4071428571428573</v>
      </c>
      <c r="P71" s="21">
        <v>15</v>
      </c>
      <c r="Q71" s="21">
        <v>150</v>
      </c>
      <c r="R71" s="21">
        <v>0</v>
      </c>
      <c r="S71" s="2"/>
      <c r="T71" s="25">
        <v>907060</v>
      </c>
      <c r="U71" s="26">
        <f t="shared" si="2"/>
        <v>126988400</v>
      </c>
      <c r="V71" s="26">
        <f t="shared" si="3"/>
        <v>177481406.66666695</v>
      </c>
      <c r="W71" s="2"/>
      <c r="X71" s="2"/>
      <c r="Y71" s="2"/>
      <c r="Z71" s="2"/>
    </row>
    <row r="72" spans="1:26" ht="12.75" customHeight="1" x14ac:dyDescent="0.35">
      <c r="A72" s="2"/>
      <c r="B72" s="8" t="s">
        <v>131</v>
      </c>
      <c r="C72" s="8" t="s">
        <v>26</v>
      </c>
      <c r="D72" s="8">
        <v>14</v>
      </c>
      <c r="E72" s="21">
        <v>210</v>
      </c>
      <c r="F72" s="21">
        <v>0</v>
      </c>
      <c r="G72" s="21">
        <v>0</v>
      </c>
      <c r="H72" s="22">
        <v>0</v>
      </c>
      <c r="I72" s="21">
        <v>0</v>
      </c>
      <c r="J72" s="21">
        <v>202</v>
      </c>
      <c r="K72" s="21">
        <f t="shared" si="0"/>
        <v>8</v>
      </c>
      <c r="L72" s="21">
        <v>78.5</v>
      </c>
      <c r="M72" s="23">
        <v>24</v>
      </c>
      <c r="N72" s="21">
        <f t="shared" si="9"/>
        <v>9.3267326732673261</v>
      </c>
      <c r="O72" s="44">
        <v>3.9603960396039604E-2</v>
      </c>
      <c r="P72" s="21">
        <v>0</v>
      </c>
      <c r="Q72" s="21">
        <v>0</v>
      </c>
      <c r="R72" s="21">
        <v>0</v>
      </c>
      <c r="S72" s="2"/>
      <c r="T72" s="25">
        <v>823515</v>
      </c>
      <c r="U72" s="26">
        <f t="shared" si="2"/>
        <v>166350030</v>
      </c>
      <c r="V72" s="26">
        <f t="shared" si="3"/>
        <v>64645927.5</v>
      </c>
      <c r="W72" s="2"/>
      <c r="X72" s="2"/>
      <c r="Y72" s="2"/>
      <c r="Z72" s="2"/>
    </row>
    <row r="73" spans="1:26" ht="12.75" customHeight="1" x14ac:dyDescent="0.35">
      <c r="A73" s="2"/>
      <c r="B73" s="8" t="s">
        <v>132</v>
      </c>
      <c r="C73" s="8" t="s">
        <v>26</v>
      </c>
      <c r="D73" s="8">
        <v>14</v>
      </c>
      <c r="E73" s="21">
        <v>0</v>
      </c>
      <c r="F73" s="21">
        <v>455</v>
      </c>
      <c r="G73" s="21">
        <v>0</v>
      </c>
      <c r="H73" s="22">
        <v>0</v>
      </c>
      <c r="I73" s="21">
        <v>0</v>
      </c>
      <c r="J73" s="21">
        <v>239</v>
      </c>
      <c r="K73" s="21">
        <f t="shared" si="0"/>
        <v>216</v>
      </c>
      <c r="L73" s="21">
        <v>245</v>
      </c>
      <c r="M73" s="23">
        <v>24</v>
      </c>
      <c r="N73" s="21">
        <f t="shared" si="9"/>
        <v>24.602510460251047</v>
      </c>
      <c r="O73" s="44">
        <v>0.90376569037656906</v>
      </c>
      <c r="P73" s="21">
        <v>0</v>
      </c>
      <c r="Q73" s="21">
        <v>406</v>
      </c>
      <c r="R73" s="21">
        <v>0</v>
      </c>
      <c r="S73" s="2"/>
      <c r="T73" s="25">
        <v>823515</v>
      </c>
      <c r="U73" s="26">
        <f t="shared" si="2"/>
        <v>196820085</v>
      </c>
      <c r="V73" s="26">
        <f t="shared" si="3"/>
        <v>201761175</v>
      </c>
      <c r="W73" s="2"/>
      <c r="X73" s="2"/>
      <c r="Y73" s="2"/>
      <c r="Z73" s="2"/>
    </row>
    <row r="74" spans="1:26" ht="12.75" customHeight="1" x14ac:dyDescent="0.35">
      <c r="A74" s="2"/>
      <c r="B74" s="8" t="s">
        <v>131</v>
      </c>
      <c r="C74" s="8" t="s">
        <v>26</v>
      </c>
      <c r="D74" s="8">
        <v>14</v>
      </c>
      <c r="E74" s="21">
        <v>295</v>
      </c>
      <c r="F74" s="21">
        <v>297</v>
      </c>
      <c r="G74" s="21">
        <v>0</v>
      </c>
      <c r="H74" s="22">
        <v>0</v>
      </c>
      <c r="I74" s="21">
        <v>0</v>
      </c>
      <c r="J74" s="21">
        <v>90</v>
      </c>
      <c r="K74" s="21">
        <f t="shared" si="0"/>
        <v>502</v>
      </c>
      <c r="L74" s="21">
        <v>375.75</v>
      </c>
      <c r="M74" s="23">
        <v>24</v>
      </c>
      <c r="N74" s="21">
        <f t="shared" si="9"/>
        <v>100.19999999999999</v>
      </c>
      <c r="O74" s="44">
        <v>5.5777777777777775</v>
      </c>
      <c r="P74" s="21">
        <v>9</v>
      </c>
      <c r="Q74" s="21">
        <v>0</v>
      </c>
      <c r="R74" s="21">
        <v>0</v>
      </c>
      <c r="S74" s="2"/>
      <c r="T74" s="25">
        <v>823515</v>
      </c>
      <c r="U74" s="26">
        <f t="shared" si="2"/>
        <v>74116350</v>
      </c>
      <c r="V74" s="26">
        <f t="shared" si="3"/>
        <v>309435761.25</v>
      </c>
      <c r="W74" s="2"/>
      <c r="X74" s="2"/>
      <c r="Y74" s="2"/>
      <c r="Z74" s="2"/>
    </row>
    <row r="75" spans="1:26" ht="12.75" customHeight="1" x14ac:dyDescent="0.35">
      <c r="A75" s="2"/>
      <c r="B75" s="8" t="s">
        <v>132</v>
      </c>
      <c r="C75" s="8" t="s">
        <v>26</v>
      </c>
      <c r="D75" s="8">
        <v>14</v>
      </c>
      <c r="E75" s="21">
        <v>100</v>
      </c>
      <c r="F75" s="21">
        <v>0</v>
      </c>
      <c r="G75" s="21">
        <v>0</v>
      </c>
      <c r="H75" s="22">
        <v>0</v>
      </c>
      <c r="I75" s="21">
        <v>0</v>
      </c>
      <c r="J75" s="21">
        <v>43</v>
      </c>
      <c r="K75" s="21">
        <f t="shared" si="0"/>
        <v>57</v>
      </c>
      <c r="L75" s="21">
        <v>57</v>
      </c>
      <c r="M75" s="23">
        <v>24</v>
      </c>
      <c r="N75" s="21">
        <f t="shared" si="9"/>
        <v>31.813953488372093</v>
      </c>
      <c r="O75" s="44">
        <v>1.3255813953488371</v>
      </c>
      <c r="P75" s="21">
        <v>0</v>
      </c>
      <c r="Q75" s="21">
        <v>0</v>
      </c>
      <c r="R75" s="21">
        <v>0</v>
      </c>
      <c r="S75" s="2"/>
      <c r="T75" s="25">
        <v>823515</v>
      </c>
      <c r="U75" s="26">
        <f t="shared" si="2"/>
        <v>35411145</v>
      </c>
      <c r="V75" s="26">
        <f t="shared" si="3"/>
        <v>46940355</v>
      </c>
      <c r="W75" s="2"/>
      <c r="X75" s="2"/>
      <c r="Y75" s="2"/>
      <c r="Z75" s="2"/>
    </row>
    <row r="76" spans="1:26" ht="12.75" customHeight="1" x14ac:dyDescent="0.35">
      <c r="A76" s="2"/>
      <c r="B76" s="8" t="s">
        <v>80</v>
      </c>
      <c r="C76" s="8" t="s">
        <v>26</v>
      </c>
      <c r="D76" s="8">
        <v>14</v>
      </c>
      <c r="E76" s="21">
        <v>263</v>
      </c>
      <c r="F76" s="21">
        <v>193</v>
      </c>
      <c r="G76" s="21">
        <v>0</v>
      </c>
      <c r="H76" s="22">
        <v>0</v>
      </c>
      <c r="I76" s="21">
        <v>0</v>
      </c>
      <c r="J76" s="21">
        <v>263</v>
      </c>
      <c r="K76" s="21">
        <f t="shared" si="0"/>
        <v>193</v>
      </c>
      <c r="L76" s="21">
        <v>118</v>
      </c>
      <c r="M76" s="23">
        <v>24</v>
      </c>
      <c r="N76" s="21">
        <f t="shared" si="9"/>
        <v>10.768060836501901</v>
      </c>
      <c r="O76" s="44">
        <v>0.73384030418250945</v>
      </c>
      <c r="P76" s="21">
        <v>7</v>
      </c>
      <c r="Q76" s="21">
        <v>0</v>
      </c>
      <c r="R76" s="21">
        <v>0</v>
      </c>
      <c r="S76" s="2"/>
      <c r="T76" s="25">
        <v>823515</v>
      </c>
      <c r="U76" s="26">
        <f t="shared" si="2"/>
        <v>216584445</v>
      </c>
      <c r="V76" s="26">
        <f t="shared" si="3"/>
        <v>97174770</v>
      </c>
      <c r="W76" s="2"/>
      <c r="X76" s="2"/>
      <c r="Y76" s="2"/>
      <c r="Z76" s="2"/>
    </row>
    <row r="77" spans="1:26" ht="12.75" customHeight="1" x14ac:dyDescent="0.35">
      <c r="A77" s="2"/>
      <c r="B77" s="8" t="s">
        <v>82</v>
      </c>
      <c r="C77" s="8" t="s">
        <v>26</v>
      </c>
      <c r="D77" s="8">
        <v>14</v>
      </c>
      <c r="E77" s="21">
        <v>27</v>
      </c>
      <c r="F77" s="21">
        <v>0</v>
      </c>
      <c r="G77" s="21">
        <v>0</v>
      </c>
      <c r="H77" s="22">
        <v>0</v>
      </c>
      <c r="I77" s="21">
        <v>9</v>
      </c>
      <c r="J77" s="21">
        <v>0</v>
      </c>
      <c r="K77" s="21">
        <f t="shared" si="0"/>
        <v>18</v>
      </c>
      <c r="L77" s="21">
        <v>21.3333333333333</v>
      </c>
      <c r="M77" s="23">
        <v>24</v>
      </c>
      <c r="N77" s="21">
        <f t="shared" si="9"/>
        <v>56.8888888888888</v>
      </c>
      <c r="O77" s="44">
        <v>2</v>
      </c>
      <c r="P77" s="21">
        <v>15</v>
      </c>
      <c r="Q77" s="21">
        <v>15</v>
      </c>
      <c r="R77" s="21">
        <v>0</v>
      </c>
      <c r="S77" s="2"/>
      <c r="T77" s="25">
        <v>604345</v>
      </c>
      <c r="U77" s="26">
        <f t="shared" si="2"/>
        <v>5439105</v>
      </c>
      <c r="V77" s="26">
        <f t="shared" si="3"/>
        <v>12892693.333333313</v>
      </c>
      <c r="W77" s="2"/>
      <c r="X77" s="2"/>
      <c r="Y77" s="2"/>
      <c r="Z77" s="2"/>
    </row>
    <row r="78" spans="1:26" ht="12.75" customHeight="1" x14ac:dyDescent="0.35">
      <c r="A78" s="2"/>
      <c r="B78" s="8" t="s">
        <v>133</v>
      </c>
      <c r="C78" s="8" t="s">
        <v>26</v>
      </c>
      <c r="D78" s="8">
        <v>14</v>
      </c>
      <c r="E78" s="21">
        <v>81</v>
      </c>
      <c r="F78" s="21">
        <v>0</v>
      </c>
      <c r="G78" s="21">
        <v>0</v>
      </c>
      <c r="H78" s="22">
        <v>0</v>
      </c>
      <c r="I78" s="21">
        <v>42</v>
      </c>
      <c r="J78" s="21">
        <v>0</v>
      </c>
      <c r="K78" s="21">
        <f t="shared" si="0"/>
        <v>39</v>
      </c>
      <c r="L78" s="21">
        <v>63</v>
      </c>
      <c r="M78" s="23">
        <v>24</v>
      </c>
      <c r="N78" s="21">
        <f t="shared" si="9"/>
        <v>36</v>
      </c>
      <c r="O78" s="44">
        <v>0.9285714285714286</v>
      </c>
      <c r="P78" s="21">
        <v>7</v>
      </c>
      <c r="Q78" s="21">
        <v>0</v>
      </c>
      <c r="R78" s="21">
        <v>0</v>
      </c>
      <c r="S78" s="2"/>
      <c r="T78" s="25">
        <v>597835</v>
      </c>
      <c r="U78" s="26">
        <f t="shared" si="2"/>
        <v>25109070</v>
      </c>
      <c r="V78" s="26">
        <f t="shared" si="3"/>
        <v>37663605</v>
      </c>
      <c r="W78" s="2"/>
      <c r="X78" s="2"/>
      <c r="Y78" s="2"/>
      <c r="Z78" s="2"/>
    </row>
    <row r="79" spans="1:26" ht="12.75" customHeight="1" x14ac:dyDescent="0.35">
      <c r="A79" s="2"/>
      <c r="B79" s="8" t="s">
        <v>83</v>
      </c>
      <c r="C79" s="8" t="s">
        <v>26</v>
      </c>
      <c r="D79" s="8">
        <v>14</v>
      </c>
      <c r="E79" s="21">
        <v>0</v>
      </c>
      <c r="F79" s="21">
        <v>1027.49</v>
      </c>
      <c r="G79" s="21">
        <v>0</v>
      </c>
      <c r="H79" s="22">
        <v>0</v>
      </c>
      <c r="I79" s="21">
        <v>576</v>
      </c>
      <c r="J79" s="21">
        <v>0</v>
      </c>
      <c r="K79" s="21">
        <f t="shared" si="0"/>
        <v>451.49</v>
      </c>
      <c r="L79" s="21">
        <v>638.24833333333311</v>
      </c>
      <c r="M79" s="23">
        <v>24</v>
      </c>
      <c r="N79" s="21">
        <f t="shared" si="9"/>
        <v>26.593680555555544</v>
      </c>
      <c r="O79" s="44">
        <v>0.78383680555555557</v>
      </c>
      <c r="P79" s="21">
        <v>71</v>
      </c>
      <c r="Q79" s="21">
        <v>0</v>
      </c>
      <c r="R79" s="21">
        <v>0</v>
      </c>
      <c r="S79" s="2"/>
      <c r="T79" s="25">
        <v>597835</v>
      </c>
      <c r="U79" s="26">
        <f t="shared" si="2"/>
        <v>344352960</v>
      </c>
      <c r="V79" s="26">
        <f t="shared" si="3"/>
        <v>381567192.35833317</v>
      </c>
      <c r="W79" s="2"/>
      <c r="X79" s="2"/>
      <c r="Y79" s="2"/>
      <c r="Z79" s="2"/>
    </row>
    <row r="80" spans="1:26" ht="12.75" customHeight="1" x14ac:dyDescent="0.35">
      <c r="A80" s="2"/>
      <c r="B80" s="8" t="s">
        <v>134</v>
      </c>
      <c r="C80" s="8" t="s">
        <v>26</v>
      </c>
      <c r="D80" s="8">
        <v>14</v>
      </c>
      <c r="E80" s="21">
        <v>494</v>
      </c>
      <c r="F80" s="21">
        <v>616</v>
      </c>
      <c r="G80" s="21">
        <v>0</v>
      </c>
      <c r="H80" s="22">
        <v>0</v>
      </c>
      <c r="I80" s="21">
        <v>499</v>
      </c>
      <c r="J80" s="21">
        <v>0</v>
      </c>
      <c r="K80" s="21">
        <f t="shared" si="0"/>
        <v>611</v>
      </c>
      <c r="L80" s="21">
        <v>525.20000000000005</v>
      </c>
      <c r="M80" s="23">
        <v>24</v>
      </c>
      <c r="N80" s="21">
        <f t="shared" si="9"/>
        <v>25.260120240480965</v>
      </c>
      <c r="O80" s="44">
        <v>1.2244488977955912</v>
      </c>
      <c r="P80" s="21">
        <v>17.27</v>
      </c>
      <c r="Q80" s="21">
        <v>1200</v>
      </c>
      <c r="R80" s="21">
        <v>0</v>
      </c>
      <c r="S80" s="2"/>
      <c r="T80" s="25">
        <v>597835</v>
      </c>
      <c r="U80" s="26">
        <f t="shared" si="2"/>
        <v>298319665</v>
      </c>
      <c r="V80" s="26">
        <f t="shared" si="3"/>
        <v>313982942</v>
      </c>
      <c r="W80" s="2"/>
      <c r="X80" s="2"/>
      <c r="Y80" s="2"/>
      <c r="Z80" s="2"/>
    </row>
    <row r="81" spans="1:26" ht="12.75" customHeight="1" x14ac:dyDescent="0.35">
      <c r="A81" s="2"/>
      <c r="B81" s="8" t="s">
        <v>84</v>
      </c>
      <c r="C81" s="8" t="s">
        <v>26</v>
      </c>
      <c r="D81" s="8">
        <v>14</v>
      </c>
      <c r="E81" s="21">
        <v>287</v>
      </c>
      <c r="F81" s="21">
        <v>400</v>
      </c>
      <c r="G81" s="21">
        <v>0</v>
      </c>
      <c r="H81" s="22">
        <v>0</v>
      </c>
      <c r="I81" s="21">
        <v>489</v>
      </c>
      <c r="J81" s="21">
        <v>0</v>
      </c>
      <c r="K81" s="21">
        <f t="shared" si="0"/>
        <v>198</v>
      </c>
      <c r="L81" s="21">
        <v>391.61538461538504</v>
      </c>
      <c r="M81" s="23">
        <v>24</v>
      </c>
      <c r="N81" s="21">
        <f t="shared" si="9"/>
        <v>19.220386974988223</v>
      </c>
      <c r="O81" s="44">
        <v>0.40490797546012269</v>
      </c>
      <c r="P81" s="21">
        <v>106</v>
      </c>
      <c r="Q81" s="21">
        <v>450</v>
      </c>
      <c r="R81" s="21">
        <v>0</v>
      </c>
      <c r="S81" s="2"/>
      <c r="T81" s="25">
        <v>937285</v>
      </c>
      <c r="U81" s="26">
        <f t="shared" si="2"/>
        <v>458332365</v>
      </c>
      <c r="V81" s="26">
        <f t="shared" si="3"/>
        <v>367055225.76923114</v>
      </c>
      <c r="W81" s="2"/>
      <c r="X81" s="2"/>
      <c r="Y81" s="2"/>
      <c r="Z81" s="2"/>
    </row>
    <row r="82" spans="1:26" ht="12.75" customHeight="1" x14ac:dyDescent="0.35">
      <c r="A82" s="2"/>
      <c r="B82" s="8" t="s">
        <v>145</v>
      </c>
      <c r="C82" s="8" t="s">
        <v>26</v>
      </c>
      <c r="D82" s="8">
        <v>14</v>
      </c>
      <c r="E82" s="21">
        <v>240</v>
      </c>
      <c r="F82" s="21">
        <v>573</v>
      </c>
      <c r="G82" s="21">
        <v>0</v>
      </c>
      <c r="H82" s="22">
        <v>0</v>
      </c>
      <c r="I82" s="21">
        <v>347</v>
      </c>
      <c r="J82" s="21">
        <v>186</v>
      </c>
      <c r="K82" s="21">
        <f t="shared" si="0"/>
        <v>280</v>
      </c>
      <c r="L82" s="21">
        <v>338.83333333333303</v>
      </c>
      <c r="M82" s="23">
        <v>24</v>
      </c>
      <c r="N82" s="21">
        <f t="shared" si="9"/>
        <v>15.257035647279537</v>
      </c>
      <c r="O82" s="44">
        <v>0.52532833020637903</v>
      </c>
      <c r="P82" s="21">
        <v>23.06</v>
      </c>
      <c r="Q82" s="21">
        <v>202</v>
      </c>
      <c r="R82" s="21">
        <v>0</v>
      </c>
      <c r="S82" s="2"/>
      <c r="T82" s="25">
        <v>1402595</v>
      </c>
      <c r="U82" s="26">
        <f t="shared" si="2"/>
        <v>747583135</v>
      </c>
      <c r="V82" s="26">
        <f t="shared" si="3"/>
        <v>475245939.16666627</v>
      </c>
      <c r="W82" s="2"/>
      <c r="X82" s="2"/>
      <c r="Y82" s="2"/>
      <c r="Z82" s="2"/>
    </row>
    <row r="83" spans="1:26" ht="12.75" customHeight="1" x14ac:dyDescent="0.35">
      <c r="A83" s="2"/>
      <c r="B83" s="8" t="s">
        <v>146</v>
      </c>
      <c r="C83" s="8" t="s">
        <v>26</v>
      </c>
      <c r="D83" s="8">
        <v>14</v>
      </c>
      <c r="E83" s="21">
        <v>127</v>
      </c>
      <c r="F83" s="21">
        <v>0</v>
      </c>
      <c r="G83" s="21">
        <v>0</v>
      </c>
      <c r="H83" s="22">
        <v>0</v>
      </c>
      <c r="I83" s="21">
        <v>0</v>
      </c>
      <c r="J83" s="21">
        <v>66</v>
      </c>
      <c r="K83" s="21">
        <f t="shared" si="0"/>
        <v>61</v>
      </c>
      <c r="L83" s="21">
        <v>76</v>
      </c>
      <c r="M83" s="23">
        <v>24</v>
      </c>
      <c r="N83" s="21">
        <f t="shared" si="9"/>
        <v>27.63636363636364</v>
      </c>
      <c r="O83" s="44">
        <v>0.9242424242424242</v>
      </c>
      <c r="P83" s="21">
        <v>253</v>
      </c>
      <c r="Q83" s="21">
        <v>0</v>
      </c>
      <c r="R83" s="21">
        <v>0</v>
      </c>
      <c r="S83" s="2"/>
      <c r="T83" s="25">
        <v>1402595</v>
      </c>
      <c r="U83" s="26">
        <f t="shared" si="2"/>
        <v>92571270</v>
      </c>
      <c r="V83" s="26">
        <f t="shared" si="3"/>
        <v>106597220</v>
      </c>
      <c r="W83" s="2"/>
      <c r="X83" s="2"/>
      <c r="Y83" s="2"/>
      <c r="Z83" s="2"/>
    </row>
    <row r="84" spans="1:26" ht="12.75" customHeight="1" x14ac:dyDescent="0.35">
      <c r="A84" s="2"/>
      <c r="B84" s="8" t="s">
        <v>134</v>
      </c>
      <c r="C84" s="8" t="s">
        <v>26</v>
      </c>
      <c r="D84" s="8">
        <v>14</v>
      </c>
      <c r="E84" s="21">
        <v>18</v>
      </c>
      <c r="F84" s="21">
        <v>51</v>
      </c>
      <c r="G84" s="21">
        <v>0</v>
      </c>
      <c r="H84" s="22">
        <v>0</v>
      </c>
      <c r="I84" s="21">
        <v>27</v>
      </c>
      <c r="J84" s="21">
        <v>0</v>
      </c>
      <c r="K84" s="21">
        <f t="shared" si="0"/>
        <v>42</v>
      </c>
      <c r="L84" s="21">
        <v>26.8125</v>
      </c>
      <c r="M84" s="23">
        <v>24</v>
      </c>
      <c r="N84" s="21">
        <f t="shared" si="9"/>
        <v>23.833333333333336</v>
      </c>
      <c r="O84" s="44">
        <v>1.5555555555555556</v>
      </c>
      <c r="P84" s="21">
        <v>0</v>
      </c>
      <c r="Q84" s="21">
        <v>0</v>
      </c>
      <c r="R84" s="21">
        <v>0</v>
      </c>
      <c r="S84" s="2"/>
      <c r="T84" s="25">
        <v>10957105</v>
      </c>
      <c r="U84" s="26">
        <f t="shared" si="2"/>
        <v>295841835</v>
      </c>
      <c r="V84" s="26">
        <f t="shared" si="3"/>
        <v>293787377.8125</v>
      </c>
      <c r="W84" s="2"/>
      <c r="X84" s="2"/>
      <c r="Y84" s="2"/>
      <c r="Z84" s="2"/>
    </row>
    <row r="85" spans="1:26" ht="12.75" customHeight="1" x14ac:dyDescent="0.35">
      <c r="A85" s="2"/>
      <c r="B85" s="8" t="s">
        <v>146</v>
      </c>
      <c r="C85" s="8" t="s">
        <v>26</v>
      </c>
      <c r="D85" s="8">
        <v>14</v>
      </c>
      <c r="E85" s="21">
        <v>42</v>
      </c>
      <c r="F85" s="21">
        <v>210</v>
      </c>
      <c r="G85" s="21">
        <v>0</v>
      </c>
      <c r="H85" s="22">
        <v>0</v>
      </c>
      <c r="I85" s="21">
        <v>65</v>
      </c>
      <c r="J85" s="21">
        <v>0</v>
      </c>
      <c r="K85" s="21">
        <f t="shared" si="0"/>
        <v>187</v>
      </c>
      <c r="L85" s="21">
        <v>65.8</v>
      </c>
      <c r="M85" s="23">
        <v>24</v>
      </c>
      <c r="N85" s="21">
        <f t="shared" si="9"/>
        <v>24.295384615384616</v>
      </c>
      <c r="O85" s="44">
        <v>2.8769230769230769</v>
      </c>
      <c r="P85" s="21">
        <v>0</v>
      </c>
      <c r="Q85" s="21">
        <v>0</v>
      </c>
      <c r="R85" s="21">
        <v>0</v>
      </c>
      <c r="S85" s="2"/>
      <c r="T85" s="25">
        <v>1372215</v>
      </c>
      <c r="U85" s="26">
        <f t="shared" si="2"/>
        <v>89193975</v>
      </c>
      <c r="V85" s="26">
        <f t="shared" si="3"/>
        <v>90291747</v>
      </c>
      <c r="W85" s="2"/>
      <c r="X85" s="2"/>
      <c r="Y85" s="2"/>
      <c r="Z85" s="2"/>
    </row>
    <row r="86" spans="1:26" ht="12.75" customHeight="1" x14ac:dyDescent="0.35">
      <c r="A86" s="2"/>
      <c r="B86" s="8" t="s">
        <v>86</v>
      </c>
      <c r="C86" s="8" t="s">
        <v>26</v>
      </c>
      <c r="D86" s="8">
        <v>14</v>
      </c>
      <c r="E86" s="21">
        <v>101</v>
      </c>
      <c r="F86" s="21">
        <v>0</v>
      </c>
      <c r="G86" s="21">
        <v>0</v>
      </c>
      <c r="H86" s="22">
        <v>0</v>
      </c>
      <c r="I86" s="21">
        <v>19</v>
      </c>
      <c r="J86" s="21">
        <v>0</v>
      </c>
      <c r="K86" s="21">
        <f t="shared" si="0"/>
        <v>82</v>
      </c>
      <c r="L86" s="21">
        <v>82</v>
      </c>
      <c r="M86" s="23">
        <v>24</v>
      </c>
      <c r="N86" s="21">
        <f t="shared" si="9"/>
        <v>103.57894736842105</v>
      </c>
      <c r="O86" s="44">
        <v>4.3157894736842106</v>
      </c>
      <c r="P86" s="21">
        <v>0</v>
      </c>
      <c r="Q86" s="21">
        <v>0</v>
      </c>
      <c r="R86" s="21">
        <v>0</v>
      </c>
      <c r="S86" s="2"/>
      <c r="T86" s="25">
        <v>1027805</v>
      </c>
      <c r="U86" s="26">
        <f t="shared" si="2"/>
        <v>19528295</v>
      </c>
      <c r="V86" s="26">
        <f t="shared" si="3"/>
        <v>84280010</v>
      </c>
      <c r="W86" s="2"/>
      <c r="X86" s="2"/>
      <c r="Y86" s="2"/>
      <c r="Z86" s="2"/>
    </row>
    <row r="87" spans="1:26" ht="12.75" customHeight="1" x14ac:dyDescent="0.35">
      <c r="A87" s="2"/>
      <c r="B87" s="8" t="s">
        <v>111</v>
      </c>
      <c r="C87" s="8" t="s">
        <v>26</v>
      </c>
      <c r="D87" s="8">
        <v>14</v>
      </c>
      <c r="E87" s="21">
        <v>61</v>
      </c>
      <c r="F87" s="21">
        <v>0</v>
      </c>
      <c r="G87" s="21">
        <v>0</v>
      </c>
      <c r="H87" s="22">
        <v>0</v>
      </c>
      <c r="I87" s="21">
        <v>0</v>
      </c>
      <c r="J87" s="21">
        <v>8</v>
      </c>
      <c r="K87" s="21">
        <f t="shared" si="0"/>
        <v>53</v>
      </c>
      <c r="L87" s="21">
        <v>55</v>
      </c>
      <c r="M87" s="23">
        <v>24</v>
      </c>
      <c r="N87" s="21">
        <f t="shared" si="9"/>
        <v>165</v>
      </c>
      <c r="O87" s="44">
        <v>6.625</v>
      </c>
      <c r="P87" s="21">
        <v>0</v>
      </c>
      <c r="Q87" s="21">
        <v>0</v>
      </c>
      <c r="R87" s="21">
        <v>0</v>
      </c>
      <c r="S87" s="2"/>
      <c r="T87" s="25">
        <v>746480</v>
      </c>
      <c r="U87" s="26">
        <f t="shared" si="2"/>
        <v>5971840</v>
      </c>
      <c r="V87" s="26">
        <f t="shared" si="3"/>
        <v>41056400</v>
      </c>
      <c r="W87" s="2"/>
      <c r="X87" s="2"/>
      <c r="Y87" s="2"/>
      <c r="Z87" s="2"/>
    </row>
    <row r="88" spans="1:26" ht="12.75" customHeight="1" x14ac:dyDescent="0.35">
      <c r="A88" s="2"/>
      <c r="B88" s="8" t="s">
        <v>88</v>
      </c>
      <c r="C88" s="8" t="s">
        <v>26</v>
      </c>
      <c r="D88" s="8">
        <v>14</v>
      </c>
      <c r="E88" s="21">
        <v>216</v>
      </c>
      <c r="F88" s="21">
        <v>403</v>
      </c>
      <c r="G88" s="21">
        <v>0</v>
      </c>
      <c r="H88" s="22">
        <v>0</v>
      </c>
      <c r="I88" s="21">
        <v>352</v>
      </c>
      <c r="J88" s="21">
        <v>206</v>
      </c>
      <c r="K88" s="21">
        <f t="shared" si="0"/>
        <v>61</v>
      </c>
      <c r="L88" s="21">
        <v>239.07692307692301</v>
      </c>
      <c r="M88" s="23">
        <v>24</v>
      </c>
      <c r="N88" s="21">
        <f t="shared" si="9"/>
        <v>10.282878411910668</v>
      </c>
      <c r="O88" s="44">
        <v>0.10931899641577061</v>
      </c>
      <c r="P88" s="21">
        <v>305</v>
      </c>
      <c r="Q88" s="21">
        <v>595</v>
      </c>
      <c r="R88" s="21">
        <v>0</v>
      </c>
      <c r="S88" s="2"/>
      <c r="T88" s="25">
        <v>1372215</v>
      </c>
      <c r="U88" s="26">
        <f t="shared" si="2"/>
        <v>765695970</v>
      </c>
      <c r="V88" s="26">
        <f t="shared" si="3"/>
        <v>328064939.99999988</v>
      </c>
      <c r="W88" s="2"/>
      <c r="X88" s="2"/>
      <c r="Y88" s="2"/>
      <c r="Z88" s="2"/>
    </row>
    <row r="89" spans="1:26" ht="12.75" customHeight="1" x14ac:dyDescent="0.35">
      <c r="A89" s="2"/>
      <c r="B89" s="8" t="s">
        <v>135</v>
      </c>
      <c r="C89" s="8" t="s">
        <v>26</v>
      </c>
      <c r="D89" s="8">
        <v>14</v>
      </c>
      <c r="E89" s="21">
        <v>54</v>
      </c>
      <c r="F89" s="21">
        <v>16</v>
      </c>
      <c r="G89" s="21">
        <v>0</v>
      </c>
      <c r="H89" s="22">
        <v>0</v>
      </c>
      <c r="I89" s="21">
        <v>22</v>
      </c>
      <c r="J89" s="21">
        <v>0</v>
      </c>
      <c r="K89" s="21">
        <f t="shared" si="0"/>
        <v>48</v>
      </c>
      <c r="L89" s="21">
        <v>50.6666666666667</v>
      </c>
      <c r="M89" s="23">
        <v>24</v>
      </c>
      <c r="N89" s="21">
        <f t="shared" si="9"/>
        <v>55.272727272727309</v>
      </c>
      <c r="O89" s="44">
        <v>2.1818181818181817</v>
      </c>
      <c r="P89" s="21">
        <v>0</v>
      </c>
      <c r="Q89" s="21">
        <v>0</v>
      </c>
      <c r="R89" s="21">
        <v>0</v>
      </c>
      <c r="S89" s="2"/>
      <c r="T89" s="26">
        <v>6276182</v>
      </c>
      <c r="U89" s="26">
        <f t="shared" si="2"/>
        <v>138076004</v>
      </c>
      <c r="V89" s="26">
        <f t="shared" si="3"/>
        <v>317993221.33333355</v>
      </c>
      <c r="W89" s="2"/>
      <c r="X89" s="2"/>
      <c r="Y89" s="2"/>
      <c r="Z89" s="2"/>
    </row>
    <row r="90" spans="1:26" ht="12.75" customHeight="1" x14ac:dyDescent="0.35">
      <c r="A90" s="2"/>
      <c r="B90" s="8" t="s">
        <v>136</v>
      </c>
      <c r="C90" s="8" t="s">
        <v>26</v>
      </c>
      <c r="D90" s="8">
        <v>14</v>
      </c>
      <c r="E90" s="21">
        <v>69</v>
      </c>
      <c r="F90" s="21">
        <v>0</v>
      </c>
      <c r="G90" s="21">
        <v>0</v>
      </c>
      <c r="H90" s="22">
        <v>0</v>
      </c>
      <c r="I90" s="21">
        <v>27</v>
      </c>
      <c r="J90" s="21">
        <v>42</v>
      </c>
      <c r="K90" s="21">
        <f t="shared" si="0"/>
        <v>0</v>
      </c>
      <c r="L90" s="21">
        <v>47.285714285714299</v>
      </c>
      <c r="M90" s="23">
        <v>24</v>
      </c>
      <c r="N90" s="21">
        <f t="shared" si="9"/>
        <v>16.447204968944106</v>
      </c>
      <c r="O90" s="44">
        <v>0</v>
      </c>
      <c r="P90" s="21">
        <v>0</v>
      </c>
      <c r="Q90" s="21">
        <v>0</v>
      </c>
      <c r="R90" s="21">
        <v>0</v>
      </c>
      <c r="S90" s="2"/>
      <c r="T90" s="26">
        <v>6276182</v>
      </c>
      <c r="U90" s="26">
        <f t="shared" si="2"/>
        <v>433056558</v>
      </c>
      <c r="V90" s="26">
        <f t="shared" si="3"/>
        <v>296773748.85714293</v>
      </c>
      <c r="W90" s="2"/>
      <c r="X90" s="2"/>
      <c r="Y90" s="2"/>
      <c r="Z90" s="2"/>
    </row>
    <row r="91" spans="1:26" ht="12.75" customHeight="1" x14ac:dyDescent="0.35">
      <c r="A91" s="2"/>
      <c r="B91" s="8" t="s">
        <v>90</v>
      </c>
      <c r="C91" s="8" t="s">
        <v>26</v>
      </c>
      <c r="D91" s="8">
        <v>14</v>
      </c>
      <c r="E91" s="21">
        <v>0</v>
      </c>
      <c r="F91" s="21">
        <v>150</v>
      </c>
      <c r="G91" s="21">
        <v>0</v>
      </c>
      <c r="H91" s="22">
        <v>0</v>
      </c>
      <c r="I91" s="21">
        <v>94</v>
      </c>
      <c r="J91" s="21">
        <v>0</v>
      </c>
      <c r="K91" s="21">
        <f t="shared" si="0"/>
        <v>56</v>
      </c>
      <c r="L91" s="21">
        <v>106</v>
      </c>
      <c r="M91" s="23">
        <v>24</v>
      </c>
      <c r="N91" s="21">
        <f t="shared" si="9"/>
        <v>27.063829787234042</v>
      </c>
      <c r="O91" s="44">
        <v>0.5957446808510638</v>
      </c>
      <c r="P91" s="21">
        <v>0</v>
      </c>
      <c r="Q91" s="21">
        <v>100</v>
      </c>
      <c r="R91" s="21">
        <v>0</v>
      </c>
      <c r="S91" s="2"/>
      <c r="T91" s="25">
        <v>848935</v>
      </c>
      <c r="U91" s="26">
        <f t="shared" si="2"/>
        <v>79799890</v>
      </c>
      <c r="V91" s="26">
        <f t="shared" si="3"/>
        <v>89987110</v>
      </c>
      <c r="W91" s="2"/>
      <c r="X91" s="2"/>
      <c r="Y91" s="2"/>
      <c r="Z91" s="2"/>
    </row>
    <row r="92" spans="1:26" ht="12.75" customHeight="1" x14ac:dyDescent="0.35">
      <c r="A92" s="2"/>
      <c r="B92" s="8" t="s">
        <v>135</v>
      </c>
      <c r="C92" s="8" t="s">
        <v>26</v>
      </c>
      <c r="D92" s="8">
        <v>14</v>
      </c>
      <c r="E92" s="21">
        <v>225</v>
      </c>
      <c r="F92" s="21">
        <v>357</v>
      </c>
      <c r="G92" s="21">
        <v>0</v>
      </c>
      <c r="H92" s="22">
        <v>0</v>
      </c>
      <c r="I92" s="21">
        <v>72</v>
      </c>
      <c r="J92" s="21">
        <v>413</v>
      </c>
      <c r="K92" s="21">
        <f t="shared" si="0"/>
        <v>97</v>
      </c>
      <c r="L92" s="21">
        <v>103.666666666667</v>
      </c>
      <c r="M92" s="23">
        <v>24</v>
      </c>
      <c r="N92" s="21">
        <f t="shared" si="9"/>
        <v>5.1298969072165113</v>
      </c>
      <c r="O92" s="44">
        <v>0.2</v>
      </c>
      <c r="P92" s="21">
        <v>0</v>
      </c>
      <c r="Q92" s="21">
        <v>152</v>
      </c>
      <c r="R92" s="21">
        <v>0</v>
      </c>
      <c r="S92" s="2"/>
      <c r="T92" s="25">
        <v>923955</v>
      </c>
      <c r="U92" s="26">
        <f t="shared" si="2"/>
        <v>448118175</v>
      </c>
      <c r="V92" s="26">
        <f t="shared" si="3"/>
        <v>95783335.000000313</v>
      </c>
      <c r="W92" s="2"/>
      <c r="X92" s="2"/>
      <c r="Y92" s="2"/>
      <c r="Z92" s="2"/>
    </row>
    <row r="93" spans="1:26" ht="12.75" customHeight="1" x14ac:dyDescent="0.35">
      <c r="A93" s="2"/>
      <c r="B93" s="8" t="s">
        <v>137</v>
      </c>
      <c r="C93" s="8" t="s">
        <v>26</v>
      </c>
      <c r="D93" s="8">
        <v>14</v>
      </c>
      <c r="E93" s="21">
        <v>0</v>
      </c>
      <c r="F93" s="21">
        <v>105</v>
      </c>
      <c r="G93" s="21">
        <v>0</v>
      </c>
      <c r="H93" s="22">
        <v>0</v>
      </c>
      <c r="I93" s="21">
        <v>0</v>
      </c>
      <c r="J93" s="21">
        <v>0</v>
      </c>
      <c r="K93" s="21">
        <f t="shared" si="0"/>
        <v>105</v>
      </c>
      <c r="L93" s="21">
        <v>105</v>
      </c>
      <c r="M93" s="23">
        <v>24</v>
      </c>
      <c r="N93" s="21">
        <v>0</v>
      </c>
      <c r="O93" s="44">
        <v>0</v>
      </c>
      <c r="P93" s="21">
        <v>0</v>
      </c>
      <c r="Q93" s="21">
        <v>100</v>
      </c>
      <c r="R93" s="21">
        <v>0</v>
      </c>
      <c r="S93" s="2"/>
      <c r="T93" s="25">
        <v>923955</v>
      </c>
      <c r="U93" s="26">
        <f t="shared" si="2"/>
        <v>0</v>
      </c>
      <c r="V93" s="26">
        <f t="shared" si="3"/>
        <v>97015275</v>
      </c>
      <c r="W93" s="2"/>
      <c r="X93" s="2"/>
      <c r="Y93" s="2"/>
      <c r="Z93" s="2"/>
    </row>
    <row r="94" spans="1:26" ht="12.75" customHeight="1" x14ac:dyDescent="0.35">
      <c r="A94" s="2"/>
      <c r="B94" s="8" t="s">
        <v>113</v>
      </c>
      <c r="C94" s="8" t="s">
        <v>26</v>
      </c>
      <c r="D94" s="8">
        <v>14</v>
      </c>
      <c r="E94" s="21">
        <v>78</v>
      </c>
      <c r="F94" s="21">
        <v>0</v>
      </c>
      <c r="G94" s="21">
        <v>0</v>
      </c>
      <c r="H94" s="22">
        <v>0</v>
      </c>
      <c r="I94" s="21">
        <v>78</v>
      </c>
      <c r="J94" s="21">
        <v>0</v>
      </c>
      <c r="K94" s="21">
        <f t="shared" si="0"/>
        <v>0</v>
      </c>
      <c r="L94" s="21">
        <v>24</v>
      </c>
      <c r="M94" s="23">
        <v>24</v>
      </c>
      <c r="N94" s="21">
        <f t="shared" ref="N94:N100" si="10">(L94/(I94+J94))*M94</f>
        <v>7.384615384615385</v>
      </c>
      <c r="O94" s="44">
        <v>0</v>
      </c>
      <c r="P94" s="21">
        <v>0</v>
      </c>
      <c r="Q94" s="21">
        <v>0</v>
      </c>
      <c r="R94" s="21">
        <v>0</v>
      </c>
      <c r="S94" s="2"/>
      <c r="T94" s="25">
        <v>1345865</v>
      </c>
      <c r="U94" s="26">
        <f t="shared" si="2"/>
        <v>104977470</v>
      </c>
      <c r="V94" s="26">
        <f t="shared" si="3"/>
        <v>32300760</v>
      </c>
      <c r="W94" s="2"/>
      <c r="X94" s="2"/>
      <c r="Y94" s="2"/>
      <c r="Z94" s="2"/>
    </row>
    <row r="95" spans="1:26" ht="12.75" customHeight="1" x14ac:dyDescent="0.35">
      <c r="A95" s="2"/>
      <c r="B95" s="8" t="s">
        <v>154</v>
      </c>
      <c r="C95" s="8" t="s">
        <v>26</v>
      </c>
      <c r="D95" s="8">
        <v>14</v>
      </c>
      <c r="E95" s="21">
        <v>0</v>
      </c>
      <c r="F95" s="21">
        <v>84</v>
      </c>
      <c r="G95" s="21">
        <v>0</v>
      </c>
      <c r="H95" s="22">
        <v>0</v>
      </c>
      <c r="I95" s="21">
        <v>48</v>
      </c>
      <c r="J95" s="21">
        <v>0</v>
      </c>
      <c r="K95" s="21">
        <f t="shared" si="0"/>
        <v>36</v>
      </c>
      <c r="L95" s="21">
        <v>60</v>
      </c>
      <c r="M95" s="23">
        <v>24</v>
      </c>
      <c r="N95" s="21">
        <f t="shared" si="10"/>
        <v>30</v>
      </c>
      <c r="O95" s="44">
        <v>0.75</v>
      </c>
      <c r="P95" s="21">
        <v>50</v>
      </c>
      <c r="Q95" s="21">
        <v>50</v>
      </c>
      <c r="R95" s="21">
        <v>0</v>
      </c>
      <c r="S95" s="2"/>
      <c r="T95" s="25">
        <v>1345865</v>
      </c>
      <c r="U95" s="26">
        <f t="shared" si="2"/>
        <v>64601520</v>
      </c>
      <c r="V95" s="26">
        <f t="shared" si="3"/>
        <v>80751900</v>
      </c>
      <c r="W95" s="2"/>
      <c r="X95" s="2"/>
      <c r="Y95" s="2"/>
      <c r="Z95" s="2"/>
    </row>
    <row r="96" spans="1:26" ht="12.75" customHeight="1" x14ac:dyDescent="0.35">
      <c r="A96" s="2"/>
      <c r="B96" s="8" t="s">
        <v>92</v>
      </c>
      <c r="C96" s="8" t="s">
        <v>26</v>
      </c>
      <c r="D96" s="8">
        <v>14</v>
      </c>
      <c r="E96" s="21">
        <v>145</v>
      </c>
      <c r="F96" s="21">
        <v>1156</v>
      </c>
      <c r="G96" s="21">
        <v>0</v>
      </c>
      <c r="H96" s="22">
        <v>0</v>
      </c>
      <c r="I96" s="21">
        <v>72</v>
      </c>
      <c r="J96" s="21">
        <v>978</v>
      </c>
      <c r="K96" s="21">
        <f t="shared" si="0"/>
        <v>251</v>
      </c>
      <c r="L96" s="21">
        <v>385.66666666666703</v>
      </c>
      <c r="M96" s="23">
        <v>24</v>
      </c>
      <c r="N96" s="21">
        <f t="shared" si="10"/>
        <v>8.8152380952381026</v>
      </c>
      <c r="O96" s="44">
        <v>0.23904761904761904</v>
      </c>
      <c r="P96" s="21">
        <v>65</v>
      </c>
      <c r="Q96" s="21">
        <v>700</v>
      </c>
      <c r="R96" s="21">
        <v>0</v>
      </c>
      <c r="S96" s="2"/>
      <c r="T96" s="25">
        <v>923955</v>
      </c>
      <c r="U96" s="26">
        <f t="shared" si="2"/>
        <v>970152750</v>
      </c>
      <c r="V96" s="26">
        <f t="shared" si="3"/>
        <v>356338645.00000036</v>
      </c>
      <c r="W96" s="2"/>
      <c r="X96" s="2"/>
      <c r="Y96" s="2"/>
      <c r="Z96" s="2"/>
    </row>
    <row r="97" spans="1:26" ht="12.75" customHeight="1" x14ac:dyDescent="0.35">
      <c r="A97" s="2"/>
      <c r="B97" s="8" t="s">
        <v>137</v>
      </c>
      <c r="C97" s="8" t="s">
        <v>26</v>
      </c>
      <c r="D97" s="8">
        <v>14</v>
      </c>
      <c r="E97" s="21">
        <v>102</v>
      </c>
      <c r="F97" s="21">
        <v>0</v>
      </c>
      <c r="G97" s="21">
        <v>0</v>
      </c>
      <c r="H97" s="22">
        <v>0</v>
      </c>
      <c r="I97" s="21">
        <v>0</v>
      </c>
      <c r="J97" s="21">
        <v>102</v>
      </c>
      <c r="K97" s="21">
        <f t="shared" si="0"/>
        <v>0</v>
      </c>
      <c r="L97" s="21">
        <v>0</v>
      </c>
      <c r="M97" s="23">
        <v>24</v>
      </c>
      <c r="N97" s="21">
        <f t="shared" si="10"/>
        <v>0</v>
      </c>
      <c r="O97" s="44">
        <v>0</v>
      </c>
      <c r="P97" s="21">
        <v>0</v>
      </c>
      <c r="Q97" s="21">
        <v>0</v>
      </c>
      <c r="R97" s="21">
        <v>0</v>
      </c>
      <c r="S97" s="2"/>
      <c r="T97" s="25">
        <v>923955</v>
      </c>
      <c r="U97" s="26">
        <f t="shared" si="2"/>
        <v>94243410</v>
      </c>
      <c r="V97" s="26">
        <f t="shared" si="3"/>
        <v>0</v>
      </c>
      <c r="W97" s="2"/>
      <c r="X97" s="2"/>
      <c r="Y97" s="2"/>
      <c r="Z97" s="2"/>
    </row>
    <row r="98" spans="1:26" ht="12.75" customHeight="1" x14ac:dyDescent="0.35">
      <c r="A98" s="2"/>
      <c r="B98" s="8" t="s">
        <v>93</v>
      </c>
      <c r="C98" s="8" t="s">
        <v>26</v>
      </c>
      <c r="D98" s="8">
        <v>14</v>
      </c>
      <c r="E98" s="21">
        <v>15</v>
      </c>
      <c r="F98" s="21">
        <v>0</v>
      </c>
      <c r="G98" s="21">
        <v>0</v>
      </c>
      <c r="H98" s="22">
        <v>0</v>
      </c>
      <c r="I98" s="21">
        <v>15</v>
      </c>
      <c r="J98" s="21">
        <v>0</v>
      </c>
      <c r="K98" s="21">
        <f t="shared" si="0"/>
        <v>0</v>
      </c>
      <c r="L98" s="21">
        <v>4.5</v>
      </c>
      <c r="M98" s="23">
        <v>24</v>
      </c>
      <c r="N98" s="21">
        <f t="shared" si="10"/>
        <v>7.1999999999999993</v>
      </c>
      <c r="O98" s="44">
        <v>0</v>
      </c>
      <c r="P98" s="21">
        <v>0</v>
      </c>
      <c r="Q98" s="21">
        <v>0</v>
      </c>
      <c r="R98" s="21">
        <v>0</v>
      </c>
      <c r="S98" s="2"/>
      <c r="T98" s="25">
        <v>504525</v>
      </c>
      <c r="U98" s="26">
        <f t="shared" si="2"/>
        <v>7567875</v>
      </c>
      <c r="V98" s="26">
        <f t="shared" si="3"/>
        <v>2270362.5</v>
      </c>
      <c r="W98" s="2"/>
      <c r="X98" s="2"/>
      <c r="Y98" s="2"/>
      <c r="Z98" s="2"/>
    </row>
    <row r="99" spans="1:26" ht="12.75" customHeight="1" x14ac:dyDescent="0.35">
      <c r="A99" s="2"/>
      <c r="B99" s="8" t="s">
        <v>138</v>
      </c>
      <c r="C99" s="8" t="s">
        <v>26</v>
      </c>
      <c r="D99" s="8">
        <v>14</v>
      </c>
      <c r="E99" s="21">
        <v>77</v>
      </c>
      <c r="F99" s="21">
        <v>610</v>
      </c>
      <c r="G99" s="21">
        <v>0</v>
      </c>
      <c r="H99" s="22">
        <v>0</v>
      </c>
      <c r="I99" s="21">
        <v>582</v>
      </c>
      <c r="J99" s="21">
        <v>0</v>
      </c>
      <c r="K99" s="21">
        <f t="shared" si="0"/>
        <v>105</v>
      </c>
      <c r="L99" s="21">
        <v>257.75</v>
      </c>
      <c r="M99" s="23">
        <v>24</v>
      </c>
      <c r="N99" s="21">
        <f t="shared" si="10"/>
        <v>10.628865979381443</v>
      </c>
      <c r="O99" s="44">
        <v>0.18041237113402062</v>
      </c>
      <c r="P99" s="21">
        <v>0</v>
      </c>
      <c r="Q99" s="21">
        <v>1200</v>
      </c>
      <c r="R99" s="21">
        <v>0</v>
      </c>
      <c r="S99" s="2"/>
      <c r="T99" s="25">
        <v>848935</v>
      </c>
      <c r="U99" s="26">
        <f t="shared" si="2"/>
        <v>494080170</v>
      </c>
      <c r="V99" s="26">
        <f t="shared" si="3"/>
        <v>218812996.25</v>
      </c>
      <c r="W99" s="4" t="s">
        <v>155</v>
      </c>
      <c r="X99" s="2"/>
      <c r="Y99" s="2"/>
      <c r="Z99" s="2"/>
    </row>
    <row r="100" spans="1:26" ht="18.75" customHeight="1" x14ac:dyDescent="0.35">
      <c r="A100" s="33"/>
      <c r="B100" s="27" t="s">
        <v>96</v>
      </c>
      <c r="C100" s="28"/>
      <c r="D100" s="28"/>
      <c r="E100" s="29">
        <f t="shared" ref="E100:L100" si="11">SUM(E4:E99)</f>
        <v>17513.23</v>
      </c>
      <c r="F100" s="29">
        <f t="shared" si="11"/>
        <v>22857.49</v>
      </c>
      <c r="G100" s="29">
        <f t="shared" si="11"/>
        <v>0</v>
      </c>
      <c r="H100" s="29">
        <f t="shared" si="11"/>
        <v>0</v>
      </c>
      <c r="I100" s="29">
        <f t="shared" si="11"/>
        <v>8220</v>
      </c>
      <c r="J100" s="29">
        <f t="shared" si="11"/>
        <v>12667</v>
      </c>
      <c r="K100" s="29">
        <f t="shared" si="11"/>
        <v>19483.72</v>
      </c>
      <c r="L100" s="29">
        <f t="shared" si="11"/>
        <v>19781.810259740265</v>
      </c>
      <c r="M100" s="30">
        <v>24</v>
      </c>
      <c r="N100" s="30">
        <f t="shared" si="10"/>
        <v>22.730092700424493</v>
      </c>
      <c r="O100" s="45">
        <f>+K100/($I100+$J100)*$M$4</f>
        <v>22.387575046679753</v>
      </c>
      <c r="P100" s="29">
        <f t="shared" ref="P100:R100" si="12">SUM(P4:P99)</f>
        <v>2532.56</v>
      </c>
      <c r="Q100" s="29">
        <f t="shared" si="12"/>
        <v>11735</v>
      </c>
      <c r="R100" s="29">
        <f t="shared" si="12"/>
        <v>320</v>
      </c>
      <c r="S100" s="33"/>
      <c r="T100" s="2"/>
      <c r="U100" s="35">
        <f t="shared" ref="U100:V100" si="13">SUM(U4:U99)</f>
        <v>19789186558</v>
      </c>
      <c r="V100" s="35">
        <f t="shared" si="13"/>
        <v>15799223053.704947</v>
      </c>
      <c r="W100" s="29">
        <f>(V100/U100)*M99</f>
        <v>19.161037881854238</v>
      </c>
      <c r="X100" s="33"/>
      <c r="Y100" s="33"/>
      <c r="Z100" s="33"/>
    </row>
    <row r="101" spans="1:26" ht="18.75" customHeight="1" x14ac:dyDescent="0.35">
      <c r="A101" s="2"/>
      <c r="B101" s="1"/>
      <c r="C101" s="2"/>
      <c r="D101" s="2"/>
      <c r="E101" s="36"/>
      <c r="F101" s="36"/>
      <c r="G101" s="36"/>
      <c r="H101" s="36"/>
      <c r="I101" s="36">
        <f>I100+J100</f>
        <v>20887</v>
      </c>
      <c r="J101" s="36"/>
      <c r="K101" s="36"/>
      <c r="L101" s="36"/>
      <c r="M101" s="3"/>
      <c r="N101" s="36"/>
      <c r="O101" s="36"/>
      <c r="P101" s="37"/>
      <c r="Q101" s="36"/>
      <c r="R101" s="36"/>
      <c r="S101" s="36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2"/>
      <c r="B102" s="2" t="s">
        <v>97</v>
      </c>
      <c r="C102" s="39">
        <v>24.9</v>
      </c>
      <c r="D102" s="2" t="s">
        <v>98</v>
      </c>
      <c r="E102" s="2"/>
      <c r="F102" s="2"/>
      <c r="G102" s="2"/>
      <c r="H102" s="2"/>
      <c r="I102" s="2"/>
      <c r="J102" s="2"/>
      <c r="K102" s="2"/>
      <c r="L102" s="2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2"/>
      <c r="B105" s="1"/>
      <c r="C105" s="40"/>
      <c r="D105" s="40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53125" defaultRowHeight="15" customHeight="1" x14ac:dyDescent="0.35"/>
  <cols>
    <col min="1" max="1" width="2.54296875" customWidth="1"/>
    <col min="2" max="2" width="17.81640625" customWidth="1"/>
    <col min="3" max="4" width="15" customWidth="1"/>
    <col min="5" max="5" width="16.08984375" customWidth="1"/>
    <col min="6" max="6" width="13.26953125" customWidth="1"/>
    <col min="7" max="7" width="11.54296875" customWidth="1"/>
    <col min="8" max="8" width="9.54296875" customWidth="1"/>
    <col min="9" max="9" width="13.26953125" customWidth="1"/>
    <col min="10" max="10" width="12.08984375" customWidth="1"/>
    <col min="11" max="11" width="12.7265625" customWidth="1"/>
    <col min="12" max="12" width="14.08984375" customWidth="1"/>
    <col min="13" max="13" width="11.453125" customWidth="1"/>
    <col min="14" max="14" width="10.26953125" customWidth="1"/>
    <col min="15" max="15" width="11.54296875" customWidth="1"/>
    <col min="16" max="17" width="13.26953125" customWidth="1"/>
    <col min="18" max="18" width="7.81640625" customWidth="1"/>
    <col min="19" max="19" width="13.7265625" customWidth="1"/>
    <col min="20" max="20" width="14.54296875" customWidth="1"/>
    <col min="21" max="22" width="20.08984375" customWidth="1"/>
    <col min="23" max="23" width="17.54296875" customWidth="1"/>
    <col min="24" max="26" width="8.7265625" customWidth="1"/>
  </cols>
  <sheetData>
    <row r="1" spans="1:26" ht="12.75" customHeight="1" x14ac:dyDescent="0.35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4" t="s">
        <v>0</v>
      </c>
      <c r="T1" s="41">
        <v>5.1999999999999998E-3</v>
      </c>
      <c r="U1" s="4" t="s">
        <v>1</v>
      </c>
      <c r="V1" s="47">
        <f>(V87*$T$1)/U87</f>
        <v>5.1782479036928701E-3</v>
      </c>
      <c r="W1" s="2"/>
      <c r="X1" s="2"/>
      <c r="Y1" s="2"/>
      <c r="Z1" s="2"/>
    </row>
    <row r="2" spans="1:26" ht="12.75" customHeight="1" x14ac:dyDescent="0.35">
      <c r="A2" s="2"/>
      <c r="B2" s="7"/>
      <c r="C2" s="8" t="s">
        <v>2</v>
      </c>
      <c r="D2" s="8"/>
      <c r="E2" s="9" t="s">
        <v>156</v>
      </c>
      <c r="F2" s="10"/>
      <c r="G2" s="11" t="s">
        <v>4</v>
      </c>
      <c r="H2" s="10"/>
      <c r="I2" s="10"/>
      <c r="J2" s="12"/>
      <c r="K2" s="10"/>
      <c r="L2" s="10"/>
      <c r="M2" s="13"/>
      <c r="N2" s="8"/>
      <c r="O2" s="14"/>
      <c r="P2" s="14"/>
      <c r="Q2" s="10"/>
      <c r="R2" s="10"/>
      <c r="S2" s="10"/>
      <c r="T2" s="2"/>
      <c r="U2" s="2"/>
      <c r="V2" s="2"/>
      <c r="W2" s="2"/>
      <c r="X2" s="2"/>
      <c r="Y2" s="2"/>
      <c r="Z2" s="2"/>
    </row>
    <row r="3" spans="1:26" ht="12.75" customHeight="1" x14ac:dyDescent="0.35">
      <c r="A3" s="2"/>
      <c r="B3" s="16" t="s">
        <v>5</v>
      </c>
      <c r="C3" s="16" t="s">
        <v>6</v>
      </c>
      <c r="D3" s="17" t="s">
        <v>7</v>
      </c>
      <c r="E3" s="17" t="s">
        <v>8</v>
      </c>
      <c r="F3" s="17" t="s">
        <v>9</v>
      </c>
      <c r="G3" s="17" t="s">
        <v>10</v>
      </c>
      <c r="H3" s="18" t="s">
        <v>11</v>
      </c>
      <c r="I3" s="17" t="s">
        <v>12</v>
      </c>
      <c r="J3" s="17" t="s">
        <v>13</v>
      </c>
      <c r="K3" s="17" t="s">
        <v>14</v>
      </c>
      <c r="L3" s="17" t="s">
        <v>15</v>
      </c>
      <c r="M3" s="43" t="s">
        <v>16</v>
      </c>
      <c r="N3" s="49" t="s">
        <v>17</v>
      </c>
      <c r="O3" s="49" t="s">
        <v>18</v>
      </c>
      <c r="P3" s="19" t="s">
        <v>19</v>
      </c>
      <c r="Q3" s="19" t="s">
        <v>20</v>
      </c>
      <c r="R3" s="19" t="s">
        <v>21</v>
      </c>
      <c r="S3" s="2"/>
      <c r="T3" s="17" t="s">
        <v>22</v>
      </c>
      <c r="U3" s="19" t="s">
        <v>23</v>
      </c>
      <c r="V3" s="19" t="s">
        <v>24</v>
      </c>
      <c r="W3" s="2"/>
      <c r="X3" s="2"/>
      <c r="Y3" s="2"/>
      <c r="Z3" s="2"/>
    </row>
    <row r="4" spans="1:26" ht="12.75" customHeight="1" x14ac:dyDescent="0.35">
      <c r="A4" s="2"/>
      <c r="B4" s="8" t="s">
        <v>100</v>
      </c>
      <c r="C4" s="8" t="s">
        <v>26</v>
      </c>
      <c r="D4" s="8">
        <v>14</v>
      </c>
      <c r="E4" s="21">
        <v>125</v>
      </c>
      <c r="F4" s="21">
        <v>0</v>
      </c>
      <c r="G4" s="21">
        <v>0</v>
      </c>
      <c r="H4" s="22">
        <v>0</v>
      </c>
      <c r="I4" s="21">
        <v>30</v>
      </c>
      <c r="J4" s="21">
        <v>0</v>
      </c>
      <c r="K4" s="21">
        <f t="shared" ref="K4:K86" si="0">(E4+F4+G4)-(I4+J4)</f>
        <v>95</v>
      </c>
      <c r="L4" s="21">
        <v>95</v>
      </c>
      <c r="M4" s="23">
        <v>24</v>
      </c>
      <c r="N4" s="21">
        <f t="shared" ref="N4:N11" si="1">(L4/(I4+J4))*M4</f>
        <v>76</v>
      </c>
      <c r="O4" s="44">
        <v>3.1666666666666665</v>
      </c>
      <c r="P4" s="21">
        <v>0</v>
      </c>
      <c r="Q4" s="21">
        <v>0</v>
      </c>
      <c r="R4" s="21">
        <v>0</v>
      </c>
      <c r="S4" s="2"/>
      <c r="T4" s="25">
        <v>1631375</v>
      </c>
      <c r="U4" s="26">
        <f t="shared" ref="U4:U86" si="2">T4*(I4+J4)</f>
        <v>48941250</v>
      </c>
      <c r="V4" s="26">
        <f t="shared" ref="V4:V86" si="3">T4*L4</f>
        <v>154980625</v>
      </c>
      <c r="W4" s="2"/>
      <c r="X4" s="2"/>
      <c r="Y4" s="2"/>
      <c r="Z4" s="2"/>
    </row>
    <row r="5" spans="1:26" ht="12.75" customHeight="1" x14ac:dyDescent="0.35">
      <c r="A5" s="2"/>
      <c r="B5" s="8" t="s">
        <v>27</v>
      </c>
      <c r="C5" s="8" t="s">
        <v>26</v>
      </c>
      <c r="D5" s="8">
        <v>14</v>
      </c>
      <c r="E5" s="21">
        <v>146</v>
      </c>
      <c r="F5" s="21">
        <v>0</v>
      </c>
      <c r="G5" s="21">
        <v>0</v>
      </c>
      <c r="H5" s="22">
        <v>0</v>
      </c>
      <c r="I5" s="21">
        <v>64</v>
      </c>
      <c r="J5" s="21">
        <v>0</v>
      </c>
      <c r="K5" s="21">
        <f t="shared" si="0"/>
        <v>82</v>
      </c>
      <c r="L5" s="21">
        <v>101.60000000000001</v>
      </c>
      <c r="M5" s="23">
        <v>24</v>
      </c>
      <c r="N5" s="21">
        <f t="shared" si="1"/>
        <v>38.1</v>
      </c>
      <c r="O5" s="44">
        <v>1.28125</v>
      </c>
      <c r="P5" s="21">
        <v>0</v>
      </c>
      <c r="Q5" s="21">
        <v>0</v>
      </c>
      <c r="R5" s="21">
        <v>0</v>
      </c>
      <c r="S5" s="2"/>
      <c r="T5" s="25">
        <v>844750</v>
      </c>
      <c r="U5" s="26">
        <f t="shared" si="2"/>
        <v>54064000</v>
      </c>
      <c r="V5" s="26">
        <f t="shared" si="3"/>
        <v>85826600</v>
      </c>
      <c r="W5" s="2"/>
      <c r="X5" s="2"/>
      <c r="Y5" s="2"/>
      <c r="Z5" s="2"/>
    </row>
    <row r="6" spans="1:26" ht="12.75" customHeight="1" x14ac:dyDescent="0.35">
      <c r="A6" s="2"/>
      <c r="B6" s="8" t="s">
        <v>28</v>
      </c>
      <c r="C6" s="8" t="s">
        <v>26</v>
      </c>
      <c r="D6" s="8">
        <v>14</v>
      </c>
      <c r="E6" s="21">
        <v>81</v>
      </c>
      <c r="F6" s="21">
        <v>101</v>
      </c>
      <c r="G6" s="21">
        <v>0</v>
      </c>
      <c r="H6" s="22">
        <v>0</v>
      </c>
      <c r="I6" s="21">
        <v>20</v>
      </c>
      <c r="J6" s="21">
        <v>0</v>
      </c>
      <c r="K6" s="21">
        <f t="shared" si="0"/>
        <v>162</v>
      </c>
      <c r="L6" s="21">
        <v>167</v>
      </c>
      <c r="M6" s="23">
        <v>24</v>
      </c>
      <c r="N6" s="21">
        <f t="shared" si="1"/>
        <v>200.39999999999998</v>
      </c>
      <c r="O6" s="44">
        <v>8.1</v>
      </c>
      <c r="P6" s="21">
        <v>0</v>
      </c>
      <c r="Q6" s="21">
        <v>0</v>
      </c>
      <c r="R6" s="21">
        <v>0</v>
      </c>
      <c r="S6" s="2"/>
      <c r="T6" s="25">
        <v>928605</v>
      </c>
      <c r="U6" s="26">
        <f t="shared" si="2"/>
        <v>18572100</v>
      </c>
      <c r="V6" s="26">
        <f t="shared" si="3"/>
        <v>155077035</v>
      </c>
      <c r="W6" s="2"/>
      <c r="X6" s="2"/>
      <c r="Y6" s="2"/>
      <c r="Z6" s="2"/>
    </row>
    <row r="7" spans="1:26" ht="12.75" customHeight="1" x14ac:dyDescent="0.35">
      <c r="A7" s="2"/>
      <c r="B7" s="8" t="s">
        <v>29</v>
      </c>
      <c r="C7" s="8" t="s">
        <v>26</v>
      </c>
      <c r="D7" s="8">
        <v>14</v>
      </c>
      <c r="E7" s="21">
        <v>186</v>
      </c>
      <c r="F7" s="21">
        <v>283</v>
      </c>
      <c r="G7" s="21">
        <v>0</v>
      </c>
      <c r="H7" s="22">
        <v>0</v>
      </c>
      <c r="I7" s="21">
        <v>0</v>
      </c>
      <c r="J7" s="21">
        <v>190</v>
      </c>
      <c r="K7" s="21">
        <f t="shared" si="0"/>
        <v>279</v>
      </c>
      <c r="L7" s="21">
        <v>117.3</v>
      </c>
      <c r="M7" s="23">
        <v>24</v>
      </c>
      <c r="N7" s="21">
        <f t="shared" si="1"/>
        <v>14.816842105263158</v>
      </c>
      <c r="O7" s="44">
        <v>1.4684210526315788</v>
      </c>
      <c r="P7" s="21">
        <v>0</v>
      </c>
      <c r="Q7" s="21">
        <v>170</v>
      </c>
      <c r="R7" s="21">
        <v>0</v>
      </c>
      <c r="S7" s="2"/>
      <c r="T7" s="25">
        <v>1329900</v>
      </c>
      <c r="U7" s="26">
        <f t="shared" si="2"/>
        <v>252681000</v>
      </c>
      <c r="V7" s="26">
        <f t="shared" si="3"/>
        <v>155997270</v>
      </c>
      <c r="W7" s="2"/>
      <c r="X7" s="2"/>
      <c r="Y7" s="2"/>
      <c r="Z7" s="2"/>
    </row>
    <row r="8" spans="1:26" ht="12.75" customHeight="1" x14ac:dyDescent="0.35">
      <c r="A8" s="2"/>
      <c r="B8" s="8" t="s">
        <v>116</v>
      </c>
      <c r="C8" s="8" t="s">
        <v>26</v>
      </c>
      <c r="D8" s="8">
        <v>14</v>
      </c>
      <c r="E8" s="21">
        <v>186</v>
      </c>
      <c r="F8" s="21">
        <v>145</v>
      </c>
      <c r="G8" s="21">
        <v>0</v>
      </c>
      <c r="H8" s="22">
        <v>0</v>
      </c>
      <c r="I8" s="21">
        <v>224</v>
      </c>
      <c r="J8" s="21">
        <v>0</v>
      </c>
      <c r="K8" s="21">
        <f t="shared" si="0"/>
        <v>107</v>
      </c>
      <c r="L8" s="21">
        <v>109</v>
      </c>
      <c r="M8" s="23">
        <v>24</v>
      </c>
      <c r="N8" s="21">
        <f t="shared" si="1"/>
        <v>11.678571428571429</v>
      </c>
      <c r="O8" s="44">
        <v>0.47767857142857145</v>
      </c>
      <c r="P8" s="21">
        <v>141.67000000000002</v>
      </c>
      <c r="Q8" s="21">
        <v>0</v>
      </c>
      <c r="R8" s="21">
        <v>0</v>
      </c>
      <c r="S8" s="2"/>
      <c r="T8" s="25">
        <v>865210</v>
      </c>
      <c r="U8" s="26">
        <f t="shared" si="2"/>
        <v>193807040</v>
      </c>
      <c r="V8" s="26">
        <f t="shared" si="3"/>
        <v>94307890</v>
      </c>
      <c r="W8" s="2"/>
      <c r="X8" s="2"/>
      <c r="Y8" s="2"/>
      <c r="Z8" s="2"/>
    </row>
    <row r="9" spans="1:26" ht="12.75" customHeight="1" x14ac:dyDescent="0.35">
      <c r="A9" s="2"/>
      <c r="B9" s="8" t="s">
        <v>117</v>
      </c>
      <c r="C9" s="8" t="s">
        <v>26</v>
      </c>
      <c r="D9" s="8">
        <v>14</v>
      </c>
      <c r="E9" s="21">
        <v>136</v>
      </c>
      <c r="F9" s="21">
        <v>527</v>
      </c>
      <c r="G9" s="21">
        <v>0</v>
      </c>
      <c r="H9" s="22">
        <v>0</v>
      </c>
      <c r="I9" s="21">
        <v>499</v>
      </c>
      <c r="J9" s="21">
        <v>0</v>
      </c>
      <c r="K9" s="21">
        <f t="shared" si="0"/>
        <v>164</v>
      </c>
      <c r="L9" s="21">
        <v>244.61538461538501</v>
      </c>
      <c r="M9" s="23">
        <v>24</v>
      </c>
      <c r="N9" s="21">
        <f t="shared" si="1"/>
        <v>11.765068598735953</v>
      </c>
      <c r="O9" s="44">
        <v>0.32865731462925851</v>
      </c>
      <c r="P9" s="21">
        <v>0</v>
      </c>
      <c r="Q9" s="21">
        <v>0</v>
      </c>
      <c r="R9" s="21">
        <v>0</v>
      </c>
      <c r="S9" s="2"/>
      <c r="T9" s="25">
        <v>865210</v>
      </c>
      <c r="U9" s="26">
        <f t="shared" si="2"/>
        <v>431739790</v>
      </c>
      <c r="V9" s="26">
        <f t="shared" si="3"/>
        <v>211643676.92307726</v>
      </c>
      <c r="W9" s="2"/>
      <c r="X9" s="2"/>
      <c r="Y9" s="2"/>
      <c r="Z9" s="2"/>
    </row>
    <row r="10" spans="1:26" ht="12.75" customHeight="1" x14ac:dyDescent="0.35">
      <c r="A10" s="2"/>
      <c r="B10" s="8" t="s">
        <v>30</v>
      </c>
      <c r="C10" s="8" t="s">
        <v>26</v>
      </c>
      <c r="D10" s="8">
        <v>14</v>
      </c>
      <c r="E10" s="21">
        <v>185</v>
      </c>
      <c r="F10" s="21">
        <v>200</v>
      </c>
      <c r="G10" s="21">
        <v>0</v>
      </c>
      <c r="H10" s="22">
        <v>0</v>
      </c>
      <c r="I10" s="21">
        <v>185</v>
      </c>
      <c r="J10" s="21">
        <v>0</v>
      </c>
      <c r="K10" s="21">
        <f t="shared" si="0"/>
        <v>200</v>
      </c>
      <c r="L10" s="21">
        <v>124.5</v>
      </c>
      <c r="M10" s="23">
        <v>24</v>
      </c>
      <c r="N10" s="21">
        <f t="shared" si="1"/>
        <v>16.151351351351352</v>
      </c>
      <c r="O10" s="44">
        <v>1.0810810810810811</v>
      </c>
      <c r="P10" s="21">
        <v>0</v>
      </c>
      <c r="Q10" s="21">
        <v>100</v>
      </c>
      <c r="R10" s="21">
        <v>0</v>
      </c>
      <c r="S10" s="2"/>
      <c r="T10" s="25">
        <v>841116</v>
      </c>
      <c r="U10" s="26">
        <f t="shared" si="2"/>
        <v>155606460</v>
      </c>
      <c r="V10" s="26">
        <f t="shared" si="3"/>
        <v>104718942</v>
      </c>
      <c r="W10" s="2"/>
      <c r="X10" s="2"/>
      <c r="Y10" s="2"/>
      <c r="Z10" s="2"/>
    </row>
    <row r="11" spans="1:26" ht="12.75" customHeight="1" x14ac:dyDescent="0.35">
      <c r="A11" s="2"/>
      <c r="B11" s="8" t="s">
        <v>31</v>
      </c>
      <c r="C11" s="8" t="s">
        <v>26</v>
      </c>
      <c r="D11" s="8">
        <v>14</v>
      </c>
      <c r="E11" s="21">
        <v>26</v>
      </c>
      <c r="F11" s="21">
        <v>98</v>
      </c>
      <c r="G11" s="21">
        <v>0</v>
      </c>
      <c r="H11" s="22">
        <v>0</v>
      </c>
      <c r="I11" s="21">
        <v>8</v>
      </c>
      <c r="J11" s="21">
        <v>0</v>
      </c>
      <c r="K11" s="21">
        <f t="shared" si="0"/>
        <v>116</v>
      </c>
      <c r="L11" s="21">
        <v>59.5</v>
      </c>
      <c r="M11" s="23">
        <v>24</v>
      </c>
      <c r="N11" s="21">
        <f t="shared" si="1"/>
        <v>178.5</v>
      </c>
      <c r="O11" s="44">
        <v>14.5</v>
      </c>
      <c r="P11" s="21">
        <v>0</v>
      </c>
      <c r="Q11" s="21">
        <v>2</v>
      </c>
      <c r="R11" s="21">
        <v>0</v>
      </c>
      <c r="S11" s="2"/>
      <c r="T11" s="25">
        <v>928605</v>
      </c>
      <c r="U11" s="26">
        <f t="shared" si="2"/>
        <v>7428840</v>
      </c>
      <c r="V11" s="26">
        <f t="shared" si="3"/>
        <v>55251997.5</v>
      </c>
      <c r="W11" s="2"/>
      <c r="X11" s="2"/>
      <c r="Y11" s="2"/>
      <c r="Z11" s="2"/>
    </row>
    <row r="12" spans="1:26" ht="12.75" customHeight="1" x14ac:dyDescent="0.35">
      <c r="A12" s="2"/>
      <c r="B12" s="8" t="s">
        <v>118</v>
      </c>
      <c r="C12" s="8" t="s">
        <v>26</v>
      </c>
      <c r="D12" s="8">
        <v>14</v>
      </c>
      <c r="E12" s="21">
        <v>489</v>
      </c>
      <c r="F12" s="21">
        <v>0</v>
      </c>
      <c r="G12" s="21">
        <v>0</v>
      </c>
      <c r="H12" s="22">
        <v>0</v>
      </c>
      <c r="I12" s="21">
        <v>0</v>
      </c>
      <c r="J12" s="21">
        <v>0</v>
      </c>
      <c r="K12" s="21">
        <f t="shared" si="0"/>
        <v>489</v>
      </c>
      <c r="L12" s="21">
        <v>0</v>
      </c>
      <c r="M12" s="23">
        <v>24</v>
      </c>
      <c r="N12" s="21">
        <v>0</v>
      </c>
      <c r="O12" s="44">
        <v>0</v>
      </c>
      <c r="P12" s="21">
        <v>0</v>
      </c>
      <c r="Q12" s="21">
        <v>0</v>
      </c>
      <c r="R12" s="21">
        <v>0</v>
      </c>
      <c r="S12" s="2"/>
      <c r="T12" s="25">
        <v>139965</v>
      </c>
      <c r="U12" s="26">
        <f t="shared" si="2"/>
        <v>0</v>
      </c>
      <c r="V12" s="26">
        <f t="shared" si="3"/>
        <v>0</v>
      </c>
      <c r="W12" s="2"/>
      <c r="X12" s="2"/>
      <c r="Y12" s="2"/>
      <c r="Z12" s="2"/>
    </row>
    <row r="13" spans="1:26" ht="12.75" customHeight="1" x14ac:dyDescent="0.35">
      <c r="A13" s="2"/>
      <c r="B13" s="8" t="s">
        <v>101</v>
      </c>
      <c r="C13" s="8" t="s">
        <v>26</v>
      </c>
      <c r="D13" s="8">
        <v>14</v>
      </c>
      <c r="E13" s="21">
        <v>160</v>
      </c>
      <c r="F13" s="21">
        <v>0</v>
      </c>
      <c r="G13" s="21">
        <v>0</v>
      </c>
      <c r="H13" s="22">
        <v>0</v>
      </c>
      <c r="I13" s="21">
        <v>0</v>
      </c>
      <c r="J13" s="21">
        <v>160</v>
      </c>
      <c r="K13" s="21">
        <f t="shared" si="0"/>
        <v>0</v>
      </c>
      <c r="L13" s="21">
        <v>0</v>
      </c>
      <c r="M13" s="23">
        <v>24</v>
      </c>
      <c r="N13" s="21">
        <f t="shared" ref="N13:N19" si="4">(L13/(I13+J13))*M13</f>
        <v>0</v>
      </c>
      <c r="O13" s="44">
        <v>0</v>
      </c>
      <c r="P13" s="21">
        <v>0</v>
      </c>
      <c r="Q13" s="21">
        <v>0</v>
      </c>
      <c r="R13" s="21">
        <v>0</v>
      </c>
      <c r="S13" s="2"/>
      <c r="T13" s="25">
        <v>165230</v>
      </c>
      <c r="U13" s="26">
        <f t="shared" si="2"/>
        <v>26436800</v>
      </c>
      <c r="V13" s="26">
        <f t="shared" si="3"/>
        <v>0</v>
      </c>
      <c r="W13" s="2"/>
      <c r="X13" s="2"/>
      <c r="Y13" s="2"/>
      <c r="Z13" s="2"/>
    </row>
    <row r="14" spans="1:26" ht="12.75" customHeight="1" x14ac:dyDescent="0.35">
      <c r="A14" s="2"/>
      <c r="B14" s="8" t="s">
        <v>102</v>
      </c>
      <c r="C14" s="8" t="s">
        <v>26</v>
      </c>
      <c r="D14" s="8">
        <v>14</v>
      </c>
      <c r="E14" s="21">
        <v>3917</v>
      </c>
      <c r="F14" s="21">
        <v>0</v>
      </c>
      <c r="G14" s="21">
        <v>0</v>
      </c>
      <c r="H14" s="22">
        <v>0</v>
      </c>
      <c r="I14" s="21">
        <v>0</v>
      </c>
      <c r="J14" s="21">
        <v>1067</v>
      </c>
      <c r="K14" s="21">
        <f t="shared" si="0"/>
        <v>2850</v>
      </c>
      <c r="L14" s="21">
        <v>3282.4</v>
      </c>
      <c r="M14" s="23">
        <v>24</v>
      </c>
      <c r="N14" s="21">
        <f t="shared" si="4"/>
        <v>73.830927835051554</v>
      </c>
      <c r="O14" s="44">
        <v>2.6710402999062794</v>
      </c>
      <c r="P14" s="21">
        <v>330</v>
      </c>
      <c r="Q14" s="21">
        <v>0</v>
      </c>
      <c r="R14" s="21">
        <v>0</v>
      </c>
      <c r="S14" s="2"/>
      <c r="T14" s="25">
        <v>139965</v>
      </c>
      <c r="U14" s="26">
        <f t="shared" si="2"/>
        <v>149342655</v>
      </c>
      <c r="V14" s="26">
        <f t="shared" si="3"/>
        <v>459421116</v>
      </c>
      <c r="W14" s="2"/>
      <c r="X14" s="2"/>
      <c r="Y14" s="2"/>
      <c r="Z14" s="2"/>
    </row>
    <row r="15" spans="1:26" ht="12.75" customHeight="1" x14ac:dyDescent="0.35">
      <c r="A15" s="2"/>
      <c r="B15" s="8" t="s">
        <v>103</v>
      </c>
      <c r="C15" s="8" t="s">
        <v>26</v>
      </c>
      <c r="D15" s="8">
        <v>14</v>
      </c>
      <c r="E15" s="21">
        <v>173.25</v>
      </c>
      <c r="F15" s="21">
        <v>0</v>
      </c>
      <c r="G15" s="21">
        <v>0</v>
      </c>
      <c r="H15" s="22">
        <v>0</v>
      </c>
      <c r="I15" s="21">
        <v>0</v>
      </c>
      <c r="J15" s="21">
        <v>173</v>
      </c>
      <c r="K15" s="21">
        <f t="shared" si="0"/>
        <v>0.25</v>
      </c>
      <c r="L15" s="21">
        <v>0.25</v>
      </c>
      <c r="M15" s="23">
        <v>24</v>
      </c>
      <c r="N15" s="21">
        <f t="shared" si="4"/>
        <v>3.4682080924855488E-2</v>
      </c>
      <c r="O15" s="44">
        <v>1.4450867052023121E-3</v>
      </c>
      <c r="P15" s="21">
        <v>0</v>
      </c>
      <c r="Q15" s="21">
        <v>0</v>
      </c>
      <c r="R15" s="21">
        <v>0</v>
      </c>
      <c r="S15" s="2"/>
      <c r="T15" s="25">
        <v>139965</v>
      </c>
      <c r="U15" s="26">
        <f t="shared" si="2"/>
        <v>24213945</v>
      </c>
      <c r="V15" s="26">
        <f t="shared" si="3"/>
        <v>34991.25</v>
      </c>
      <c r="W15" s="2"/>
      <c r="X15" s="2"/>
      <c r="Y15" s="2"/>
      <c r="Z15" s="2"/>
    </row>
    <row r="16" spans="1:26" ht="12.75" customHeight="1" x14ac:dyDescent="0.35">
      <c r="A16" s="2"/>
      <c r="B16" s="8" t="s">
        <v>32</v>
      </c>
      <c r="C16" s="8" t="s">
        <v>26</v>
      </c>
      <c r="D16" s="8">
        <v>14</v>
      </c>
      <c r="E16" s="21">
        <v>53</v>
      </c>
      <c r="F16" s="21">
        <v>87</v>
      </c>
      <c r="G16" s="21">
        <v>0</v>
      </c>
      <c r="H16" s="22">
        <v>0</v>
      </c>
      <c r="I16" s="21">
        <v>0</v>
      </c>
      <c r="J16" s="21">
        <v>80</v>
      </c>
      <c r="K16" s="21">
        <f t="shared" si="0"/>
        <v>60</v>
      </c>
      <c r="L16" s="21">
        <v>39.846153846153797</v>
      </c>
      <c r="M16" s="23">
        <v>24</v>
      </c>
      <c r="N16" s="21">
        <f t="shared" si="4"/>
        <v>11.95384615384614</v>
      </c>
      <c r="O16" s="44">
        <v>0.75</v>
      </c>
      <c r="P16" s="21">
        <v>0</v>
      </c>
      <c r="Q16" s="21">
        <v>95</v>
      </c>
      <c r="R16" s="21">
        <v>0</v>
      </c>
      <c r="S16" s="2"/>
      <c r="T16" s="25">
        <v>3438210</v>
      </c>
      <c r="U16" s="26">
        <f t="shared" si="2"/>
        <v>275056800</v>
      </c>
      <c r="V16" s="26">
        <f t="shared" si="3"/>
        <v>136999444.61538446</v>
      </c>
      <c r="W16" s="2"/>
      <c r="X16" s="2"/>
      <c r="Y16" s="2"/>
      <c r="Z16" s="2"/>
    </row>
    <row r="17" spans="1:26" ht="12.75" customHeight="1" x14ac:dyDescent="0.35">
      <c r="A17" s="2"/>
      <c r="B17" s="8" t="s">
        <v>33</v>
      </c>
      <c r="C17" s="8" t="s">
        <v>26</v>
      </c>
      <c r="D17" s="8">
        <v>14</v>
      </c>
      <c r="E17" s="21">
        <v>658</v>
      </c>
      <c r="F17" s="21">
        <v>619</v>
      </c>
      <c r="G17" s="21">
        <v>0</v>
      </c>
      <c r="H17" s="22">
        <v>0</v>
      </c>
      <c r="I17" s="21">
        <v>0</v>
      </c>
      <c r="J17" s="21">
        <v>551</v>
      </c>
      <c r="K17" s="21">
        <f t="shared" si="0"/>
        <v>726</v>
      </c>
      <c r="L17" s="21">
        <v>577.57142857142901</v>
      </c>
      <c r="M17" s="23">
        <v>24</v>
      </c>
      <c r="N17" s="21">
        <f t="shared" si="4"/>
        <v>25.157376199118502</v>
      </c>
      <c r="O17" s="44">
        <v>1.3176043557168784</v>
      </c>
      <c r="P17" s="21">
        <v>0</v>
      </c>
      <c r="Q17" s="21">
        <v>600</v>
      </c>
      <c r="R17" s="21">
        <v>0</v>
      </c>
      <c r="S17" s="2"/>
      <c r="T17" s="25">
        <v>165230</v>
      </c>
      <c r="U17" s="26">
        <f t="shared" si="2"/>
        <v>91041730</v>
      </c>
      <c r="V17" s="26">
        <f t="shared" si="3"/>
        <v>95432127.142857209</v>
      </c>
      <c r="W17" s="2"/>
      <c r="X17" s="2"/>
      <c r="Y17" s="2"/>
      <c r="Z17" s="2"/>
    </row>
    <row r="18" spans="1:26" ht="12.75" customHeight="1" x14ac:dyDescent="0.35">
      <c r="A18" s="2"/>
      <c r="B18" s="8" t="s">
        <v>119</v>
      </c>
      <c r="C18" s="8" t="s">
        <v>26</v>
      </c>
      <c r="D18" s="8">
        <v>14</v>
      </c>
      <c r="E18" s="21">
        <v>222</v>
      </c>
      <c r="F18" s="21">
        <v>0</v>
      </c>
      <c r="G18" s="21">
        <v>0</v>
      </c>
      <c r="H18" s="22">
        <v>0</v>
      </c>
      <c r="I18" s="21">
        <v>14</v>
      </c>
      <c r="J18" s="21">
        <v>0</v>
      </c>
      <c r="K18" s="21">
        <f t="shared" si="0"/>
        <v>208</v>
      </c>
      <c r="L18" s="21">
        <v>214</v>
      </c>
      <c r="M18" s="23">
        <v>24</v>
      </c>
      <c r="N18" s="21">
        <f t="shared" si="4"/>
        <v>366.85714285714289</v>
      </c>
      <c r="O18" s="44">
        <v>14.857142857142858</v>
      </c>
      <c r="P18" s="21">
        <v>0</v>
      </c>
      <c r="Q18" s="21">
        <v>0</v>
      </c>
      <c r="R18" s="21">
        <v>0</v>
      </c>
      <c r="S18" s="2"/>
      <c r="T18" s="25">
        <v>1516675</v>
      </c>
      <c r="U18" s="26">
        <f t="shared" si="2"/>
        <v>21233450</v>
      </c>
      <c r="V18" s="26">
        <f t="shared" si="3"/>
        <v>324568450</v>
      </c>
      <c r="W18" s="2"/>
      <c r="X18" s="2"/>
      <c r="Y18" s="2"/>
      <c r="Z18" s="2"/>
    </row>
    <row r="19" spans="1:26" ht="12.75" customHeight="1" x14ac:dyDescent="0.35">
      <c r="A19" s="2"/>
      <c r="B19" s="8" t="s">
        <v>119</v>
      </c>
      <c r="C19" s="8" t="s">
        <v>26</v>
      </c>
      <c r="D19" s="8">
        <v>14</v>
      </c>
      <c r="E19" s="21">
        <v>22</v>
      </c>
      <c r="F19" s="21">
        <v>0</v>
      </c>
      <c r="G19" s="21">
        <v>0</v>
      </c>
      <c r="H19" s="22">
        <v>0</v>
      </c>
      <c r="I19" s="21">
        <v>7</v>
      </c>
      <c r="J19" s="21">
        <v>0</v>
      </c>
      <c r="K19" s="21">
        <f t="shared" si="0"/>
        <v>15</v>
      </c>
      <c r="L19" s="21">
        <v>17.5</v>
      </c>
      <c r="M19" s="23">
        <v>24</v>
      </c>
      <c r="N19" s="21">
        <f t="shared" si="4"/>
        <v>60</v>
      </c>
      <c r="O19" s="44">
        <v>2.1428571428571428</v>
      </c>
      <c r="P19" s="21">
        <v>0</v>
      </c>
      <c r="Q19" s="21">
        <v>0</v>
      </c>
      <c r="R19" s="21">
        <v>15</v>
      </c>
      <c r="S19" s="2"/>
      <c r="T19" s="25">
        <v>1516675</v>
      </c>
      <c r="U19" s="26">
        <f t="shared" si="2"/>
        <v>10616725</v>
      </c>
      <c r="V19" s="26">
        <f t="shared" si="3"/>
        <v>26541812.5</v>
      </c>
      <c r="W19" s="2"/>
      <c r="X19" s="2"/>
      <c r="Y19" s="2"/>
      <c r="Z19" s="2"/>
    </row>
    <row r="20" spans="1:26" ht="12.75" customHeight="1" x14ac:dyDescent="0.35">
      <c r="A20" s="2"/>
      <c r="B20" s="8" t="s">
        <v>35</v>
      </c>
      <c r="C20" s="8" t="s">
        <v>26</v>
      </c>
      <c r="D20" s="8">
        <v>14</v>
      </c>
      <c r="E20" s="21">
        <v>57</v>
      </c>
      <c r="F20" s="21">
        <v>0</v>
      </c>
      <c r="G20" s="21">
        <v>0</v>
      </c>
      <c r="H20" s="22">
        <v>0</v>
      </c>
      <c r="I20" s="21">
        <v>0</v>
      </c>
      <c r="J20" s="21">
        <v>0</v>
      </c>
      <c r="K20" s="21">
        <f t="shared" si="0"/>
        <v>57</v>
      </c>
      <c r="L20" s="21">
        <v>0</v>
      </c>
      <c r="M20" s="23">
        <v>24</v>
      </c>
      <c r="N20" s="21">
        <v>0</v>
      </c>
      <c r="O20" s="44">
        <v>0</v>
      </c>
      <c r="P20" s="21">
        <v>0</v>
      </c>
      <c r="Q20" s="21">
        <v>0</v>
      </c>
      <c r="R20" s="21">
        <v>0</v>
      </c>
      <c r="S20" s="2"/>
      <c r="T20" s="25">
        <v>1516675</v>
      </c>
      <c r="U20" s="26">
        <f t="shared" si="2"/>
        <v>0</v>
      </c>
      <c r="V20" s="26">
        <f t="shared" si="3"/>
        <v>0</v>
      </c>
      <c r="W20" s="2"/>
      <c r="X20" s="2"/>
      <c r="Y20" s="2"/>
      <c r="Z20" s="2"/>
    </row>
    <row r="21" spans="1:26" ht="12.75" customHeight="1" x14ac:dyDescent="0.35">
      <c r="A21" s="2"/>
      <c r="B21" s="8" t="s">
        <v>149</v>
      </c>
      <c r="C21" s="8" t="s">
        <v>26</v>
      </c>
      <c r="D21" s="8">
        <v>14</v>
      </c>
      <c r="E21" s="21">
        <v>29</v>
      </c>
      <c r="F21" s="21">
        <v>0</v>
      </c>
      <c r="G21" s="21">
        <v>0</v>
      </c>
      <c r="H21" s="22">
        <v>0</v>
      </c>
      <c r="I21" s="21">
        <v>4</v>
      </c>
      <c r="J21" s="21">
        <v>0</v>
      </c>
      <c r="K21" s="21">
        <f t="shared" si="0"/>
        <v>25</v>
      </c>
      <c r="L21" s="21">
        <v>25</v>
      </c>
      <c r="M21" s="23">
        <v>24</v>
      </c>
      <c r="N21" s="21">
        <f t="shared" ref="N21:N23" si="5">(L21/(I21+J21))*M21</f>
        <v>150</v>
      </c>
      <c r="O21" s="44">
        <v>6.25</v>
      </c>
      <c r="P21" s="21">
        <v>0</v>
      </c>
      <c r="Q21" s="21">
        <v>0</v>
      </c>
      <c r="R21" s="21">
        <v>0</v>
      </c>
      <c r="S21" s="2"/>
      <c r="T21" s="25">
        <v>1516675</v>
      </c>
      <c r="U21" s="26">
        <f t="shared" si="2"/>
        <v>6066700</v>
      </c>
      <c r="V21" s="26">
        <f t="shared" si="3"/>
        <v>37916875</v>
      </c>
      <c r="W21" s="2"/>
      <c r="X21" s="2"/>
      <c r="Y21" s="2"/>
      <c r="Z21" s="2"/>
    </row>
    <row r="22" spans="1:26" ht="12.75" customHeight="1" x14ac:dyDescent="0.35">
      <c r="A22" s="2"/>
      <c r="B22" s="8" t="s">
        <v>37</v>
      </c>
      <c r="C22" s="8" t="s">
        <v>26</v>
      </c>
      <c r="D22" s="8">
        <v>14</v>
      </c>
      <c r="E22" s="21">
        <v>29</v>
      </c>
      <c r="F22" s="21">
        <v>0</v>
      </c>
      <c r="G22" s="21">
        <v>0</v>
      </c>
      <c r="H22" s="22">
        <v>0</v>
      </c>
      <c r="I22" s="21">
        <v>2</v>
      </c>
      <c r="J22" s="21">
        <v>0</v>
      </c>
      <c r="K22" s="21">
        <f t="shared" si="0"/>
        <v>27</v>
      </c>
      <c r="L22" s="21">
        <v>27</v>
      </c>
      <c r="M22" s="23">
        <v>24</v>
      </c>
      <c r="N22" s="21">
        <f t="shared" si="5"/>
        <v>324</v>
      </c>
      <c r="O22" s="44">
        <v>13.5</v>
      </c>
      <c r="P22" s="21">
        <v>0</v>
      </c>
      <c r="Q22" s="21">
        <v>0</v>
      </c>
      <c r="R22" s="21">
        <v>0</v>
      </c>
      <c r="S22" s="2"/>
      <c r="T22" s="25">
        <v>1516675</v>
      </c>
      <c r="U22" s="26">
        <f t="shared" si="2"/>
        <v>3033350</v>
      </c>
      <c r="V22" s="26">
        <f t="shared" si="3"/>
        <v>40950225</v>
      </c>
      <c r="W22" s="2"/>
      <c r="X22" s="2"/>
      <c r="Y22" s="2"/>
      <c r="Z22" s="2"/>
    </row>
    <row r="23" spans="1:26" ht="12.75" customHeight="1" x14ac:dyDescent="0.35">
      <c r="A23" s="2"/>
      <c r="B23" s="8" t="s">
        <v>141</v>
      </c>
      <c r="C23" s="8" t="s">
        <v>26</v>
      </c>
      <c r="D23" s="8">
        <v>14</v>
      </c>
      <c r="E23" s="21">
        <v>75</v>
      </c>
      <c r="F23" s="21">
        <v>0</v>
      </c>
      <c r="G23" s="21">
        <v>0</v>
      </c>
      <c r="H23" s="22">
        <v>0</v>
      </c>
      <c r="I23" s="21">
        <v>17</v>
      </c>
      <c r="J23" s="21">
        <v>0</v>
      </c>
      <c r="K23" s="21">
        <f t="shared" si="0"/>
        <v>58</v>
      </c>
      <c r="L23" s="21">
        <v>67.25</v>
      </c>
      <c r="M23" s="23">
        <v>24</v>
      </c>
      <c r="N23" s="21">
        <f t="shared" si="5"/>
        <v>94.941176470588232</v>
      </c>
      <c r="O23" s="44">
        <v>3.4117647058823528</v>
      </c>
      <c r="P23" s="21">
        <v>0</v>
      </c>
      <c r="Q23" s="21">
        <v>0</v>
      </c>
      <c r="R23" s="21">
        <v>75</v>
      </c>
      <c r="S23" s="2"/>
      <c r="T23" s="25">
        <v>1516675</v>
      </c>
      <c r="U23" s="26">
        <f t="shared" si="2"/>
        <v>25783475</v>
      </c>
      <c r="V23" s="26">
        <f t="shared" si="3"/>
        <v>101996393.75</v>
      </c>
      <c r="W23" s="2"/>
      <c r="X23" s="2"/>
      <c r="Y23" s="2"/>
      <c r="Z23" s="2"/>
    </row>
    <row r="24" spans="1:26" ht="12.75" customHeight="1" x14ac:dyDescent="0.35">
      <c r="A24" s="2"/>
      <c r="B24" s="8" t="s">
        <v>39</v>
      </c>
      <c r="C24" s="8" t="s">
        <v>26</v>
      </c>
      <c r="D24" s="8">
        <v>14</v>
      </c>
      <c r="E24" s="21">
        <v>41</v>
      </c>
      <c r="F24" s="21">
        <v>37</v>
      </c>
      <c r="G24" s="21">
        <v>0</v>
      </c>
      <c r="H24" s="22">
        <v>0</v>
      </c>
      <c r="I24" s="21">
        <v>0</v>
      </c>
      <c r="J24" s="21">
        <v>0</v>
      </c>
      <c r="K24" s="21">
        <f t="shared" si="0"/>
        <v>78</v>
      </c>
      <c r="L24" s="21">
        <v>78</v>
      </c>
      <c r="M24" s="23">
        <v>24</v>
      </c>
      <c r="N24" s="21">
        <v>0</v>
      </c>
      <c r="O24" s="44">
        <v>0</v>
      </c>
      <c r="P24" s="21">
        <v>0</v>
      </c>
      <c r="Q24" s="21">
        <v>0</v>
      </c>
      <c r="R24" s="21">
        <v>0</v>
      </c>
      <c r="S24" s="2"/>
      <c r="T24" s="25">
        <v>1516675</v>
      </c>
      <c r="U24" s="26">
        <f t="shared" si="2"/>
        <v>0</v>
      </c>
      <c r="V24" s="26">
        <f t="shared" si="3"/>
        <v>118300650</v>
      </c>
      <c r="W24" s="2"/>
      <c r="X24" s="2"/>
      <c r="Y24" s="2"/>
      <c r="Z24" s="2"/>
    </row>
    <row r="25" spans="1:26" ht="12.75" customHeight="1" x14ac:dyDescent="0.35">
      <c r="A25" s="2"/>
      <c r="B25" s="8" t="s">
        <v>40</v>
      </c>
      <c r="C25" s="8" t="s">
        <v>26</v>
      </c>
      <c r="D25" s="8">
        <v>14</v>
      </c>
      <c r="E25" s="21">
        <v>38</v>
      </c>
      <c r="F25" s="21">
        <v>0</v>
      </c>
      <c r="G25" s="21">
        <v>0</v>
      </c>
      <c r="H25" s="22">
        <v>0</v>
      </c>
      <c r="I25" s="21">
        <v>38</v>
      </c>
      <c r="J25" s="21">
        <v>0</v>
      </c>
      <c r="K25" s="21">
        <f t="shared" si="0"/>
        <v>0</v>
      </c>
      <c r="L25" s="21">
        <v>1</v>
      </c>
      <c r="M25" s="23">
        <v>24</v>
      </c>
      <c r="N25" s="21">
        <f t="shared" ref="N25:N32" si="6">(L25/(I25+J25))*M25</f>
        <v>0.63157894736842102</v>
      </c>
      <c r="O25" s="44">
        <v>0</v>
      </c>
      <c r="P25" s="21">
        <v>0</v>
      </c>
      <c r="Q25" s="21">
        <v>0</v>
      </c>
      <c r="R25" s="21">
        <v>0</v>
      </c>
      <c r="S25" s="2"/>
      <c r="T25" s="25">
        <v>1345865</v>
      </c>
      <c r="U25" s="26">
        <f t="shared" si="2"/>
        <v>51142870</v>
      </c>
      <c r="V25" s="26">
        <f t="shared" si="3"/>
        <v>1345865</v>
      </c>
      <c r="W25" s="2"/>
      <c r="X25" s="2"/>
      <c r="Y25" s="2"/>
      <c r="Z25" s="2"/>
    </row>
    <row r="26" spans="1:26" ht="12.75" customHeight="1" x14ac:dyDescent="0.35">
      <c r="A26" s="2"/>
      <c r="B26" s="8" t="s">
        <v>120</v>
      </c>
      <c r="C26" s="8" t="s">
        <v>26</v>
      </c>
      <c r="D26" s="8">
        <v>14</v>
      </c>
      <c r="E26" s="21">
        <v>0</v>
      </c>
      <c r="F26" s="21">
        <v>85</v>
      </c>
      <c r="G26" s="21">
        <v>0</v>
      </c>
      <c r="H26" s="22">
        <v>0</v>
      </c>
      <c r="I26" s="21">
        <v>48</v>
      </c>
      <c r="J26" s="21">
        <v>0</v>
      </c>
      <c r="K26" s="21">
        <f t="shared" si="0"/>
        <v>37</v>
      </c>
      <c r="L26" s="21">
        <v>44.3333333333333</v>
      </c>
      <c r="M26" s="23">
        <v>24</v>
      </c>
      <c r="N26" s="21">
        <f t="shared" si="6"/>
        <v>22.16666666666665</v>
      </c>
      <c r="O26" s="44">
        <v>0.77083333333333337</v>
      </c>
      <c r="P26" s="21">
        <v>15</v>
      </c>
      <c r="Q26" s="21">
        <v>100</v>
      </c>
      <c r="R26" s="21">
        <v>0</v>
      </c>
      <c r="S26" s="2"/>
      <c r="T26" s="25">
        <v>1345865</v>
      </c>
      <c r="U26" s="26">
        <f t="shared" si="2"/>
        <v>64601520</v>
      </c>
      <c r="V26" s="26">
        <f t="shared" si="3"/>
        <v>59666681.666666619</v>
      </c>
      <c r="W26" s="2"/>
      <c r="X26" s="2"/>
      <c r="Y26" s="2"/>
      <c r="Z26" s="2"/>
    </row>
    <row r="27" spans="1:26" ht="12.75" customHeight="1" x14ac:dyDescent="0.35">
      <c r="A27" s="2"/>
      <c r="B27" s="8" t="s">
        <v>120</v>
      </c>
      <c r="C27" s="8" t="s">
        <v>26</v>
      </c>
      <c r="D27" s="8">
        <v>14</v>
      </c>
      <c r="E27" s="21">
        <v>78</v>
      </c>
      <c r="F27" s="21">
        <v>0</v>
      </c>
      <c r="G27" s="21">
        <v>0</v>
      </c>
      <c r="H27" s="22">
        <v>0</v>
      </c>
      <c r="I27" s="21">
        <v>2</v>
      </c>
      <c r="J27" s="21">
        <v>0</v>
      </c>
      <c r="K27" s="21">
        <f t="shared" si="0"/>
        <v>76</v>
      </c>
      <c r="L27" s="21">
        <v>76</v>
      </c>
      <c r="M27" s="23">
        <v>24</v>
      </c>
      <c r="N27" s="21">
        <f t="shared" si="6"/>
        <v>912</v>
      </c>
      <c r="O27" s="44">
        <v>38</v>
      </c>
      <c r="P27" s="21">
        <v>0</v>
      </c>
      <c r="Q27" s="21">
        <v>0</v>
      </c>
      <c r="R27" s="21">
        <v>0</v>
      </c>
      <c r="S27" s="2"/>
      <c r="T27" s="25">
        <v>1326180</v>
      </c>
      <c r="U27" s="26">
        <f t="shared" si="2"/>
        <v>2652360</v>
      </c>
      <c r="V27" s="26">
        <f t="shared" si="3"/>
        <v>100789680</v>
      </c>
      <c r="W27" s="2"/>
      <c r="X27" s="2"/>
      <c r="Y27" s="2"/>
      <c r="Z27" s="2"/>
    </row>
    <row r="28" spans="1:26" ht="12.75" customHeight="1" x14ac:dyDescent="0.35">
      <c r="A28" s="2"/>
      <c r="B28" s="8" t="s">
        <v>42</v>
      </c>
      <c r="C28" s="8" t="s">
        <v>26</v>
      </c>
      <c r="D28" s="8">
        <v>14</v>
      </c>
      <c r="E28" s="21">
        <v>76</v>
      </c>
      <c r="F28" s="21">
        <v>0</v>
      </c>
      <c r="G28" s="21">
        <v>0</v>
      </c>
      <c r="H28" s="22">
        <v>0</v>
      </c>
      <c r="I28" s="21">
        <v>76</v>
      </c>
      <c r="J28" s="21">
        <v>0</v>
      </c>
      <c r="K28" s="21">
        <f t="shared" si="0"/>
        <v>0</v>
      </c>
      <c r="L28" s="21">
        <v>29</v>
      </c>
      <c r="M28" s="23">
        <v>24</v>
      </c>
      <c r="N28" s="21">
        <f t="shared" si="6"/>
        <v>9.1578947368421062</v>
      </c>
      <c r="O28" s="44">
        <v>0</v>
      </c>
      <c r="P28" s="21">
        <v>0</v>
      </c>
      <c r="Q28" s="21">
        <v>0</v>
      </c>
      <c r="R28" s="21">
        <v>0</v>
      </c>
      <c r="S28" s="2"/>
      <c r="T28" s="25">
        <v>542345</v>
      </c>
      <c r="U28" s="26">
        <f t="shared" si="2"/>
        <v>41218220</v>
      </c>
      <c r="V28" s="26">
        <f t="shared" si="3"/>
        <v>15728005</v>
      </c>
      <c r="W28" s="2"/>
      <c r="X28" s="2"/>
      <c r="Y28" s="2"/>
      <c r="Z28" s="2"/>
    </row>
    <row r="29" spans="1:26" ht="12.75" customHeight="1" x14ac:dyDescent="0.35">
      <c r="A29" s="2"/>
      <c r="B29" s="8" t="s">
        <v>150</v>
      </c>
      <c r="C29" s="8" t="s">
        <v>26</v>
      </c>
      <c r="D29" s="8">
        <v>14</v>
      </c>
      <c r="E29" s="21">
        <v>0</v>
      </c>
      <c r="F29" s="21">
        <v>483</v>
      </c>
      <c r="G29" s="21">
        <v>0</v>
      </c>
      <c r="H29" s="22">
        <v>0</v>
      </c>
      <c r="I29" s="21">
        <v>216</v>
      </c>
      <c r="J29" s="21">
        <v>0</v>
      </c>
      <c r="K29" s="21">
        <f t="shared" si="0"/>
        <v>267</v>
      </c>
      <c r="L29" s="21">
        <v>139.80000000000001</v>
      </c>
      <c r="M29" s="23">
        <v>24</v>
      </c>
      <c r="N29" s="21">
        <f t="shared" si="6"/>
        <v>15.533333333333335</v>
      </c>
      <c r="O29" s="44">
        <v>1.2361111111111112</v>
      </c>
      <c r="P29" s="21">
        <v>0</v>
      </c>
      <c r="Q29" s="21">
        <v>110</v>
      </c>
      <c r="R29" s="21">
        <v>0</v>
      </c>
      <c r="S29" s="2"/>
      <c r="T29" s="25">
        <v>848935</v>
      </c>
      <c r="U29" s="26">
        <f t="shared" si="2"/>
        <v>183369960</v>
      </c>
      <c r="V29" s="26">
        <f t="shared" si="3"/>
        <v>118681113.00000001</v>
      </c>
      <c r="W29" s="2"/>
      <c r="X29" s="2"/>
      <c r="Y29" s="2"/>
      <c r="Z29" s="2"/>
    </row>
    <row r="30" spans="1:26" ht="12.75" customHeight="1" x14ac:dyDescent="0.35">
      <c r="A30" s="2"/>
      <c r="B30" s="8" t="s">
        <v>121</v>
      </c>
      <c r="C30" s="8" t="s">
        <v>26</v>
      </c>
      <c r="D30" s="8">
        <v>14</v>
      </c>
      <c r="E30" s="21">
        <v>540</v>
      </c>
      <c r="F30" s="21">
        <v>1549</v>
      </c>
      <c r="G30" s="21">
        <v>0</v>
      </c>
      <c r="H30" s="22">
        <v>0</v>
      </c>
      <c r="I30" s="21">
        <v>0</v>
      </c>
      <c r="J30" s="21">
        <v>1306</v>
      </c>
      <c r="K30" s="21">
        <f t="shared" si="0"/>
        <v>783</v>
      </c>
      <c r="L30" s="21">
        <v>576.77777777777806</v>
      </c>
      <c r="M30" s="23">
        <v>24</v>
      </c>
      <c r="N30" s="21">
        <f t="shared" si="6"/>
        <v>10.599285349668204</v>
      </c>
      <c r="O30" s="44">
        <v>0.59954058192955595</v>
      </c>
      <c r="P30" s="21">
        <v>0</v>
      </c>
      <c r="Q30" s="21">
        <v>846</v>
      </c>
      <c r="R30" s="21">
        <v>0</v>
      </c>
      <c r="S30" s="2"/>
      <c r="T30" s="25">
        <v>1040050</v>
      </c>
      <c r="U30" s="26">
        <f t="shared" si="2"/>
        <v>1358305300</v>
      </c>
      <c r="V30" s="26">
        <f t="shared" si="3"/>
        <v>599877727.77777803</v>
      </c>
      <c r="W30" s="2"/>
      <c r="X30" s="2"/>
      <c r="Y30" s="2"/>
      <c r="Z30" s="2"/>
    </row>
    <row r="31" spans="1:26" ht="12.75" customHeight="1" x14ac:dyDescent="0.35">
      <c r="A31" s="2"/>
      <c r="B31" s="8" t="s">
        <v>122</v>
      </c>
      <c r="C31" s="8" t="s">
        <v>26</v>
      </c>
      <c r="D31" s="8">
        <v>14</v>
      </c>
      <c r="E31" s="21">
        <v>47</v>
      </c>
      <c r="F31" s="21">
        <v>104</v>
      </c>
      <c r="G31" s="21">
        <v>0</v>
      </c>
      <c r="H31" s="22">
        <v>0</v>
      </c>
      <c r="I31" s="21">
        <v>0</v>
      </c>
      <c r="J31" s="21">
        <v>47</v>
      </c>
      <c r="K31" s="21">
        <f t="shared" si="0"/>
        <v>104</v>
      </c>
      <c r="L31" s="21">
        <v>122.75</v>
      </c>
      <c r="M31" s="23">
        <v>24</v>
      </c>
      <c r="N31" s="21">
        <f t="shared" si="6"/>
        <v>62.680851063829792</v>
      </c>
      <c r="O31" s="44">
        <v>2.2127659574468086</v>
      </c>
      <c r="P31" s="21">
        <v>0</v>
      </c>
      <c r="Q31" s="21">
        <v>0</v>
      </c>
      <c r="R31" s="21">
        <v>0</v>
      </c>
      <c r="S31" s="2"/>
      <c r="T31" s="25">
        <v>819485</v>
      </c>
      <c r="U31" s="26">
        <f t="shared" si="2"/>
        <v>38515795</v>
      </c>
      <c r="V31" s="26">
        <f t="shared" si="3"/>
        <v>100591783.75</v>
      </c>
      <c r="W31" s="2"/>
      <c r="X31" s="2"/>
      <c r="Y31" s="2"/>
      <c r="Z31" s="2"/>
    </row>
    <row r="32" spans="1:26" ht="12.75" customHeight="1" x14ac:dyDescent="0.35">
      <c r="A32" s="2"/>
      <c r="B32" s="8" t="s">
        <v>151</v>
      </c>
      <c r="C32" s="8" t="s">
        <v>26</v>
      </c>
      <c r="D32" s="8">
        <v>14</v>
      </c>
      <c r="E32" s="21">
        <v>630</v>
      </c>
      <c r="F32" s="21">
        <v>528</v>
      </c>
      <c r="G32" s="21">
        <v>0</v>
      </c>
      <c r="H32" s="22">
        <v>0</v>
      </c>
      <c r="I32" s="21">
        <v>0</v>
      </c>
      <c r="J32" s="21">
        <v>1104</v>
      </c>
      <c r="K32" s="21">
        <f t="shared" si="0"/>
        <v>54</v>
      </c>
      <c r="L32" s="21">
        <v>375.27272727272702</v>
      </c>
      <c r="M32" s="23">
        <v>24</v>
      </c>
      <c r="N32" s="21">
        <f t="shared" si="6"/>
        <v>8.1581027667984127</v>
      </c>
      <c r="O32" s="44">
        <v>4.8913043478260872E-2</v>
      </c>
      <c r="P32" s="21">
        <v>0</v>
      </c>
      <c r="Q32" s="21">
        <v>430</v>
      </c>
      <c r="R32" s="21">
        <v>0</v>
      </c>
      <c r="S32" s="2"/>
      <c r="T32" s="25">
        <v>819485</v>
      </c>
      <c r="U32" s="26">
        <f t="shared" si="2"/>
        <v>904711440</v>
      </c>
      <c r="V32" s="26">
        <f t="shared" si="3"/>
        <v>307530370.9090907</v>
      </c>
      <c r="W32" s="2"/>
      <c r="X32" s="2"/>
      <c r="Y32" s="2"/>
      <c r="Z32" s="2"/>
    </row>
    <row r="33" spans="1:26" ht="12.75" customHeight="1" x14ac:dyDescent="0.35">
      <c r="A33" s="2"/>
      <c r="B33" s="8" t="s">
        <v>123</v>
      </c>
      <c r="C33" s="8" t="s">
        <v>26</v>
      </c>
      <c r="D33" s="8">
        <v>14</v>
      </c>
      <c r="E33" s="21">
        <v>63</v>
      </c>
      <c r="F33" s="21">
        <v>0</v>
      </c>
      <c r="G33" s="21">
        <v>0</v>
      </c>
      <c r="H33" s="22">
        <v>0</v>
      </c>
      <c r="I33" s="21">
        <v>0</v>
      </c>
      <c r="J33" s="21">
        <v>0</v>
      </c>
      <c r="K33" s="21">
        <f t="shared" si="0"/>
        <v>63</v>
      </c>
      <c r="L33" s="21">
        <v>0</v>
      </c>
      <c r="M33" s="23">
        <v>24</v>
      </c>
      <c r="N33" s="21">
        <v>0</v>
      </c>
      <c r="O33" s="44">
        <v>0</v>
      </c>
      <c r="P33" s="21">
        <v>0</v>
      </c>
      <c r="Q33" s="21">
        <v>0</v>
      </c>
      <c r="R33" s="21">
        <v>0</v>
      </c>
      <c r="S33" s="2"/>
      <c r="T33" s="25">
        <v>1272550</v>
      </c>
      <c r="U33" s="26">
        <f t="shared" si="2"/>
        <v>0</v>
      </c>
      <c r="V33" s="26">
        <f t="shared" si="3"/>
        <v>0</v>
      </c>
      <c r="W33" s="2"/>
      <c r="X33" s="2"/>
      <c r="Y33" s="2"/>
      <c r="Z33" s="2"/>
    </row>
    <row r="34" spans="1:26" ht="12.75" customHeight="1" x14ac:dyDescent="0.35">
      <c r="A34" s="2"/>
      <c r="B34" s="8" t="s">
        <v>47</v>
      </c>
      <c r="C34" s="8" t="s">
        <v>26</v>
      </c>
      <c r="D34" s="8">
        <v>14</v>
      </c>
      <c r="E34" s="21">
        <v>106</v>
      </c>
      <c r="F34" s="21">
        <v>110</v>
      </c>
      <c r="G34" s="21">
        <v>0</v>
      </c>
      <c r="H34" s="22">
        <v>0</v>
      </c>
      <c r="I34" s="21">
        <v>0</v>
      </c>
      <c r="J34" s="21">
        <v>90</v>
      </c>
      <c r="K34" s="21">
        <f t="shared" si="0"/>
        <v>126</v>
      </c>
      <c r="L34" s="21">
        <v>171</v>
      </c>
      <c r="M34" s="23">
        <v>24</v>
      </c>
      <c r="N34" s="21">
        <f t="shared" ref="N34:N39" si="7">(L34/(I34+J34))*M34</f>
        <v>45.599999999999994</v>
      </c>
      <c r="O34" s="44">
        <v>1.4</v>
      </c>
      <c r="P34" s="21">
        <v>0</v>
      </c>
      <c r="Q34" s="21">
        <v>0</v>
      </c>
      <c r="R34" s="21">
        <v>0</v>
      </c>
      <c r="S34" s="2"/>
      <c r="T34" s="25">
        <v>1272550</v>
      </c>
      <c r="U34" s="26">
        <f t="shared" si="2"/>
        <v>114529500</v>
      </c>
      <c r="V34" s="26">
        <f t="shared" si="3"/>
        <v>217606050</v>
      </c>
      <c r="W34" s="2"/>
      <c r="X34" s="2"/>
      <c r="Y34" s="2"/>
      <c r="Z34" s="2"/>
    </row>
    <row r="35" spans="1:26" ht="12.75" customHeight="1" x14ac:dyDescent="0.35">
      <c r="A35" s="2"/>
      <c r="B35" s="8" t="s">
        <v>48</v>
      </c>
      <c r="C35" s="8" t="s">
        <v>26</v>
      </c>
      <c r="D35" s="8">
        <v>14</v>
      </c>
      <c r="E35" s="21">
        <v>225</v>
      </c>
      <c r="F35" s="21">
        <v>98</v>
      </c>
      <c r="G35" s="21">
        <v>0</v>
      </c>
      <c r="H35" s="22">
        <v>0</v>
      </c>
      <c r="I35" s="21">
        <v>0</v>
      </c>
      <c r="J35" s="21">
        <v>157</v>
      </c>
      <c r="K35" s="21">
        <f t="shared" si="0"/>
        <v>166</v>
      </c>
      <c r="L35" s="21">
        <v>172</v>
      </c>
      <c r="M35" s="23">
        <v>24</v>
      </c>
      <c r="N35" s="21">
        <f t="shared" si="7"/>
        <v>26.29299363057325</v>
      </c>
      <c r="O35" s="44">
        <v>1.0573248407643312</v>
      </c>
      <c r="P35" s="21">
        <v>6</v>
      </c>
      <c r="Q35" s="21">
        <v>0</v>
      </c>
      <c r="R35" s="21">
        <v>0</v>
      </c>
      <c r="S35" s="2"/>
      <c r="T35" s="25">
        <v>1272550</v>
      </c>
      <c r="U35" s="26">
        <f t="shared" si="2"/>
        <v>199790350</v>
      </c>
      <c r="V35" s="26">
        <f t="shared" si="3"/>
        <v>218878600</v>
      </c>
      <c r="W35" s="2"/>
      <c r="X35" s="2"/>
      <c r="Y35" s="2"/>
      <c r="Z35" s="2"/>
    </row>
    <row r="36" spans="1:26" ht="12.75" customHeight="1" x14ac:dyDescent="0.35">
      <c r="A36" s="2"/>
      <c r="B36" s="8" t="s">
        <v>142</v>
      </c>
      <c r="C36" s="8" t="s">
        <v>26</v>
      </c>
      <c r="D36" s="8">
        <v>14</v>
      </c>
      <c r="E36" s="21">
        <v>189</v>
      </c>
      <c r="F36" s="21">
        <v>315</v>
      </c>
      <c r="G36" s="21">
        <v>0</v>
      </c>
      <c r="H36" s="22">
        <v>0</v>
      </c>
      <c r="I36" s="21">
        <v>0</v>
      </c>
      <c r="J36" s="21">
        <v>51</v>
      </c>
      <c r="K36" s="21">
        <f t="shared" si="0"/>
        <v>453</v>
      </c>
      <c r="L36" s="21">
        <v>474</v>
      </c>
      <c r="M36" s="23">
        <v>24</v>
      </c>
      <c r="N36" s="21">
        <f t="shared" si="7"/>
        <v>223.05882352941177</v>
      </c>
      <c r="O36" s="44">
        <v>8.882352941176471</v>
      </c>
      <c r="P36" s="21">
        <v>0</v>
      </c>
      <c r="Q36" s="21">
        <v>0</v>
      </c>
      <c r="R36" s="21">
        <v>0</v>
      </c>
      <c r="S36" s="2"/>
      <c r="T36" s="25">
        <v>819485</v>
      </c>
      <c r="U36" s="26">
        <f t="shared" si="2"/>
        <v>41793735</v>
      </c>
      <c r="V36" s="26">
        <f t="shared" si="3"/>
        <v>388435890</v>
      </c>
      <c r="W36" s="2"/>
      <c r="X36" s="2"/>
      <c r="Y36" s="2"/>
      <c r="Z36" s="2"/>
    </row>
    <row r="37" spans="1:26" ht="12.75" customHeight="1" x14ac:dyDescent="0.35">
      <c r="A37" s="2"/>
      <c r="B37" s="8" t="s">
        <v>142</v>
      </c>
      <c r="C37" s="8" t="s">
        <v>26</v>
      </c>
      <c r="D37" s="8">
        <v>14</v>
      </c>
      <c r="E37" s="21">
        <v>432</v>
      </c>
      <c r="F37" s="21">
        <v>450</v>
      </c>
      <c r="G37" s="21">
        <v>0</v>
      </c>
      <c r="H37" s="22">
        <v>0</v>
      </c>
      <c r="I37" s="21">
        <v>0</v>
      </c>
      <c r="J37" s="21">
        <v>720</v>
      </c>
      <c r="K37" s="21">
        <f t="shared" si="0"/>
        <v>162</v>
      </c>
      <c r="L37" s="21">
        <v>247.42857142857102</v>
      </c>
      <c r="M37" s="23">
        <v>24</v>
      </c>
      <c r="N37" s="21">
        <f t="shared" si="7"/>
        <v>8.2476190476190343</v>
      </c>
      <c r="O37" s="44">
        <v>0.22500000000000001</v>
      </c>
      <c r="P37" s="21">
        <v>0</v>
      </c>
      <c r="Q37" s="21">
        <v>450</v>
      </c>
      <c r="R37" s="21">
        <v>0</v>
      </c>
      <c r="S37" s="2"/>
      <c r="T37" s="25">
        <v>819485</v>
      </c>
      <c r="U37" s="26">
        <f t="shared" si="2"/>
        <v>590029200</v>
      </c>
      <c r="V37" s="26">
        <f t="shared" si="3"/>
        <v>202764002.85714251</v>
      </c>
      <c r="W37" s="2"/>
      <c r="X37" s="2"/>
      <c r="Y37" s="2"/>
      <c r="Z37" s="2"/>
    </row>
    <row r="38" spans="1:26" ht="12.75" customHeight="1" x14ac:dyDescent="0.35">
      <c r="A38" s="2"/>
      <c r="B38" s="8" t="s">
        <v>104</v>
      </c>
      <c r="C38" s="8" t="s">
        <v>26</v>
      </c>
      <c r="D38" s="8">
        <v>14</v>
      </c>
      <c r="E38" s="21">
        <v>276</v>
      </c>
      <c r="F38" s="21">
        <v>0</v>
      </c>
      <c r="G38" s="21">
        <v>0</v>
      </c>
      <c r="H38" s="22">
        <v>0</v>
      </c>
      <c r="I38" s="21">
        <v>0</v>
      </c>
      <c r="J38" s="21">
        <v>96</v>
      </c>
      <c r="K38" s="21">
        <f t="shared" si="0"/>
        <v>180</v>
      </c>
      <c r="L38" s="21">
        <v>204</v>
      </c>
      <c r="M38" s="23">
        <v>24</v>
      </c>
      <c r="N38" s="21">
        <f t="shared" si="7"/>
        <v>51</v>
      </c>
      <c r="O38" s="44">
        <v>1.875</v>
      </c>
      <c r="P38" s="21">
        <v>0</v>
      </c>
      <c r="Q38" s="21">
        <v>0</v>
      </c>
      <c r="R38" s="21">
        <v>0</v>
      </c>
      <c r="S38" s="2"/>
      <c r="T38" s="25">
        <v>1445220</v>
      </c>
      <c r="U38" s="26">
        <f t="shared" si="2"/>
        <v>138741120</v>
      </c>
      <c r="V38" s="26">
        <f t="shared" si="3"/>
        <v>294824880</v>
      </c>
      <c r="W38" s="2"/>
      <c r="X38" s="2"/>
      <c r="Y38" s="2"/>
      <c r="Z38" s="2"/>
    </row>
    <row r="39" spans="1:26" ht="12.75" customHeight="1" x14ac:dyDescent="0.35">
      <c r="A39" s="2"/>
      <c r="B39" s="8" t="s">
        <v>124</v>
      </c>
      <c r="C39" s="8" t="s">
        <v>26</v>
      </c>
      <c r="D39" s="8">
        <v>14</v>
      </c>
      <c r="E39" s="21">
        <v>126</v>
      </c>
      <c r="F39" s="21">
        <v>102</v>
      </c>
      <c r="G39" s="21">
        <v>0</v>
      </c>
      <c r="H39" s="22">
        <v>0</v>
      </c>
      <c r="I39" s="21">
        <v>0</v>
      </c>
      <c r="J39" s="21">
        <v>134</v>
      </c>
      <c r="K39" s="21">
        <f t="shared" si="0"/>
        <v>94</v>
      </c>
      <c r="L39" s="21">
        <v>125</v>
      </c>
      <c r="M39" s="23">
        <v>24</v>
      </c>
      <c r="N39" s="21">
        <f t="shared" si="7"/>
        <v>22.388059701492537</v>
      </c>
      <c r="O39" s="44">
        <v>0.70149253731343286</v>
      </c>
      <c r="P39" s="21">
        <v>0</v>
      </c>
      <c r="Q39" s="21">
        <v>100</v>
      </c>
      <c r="R39" s="21">
        <v>0</v>
      </c>
      <c r="S39" s="2"/>
      <c r="T39" s="25">
        <v>1445220</v>
      </c>
      <c r="U39" s="26">
        <f t="shared" si="2"/>
        <v>193659480</v>
      </c>
      <c r="V39" s="26">
        <f t="shared" si="3"/>
        <v>180652500</v>
      </c>
      <c r="W39" s="2"/>
      <c r="X39" s="2"/>
      <c r="Y39" s="2"/>
      <c r="Z39" s="2"/>
    </row>
    <row r="40" spans="1:26" ht="12.75" customHeight="1" x14ac:dyDescent="0.35">
      <c r="A40" s="2"/>
      <c r="B40" s="8" t="s">
        <v>52</v>
      </c>
      <c r="C40" s="8" t="s">
        <v>26</v>
      </c>
      <c r="D40" s="8">
        <v>14</v>
      </c>
      <c r="E40" s="21">
        <v>328</v>
      </c>
      <c r="F40" s="21">
        <v>0</v>
      </c>
      <c r="G40" s="21">
        <v>0</v>
      </c>
      <c r="H40" s="22">
        <v>0</v>
      </c>
      <c r="I40" s="21">
        <v>0</v>
      </c>
      <c r="J40" s="21">
        <v>0</v>
      </c>
      <c r="K40" s="21">
        <f t="shared" si="0"/>
        <v>328</v>
      </c>
      <c r="L40" s="21">
        <v>0</v>
      </c>
      <c r="M40" s="23">
        <v>24</v>
      </c>
      <c r="N40" s="21">
        <v>0</v>
      </c>
      <c r="O40" s="44">
        <v>0</v>
      </c>
      <c r="P40" s="21">
        <v>0</v>
      </c>
      <c r="Q40" s="21">
        <v>0</v>
      </c>
      <c r="R40" s="21">
        <v>0</v>
      </c>
      <c r="S40" s="2"/>
      <c r="T40" s="25">
        <v>1445220</v>
      </c>
      <c r="U40" s="26">
        <f t="shared" si="2"/>
        <v>0</v>
      </c>
      <c r="V40" s="26">
        <f t="shared" si="3"/>
        <v>0</v>
      </c>
      <c r="W40" s="2"/>
      <c r="X40" s="2"/>
      <c r="Y40" s="2"/>
      <c r="Z40" s="2"/>
    </row>
    <row r="41" spans="1:26" ht="12.75" customHeight="1" x14ac:dyDescent="0.35">
      <c r="A41" s="2"/>
      <c r="B41" s="8" t="s">
        <v>53</v>
      </c>
      <c r="C41" s="8" t="s">
        <v>26</v>
      </c>
      <c r="D41" s="8">
        <v>14</v>
      </c>
      <c r="E41" s="21">
        <v>105</v>
      </c>
      <c r="F41" s="21">
        <v>253</v>
      </c>
      <c r="G41" s="21">
        <v>0</v>
      </c>
      <c r="H41" s="22">
        <v>0</v>
      </c>
      <c r="I41" s="21">
        <v>0</v>
      </c>
      <c r="J41" s="21">
        <v>158</v>
      </c>
      <c r="K41" s="21">
        <f t="shared" si="0"/>
        <v>200</v>
      </c>
      <c r="L41" s="21">
        <v>190.42857142857102</v>
      </c>
      <c r="M41" s="23">
        <v>24</v>
      </c>
      <c r="N41" s="21">
        <f t="shared" ref="N41:N46" si="8">(L41/(I41+J41))*M41</f>
        <v>28.925858951175346</v>
      </c>
      <c r="O41" s="44">
        <v>1.2658227848101267</v>
      </c>
      <c r="P41" s="21">
        <v>0</v>
      </c>
      <c r="Q41" s="21">
        <v>0</v>
      </c>
      <c r="R41" s="21">
        <v>0</v>
      </c>
      <c r="S41" s="2"/>
      <c r="T41" s="25">
        <v>1272550</v>
      </c>
      <c r="U41" s="26">
        <f t="shared" si="2"/>
        <v>201062900</v>
      </c>
      <c r="V41" s="26">
        <f t="shared" si="3"/>
        <v>242329878.57142806</v>
      </c>
      <c r="W41" s="2"/>
      <c r="X41" s="2"/>
      <c r="Y41" s="2"/>
      <c r="Z41" s="2"/>
    </row>
    <row r="42" spans="1:26" ht="12.75" customHeight="1" x14ac:dyDescent="0.35">
      <c r="A42" s="2"/>
      <c r="B42" s="8" t="s">
        <v>143</v>
      </c>
      <c r="C42" s="8" t="s">
        <v>26</v>
      </c>
      <c r="D42" s="8">
        <v>14</v>
      </c>
      <c r="E42" s="21">
        <v>540</v>
      </c>
      <c r="F42" s="21">
        <v>2137</v>
      </c>
      <c r="G42" s="21">
        <v>0</v>
      </c>
      <c r="H42" s="22">
        <v>0</v>
      </c>
      <c r="I42" s="21">
        <v>0</v>
      </c>
      <c r="J42" s="21">
        <v>2098</v>
      </c>
      <c r="K42" s="21">
        <f t="shared" si="0"/>
        <v>579</v>
      </c>
      <c r="L42" s="21">
        <v>800.33333333333303</v>
      </c>
      <c r="M42" s="23">
        <v>24</v>
      </c>
      <c r="N42" s="21">
        <f t="shared" si="8"/>
        <v>9.1553860819828365</v>
      </c>
      <c r="O42" s="44">
        <v>0.27597712106768352</v>
      </c>
      <c r="P42" s="21">
        <v>8</v>
      </c>
      <c r="Q42" s="21">
        <v>0</v>
      </c>
      <c r="R42" s="21">
        <v>0</v>
      </c>
      <c r="S42" s="2"/>
      <c r="T42" s="25">
        <v>819485</v>
      </c>
      <c r="U42" s="26">
        <f t="shared" si="2"/>
        <v>1719279530</v>
      </c>
      <c r="V42" s="26">
        <f t="shared" si="3"/>
        <v>655861161.66666639</v>
      </c>
      <c r="W42" s="2"/>
      <c r="X42" s="2"/>
      <c r="Y42" s="2"/>
      <c r="Z42" s="2"/>
    </row>
    <row r="43" spans="1:26" ht="12.75" customHeight="1" x14ac:dyDescent="0.35">
      <c r="A43" s="2"/>
      <c r="B43" s="8" t="s">
        <v>143</v>
      </c>
      <c r="C43" s="8" t="s">
        <v>26</v>
      </c>
      <c r="D43" s="8">
        <v>14</v>
      </c>
      <c r="E43" s="21">
        <v>220</v>
      </c>
      <c r="F43" s="21">
        <v>100</v>
      </c>
      <c r="G43" s="21">
        <v>0</v>
      </c>
      <c r="H43" s="22">
        <v>0</v>
      </c>
      <c r="I43" s="21">
        <v>0</v>
      </c>
      <c r="J43" s="21">
        <v>141</v>
      </c>
      <c r="K43" s="21">
        <f t="shared" si="0"/>
        <v>179</v>
      </c>
      <c r="L43" s="21">
        <v>217.5</v>
      </c>
      <c r="M43" s="23">
        <v>24</v>
      </c>
      <c r="N43" s="21">
        <f t="shared" si="8"/>
        <v>37.021276595744681</v>
      </c>
      <c r="O43" s="44">
        <v>1.2695035460992907</v>
      </c>
      <c r="P43" s="21">
        <v>0</v>
      </c>
      <c r="Q43" s="21">
        <v>200</v>
      </c>
      <c r="R43" s="21">
        <v>0</v>
      </c>
      <c r="S43" s="2"/>
      <c r="T43" s="25">
        <v>819485</v>
      </c>
      <c r="U43" s="26">
        <f t="shared" si="2"/>
        <v>115547385</v>
      </c>
      <c r="V43" s="26">
        <f t="shared" si="3"/>
        <v>178237987.5</v>
      </c>
      <c r="W43" s="2"/>
      <c r="X43" s="2"/>
      <c r="Y43" s="2"/>
      <c r="Z43" s="2"/>
    </row>
    <row r="44" spans="1:26" ht="12.75" customHeight="1" x14ac:dyDescent="0.35">
      <c r="A44" s="2"/>
      <c r="B44" s="8" t="s">
        <v>57</v>
      </c>
      <c r="C44" s="8" t="s">
        <v>26</v>
      </c>
      <c r="D44" s="8">
        <v>14</v>
      </c>
      <c r="E44" s="21">
        <v>579.98</v>
      </c>
      <c r="F44" s="21">
        <v>593</v>
      </c>
      <c r="G44" s="21">
        <v>0</v>
      </c>
      <c r="H44" s="22">
        <v>0</v>
      </c>
      <c r="I44" s="21">
        <v>0</v>
      </c>
      <c r="J44" s="21">
        <v>740</v>
      </c>
      <c r="K44" s="21">
        <f t="shared" si="0"/>
        <v>432.98</v>
      </c>
      <c r="L44" s="21">
        <v>443.60500000000002</v>
      </c>
      <c r="M44" s="23">
        <v>24</v>
      </c>
      <c r="N44" s="21">
        <f t="shared" si="8"/>
        <v>14.38718918918919</v>
      </c>
      <c r="O44" s="44">
        <v>0.58510810810810809</v>
      </c>
      <c r="P44" s="21">
        <v>0</v>
      </c>
      <c r="Q44" s="21">
        <v>470</v>
      </c>
      <c r="R44" s="21">
        <v>0</v>
      </c>
      <c r="S44" s="2"/>
      <c r="T44" s="25">
        <v>819485</v>
      </c>
      <c r="U44" s="26">
        <f t="shared" si="2"/>
        <v>606418900</v>
      </c>
      <c r="V44" s="26">
        <f t="shared" si="3"/>
        <v>363527643.42500001</v>
      </c>
      <c r="W44" s="2"/>
      <c r="X44" s="2"/>
      <c r="Y44" s="2"/>
      <c r="Z44" s="2"/>
    </row>
    <row r="45" spans="1:26" ht="12.75" customHeight="1" x14ac:dyDescent="0.35">
      <c r="A45" s="2"/>
      <c r="B45" s="8" t="s">
        <v>152</v>
      </c>
      <c r="C45" s="8" t="s">
        <v>26</v>
      </c>
      <c r="D45" s="8">
        <v>14</v>
      </c>
      <c r="E45" s="21">
        <v>23</v>
      </c>
      <c r="F45" s="21">
        <v>0</v>
      </c>
      <c r="G45" s="21">
        <v>0</v>
      </c>
      <c r="H45" s="22">
        <v>0</v>
      </c>
      <c r="I45" s="21">
        <v>2</v>
      </c>
      <c r="J45" s="21">
        <v>0</v>
      </c>
      <c r="K45" s="21">
        <f t="shared" si="0"/>
        <v>21</v>
      </c>
      <c r="L45" s="21">
        <v>21</v>
      </c>
      <c r="M45" s="23">
        <v>24</v>
      </c>
      <c r="N45" s="21">
        <f t="shared" si="8"/>
        <v>252</v>
      </c>
      <c r="O45" s="44">
        <v>10.5</v>
      </c>
      <c r="P45" s="21">
        <v>0</v>
      </c>
      <c r="Q45" s="21">
        <v>0</v>
      </c>
      <c r="R45" s="21">
        <v>0</v>
      </c>
      <c r="S45" s="2"/>
      <c r="T45" s="25">
        <v>1481800</v>
      </c>
      <c r="U45" s="26">
        <f t="shared" si="2"/>
        <v>2963600</v>
      </c>
      <c r="V45" s="26">
        <f t="shared" si="3"/>
        <v>31117800</v>
      </c>
      <c r="W45" s="2"/>
      <c r="X45" s="2"/>
      <c r="Y45" s="2"/>
      <c r="Z45" s="2"/>
    </row>
    <row r="46" spans="1:26" ht="12.75" customHeight="1" x14ac:dyDescent="0.35">
      <c r="A46" s="2"/>
      <c r="B46" s="8" t="s">
        <v>125</v>
      </c>
      <c r="C46" s="8" t="s">
        <v>26</v>
      </c>
      <c r="D46" s="8">
        <v>14</v>
      </c>
      <c r="E46" s="21">
        <v>130</v>
      </c>
      <c r="F46" s="21">
        <v>0</v>
      </c>
      <c r="G46" s="21">
        <v>0</v>
      </c>
      <c r="H46" s="22">
        <v>0</v>
      </c>
      <c r="I46" s="21">
        <v>2</v>
      </c>
      <c r="J46" s="21">
        <v>0</v>
      </c>
      <c r="K46" s="21">
        <f t="shared" si="0"/>
        <v>128</v>
      </c>
      <c r="L46" s="21">
        <v>128</v>
      </c>
      <c r="M46" s="23">
        <v>24</v>
      </c>
      <c r="N46" s="21">
        <f t="shared" si="8"/>
        <v>1536</v>
      </c>
      <c r="O46" s="44">
        <v>64</v>
      </c>
      <c r="P46" s="21">
        <v>0</v>
      </c>
      <c r="Q46" s="21">
        <v>0</v>
      </c>
      <c r="R46" s="21">
        <v>0</v>
      </c>
      <c r="S46" s="2"/>
      <c r="T46" s="25">
        <v>1481800</v>
      </c>
      <c r="U46" s="26">
        <f t="shared" si="2"/>
        <v>2963600</v>
      </c>
      <c r="V46" s="26">
        <f t="shared" si="3"/>
        <v>189670400</v>
      </c>
      <c r="W46" s="2"/>
      <c r="X46" s="2"/>
      <c r="Y46" s="2"/>
      <c r="Z46" s="2"/>
    </row>
    <row r="47" spans="1:26" ht="12.75" customHeight="1" x14ac:dyDescent="0.35">
      <c r="A47" s="2"/>
      <c r="B47" s="8" t="s">
        <v>59</v>
      </c>
      <c r="C47" s="8" t="s">
        <v>26</v>
      </c>
      <c r="D47" s="8">
        <v>14</v>
      </c>
      <c r="E47" s="21">
        <v>1</v>
      </c>
      <c r="F47" s="21">
        <v>0</v>
      </c>
      <c r="G47" s="21">
        <v>0</v>
      </c>
      <c r="H47" s="22">
        <v>0</v>
      </c>
      <c r="I47" s="21">
        <v>0</v>
      </c>
      <c r="J47" s="21">
        <v>0</v>
      </c>
      <c r="K47" s="21">
        <f t="shared" si="0"/>
        <v>1</v>
      </c>
      <c r="L47" s="21">
        <v>0</v>
      </c>
      <c r="M47" s="23">
        <v>24</v>
      </c>
      <c r="N47" s="21">
        <v>0</v>
      </c>
      <c r="O47" s="44">
        <v>0</v>
      </c>
      <c r="P47" s="21">
        <v>0</v>
      </c>
      <c r="Q47" s="21">
        <v>0</v>
      </c>
      <c r="R47" s="21">
        <v>0</v>
      </c>
      <c r="S47" s="2"/>
      <c r="T47" s="25">
        <v>1481800</v>
      </c>
      <c r="U47" s="26">
        <f t="shared" si="2"/>
        <v>0</v>
      </c>
      <c r="V47" s="26">
        <f t="shared" si="3"/>
        <v>0</v>
      </c>
      <c r="W47" s="2"/>
      <c r="X47" s="2"/>
      <c r="Y47" s="2"/>
      <c r="Z47" s="2"/>
    </row>
    <row r="48" spans="1:26" ht="12.75" customHeight="1" x14ac:dyDescent="0.35">
      <c r="A48" s="2"/>
      <c r="B48" s="8" t="s">
        <v>125</v>
      </c>
      <c r="C48" s="8" t="s">
        <v>26</v>
      </c>
      <c r="D48" s="8">
        <v>14</v>
      </c>
      <c r="E48" s="21">
        <v>28</v>
      </c>
      <c r="F48" s="21">
        <v>0</v>
      </c>
      <c r="G48" s="21">
        <v>0</v>
      </c>
      <c r="H48" s="22">
        <v>0</v>
      </c>
      <c r="I48" s="21">
        <v>0</v>
      </c>
      <c r="J48" s="21">
        <v>0</v>
      </c>
      <c r="K48" s="21">
        <f t="shared" si="0"/>
        <v>28</v>
      </c>
      <c r="L48" s="21">
        <v>0</v>
      </c>
      <c r="M48" s="23">
        <v>24</v>
      </c>
      <c r="N48" s="21">
        <v>0</v>
      </c>
      <c r="O48" s="44">
        <v>0</v>
      </c>
      <c r="P48" s="21">
        <v>0</v>
      </c>
      <c r="Q48" s="21">
        <v>0</v>
      </c>
      <c r="R48" s="21">
        <v>0</v>
      </c>
      <c r="S48" s="2"/>
      <c r="T48" s="25">
        <v>1481800</v>
      </c>
      <c r="U48" s="26">
        <f t="shared" si="2"/>
        <v>0</v>
      </c>
      <c r="V48" s="26">
        <f t="shared" si="3"/>
        <v>0</v>
      </c>
      <c r="W48" s="2"/>
      <c r="X48" s="2"/>
      <c r="Y48" s="2"/>
      <c r="Z48" s="2"/>
    </row>
    <row r="49" spans="1:26" ht="12.75" customHeight="1" x14ac:dyDescent="0.35">
      <c r="A49" s="2"/>
      <c r="B49" s="8" t="s">
        <v>153</v>
      </c>
      <c r="C49" s="8" t="s">
        <v>26</v>
      </c>
      <c r="D49" s="8">
        <v>14</v>
      </c>
      <c r="E49" s="21">
        <v>26</v>
      </c>
      <c r="F49" s="21">
        <v>0</v>
      </c>
      <c r="G49" s="21">
        <v>0</v>
      </c>
      <c r="H49" s="22">
        <v>0</v>
      </c>
      <c r="I49" s="21">
        <v>8</v>
      </c>
      <c r="J49" s="21">
        <v>0</v>
      </c>
      <c r="K49" s="21">
        <f t="shared" si="0"/>
        <v>18</v>
      </c>
      <c r="L49" s="21">
        <v>20</v>
      </c>
      <c r="M49" s="23">
        <v>24</v>
      </c>
      <c r="N49" s="21">
        <f>(L49/(I49+J49))*M49</f>
        <v>60</v>
      </c>
      <c r="O49" s="44">
        <v>2.25</v>
      </c>
      <c r="P49" s="21">
        <v>0</v>
      </c>
      <c r="Q49" s="21">
        <v>18</v>
      </c>
      <c r="R49" s="21">
        <v>18</v>
      </c>
      <c r="S49" s="2"/>
      <c r="T49" s="25">
        <v>1481800</v>
      </c>
      <c r="U49" s="26">
        <f t="shared" si="2"/>
        <v>11854400</v>
      </c>
      <c r="V49" s="26">
        <f t="shared" si="3"/>
        <v>29636000</v>
      </c>
      <c r="W49" s="2"/>
      <c r="X49" s="2"/>
      <c r="Y49" s="2"/>
      <c r="Z49" s="2"/>
    </row>
    <row r="50" spans="1:26" ht="12.75" customHeight="1" x14ac:dyDescent="0.35">
      <c r="A50" s="2"/>
      <c r="B50" s="8" t="s">
        <v>153</v>
      </c>
      <c r="C50" s="8" t="s">
        <v>26</v>
      </c>
      <c r="D50" s="8">
        <v>14</v>
      </c>
      <c r="E50" s="21">
        <v>50</v>
      </c>
      <c r="F50" s="21">
        <v>0</v>
      </c>
      <c r="G50" s="21">
        <v>0</v>
      </c>
      <c r="H50" s="22">
        <v>0</v>
      </c>
      <c r="I50" s="21">
        <v>0</v>
      </c>
      <c r="J50" s="21">
        <v>0</v>
      </c>
      <c r="K50" s="21">
        <f t="shared" si="0"/>
        <v>50</v>
      </c>
      <c r="L50" s="21">
        <v>0</v>
      </c>
      <c r="M50" s="23">
        <v>24</v>
      </c>
      <c r="N50" s="21">
        <v>0</v>
      </c>
      <c r="O50" s="44">
        <v>0</v>
      </c>
      <c r="P50" s="21">
        <v>0</v>
      </c>
      <c r="Q50" s="21">
        <v>0</v>
      </c>
      <c r="R50" s="21">
        <v>0</v>
      </c>
      <c r="S50" s="2"/>
      <c r="T50" s="25">
        <v>1481800</v>
      </c>
      <c r="U50" s="26">
        <f t="shared" si="2"/>
        <v>0</v>
      </c>
      <c r="V50" s="26">
        <f t="shared" si="3"/>
        <v>0</v>
      </c>
      <c r="W50" s="2"/>
      <c r="X50" s="2"/>
      <c r="Y50" s="2"/>
      <c r="Z50" s="2"/>
    </row>
    <row r="51" spans="1:26" ht="12.75" customHeight="1" x14ac:dyDescent="0.35">
      <c r="A51" s="2"/>
      <c r="B51" s="8" t="s">
        <v>62</v>
      </c>
      <c r="C51" s="8" t="s">
        <v>26</v>
      </c>
      <c r="D51" s="8">
        <v>14</v>
      </c>
      <c r="E51" s="21">
        <v>54</v>
      </c>
      <c r="F51" s="21">
        <v>0</v>
      </c>
      <c r="G51" s="21">
        <v>0</v>
      </c>
      <c r="H51" s="22">
        <v>0</v>
      </c>
      <c r="I51" s="21">
        <v>6</v>
      </c>
      <c r="J51" s="21">
        <v>0</v>
      </c>
      <c r="K51" s="21">
        <f t="shared" si="0"/>
        <v>48</v>
      </c>
      <c r="L51" s="21">
        <v>50</v>
      </c>
      <c r="M51" s="23">
        <v>24</v>
      </c>
      <c r="N51" s="21">
        <f t="shared" ref="N51:N53" si="9">(L51/(I51+J51))*M51</f>
        <v>200</v>
      </c>
      <c r="O51" s="44">
        <v>8</v>
      </c>
      <c r="P51" s="21">
        <v>0</v>
      </c>
      <c r="Q51" s="21">
        <v>0</v>
      </c>
      <c r="R51" s="21">
        <v>0</v>
      </c>
      <c r="S51" s="2"/>
      <c r="T51" s="25">
        <v>1481800</v>
      </c>
      <c r="U51" s="26">
        <f t="shared" si="2"/>
        <v>8890800</v>
      </c>
      <c r="V51" s="26">
        <f t="shared" si="3"/>
        <v>74090000</v>
      </c>
      <c r="W51" s="2"/>
      <c r="X51" s="2"/>
      <c r="Y51" s="2"/>
      <c r="Z51" s="2"/>
    </row>
    <row r="52" spans="1:26" ht="12.75" customHeight="1" x14ac:dyDescent="0.35">
      <c r="A52" s="2"/>
      <c r="B52" s="8" t="s">
        <v>64</v>
      </c>
      <c r="C52" s="8" t="s">
        <v>26</v>
      </c>
      <c r="D52" s="8">
        <v>14</v>
      </c>
      <c r="E52" s="21">
        <v>249</v>
      </c>
      <c r="F52" s="21">
        <v>0</v>
      </c>
      <c r="G52" s="21">
        <v>0</v>
      </c>
      <c r="H52" s="22">
        <v>0</v>
      </c>
      <c r="I52" s="21">
        <v>0</v>
      </c>
      <c r="J52" s="21">
        <v>57</v>
      </c>
      <c r="K52" s="21">
        <f t="shared" si="0"/>
        <v>192</v>
      </c>
      <c r="L52" s="21">
        <v>192</v>
      </c>
      <c r="M52" s="23">
        <v>24</v>
      </c>
      <c r="N52" s="21">
        <f t="shared" si="9"/>
        <v>80.84210526315789</v>
      </c>
      <c r="O52" s="44">
        <v>3.3684210526315788</v>
      </c>
      <c r="P52" s="21">
        <v>0</v>
      </c>
      <c r="Q52" s="21">
        <v>0</v>
      </c>
      <c r="R52" s="21">
        <v>0</v>
      </c>
      <c r="S52" s="2"/>
      <c r="T52" s="25">
        <v>958675</v>
      </c>
      <c r="U52" s="26">
        <f t="shared" si="2"/>
        <v>54644475</v>
      </c>
      <c r="V52" s="26">
        <f t="shared" si="3"/>
        <v>184065600</v>
      </c>
      <c r="W52" s="2"/>
      <c r="X52" s="2"/>
      <c r="Y52" s="2"/>
      <c r="Z52" s="2"/>
    </row>
    <row r="53" spans="1:26" ht="12.75" customHeight="1" x14ac:dyDescent="0.35">
      <c r="A53" s="2"/>
      <c r="B53" s="8" t="s">
        <v>105</v>
      </c>
      <c r="C53" s="8" t="s">
        <v>26</v>
      </c>
      <c r="D53" s="8">
        <v>14</v>
      </c>
      <c r="E53" s="21">
        <v>403</v>
      </c>
      <c r="F53" s="21">
        <v>210</v>
      </c>
      <c r="G53" s="21">
        <v>0</v>
      </c>
      <c r="H53" s="22">
        <v>0</v>
      </c>
      <c r="I53" s="21">
        <v>162</v>
      </c>
      <c r="J53" s="21">
        <v>0</v>
      </c>
      <c r="K53" s="21">
        <f t="shared" si="0"/>
        <v>451</v>
      </c>
      <c r="L53" s="21">
        <v>413.5</v>
      </c>
      <c r="M53" s="23">
        <v>24</v>
      </c>
      <c r="N53" s="21">
        <f t="shared" si="9"/>
        <v>61.25925925925926</v>
      </c>
      <c r="O53" s="44">
        <v>2.7839506172839505</v>
      </c>
      <c r="P53" s="21">
        <v>0</v>
      </c>
      <c r="Q53" s="21">
        <v>100</v>
      </c>
      <c r="R53" s="21">
        <v>0</v>
      </c>
      <c r="S53" s="2"/>
      <c r="T53" s="25">
        <v>848935</v>
      </c>
      <c r="U53" s="26">
        <f t="shared" si="2"/>
        <v>137527470</v>
      </c>
      <c r="V53" s="26">
        <f t="shared" si="3"/>
        <v>351034622.5</v>
      </c>
      <c r="W53" s="2"/>
      <c r="X53" s="2"/>
      <c r="Y53" s="2"/>
      <c r="Z53" s="2"/>
    </row>
    <row r="54" spans="1:26" ht="12.75" customHeight="1" x14ac:dyDescent="0.35">
      <c r="A54" s="2"/>
      <c r="B54" s="8" t="s">
        <v>106</v>
      </c>
      <c r="C54" s="8" t="s">
        <v>26</v>
      </c>
      <c r="D54" s="8">
        <v>14</v>
      </c>
      <c r="E54" s="21">
        <v>209</v>
      </c>
      <c r="F54" s="21">
        <v>131</v>
      </c>
      <c r="G54" s="21">
        <v>0</v>
      </c>
      <c r="H54" s="22">
        <v>0</v>
      </c>
      <c r="I54" s="21">
        <v>0</v>
      </c>
      <c r="J54" s="21">
        <v>0</v>
      </c>
      <c r="K54" s="21">
        <f t="shared" si="0"/>
        <v>340</v>
      </c>
      <c r="L54" s="21">
        <v>340</v>
      </c>
      <c r="M54" s="23">
        <v>24</v>
      </c>
      <c r="N54" s="21">
        <v>0</v>
      </c>
      <c r="O54" s="44">
        <v>0</v>
      </c>
      <c r="P54" s="21">
        <v>0</v>
      </c>
      <c r="Q54" s="21">
        <v>0</v>
      </c>
      <c r="R54" s="21">
        <v>0</v>
      </c>
      <c r="S54" s="2"/>
      <c r="T54" s="25">
        <v>1012770</v>
      </c>
      <c r="U54" s="26">
        <f t="shared" si="2"/>
        <v>0</v>
      </c>
      <c r="V54" s="26">
        <f t="shared" si="3"/>
        <v>344341800</v>
      </c>
      <c r="W54" s="2"/>
      <c r="X54" s="2"/>
      <c r="Y54" s="2"/>
      <c r="Z54" s="2"/>
    </row>
    <row r="55" spans="1:26" ht="12.75" customHeight="1" x14ac:dyDescent="0.35">
      <c r="A55" s="2"/>
      <c r="B55" s="8" t="s">
        <v>126</v>
      </c>
      <c r="C55" s="8" t="s">
        <v>26</v>
      </c>
      <c r="D55" s="8">
        <v>14</v>
      </c>
      <c r="E55" s="21">
        <v>255</v>
      </c>
      <c r="F55" s="21">
        <v>0</v>
      </c>
      <c r="G55" s="21">
        <v>0</v>
      </c>
      <c r="H55" s="22">
        <v>0</v>
      </c>
      <c r="I55" s="21">
        <v>0</v>
      </c>
      <c r="J55" s="21">
        <v>135</v>
      </c>
      <c r="K55" s="21">
        <f t="shared" si="0"/>
        <v>120</v>
      </c>
      <c r="L55" s="21">
        <v>165</v>
      </c>
      <c r="M55" s="23">
        <v>24</v>
      </c>
      <c r="N55" s="21">
        <f t="shared" ref="N55:N63" si="10">(L55/(I55+J55))*M55</f>
        <v>29.333333333333336</v>
      </c>
      <c r="O55" s="44">
        <v>0.88888888888888884</v>
      </c>
      <c r="P55" s="21">
        <v>0</v>
      </c>
      <c r="Q55" s="21">
        <v>0</v>
      </c>
      <c r="R55" s="21">
        <v>0</v>
      </c>
      <c r="S55" s="2"/>
      <c r="T55" s="25">
        <v>1012770</v>
      </c>
      <c r="U55" s="26">
        <f t="shared" si="2"/>
        <v>136723950</v>
      </c>
      <c r="V55" s="26">
        <f t="shared" si="3"/>
        <v>167107050</v>
      </c>
      <c r="W55" s="2"/>
      <c r="X55" s="2"/>
      <c r="Y55" s="2"/>
      <c r="Z55" s="2"/>
    </row>
    <row r="56" spans="1:26" ht="12.75" customHeight="1" x14ac:dyDescent="0.35">
      <c r="A56" s="2"/>
      <c r="B56" s="8" t="s">
        <v>107</v>
      </c>
      <c r="C56" s="8" t="s">
        <v>26</v>
      </c>
      <c r="D56" s="8">
        <v>14</v>
      </c>
      <c r="E56" s="21">
        <v>45</v>
      </c>
      <c r="F56" s="21">
        <v>0</v>
      </c>
      <c r="G56" s="21">
        <v>0</v>
      </c>
      <c r="H56" s="22">
        <v>0</v>
      </c>
      <c r="I56" s="21">
        <v>45</v>
      </c>
      <c r="J56" s="21">
        <v>0</v>
      </c>
      <c r="K56" s="21">
        <f t="shared" si="0"/>
        <v>0</v>
      </c>
      <c r="L56" s="21">
        <v>0</v>
      </c>
      <c r="M56" s="23">
        <v>24</v>
      </c>
      <c r="N56" s="21">
        <f t="shared" si="10"/>
        <v>0</v>
      </c>
      <c r="O56" s="44">
        <v>0</v>
      </c>
      <c r="P56" s="21">
        <v>0</v>
      </c>
      <c r="Q56" s="21">
        <v>0</v>
      </c>
      <c r="R56" s="21">
        <v>0</v>
      </c>
      <c r="S56" s="2"/>
      <c r="T56" s="25">
        <v>1012770</v>
      </c>
      <c r="U56" s="26">
        <f t="shared" si="2"/>
        <v>45574650</v>
      </c>
      <c r="V56" s="26">
        <f t="shared" si="3"/>
        <v>0</v>
      </c>
      <c r="W56" s="2"/>
      <c r="X56" s="2"/>
      <c r="Y56" s="2"/>
      <c r="Z56" s="2"/>
    </row>
    <row r="57" spans="1:26" ht="12.75" customHeight="1" x14ac:dyDescent="0.35">
      <c r="A57" s="2"/>
      <c r="B57" s="8" t="s">
        <v>108</v>
      </c>
      <c r="C57" s="8" t="s">
        <v>26</v>
      </c>
      <c r="D57" s="8">
        <v>14</v>
      </c>
      <c r="E57" s="21">
        <v>60</v>
      </c>
      <c r="F57" s="21">
        <v>0</v>
      </c>
      <c r="G57" s="21">
        <v>0</v>
      </c>
      <c r="H57" s="22">
        <v>0</v>
      </c>
      <c r="I57" s="21">
        <v>20</v>
      </c>
      <c r="J57" s="21">
        <v>0</v>
      </c>
      <c r="K57" s="21">
        <f t="shared" si="0"/>
        <v>40</v>
      </c>
      <c r="L57" s="21">
        <v>47.3333333333333</v>
      </c>
      <c r="M57" s="23">
        <v>24</v>
      </c>
      <c r="N57" s="21">
        <f t="shared" si="10"/>
        <v>56.799999999999955</v>
      </c>
      <c r="O57" s="44">
        <v>2</v>
      </c>
      <c r="P57" s="21">
        <v>0</v>
      </c>
      <c r="Q57" s="21">
        <v>0</v>
      </c>
      <c r="R57" s="21">
        <v>0</v>
      </c>
      <c r="S57" s="2"/>
      <c r="T57" s="25">
        <v>1237210</v>
      </c>
      <c r="U57" s="26">
        <f t="shared" si="2"/>
        <v>24744200</v>
      </c>
      <c r="V57" s="26">
        <f t="shared" si="3"/>
        <v>58561273.333333291</v>
      </c>
      <c r="W57" s="2"/>
      <c r="X57" s="2"/>
      <c r="Y57" s="2"/>
      <c r="Z57" s="2"/>
    </row>
    <row r="58" spans="1:26" ht="12.75" customHeight="1" x14ac:dyDescent="0.35">
      <c r="A58" s="2"/>
      <c r="B58" s="8" t="s">
        <v>69</v>
      </c>
      <c r="C58" s="8" t="s">
        <v>26</v>
      </c>
      <c r="D58" s="8">
        <v>14</v>
      </c>
      <c r="E58" s="21">
        <v>37</v>
      </c>
      <c r="F58" s="21">
        <v>0</v>
      </c>
      <c r="G58" s="21">
        <v>0</v>
      </c>
      <c r="H58" s="22">
        <v>0</v>
      </c>
      <c r="I58" s="21">
        <v>3</v>
      </c>
      <c r="J58" s="21">
        <v>0</v>
      </c>
      <c r="K58" s="21">
        <f t="shared" si="0"/>
        <v>34</v>
      </c>
      <c r="L58" s="21">
        <v>34</v>
      </c>
      <c r="M58" s="23">
        <v>24</v>
      </c>
      <c r="N58" s="21">
        <f t="shared" si="10"/>
        <v>272</v>
      </c>
      <c r="O58" s="44">
        <v>11.333333333333334</v>
      </c>
      <c r="P58" s="21">
        <v>0</v>
      </c>
      <c r="Q58" s="21">
        <v>0</v>
      </c>
      <c r="R58" s="21">
        <v>0</v>
      </c>
      <c r="S58" s="2"/>
      <c r="T58" s="25">
        <v>1436695</v>
      </c>
      <c r="U58" s="26">
        <f t="shared" si="2"/>
        <v>4310085</v>
      </c>
      <c r="V58" s="26">
        <f t="shared" si="3"/>
        <v>48847630</v>
      </c>
      <c r="W58" s="2"/>
      <c r="X58" s="2"/>
      <c r="Y58" s="2"/>
      <c r="Z58" s="2"/>
    </row>
    <row r="59" spans="1:26" ht="12.75" customHeight="1" x14ac:dyDescent="0.35">
      <c r="A59" s="2"/>
      <c r="B59" s="8" t="s">
        <v>127</v>
      </c>
      <c r="C59" s="8" t="s">
        <v>26</v>
      </c>
      <c r="D59" s="8">
        <v>14</v>
      </c>
      <c r="E59" s="21">
        <v>721</v>
      </c>
      <c r="F59" s="21">
        <v>712</v>
      </c>
      <c r="G59" s="21">
        <v>0</v>
      </c>
      <c r="H59" s="22">
        <v>0</v>
      </c>
      <c r="I59" s="21">
        <v>526</v>
      </c>
      <c r="J59" s="21">
        <v>0</v>
      </c>
      <c r="K59" s="21">
        <f t="shared" si="0"/>
        <v>907</v>
      </c>
      <c r="L59" s="21">
        <v>910.9</v>
      </c>
      <c r="M59" s="23">
        <v>24</v>
      </c>
      <c r="N59" s="21">
        <f t="shared" si="10"/>
        <v>41.561977186311786</v>
      </c>
      <c r="O59" s="44">
        <v>1.7243346007604563</v>
      </c>
      <c r="P59" s="21">
        <v>53</v>
      </c>
      <c r="Q59" s="21">
        <v>0</v>
      </c>
      <c r="R59" s="21">
        <v>0</v>
      </c>
      <c r="S59" s="2"/>
      <c r="T59" s="25">
        <v>848935</v>
      </c>
      <c r="U59" s="26">
        <f t="shared" si="2"/>
        <v>446539810</v>
      </c>
      <c r="V59" s="26">
        <f t="shared" si="3"/>
        <v>773294891.5</v>
      </c>
      <c r="W59" s="2"/>
      <c r="X59" s="2"/>
      <c r="Y59" s="2"/>
      <c r="Z59" s="2"/>
    </row>
    <row r="60" spans="1:26" ht="12.75" customHeight="1" x14ac:dyDescent="0.35">
      <c r="A60" s="2"/>
      <c r="B60" s="8" t="s">
        <v>71</v>
      </c>
      <c r="C60" s="8" t="s">
        <v>26</v>
      </c>
      <c r="D60" s="8">
        <v>14</v>
      </c>
      <c r="E60" s="21">
        <v>73</v>
      </c>
      <c r="F60" s="21">
        <v>31</v>
      </c>
      <c r="G60" s="21">
        <v>0</v>
      </c>
      <c r="H60" s="22">
        <v>0</v>
      </c>
      <c r="I60" s="21">
        <v>0</v>
      </c>
      <c r="J60" s="21">
        <v>7</v>
      </c>
      <c r="K60" s="21">
        <f t="shared" si="0"/>
        <v>97</v>
      </c>
      <c r="L60" s="21">
        <v>100.5</v>
      </c>
      <c r="M60" s="23">
        <v>24</v>
      </c>
      <c r="N60" s="21">
        <f t="shared" si="10"/>
        <v>344.57142857142856</v>
      </c>
      <c r="O60" s="44">
        <v>13.857142857142858</v>
      </c>
      <c r="P60" s="21">
        <v>0</v>
      </c>
      <c r="Q60" s="21">
        <v>0</v>
      </c>
      <c r="R60" s="21">
        <v>0</v>
      </c>
      <c r="S60" s="2"/>
      <c r="T60" s="26">
        <v>1497718</v>
      </c>
      <c r="U60" s="26">
        <f t="shared" si="2"/>
        <v>10484026</v>
      </c>
      <c r="V60" s="26">
        <f t="shared" si="3"/>
        <v>150520659</v>
      </c>
      <c r="W60" s="2"/>
      <c r="X60" s="2"/>
      <c r="Y60" s="2"/>
      <c r="Z60" s="2"/>
    </row>
    <row r="61" spans="1:26" ht="12.75" customHeight="1" x14ac:dyDescent="0.35">
      <c r="A61" s="2"/>
      <c r="B61" s="8" t="s">
        <v>72</v>
      </c>
      <c r="C61" s="8" t="s">
        <v>26</v>
      </c>
      <c r="D61" s="8">
        <v>14</v>
      </c>
      <c r="E61" s="21">
        <v>579</v>
      </c>
      <c r="F61" s="21">
        <v>302</v>
      </c>
      <c r="G61" s="21">
        <v>0</v>
      </c>
      <c r="H61" s="22">
        <v>0</v>
      </c>
      <c r="I61" s="21">
        <v>638</v>
      </c>
      <c r="J61" s="21">
        <v>0</v>
      </c>
      <c r="K61" s="21">
        <f t="shared" si="0"/>
        <v>243</v>
      </c>
      <c r="L61" s="21">
        <v>458.66666666666703</v>
      </c>
      <c r="M61" s="23">
        <v>24</v>
      </c>
      <c r="N61" s="21">
        <f t="shared" si="10"/>
        <v>17.253918495297821</v>
      </c>
      <c r="O61" s="44">
        <v>0.38087774294670845</v>
      </c>
      <c r="P61" s="21">
        <v>0</v>
      </c>
      <c r="Q61" s="21">
        <v>400</v>
      </c>
      <c r="R61" s="21">
        <v>0</v>
      </c>
      <c r="S61" s="2"/>
      <c r="T61" s="25">
        <v>1396550</v>
      </c>
      <c r="U61" s="26">
        <f t="shared" si="2"/>
        <v>890998900</v>
      </c>
      <c r="V61" s="26">
        <f t="shared" si="3"/>
        <v>640550933.33333385</v>
      </c>
      <c r="W61" s="2"/>
      <c r="X61" s="2"/>
      <c r="Y61" s="2"/>
      <c r="Z61" s="2"/>
    </row>
    <row r="62" spans="1:26" ht="12.75" customHeight="1" x14ac:dyDescent="0.35">
      <c r="A62" s="2"/>
      <c r="B62" s="8" t="s">
        <v>144</v>
      </c>
      <c r="C62" s="8" t="s">
        <v>26</v>
      </c>
      <c r="D62" s="8">
        <v>14</v>
      </c>
      <c r="E62" s="21">
        <v>43</v>
      </c>
      <c r="F62" s="21">
        <v>88</v>
      </c>
      <c r="G62" s="21">
        <v>0</v>
      </c>
      <c r="H62" s="22">
        <v>0</v>
      </c>
      <c r="I62" s="21">
        <v>80</v>
      </c>
      <c r="J62" s="21">
        <v>0</v>
      </c>
      <c r="K62" s="21">
        <f t="shared" si="0"/>
        <v>51</v>
      </c>
      <c r="L62" s="21">
        <v>71</v>
      </c>
      <c r="M62" s="23">
        <v>24</v>
      </c>
      <c r="N62" s="21">
        <f t="shared" si="10"/>
        <v>21.299999999999997</v>
      </c>
      <c r="O62" s="44">
        <v>0.63749999999999996</v>
      </c>
      <c r="P62" s="21">
        <v>0</v>
      </c>
      <c r="Q62" s="21">
        <v>0</v>
      </c>
      <c r="R62" s="21">
        <v>0</v>
      </c>
      <c r="S62" s="2"/>
      <c r="T62" s="25">
        <v>1143590</v>
      </c>
      <c r="U62" s="26">
        <f t="shared" si="2"/>
        <v>91487200</v>
      </c>
      <c r="V62" s="26">
        <f t="shared" si="3"/>
        <v>81194890</v>
      </c>
      <c r="W62" s="2"/>
      <c r="X62" s="2"/>
      <c r="Y62" s="2"/>
      <c r="Z62" s="2"/>
    </row>
    <row r="63" spans="1:26" ht="12.75" customHeight="1" x14ac:dyDescent="0.35">
      <c r="A63" s="2"/>
      <c r="B63" s="8" t="s">
        <v>128</v>
      </c>
      <c r="C63" s="8" t="s">
        <v>26</v>
      </c>
      <c r="D63" s="8">
        <v>14</v>
      </c>
      <c r="E63" s="21">
        <v>189</v>
      </c>
      <c r="F63" s="21">
        <v>0</v>
      </c>
      <c r="G63" s="21">
        <v>0</v>
      </c>
      <c r="H63" s="22">
        <v>0</v>
      </c>
      <c r="I63" s="21">
        <v>86</v>
      </c>
      <c r="J63" s="21">
        <v>0</v>
      </c>
      <c r="K63" s="21">
        <f t="shared" si="0"/>
        <v>103</v>
      </c>
      <c r="L63" s="21">
        <v>134.5</v>
      </c>
      <c r="M63" s="23">
        <v>24</v>
      </c>
      <c r="N63" s="21">
        <f t="shared" si="10"/>
        <v>37.534883720930232</v>
      </c>
      <c r="O63" s="44">
        <v>1.1976744186046511</v>
      </c>
      <c r="P63" s="21">
        <v>0</v>
      </c>
      <c r="Q63" s="21">
        <v>0</v>
      </c>
      <c r="R63" s="21">
        <v>0</v>
      </c>
      <c r="S63" s="2"/>
      <c r="T63" s="25">
        <v>954645</v>
      </c>
      <c r="U63" s="26">
        <f t="shared" si="2"/>
        <v>82099470</v>
      </c>
      <c r="V63" s="26">
        <f t="shared" si="3"/>
        <v>128399752.5</v>
      </c>
      <c r="W63" s="2"/>
      <c r="X63" s="2"/>
      <c r="Y63" s="2"/>
      <c r="Z63" s="2"/>
    </row>
    <row r="64" spans="1:26" ht="12.75" customHeight="1" x14ac:dyDescent="0.35">
      <c r="A64" s="2"/>
      <c r="B64" s="8" t="s">
        <v>75</v>
      </c>
      <c r="C64" s="8" t="s">
        <v>26</v>
      </c>
      <c r="D64" s="8">
        <v>14</v>
      </c>
      <c r="E64" s="21">
        <v>21</v>
      </c>
      <c r="F64" s="21">
        <v>0</v>
      </c>
      <c r="G64" s="21">
        <v>0</v>
      </c>
      <c r="H64" s="22">
        <v>0</v>
      </c>
      <c r="I64" s="21">
        <v>0</v>
      </c>
      <c r="J64" s="21">
        <v>0</v>
      </c>
      <c r="K64" s="21">
        <f t="shared" si="0"/>
        <v>21</v>
      </c>
      <c r="L64" s="21">
        <v>0</v>
      </c>
      <c r="M64" s="23">
        <v>24</v>
      </c>
      <c r="N64" s="21">
        <v>0</v>
      </c>
      <c r="O64" s="44">
        <v>0</v>
      </c>
      <c r="P64" s="21">
        <v>0</v>
      </c>
      <c r="Q64" s="21">
        <v>0</v>
      </c>
      <c r="R64" s="21">
        <v>0</v>
      </c>
      <c r="S64" s="2"/>
      <c r="T64" s="26">
        <v>771202</v>
      </c>
      <c r="U64" s="26">
        <f t="shared" si="2"/>
        <v>0</v>
      </c>
      <c r="V64" s="26">
        <f t="shared" si="3"/>
        <v>0</v>
      </c>
      <c r="W64" s="2"/>
      <c r="X64" s="2"/>
      <c r="Y64" s="2"/>
      <c r="Z64" s="2"/>
    </row>
    <row r="65" spans="1:26" ht="12.75" customHeight="1" x14ac:dyDescent="0.35">
      <c r="A65" s="2"/>
      <c r="B65" s="8" t="s">
        <v>76</v>
      </c>
      <c r="C65" s="8" t="s">
        <v>26</v>
      </c>
      <c r="D65" s="8">
        <v>14</v>
      </c>
      <c r="E65" s="21">
        <v>72</v>
      </c>
      <c r="F65" s="21">
        <v>0</v>
      </c>
      <c r="G65" s="21">
        <v>0</v>
      </c>
      <c r="H65" s="22">
        <v>0</v>
      </c>
      <c r="I65" s="21">
        <v>15</v>
      </c>
      <c r="J65" s="21">
        <v>0</v>
      </c>
      <c r="K65" s="21">
        <f t="shared" si="0"/>
        <v>57</v>
      </c>
      <c r="L65" s="21">
        <v>60</v>
      </c>
      <c r="M65" s="23">
        <v>24</v>
      </c>
      <c r="N65" s="21">
        <f t="shared" ref="N65:N76" si="11">(L65/(I65+J65))*M65</f>
        <v>96</v>
      </c>
      <c r="O65" s="44">
        <v>3.8</v>
      </c>
      <c r="P65" s="21">
        <v>0</v>
      </c>
      <c r="Q65" s="21">
        <v>0</v>
      </c>
      <c r="R65" s="21">
        <v>0</v>
      </c>
      <c r="S65" s="2"/>
      <c r="T65" s="26">
        <v>1497718</v>
      </c>
      <c r="U65" s="26">
        <f t="shared" si="2"/>
        <v>22465770</v>
      </c>
      <c r="V65" s="26">
        <f t="shared" si="3"/>
        <v>89863080</v>
      </c>
      <c r="W65" s="2"/>
      <c r="X65" s="2"/>
      <c r="Y65" s="2"/>
      <c r="Z65" s="2"/>
    </row>
    <row r="66" spans="1:26" ht="12.75" customHeight="1" x14ac:dyDescent="0.35">
      <c r="A66" s="2"/>
      <c r="B66" s="8" t="s">
        <v>129</v>
      </c>
      <c r="C66" s="8" t="s">
        <v>26</v>
      </c>
      <c r="D66" s="8">
        <v>14</v>
      </c>
      <c r="E66" s="21">
        <v>197</v>
      </c>
      <c r="F66" s="21">
        <v>150</v>
      </c>
      <c r="G66" s="21">
        <v>0</v>
      </c>
      <c r="H66" s="22">
        <v>0</v>
      </c>
      <c r="I66" s="21">
        <v>162</v>
      </c>
      <c r="J66" s="21">
        <v>0</v>
      </c>
      <c r="K66" s="21">
        <f t="shared" si="0"/>
        <v>185</v>
      </c>
      <c r="L66" s="21">
        <v>178</v>
      </c>
      <c r="M66" s="23">
        <v>24</v>
      </c>
      <c r="N66" s="21">
        <f t="shared" si="11"/>
        <v>26.37037037037037</v>
      </c>
      <c r="O66" s="44">
        <v>1.1419753086419753</v>
      </c>
      <c r="P66" s="21">
        <v>6</v>
      </c>
      <c r="Q66" s="21">
        <v>100</v>
      </c>
      <c r="R66" s="21">
        <v>0</v>
      </c>
      <c r="S66" s="2"/>
      <c r="T66" s="25">
        <v>907060</v>
      </c>
      <c r="U66" s="26">
        <f t="shared" si="2"/>
        <v>146943720</v>
      </c>
      <c r="V66" s="26">
        <f t="shared" si="3"/>
        <v>161456680</v>
      </c>
      <c r="W66" s="2"/>
      <c r="X66" s="2"/>
      <c r="Y66" s="2"/>
      <c r="Z66" s="2"/>
    </row>
    <row r="67" spans="1:26" ht="12.75" customHeight="1" x14ac:dyDescent="0.35">
      <c r="A67" s="2"/>
      <c r="B67" s="8" t="s">
        <v>132</v>
      </c>
      <c r="C67" s="8" t="s">
        <v>26</v>
      </c>
      <c r="D67" s="8">
        <v>14</v>
      </c>
      <c r="E67" s="21">
        <v>216</v>
      </c>
      <c r="F67" s="21">
        <v>395</v>
      </c>
      <c r="G67" s="21">
        <v>0</v>
      </c>
      <c r="H67" s="22">
        <v>0</v>
      </c>
      <c r="I67" s="21">
        <v>0</v>
      </c>
      <c r="J67" s="21">
        <v>323</v>
      </c>
      <c r="K67" s="21">
        <f t="shared" si="0"/>
        <v>288</v>
      </c>
      <c r="L67" s="21">
        <v>331.1</v>
      </c>
      <c r="M67" s="23">
        <v>24</v>
      </c>
      <c r="N67" s="21">
        <f t="shared" si="11"/>
        <v>24.601857585139321</v>
      </c>
      <c r="O67" s="44">
        <v>0.89164086687306499</v>
      </c>
      <c r="P67" s="21">
        <v>11</v>
      </c>
      <c r="Q67" s="21">
        <v>0</v>
      </c>
      <c r="R67" s="21">
        <v>0</v>
      </c>
      <c r="S67" s="2"/>
      <c r="T67" s="25">
        <v>823515</v>
      </c>
      <c r="U67" s="26">
        <f t="shared" si="2"/>
        <v>265995345</v>
      </c>
      <c r="V67" s="26">
        <f t="shared" si="3"/>
        <v>272665816.5</v>
      </c>
      <c r="W67" s="2"/>
      <c r="X67" s="2"/>
      <c r="Y67" s="2"/>
      <c r="Z67" s="2"/>
    </row>
    <row r="68" spans="1:26" ht="12.75" customHeight="1" x14ac:dyDescent="0.35">
      <c r="A68" s="2"/>
      <c r="B68" s="8" t="s">
        <v>131</v>
      </c>
      <c r="C68" s="8" t="s">
        <v>26</v>
      </c>
      <c r="D68" s="8">
        <v>14</v>
      </c>
      <c r="E68" s="21">
        <v>502</v>
      </c>
      <c r="F68" s="21">
        <v>0</v>
      </c>
      <c r="G68" s="21">
        <v>0</v>
      </c>
      <c r="H68" s="22">
        <v>0</v>
      </c>
      <c r="I68" s="21">
        <v>0</v>
      </c>
      <c r="J68" s="21">
        <v>181</v>
      </c>
      <c r="K68" s="21">
        <f t="shared" si="0"/>
        <v>321</v>
      </c>
      <c r="L68" s="21">
        <v>394.75</v>
      </c>
      <c r="M68" s="23">
        <v>24</v>
      </c>
      <c r="N68" s="21">
        <f t="shared" si="11"/>
        <v>52.342541436464089</v>
      </c>
      <c r="O68" s="44">
        <v>1.7734806629834254</v>
      </c>
      <c r="P68" s="21">
        <v>0</v>
      </c>
      <c r="Q68" s="21">
        <v>0</v>
      </c>
      <c r="R68" s="21">
        <v>0</v>
      </c>
      <c r="S68" s="2"/>
      <c r="T68" s="25">
        <v>823515</v>
      </c>
      <c r="U68" s="26">
        <f t="shared" si="2"/>
        <v>149056215</v>
      </c>
      <c r="V68" s="26">
        <f t="shared" si="3"/>
        <v>325082546.25</v>
      </c>
      <c r="W68" s="2"/>
      <c r="X68" s="2"/>
      <c r="Y68" s="2"/>
      <c r="Z68" s="2"/>
    </row>
    <row r="69" spans="1:26" ht="12.75" customHeight="1" x14ac:dyDescent="0.35">
      <c r="A69" s="2"/>
      <c r="B69" s="8" t="s">
        <v>80</v>
      </c>
      <c r="C69" s="8" t="s">
        <v>26</v>
      </c>
      <c r="D69" s="8">
        <v>14</v>
      </c>
      <c r="E69" s="21">
        <v>193</v>
      </c>
      <c r="F69" s="21">
        <v>9</v>
      </c>
      <c r="G69" s="21">
        <v>0</v>
      </c>
      <c r="H69" s="22">
        <v>0</v>
      </c>
      <c r="I69" s="21">
        <v>0</v>
      </c>
      <c r="J69" s="21">
        <v>94</v>
      </c>
      <c r="K69" s="21">
        <f t="shared" si="0"/>
        <v>108</v>
      </c>
      <c r="L69" s="21">
        <v>120</v>
      </c>
      <c r="M69" s="23">
        <v>24</v>
      </c>
      <c r="N69" s="21">
        <f t="shared" si="11"/>
        <v>30.638297872340427</v>
      </c>
      <c r="O69" s="44">
        <v>1.1489361702127661</v>
      </c>
      <c r="P69" s="21">
        <v>0</v>
      </c>
      <c r="Q69" s="21">
        <v>200</v>
      </c>
      <c r="R69" s="21">
        <v>0</v>
      </c>
      <c r="S69" s="2"/>
      <c r="T69" s="25">
        <v>823515</v>
      </c>
      <c r="U69" s="26">
        <f t="shared" si="2"/>
        <v>77410410</v>
      </c>
      <c r="V69" s="26">
        <f t="shared" si="3"/>
        <v>98821800</v>
      </c>
      <c r="W69" s="2"/>
      <c r="X69" s="2"/>
      <c r="Y69" s="2"/>
      <c r="Z69" s="2"/>
    </row>
    <row r="70" spans="1:26" ht="12.75" customHeight="1" x14ac:dyDescent="0.35">
      <c r="A70" s="2"/>
      <c r="B70" s="8" t="s">
        <v>130</v>
      </c>
      <c r="C70" s="8" t="s">
        <v>26</v>
      </c>
      <c r="D70" s="8">
        <v>14</v>
      </c>
      <c r="E70" s="21">
        <v>18</v>
      </c>
      <c r="F70" s="21">
        <v>30</v>
      </c>
      <c r="G70" s="21">
        <v>0</v>
      </c>
      <c r="H70" s="22">
        <v>0</v>
      </c>
      <c r="I70" s="21">
        <v>2</v>
      </c>
      <c r="J70" s="21">
        <v>0</v>
      </c>
      <c r="K70" s="21">
        <f t="shared" si="0"/>
        <v>46</v>
      </c>
      <c r="L70" s="21">
        <v>47</v>
      </c>
      <c r="M70" s="23">
        <v>24</v>
      </c>
      <c r="N70" s="21">
        <f t="shared" si="11"/>
        <v>564</v>
      </c>
      <c r="O70" s="44">
        <v>23</v>
      </c>
      <c r="P70" s="21">
        <v>0</v>
      </c>
      <c r="Q70" s="21">
        <v>0</v>
      </c>
      <c r="R70" s="21">
        <v>0</v>
      </c>
      <c r="S70" s="2"/>
      <c r="T70" s="25">
        <v>604345</v>
      </c>
      <c r="U70" s="26">
        <f t="shared" si="2"/>
        <v>1208690</v>
      </c>
      <c r="V70" s="26">
        <f t="shared" si="3"/>
        <v>28404215</v>
      </c>
      <c r="W70" s="2"/>
      <c r="X70" s="2"/>
      <c r="Y70" s="2"/>
      <c r="Z70" s="2"/>
    </row>
    <row r="71" spans="1:26" ht="12.75" customHeight="1" x14ac:dyDescent="0.35">
      <c r="A71" s="2"/>
      <c r="B71" s="8" t="s">
        <v>109</v>
      </c>
      <c r="C71" s="8" t="s">
        <v>26</v>
      </c>
      <c r="D71" s="8">
        <v>14</v>
      </c>
      <c r="E71" s="21">
        <v>39</v>
      </c>
      <c r="F71" s="21">
        <v>0</v>
      </c>
      <c r="G71" s="21">
        <v>0</v>
      </c>
      <c r="H71" s="22">
        <v>0</v>
      </c>
      <c r="I71" s="21">
        <v>6</v>
      </c>
      <c r="J71" s="21">
        <v>0</v>
      </c>
      <c r="K71" s="21">
        <f t="shared" si="0"/>
        <v>33</v>
      </c>
      <c r="L71" s="21">
        <v>33</v>
      </c>
      <c r="M71" s="23">
        <v>24</v>
      </c>
      <c r="N71" s="21">
        <f t="shared" si="11"/>
        <v>132</v>
      </c>
      <c r="O71" s="44">
        <v>5.5</v>
      </c>
      <c r="P71" s="21">
        <v>0</v>
      </c>
      <c r="Q71" s="21">
        <v>0</v>
      </c>
      <c r="R71" s="21">
        <v>0</v>
      </c>
      <c r="S71" s="2"/>
      <c r="T71" s="25">
        <v>597835</v>
      </c>
      <c r="U71" s="26">
        <f t="shared" si="2"/>
        <v>3587010</v>
      </c>
      <c r="V71" s="26">
        <f t="shared" si="3"/>
        <v>19728555</v>
      </c>
      <c r="W71" s="2"/>
      <c r="X71" s="2"/>
      <c r="Y71" s="2"/>
      <c r="Z71" s="2"/>
    </row>
    <row r="72" spans="1:26" ht="12.75" customHeight="1" x14ac:dyDescent="0.35">
      <c r="A72" s="2"/>
      <c r="B72" s="8" t="s">
        <v>131</v>
      </c>
      <c r="C72" s="8" t="s">
        <v>26</v>
      </c>
      <c r="D72" s="8">
        <v>14</v>
      </c>
      <c r="E72" s="21">
        <v>451.49</v>
      </c>
      <c r="F72" s="21">
        <v>71</v>
      </c>
      <c r="G72" s="21">
        <v>0</v>
      </c>
      <c r="H72" s="22">
        <v>0</v>
      </c>
      <c r="I72" s="21">
        <v>451</v>
      </c>
      <c r="J72" s="21">
        <v>1.4210854715202004E-14</v>
      </c>
      <c r="K72" s="21">
        <f t="shared" si="0"/>
        <v>71.490000000000009</v>
      </c>
      <c r="L72" s="21">
        <v>189.65666666666698</v>
      </c>
      <c r="M72" s="23">
        <v>24</v>
      </c>
      <c r="N72" s="21">
        <f t="shared" si="11"/>
        <v>10.092594235033275</v>
      </c>
      <c r="O72" s="44">
        <v>0.15851441241685144</v>
      </c>
      <c r="P72" s="21">
        <v>0</v>
      </c>
      <c r="Q72" s="21">
        <v>0</v>
      </c>
      <c r="R72" s="21">
        <v>0</v>
      </c>
      <c r="S72" s="2"/>
      <c r="T72" s="25">
        <v>597835</v>
      </c>
      <c r="U72" s="26">
        <f t="shared" si="2"/>
        <v>269623585</v>
      </c>
      <c r="V72" s="26">
        <f t="shared" si="3"/>
        <v>113383393.31666686</v>
      </c>
      <c r="W72" s="2"/>
      <c r="X72" s="2"/>
      <c r="Y72" s="2"/>
      <c r="Z72" s="2"/>
    </row>
    <row r="73" spans="1:26" ht="12.75" customHeight="1" x14ac:dyDescent="0.35">
      <c r="A73" s="2"/>
      <c r="B73" s="8" t="s">
        <v>132</v>
      </c>
      <c r="C73" s="8" t="s">
        <v>26</v>
      </c>
      <c r="D73" s="8">
        <v>14</v>
      </c>
      <c r="E73" s="21">
        <v>611</v>
      </c>
      <c r="F73" s="21">
        <v>1231.32</v>
      </c>
      <c r="G73" s="21">
        <v>0</v>
      </c>
      <c r="H73" s="22">
        <v>0</v>
      </c>
      <c r="I73" s="21">
        <v>1196</v>
      </c>
      <c r="J73" s="21">
        <v>-1.1368683772161603E-13</v>
      </c>
      <c r="K73" s="21">
        <f t="shared" si="0"/>
        <v>646.31999999999994</v>
      </c>
      <c r="L73" s="21">
        <v>1047.8825000000002</v>
      </c>
      <c r="M73" s="23">
        <v>24</v>
      </c>
      <c r="N73" s="21">
        <f t="shared" si="11"/>
        <v>21.027742474916394</v>
      </c>
      <c r="O73" s="44">
        <v>0.54040133779264221</v>
      </c>
      <c r="P73" s="21">
        <v>30</v>
      </c>
      <c r="Q73" s="21">
        <v>350</v>
      </c>
      <c r="R73" s="21">
        <v>0</v>
      </c>
      <c r="S73" s="2"/>
      <c r="T73" s="25">
        <v>597835</v>
      </c>
      <c r="U73" s="26">
        <f t="shared" si="2"/>
        <v>715010660</v>
      </c>
      <c r="V73" s="26">
        <f t="shared" si="3"/>
        <v>626460834.38750005</v>
      </c>
      <c r="W73" s="2"/>
      <c r="X73" s="2"/>
      <c r="Y73" s="2"/>
      <c r="Z73" s="2"/>
    </row>
    <row r="74" spans="1:26" ht="12.75" customHeight="1" x14ac:dyDescent="0.35">
      <c r="A74" s="2"/>
      <c r="B74" s="8" t="s">
        <v>84</v>
      </c>
      <c r="C74" s="8" t="s">
        <v>26</v>
      </c>
      <c r="D74" s="8">
        <v>14</v>
      </c>
      <c r="E74" s="21">
        <v>198</v>
      </c>
      <c r="F74" s="21">
        <v>576</v>
      </c>
      <c r="G74" s="21">
        <v>0</v>
      </c>
      <c r="H74" s="22">
        <v>0</v>
      </c>
      <c r="I74" s="21">
        <v>278</v>
      </c>
      <c r="J74" s="21">
        <v>0</v>
      </c>
      <c r="K74" s="21">
        <f t="shared" si="0"/>
        <v>496</v>
      </c>
      <c r="L74" s="21">
        <v>440.2</v>
      </c>
      <c r="M74" s="23">
        <v>24</v>
      </c>
      <c r="N74" s="21">
        <f t="shared" si="11"/>
        <v>38.002877697841726</v>
      </c>
      <c r="O74" s="44">
        <v>1.7841726618705036</v>
      </c>
      <c r="P74" s="21">
        <v>0</v>
      </c>
      <c r="Q74" s="21">
        <v>120</v>
      </c>
      <c r="R74" s="21">
        <v>0</v>
      </c>
      <c r="S74" s="2"/>
      <c r="T74" s="25">
        <v>937285</v>
      </c>
      <c r="U74" s="26">
        <f t="shared" si="2"/>
        <v>260565230</v>
      </c>
      <c r="V74" s="26">
        <f t="shared" si="3"/>
        <v>412592857</v>
      </c>
      <c r="W74" s="2"/>
      <c r="X74" s="2"/>
      <c r="Y74" s="2"/>
      <c r="Z74" s="2"/>
    </row>
    <row r="75" spans="1:26" ht="12.75" customHeight="1" x14ac:dyDescent="0.35">
      <c r="A75" s="2"/>
      <c r="B75" s="8" t="s">
        <v>133</v>
      </c>
      <c r="C75" s="8" t="s">
        <v>26</v>
      </c>
      <c r="D75" s="8">
        <v>14</v>
      </c>
      <c r="E75" s="21">
        <v>280</v>
      </c>
      <c r="F75" s="21">
        <v>561</v>
      </c>
      <c r="G75" s="21">
        <v>0</v>
      </c>
      <c r="H75" s="22">
        <v>0</v>
      </c>
      <c r="I75" s="21">
        <v>469</v>
      </c>
      <c r="J75" s="21">
        <v>72</v>
      </c>
      <c r="K75" s="21">
        <f t="shared" si="0"/>
        <v>300</v>
      </c>
      <c r="L75" s="21">
        <v>285.66666666666703</v>
      </c>
      <c r="M75" s="23">
        <v>24</v>
      </c>
      <c r="N75" s="21">
        <f t="shared" si="11"/>
        <v>12.672828096118316</v>
      </c>
      <c r="O75" s="44">
        <v>0.55452865064695012</v>
      </c>
      <c r="P75" s="21">
        <v>22</v>
      </c>
      <c r="Q75" s="21">
        <v>507</v>
      </c>
      <c r="R75" s="21">
        <v>0</v>
      </c>
      <c r="S75" s="2"/>
      <c r="T75" s="25">
        <v>1402595</v>
      </c>
      <c r="U75" s="26">
        <f t="shared" si="2"/>
        <v>758803895</v>
      </c>
      <c r="V75" s="26">
        <f t="shared" si="3"/>
        <v>400674638.33333385</v>
      </c>
      <c r="W75" s="2"/>
      <c r="X75" s="2"/>
      <c r="Y75" s="2"/>
      <c r="Z75" s="2"/>
    </row>
    <row r="76" spans="1:26" ht="12.75" customHeight="1" x14ac:dyDescent="0.35">
      <c r="A76" s="2"/>
      <c r="B76" s="8" t="s">
        <v>134</v>
      </c>
      <c r="C76" s="8" t="s">
        <v>26</v>
      </c>
      <c r="D76" s="8">
        <v>14</v>
      </c>
      <c r="E76" s="21">
        <v>40</v>
      </c>
      <c r="F76" s="21">
        <v>0</v>
      </c>
      <c r="G76" s="21">
        <v>0</v>
      </c>
      <c r="H76" s="22">
        <v>0</v>
      </c>
      <c r="I76" s="21">
        <v>16</v>
      </c>
      <c r="J76" s="21">
        <v>0</v>
      </c>
      <c r="K76" s="21">
        <f t="shared" si="0"/>
        <v>24</v>
      </c>
      <c r="L76" s="21">
        <v>29.3333333333333</v>
      </c>
      <c r="M76" s="23">
        <v>24</v>
      </c>
      <c r="N76" s="21">
        <f t="shared" si="11"/>
        <v>43.99999999999995</v>
      </c>
      <c r="O76" s="44">
        <v>1.5</v>
      </c>
      <c r="P76" s="21">
        <v>0</v>
      </c>
      <c r="Q76" s="21">
        <v>0</v>
      </c>
      <c r="R76" s="21">
        <v>0</v>
      </c>
      <c r="S76" s="2"/>
      <c r="T76" s="25">
        <v>10957105</v>
      </c>
      <c r="U76" s="26">
        <f t="shared" si="2"/>
        <v>175313680</v>
      </c>
      <c r="V76" s="26">
        <f t="shared" si="3"/>
        <v>321408413.33333296</v>
      </c>
      <c r="W76" s="2"/>
      <c r="X76" s="2"/>
      <c r="Y76" s="2"/>
      <c r="Z76" s="2"/>
    </row>
    <row r="77" spans="1:26" ht="12.75" customHeight="1" x14ac:dyDescent="0.35">
      <c r="A77" s="2"/>
      <c r="B77" s="8" t="s">
        <v>146</v>
      </c>
      <c r="C77" s="8" t="s">
        <v>26</v>
      </c>
      <c r="D77" s="8">
        <v>14</v>
      </c>
      <c r="E77" s="21">
        <v>187</v>
      </c>
      <c r="F77" s="21">
        <v>0</v>
      </c>
      <c r="G77" s="21">
        <v>0</v>
      </c>
      <c r="H77" s="22">
        <v>0</v>
      </c>
      <c r="I77" s="21">
        <v>0</v>
      </c>
      <c r="J77" s="21">
        <v>0</v>
      </c>
      <c r="K77" s="21">
        <f t="shared" si="0"/>
        <v>187</v>
      </c>
      <c r="L77" s="21">
        <v>0</v>
      </c>
      <c r="M77" s="23">
        <v>24</v>
      </c>
      <c r="N77" s="21">
        <v>0</v>
      </c>
      <c r="O77" s="44">
        <v>0</v>
      </c>
      <c r="P77" s="21">
        <v>0</v>
      </c>
      <c r="Q77" s="21">
        <v>0</v>
      </c>
      <c r="R77" s="21">
        <v>0</v>
      </c>
      <c r="S77" s="2"/>
      <c r="T77" s="25">
        <v>1372215</v>
      </c>
      <c r="U77" s="26">
        <f t="shared" si="2"/>
        <v>0</v>
      </c>
      <c r="V77" s="26">
        <f t="shared" si="3"/>
        <v>0</v>
      </c>
      <c r="W77" s="2"/>
      <c r="X77" s="2"/>
      <c r="Y77" s="2"/>
      <c r="Z77" s="2"/>
    </row>
    <row r="78" spans="1:26" ht="12.75" customHeight="1" x14ac:dyDescent="0.35">
      <c r="A78" s="2"/>
      <c r="B78" s="8" t="s">
        <v>133</v>
      </c>
      <c r="C78" s="8" t="s">
        <v>26</v>
      </c>
      <c r="D78" s="8">
        <v>14</v>
      </c>
      <c r="E78" s="21">
        <v>82</v>
      </c>
      <c r="F78" s="21">
        <v>0</v>
      </c>
      <c r="G78" s="21">
        <v>0</v>
      </c>
      <c r="H78" s="22">
        <v>0</v>
      </c>
      <c r="I78" s="21">
        <v>20</v>
      </c>
      <c r="J78" s="21">
        <v>0</v>
      </c>
      <c r="K78" s="21">
        <f t="shared" si="0"/>
        <v>62</v>
      </c>
      <c r="L78" s="21">
        <v>68</v>
      </c>
      <c r="M78" s="23">
        <v>24</v>
      </c>
      <c r="N78" s="21">
        <f t="shared" ref="N78:N87" si="12">(L78/(I78+J78))*M78</f>
        <v>81.599999999999994</v>
      </c>
      <c r="O78" s="44">
        <v>3.1</v>
      </c>
      <c r="P78" s="21">
        <v>0</v>
      </c>
      <c r="Q78" s="21">
        <v>0</v>
      </c>
      <c r="R78" s="21">
        <v>0</v>
      </c>
      <c r="S78" s="2"/>
      <c r="T78" s="25">
        <v>1027805</v>
      </c>
      <c r="U78" s="26">
        <f t="shared" si="2"/>
        <v>20556100</v>
      </c>
      <c r="V78" s="26">
        <f t="shared" si="3"/>
        <v>69890740</v>
      </c>
      <c r="W78" s="2"/>
      <c r="X78" s="2"/>
      <c r="Y78" s="2"/>
      <c r="Z78" s="2"/>
    </row>
    <row r="79" spans="1:26" ht="12.75" customHeight="1" x14ac:dyDescent="0.35">
      <c r="A79" s="2"/>
      <c r="B79" s="8" t="s">
        <v>111</v>
      </c>
      <c r="C79" s="8" t="s">
        <v>26</v>
      </c>
      <c r="D79" s="8">
        <v>14</v>
      </c>
      <c r="E79" s="21">
        <v>53</v>
      </c>
      <c r="F79" s="21">
        <v>0</v>
      </c>
      <c r="G79" s="21">
        <v>0</v>
      </c>
      <c r="H79" s="22">
        <v>0</v>
      </c>
      <c r="I79" s="21">
        <v>0</v>
      </c>
      <c r="J79" s="21">
        <v>22</v>
      </c>
      <c r="K79" s="21">
        <f t="shared" si="0"/>
        <v>31</v>
      </c>
      <c r="L79" s="21">
        <v>33</v>
      </c>
      <c r="M79" s="23">
        <v>24</v>
      </c>
      <c r="N79" s="21">
        <f t="shared" si="12"/>
        <v>36</v>
      </c>
      <c r="O79" s="44">
        <v>1.4090909090909092</v>
      </c>
      <c r="P79" s="21">
        <v>0</v>
      </c>
      <c r="Q79" s="21">
        <v>0</v>
      </c>
      <c r="R79" s="21">
        <v>0</v>
      </c>
      <c r="S79" s="2"/>
      <c r="T79" s="25">
        <v>746480</v>
      </c>
      <c r="U79" s="26">
        <f t="shared" si="2"/>
        <v>16422560</v>
      </c>
      <c r="V79" s="26">
        <f t="shared" si="3"/>
        <v>24633840</v>
      </c>
      <c r="W79" s="2"/>
      <c r="X79" s="2"/>
      <c r="Y79" s="2"/>
      <c r="Z79" s="2"/>
    </row>
    <row r="80" spans="1:26" ht="12.75" customHeight="1" x14ac:dyDescent="0.35">
      <c r="A80" s="2"/>
      <c r="B80" s="8" t="s">
        <v>134</v>
      </c>
      <c r="C80" s="8" t="s">
        <v>26</v>
      </c>
      <c r="D80" s="8">
        <v>14</v>
      </c>
      <c r="E80" s="21">
        <v>61</v>
      </c>
      <c r="F80" s="21">
        <v>912</v>
      </c>
      <c r="G80" s="21">
        <v>0</v>
      </c>
      <c r="H80" s="22">
        <v>0</v>
      </c>
      <c r="I80" s="21">
        <v>48</v>
      </c>
      <c r="J80" s="21">
        <v>0</v>
      </c>
      <c r="K80" s="21">
        <f t="shared" si="0"/>
        <v>925</v>
      </c>
      <c r="L80" s="21">
        <v>639</v>
      </c>
      <c r="M80" s="23">
        <v>24</v>
      </c>
      <c r="N80" s="21">
        <f t="shared" si="12"/>
        <v>319.5</v>
      </c>
      <c r="O80" s="44">
        <v>19.270833333333332</v>
      </c>
      <c r="P80" s="21">
        <v>14</v>
      </c>
      <c r="Q80" s="21">
        <v>0</v>
      </c>
      <c r="R80" s="21">
        <v>0</v>
      </c>
      <c r="S80" s="2"/>
      <c r="T80" s="25">
        <v>1372215</v>
      </c>
      <c r="U80" s="26">
        <f t="shared" si="2"/>
        <v>65866320</v>
      </c>
      <c r="V80" s="26">
        <f t="shared" si="3"/>
        <v>876845385</v>
      </c>
      <c r="W80" s="2"/>
      <c r="X80" s="2"/>
      <c r="Y80" s="2"/>
      <c r="Z80" s="2"/>
    </row>
    <row r="81" spans="1:26" ht="12.75" customHeight="1" x14ac:dyDescent="0.35">
      <c r="A81" s="2"/>
      <c r="B81" s="8" t="s">
        <v>90</v>
      </c>
      <c r="C81" s="8" t="s">
        <v>26</v>
      </c>
      <c r="D81" s="8">
        <v>14</v>
      </c>
      <c r="E81" s="21">
        <v>56</v>
      </c>
      <c r="F81" s="21">
        <v>100</v>
      </c>
      <c r="G81" s="21">
        <v>0</v>
      </c>
      <c r="H81" s="22">
        <v>0</v>
      </c>
      <c r="I81" s="21">
        <v>156</v>
      </c>
      <c r="J81" s="21">
        <v>0</v>
      </c>
      <c r="K81" s="21">
        <f t="shared" si="0"/>
        <v>0</v>
      </c>
      <c r="L81" s="21">
        <v>60.6</v>
      </c>
      <c r="M81" s="23">
        <v>24</v>
      </c>
      <c r="N81" s="21">
        <f t="shared" si="12"/>
        <v>9.3230769230769237</v>
      </c>
      <c r="O81" s="44">
        <v>0</v>
      </c>
      <c r="P81" s="21">
        <v>0</v>
      </c>
      <c r="Q81" s="21">
        <v>200</v>
      </c>
      <c r="R81" s="21">
        <v>0</v>
      </c>
      <c r="S81" s="2"/>
      <c r="T81" s="25">
        <v>848935</v>
      </c>
      <c r="U81" s="26">
        <f t="shared" si="2"/>
        <v>132433860</v>
      </c>
      <c r="V81" s="26">
        <f t="shared" si="3"/>
        <v>51445461</v>
      </c>
      <c r="W81" s="2"/>
      <c r="X81" s="2"/>
      <c r="Y81" s="2"/>
      <c r="Z81" s="2"/>
    </row>
    <row r="82" spans="1:26" ht="12.75" customHeight="1" x14ac:dyDescent="0.35">
      <c r="A82" s="2"/>
      <c r="B82" s="8" t="s">
        <v>145</v>
      </c>
      <c r="C82" s="8" t="s">
        <v>26</v>
      </c>
      <c r="D82" s="8">
        <v>14</v>
      </c>
      <c r="E82" s="21">
        <v>97</v>
      </c>
      <c r="F82" s="21">
        <v>158</v>
      </c>
      <c r="G82" s="21">
        <v>0</v>
      </c>
      <c r="H82" s="22">
        <v>0</v>
      </c>
      <c r="I82" s="21">
        <v>0</v>
      </c>
      <c r="J82" s="21">
        <v>255</v>
      </c>
      <c r="K82" s="21">
        <f t="shared" si="0"/>
        <v>0</v>
      </c>
      <c r="L82" s="21">
        <v>89</v>
      </c>
      <c r="M82" s="23">
        <v>24</v>
      </c>
      <c r="N82" s="21">
        <f t="shared" si="12"/>
        <v>8.3764705882352928</v>
      </c>
      <c r="O82" s="44">
        <v>0</v>
      </c>
      <c r="P82" s="21">
        <v>0</v>
      </c>
      <c r="Q82" s="21">
        <v>0</v>
      </c>
      <c r="R82" s="21">
        <v>0</v>
      </c>
      <c r="S82" s="2"/>
      <c r="T82" s="25">
        <v>923955</v>
      </c>
      <c r="U82" s="26">
        <f t="shared" si="2"/>
        <v>235608525</v>
      </c>
      <c r="V82" s="26">
        <f t="shared" si="3"/>
        <v>82231995</v>
      </c>
      <c r="W82" s="2"/>
      <c r="X82" s="2"/>
      <c r="Y82" s="2"/>
      <c r="Z82" s="2"/>
    </row>
    <row r="83" spans="1:26" ht="12.75" customHeight="1" x14ac:dyDescent="0.35">
      <c r="A83" s="2"/>
      <c r="B83" s="8" t="s">
        <v>146</v>
      </c>
      <c r="C83" s="8" t="s">
        <v>26</v>
      </c>
      <c r="D83" s="8">
        <v>14</v>
      </c>
      <c r="E83" s="21">
        <v>36</v>
      </c>
      <c r="F83" s="21">
        <v>78</v>
      </c>
      <c r="G83" s="21">
        <v>0</v>
      </c>
      <c r="H83" s="22">
        <v>0</v>
      </c>
      <c r="I83" s="21">
        <v>80</v>
      </c>
      <c r="J83" s="21">
        <v>0</v>
      </c>
      <c r="K83" s="21">
        <f t="shared" si="0"/>
        <v>34</v>
      </c>
      <c r="L83" s="21">
        <v>75.285714285714292</v>
      </c>
      <c r="M83" s="23">
        <v>24</v>
      </c>
      <c r="N83" s="21">
        <f t="shared" si="12"/>
        <v>22.585714285714289</v>
      </c>
      <c r="O83" s="44">
        <v>0.42499999999999999</v>
      </c>
      <c r="P83" s="21">
        <v>0</v>
      </c>
      <c r="Q83" s="21">
        <v>100</v>
      </c>
      <c r="R83" s="21">
        <v>0</v>
      </c>
      <c r="S83" s="2"/>
      <c r="T83" s="25">
        <v>1345865</v>
      </c>
      <c r="U83" s="26">
        <f t="shared" si="2"/>
        <v>107669200</v>
      </c>
      <c r="V83" s="26">
        <f t="shared" si="3"/>
        <v>101324407.85714287</v>
      </c>
      <c r="W83" s="2"/>
      <c r="X83" s="2"/>
      <c r="Y83" s="2"/>
      <c r="Z83" s="2"/>
    </row>
    <row r="84" spans="1:26" ht="12.75" customHeight="1" x14ac:dyDescent="0.35">
      <c r="A84" s="2"/>
      <c r="B84" s="8" t="s">
        <v>92</v>
      </c>
      <c r="C84" s="8" t="s">
        <v>26</v>
      </c>
      <c r="D84" s="8">
        <v>14</v>
      </c>
      <c r="E84" s="21">
        <v>251</v>
      </c>
      <c r="F84" s="21">
        <v>714</v>
      </c>
      <c r="G84" s="21">
        <v>0</v>
      </c>
      <c r="H84" s="22">
        <v>0</v>
      </c>
      <c r="I84" s="21">
        <v>0</v>
      </c>
      <c r="J84" s="21">
        <v>675</v>
      </c>
      <c r="K84" s="21">
        <f t="shared" si="0"/>
        <v>290</v>
      </c>
      <c r="L84" s="21">
        <v>440.81818181818204</v>
      </c>
      <c r="M84" s="23">
        <v>24</v>
      </c>
      <c r="N84" s="21">
        <f t="shared" si="12"/>
        <v>15.67353535353536</v>
      </c>
      <c r="O84" s="44">
        <v>0.42962962962962964</v>
      </c>
      <c r="P84" s="21">
        <v>65</v>
      </c>
      <c r="Q84" s="21">
        <v>0</v>
      </c>
      <c r="R84" s="21">
        <v>0</v>
      </c>
      <c r="S84" s="2"/>
      <c r="T84" s="25">
        <v>923955</v>
      </c>
      <c r="U84" s="26">
        <f t="shared" si="2"/>
        <v>623669625</v>
      </c>
      <c r="V84" s="26">
        <f t="shared" si="3"/>
        <v>407296163.18181837</v>
      </c>
      <c r="W84" s="2"/>
      <c r="X84" s="2"/>
      <c r="Y84" s="2"/>
      <c r="Z84" s="2"/>
    </row>
    <row r="85" spans="1:26" ht="12.75" customHeight="1" x14ac:dyDescent="0.35">
      <c r="A85" s="2"/>
      <c r="B85" s="8" t="s">
        <v>157</v>
      </c>
      <c r="C85" s="8" t="s">
        <v>26</v>
      </c>
      <c r="D85" s="8">
        <v>14</v>
      </c>
      <c r="E85" s="21">
        <v>73</v>
      </c>
      <c r="F85" s="21">
        <v>15</v>
      </c>
      <c r="G85" s="21">
        <v>0</v>
      </c>
      <c r="H85" s="22">
        <v>0</v>
      </c>
      <c r="I85" s="21">
        <v>38</v>
      </c>
      <c r="J85" s="21">
        <v>0</v>
      </c>
      <c r="K85" s="21">
        <f t="shared" si="0"/>
        <v>50</v>
      </c>
      <c r="L85" s="21">
        <v>60.3333333333333</v>
      </c>
      <c r="M85" s="23">
        <v>24</v>
      </c>
      <c r="N85" s="21">
        <f t="shared" si="12"/>
        <v>38.105263157894719</v>
      </c>
      <c r="O85" s="44">
        <v>1.3157894736842106</v>
      </c>
      <c r="P85" s="21">
        <v>0</v>
      </c>
      <c r="Q85" s="21">
        <v>0</v>
      </c>
      <c r="R85" s="21">
        <v>0</v>
      </c>
      <c r="S85" s="2"/>
      <c r="T85" s="25">
        <v>504525</v>
      </c>
      <c r="U85" s="26">
        <f t="shared" si="2"/>
        <v>19171950</v>
      </c>
      <c r="V85" s="26">
        <f t="shared" si="3"/>
        <v>30439674.999999985</v>
      </c>
      <c r="W85" s="2"/>
      <c r="X85" s="2"/>
      <c r="Y85" s="2"/>
      <c r="Z85" s="2"/>
    </row>
    <row r="86" spans="1:26" ht="12.75" customHeight="1" x14ac:dyDescent="0.35">
      <c r="A86" s="2"/>
      <c r="B86" s="8" t="s">
        <v>138</v>
      </c>
      <c r="C86" s="8" t="s">
        <v>26</v>
      </c>
      <c r="D86" s="8">
        <v>14</v>
      </c>
      <c r="E86" s="21">
        <v>105</v>
      </c>
      <c r="F86" s="21">
        <v>1220</v>
      </c>
      <c r="G86" s="21">
        <v>0</v>
      </c>
      <c r="H86" s="22">
        <v>0</v>
      </c>
      <c r="I86" s="21">
        <v>628</v>
      </c>
      <c r="J86" s="21">
        <v>0</v>
      </c>
      <c r="K86" s="21">
        <f t="shared" si="0"/>
        <v>697</v>
      </c>
      <c r="L86" s="21">
        <v>561.4</v>
      </c>
      <c r="M86" s="23">
        <v>24</v>
      </c>
      <c r="N86" s="21">
        <f t="shared" si="12"/>
        <v>21.454777070063692</v>
      </c>
      <c r="O86" s="44">
        <v>1.1098726114649682</v>
      </c>
      <c r="P86" s="21">
        <v>0</v>
      </c>
      <c r="Q86" s="21">
        <v>450</v>
      </c>
      <c r="R86" s="21">
        <v>100</v>
      </c>
      <c r="S86" s="2"/>
      <c r="T86" s="25">
        <v>848935</v>
      </c>
      <c r="U86" s="26">
        <f t="shared" si="2"/>
        <v>533131180</v>
      </c>
      <c r="V86" s="26">
        <f t="shared" si="3"/>
        <v>476592109</v>
      </c>
      <c r="W86" s="4" t="s">
        <v>158</v>
      </c>
      <c r="X86" s="2"/>
      <c r="Y86" s="2"/>
      <c r="Z86" s="2"/>
    </row>
    <row r="87" spans="1:26" ht="18.75" customHeight="1" x14ac:dyDescent="0.35">
      <c r="A87" s="33"/>
      <c r="B87" s="27" t="s">
        <v>96</v>
      </c>
      <c r="C87" s="28"/>
      <c r="D87" s="28"/>
      <c r="E87" s="29">
        <f t="shared" ref="E87:L87" si="13">SUM(E4:E86)</f>
        <v>18609.72</v>
      </c>
      <c r="F87" s="29">
        <f t="shared" si="13"/>
        <v>16698.32</v>
      </c>
      <c r="G87" s="29">
        <f t="shared" si="13"/>
        <v>0</v>
      </c>
      <c r="H87" s="29">
        <f t="shared" si="13"/>
        <v>0</v>
      </c>
      <c r="I87" s="29">
        <f t="shared" si="13"/>
        <v>6597</v>
      </c>
      <c r="J87" s="29">
        <f t="shared" si="13"/>
        <v>10884</v>
      </c>
      <c r="K87" s="29">
        <f t="shared" si="13"/>
        <v>17827.04</v>
      </c>
      <c r="L87" s="29">
        <f t="shared" si="13"/>
        <v>18027.988677711182</v>
      </c>
      <c r="M87" s="30">
        <v>24</v>
      </c>
      <c r="N87" s="30">
        <f t="shared" si="12"/>
        <v>24.750971241065635</v>
      </c>
      <c r="O87" s="45">
        <f>+K87/($I87+$J87)*$M$4</f>
        <v>24.475084949373603</v>
      </c>
      <c r="P87" s="29">
        <f t="shared" ref="P87:R87" si="14">SUM(P4:P86)</f>
        <v>701.67000000000007</v>
      </c>
      <c r="Q87" s="29">
        <f t="shared" si="14"/>
        <v>6218</v>
      </c>
      <c r="R87" s="29">
        <f t="shared" si="14"/>
        <v>208</v>
      </c>
      <c r="S87" s="33"/>
      <c r="T87" s="2"/>
      <c r="U87" s="35">
        <f t="shared" ref="U87:V87" si="15">SUM(U4:U86)</f>
        <v>14913355841</v>
      </c>
      <c r="V87" s="35">
        <f t="shared" si="15"/>
        <v>14850971850.131554</v>
      </c>
      <c r="W87" s="29">
        <f>(V87/U87)*M86</f>
        <v>23.899605709351711</v>
      </c>
      <c r="X87" s="33"/>
      <c r="Y87" s="33"/>
      <c r="Z87" s="33"/>
    </row>
    <row r="88" spans="1:26" ht="18.75" customHeight="1" x14ac:dyDescent="0.35">
      <c r="A88" s="2"/>
      <c r="B88" s="1"/>
      <c r="C88" s="2"/>
      <c r="D88" s="8"/>
      <c r="E88" s="36"/>
      <c r="F88" s="36"/>
      <c r="G88" s="36"/>
      <c r="H88" s="36"/>
      <c r="I88" s="36">
        <f>I87+J87</f>
        <v>17481</v>
      </c>
      <c r="J88" s="36"/>
      <c r="K88" s="36"/>
      <c r="L88" s="36"/>
      <c r="M88" s="3"/>
      <c r="N88" s="36"/>
      <c r="O88" s="36"/>
      <c r="P88" s="37"/>
      <c r="Q88" s="36"/>
      <c r="R88" s="36"/>
      <c r="S88" s="36"/>
      <c r="T88" s="2"/>
      <c r="U88" s="48"/>
      <c r="V88" s="48"/>
      <c r="W88" s="2"/>
      <c r="X88" s="2"/>
      <c r="Y88" s="2"/>
      <c r="Z88" s="2"/>
    </row>
    <row r="89" spans="1:26" ht="12.75" customHeight="1" x14ac:dyDescent="0.35">
      <c r="A89" s="2"/>
      <c r="B89" s="2" t="s">
        <v>97</v>
      </c>
      <c r="C89" s="39">
        <v>24.9</v>
      </c>
      <c r="D89" s="8" t="s">
        <v>98</v>
      </c>
      <c r="E89" s="2"/>
      <c r="F89" s="2"/>
      <c r="G89" s="2"/>
      <c r="H89" s="2"/>
      <c r="I89" s="2"/>
      <c r="J89" s="2"/>
      <c r="K89" s="2"/>
      <c r="L89" s="2"/>
      <c r="M89" s="3"/>
      <c r="N89" s="2"/>
      <c r="O89" s="2"/>
      <c r="P89" s="2"/>
      <c r="Q89" s="2"/>
      <c r="R89" s="2"/>
      <c r="S89" s="2"/>
      <c r="T89" s="2"/>
      <c r="U89" s="48"/>
      <c r="V89" s="48"/>
      <c r="W89" s="2"/>
      <c r="X89" s="2"/>
      <c r="Y89" s="2"/>
      <c r="Z89" s="2"/>
    </row>
    <row r="90" spans="1:26" ht="12.75" customHeight="1" x14ac:dyDescent="0.35">
      <c r="A90" s="2"/>
      <c r="B90" s="1"/>
      <c r="C90" s="2"/>
      <c r="D90" s="8"/>
      <c r="E90" s="2"/>
      <c r="F90" s="2"/>
      <c r="G90" s="2"/>
      <c r="H90" s="2"/>
      <c r="I90" s="2"/>
      <c r="J90" s="2"/>
      <c r="K90" s="2"/>
      <c r="L90" s="2"/>
      <c r="M90" s="3"/>
      <c r="N90" s="2"/>
      <c r="O90" s="2"/>
      <c r="P90" s="2"/>
      <c r="Q90" s="2"/>
      <c r="R90" s="2"/>
      <c r="S90" s="2"/>
      <c r="T90" s="2"/>
      <c r="U90" s="48"/>
      <c r="V90" s="48"/>
      <c r="W90" s="2"/>
      <c r="X90" s="2"/>
      <c r="Y90" s="2"/>
      <c r="Z90" s="2"/>
    </row>
    <row r="91" spans="1:26" ht="12.75" customHeight="1" x14ac:dyDescent="0.35">
      <c r="A91" s="2"/>
      <c r="B91" s="1"/>
      <c r="C91" s="2"/>
      <c r="D91" s="8"/>
      <c r="E91" s="2"/>
      <c r="F91" s="2"/>
      <c r="G91" s="2"/>
      <c r="H91" s="2"/>
      <c r="I91" s="2"/>
      <c r="J91" s="2"/>
      <c r="K91" s="2"/>
      <c r="L91" s="2"/>
      <c r="M91" s="3"/>
      <c r="N91" s="2"/>
      <c r="O91" s="2"/>
      <c r="P91" s="2"/>
      <c r="Q91" s="2"/>
      <c r="R91" s="2"/>
      <c r="S91" s="2"/>
      <c r="T91" s="2"/>
      <c r="U91" s="48"/>
      <c r="V91" s="48"/>
      <c r="W91" s="2"/>
      <c r="X91" s="2"/>
      <c r="Y91" s="2"/>
      <c r="Z91" s="2"/>
    </row>
    <row r="92" spans="1:26" ht="12.75" customHeight="1" x14ac:dyDescent="0.35">
      <c r="A92" s="2"/>
      <c r="B92" s="1"/>
      <c r="C92" s="40"/>
      <c r="D92" s="8"/>
      <c r="E92" s="2"/>
      <c r="F92" s="2"/>
      <c r="G92" s="2"/>
      <c r="H92" s="2"/>
      <c r="I92" s="2"/>
      <c r="J92" s="2"/>
      <c r="K92" s="2"/>
      <c r="L92" s="2"/>
      <c r="M92" s="3"/>
      <c r="N92" s="2"/>
      <c r="O92" s="2"/>
      <c r="P92" s="2"/>
      <c r="Q92" s="2"/>
      <c r="R92" s="2"/>
      <c r="S92" s="2"/>
      <c r="T92" s="2"/>
      <c r="U92" s="48"/>
      <c r="V92" s="48"/>
      <c r="W92" s="2"/>
      <c r="X92" s="2"/>
      <c r="Y92" s="2"/>
      <c r="Z92" s="2"/>
    </row>
    <row r="93" spans="1:26" ht="12.75" customHeight="1" x14ac:dyDescent="0.35">
      <c r="A93" s="2"/>
      <c r="B93" s="1"/>
      <c r="C93" s="2"/>
      <c r="D93" s="8"/>
      <c r="E93" s="2"/>
      <c r="F93" s="2"/>
      <c r="G93" s="2"/>
      <c r="H93" s="2"/>
      <c r="I93" s="2"/>
      <c r="J93" s="2"/>
      <c r="K93" s="2"/>
      <c r="L93" s="2"/>
      <c r="M93" s="3"/>
      <c r="N93" s="2"/>
      <c r="O93" s="2"/>
      <c r="P93" s="2"/>
      <c r="Q93" s="2"/>
      <c r="R93" s="2"/>
      <c r="S93" s="2"/>
      <c r="T93" s="2"/>
      <c r="U93" s="48"/>
      <c r="V93" s="48"/>
      <c r="W93" s="2"/>
      <c r="X93" s="2"/>
      <c r="Y93" s="2"/>
      <c r="Z93" s="2"/>
    </row>
    <row r="94" spans="1:26" ht="12.75" customHeight="1" x14ac:dyDescent="0.35">
      <c r="A94" s="2"/>
      <c r="B94" s="1"/>
      <c r="C94" s="2"/>
      <c r="D94" s="8"/>
      <c r="E94" s="2"/>
      <c r="F94" s="2"/>
      <c r="G94" s="2"/>
      <c r="H94" s="2"/>
      <c r="I94" s="2"/>
      <c r="J94" s="2"/>
      <c r="K94" s="2"/>
      <c r="L94" s="2"/>
      <c r="M94" s="3"/>
      <c r="N94" s="2"/>
      <c r="O94" s="2"/>
      <c r="P94" s="2"/>
      <c r="Q94" s="2"/>
      <c r="R94" s="2"/>
      <c r="S94" s="2"/>
      <c r="T94" s="2"/>
      <c r="U94" s="48"/>
      <c r="V94" s="48"/>
      <c r="W94" s="2"/>
      <c r="X94" s="2"/>
      <c r="Y94" s="2"/>
      <c r="Z94" s="2"/>
    </row>
    <row r="95" spans="1:26" ht="12.75" customHeight="1" x14ac:dyDescent="0.35">
      <c r="A95" s="2"/>
      <c r="B95" s="1"/>
      <c r="C95" s="2"/>
      <c r="D95" s="8"/>
      <c r="E95" s="2"/>
      <c r="F95" s="2"/>
      <c r="G95" s="2"/>
      <c r="H95" s="2"/>
      <c r="I95" s="2"/>
      <c r="J95" s="2"/>
      <c r="K95" s="2"/>
      <c r="L95" s="2"/>
      <c r="M95" s="3"/>
      <c r="N95" s="2"/>
      <c r="O95" s="2"/>
      <c r="P95" s="2"/>
      <c r="Q95" s="2"/>
      <c r="R95" s="2"/>
      <c r="S95" s="2"/>
      <c r="T95" s="2"/>
      <c r="U95" s="48"/>
      <c r="V95" s="48"/>
      <c r="W95" s="2"/>
      <c r="X95" s="2"/>
      <c r="Y95" s="2"/>
      <c r="Z95" s="2"/>
    </row>
    <row r="96" spans="1:26" ht="12.75" customHeight="1" x14ac:dyDescent="0.35">
      <c r="A96" s="2"/>
      <c r="B96" s="1"/>
      <c r="C96" s="2"/>
      <c r="D96" s="8"/>
      <c r="E96" s="2"/>
      <c r="F96" s="2"/>
      <c r="G96" s="2"/>
      <c r="H96" s="2"/>
      <c r="I96" s="2"/>
      <c r="J96" s="2"/>
      <c r="K96" s="2"/>
      <c r="L96" s="2"/>
      <c r="M96" s="3"/>
      <c r="N96" s="2"/>
      <c r="O96" s="2"/>
      <c r="P96" s="2"/>
      <c r="Q96" s="2"/>
      <c r="R96" s="2"/>
      <c r="S96" s="2"/>
      <c r="T96" s="2"/>
      <c r="U96" s="48"/>
      <c r="V96" s="48"/>
      <c r="W96" s="2"/>
      <c r="X96" s="2"/>
      <c r="Y96" s="2"/>
      <c r="Z96" s="2"/>
    </row>
    <row r="97" spans="1:26" ht="12.75" customHeight="1" x14ac:dyDescent="0.35">
      <c r="A97" s="2"/>
      <c r="B97" s="1"/>
      <c r="C97" s="2"/>
      <c r="D97" s="8"/>
      <c r="E97" s="2"/>
      <c r="F97" s="2"/>
      <c r="G97" s="2"/>
      <c r="H97" s="2"/>
      <c r="I97" s="2"/>
      <c r="J97" s="2"/>
      <c r="K97" s="2"/>
      <c r="L97" s="2"/>
      <c r="M97" s="3"/>
      <c r="N97" s="2"/>
      <c r="O97" s="2"/>
      <c r="P97" s="2"/>
      <c r="Q97" s="2"/>
      <c r="R97" s="2"/>
      <c r="S97" s="2"/>
      <c r="T97" s="2"/>
      <c r="U97" s="48"/>
      <c r="V97" s="48"/>
      <c r="W97" s="2"/>
      <c r="X97" s="2"/>
      <c r="Y97" s="2"/>
      <c r="Z97" s="2"/>
    </row>
    <row r="98" spans="1:26" ht="12.75" customHeight="1" x14ac:dyDescent="0.35">
      <c r="A98" s="2"/>
      <c r="B98" s="1"/>
      <c r="C98" s="2"/>
      <c r="D98" s="8"/>
      <c r="E98" s="2"/>
      <c r="F98" s="2"/>
      <c r="G98" s="2"/>
      <c r="H98" s="2"/>
      <c r="I98" s="2"/>
      <c r="J98" s="2"/>
      <c r="K98" s="2"/>
      <c r="L98" s="2"/>
      <c r="M98" s="3"/>
      <c r="N98" s="2"/>
      <c r="O98" s="2"/>
      <c r="P98" s="2"/>
      <c r="Q98" s="2"/>
      <c r="R98" s="2"/>
      <c r="S98" s="2"/>
      <c r="T98" s="2"/>
      <c r="U98" s="48"/>
      <c r="V98" s="48"/>
      <c r="W98" s="2"/>
      <c r="X98" s="2"/>
      <c r="Y98" s="2"/>
      <c r="Z98" s="2"/>
    </row>
    <row r="99" spans="1:26" ht="12.75" customHeight="1" x14ac:dyDescent="0.35">
      <c r="A99" s="2"/>
      <c r="B99" s="1"/>
      <c r="C99" s="2"/>
      <c r="D99" s="8"/>
      <c r="E99" s="2"/>
      <c r="F99" s="2"/>
      <c r="G99" s="2"/>
      <c r="H99" s="2"/>
      <c r="I99" s="2"/>
      <c r="J99" s="2"/>
      <c r="K99" s="2"/>
      <c r="L99" s="2"/>
      <c r="M99" s="3"/>
      <c r="N99" s="2"/>
      <c r="O99" s="2"/>
      <c r="P99" s="2"/>
      <c r="Q99" s="2"/>
      <c r="R99" s="2"/>
      <c r="S99" s="2"/>
      <c r="T99" s="2"/>
      <c r="U99" s="48"/>
      <c r="V99" s="48"/>
      <c r="W99" s="2"/>
      <c r="X99" s="2"/>
      <c r="Y99" s="2"/>
      <c r="Z99" s="2"/>
    </row>
    <row r="100" spans="1:26" ht="12.75" customHeight="1" x14ac:dyDescent="0.35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2"/>
      <c r="O100" s="2"/>
      <c r="P100" s="2"/>
      <c r="Q100" s="2"/>
      <c r="R100" s="2"/>
      <c r="S100" s="2"/>
      <c r="T100" s="2"/>
      <c r="U100" s="48"/>
      <c r="V100" s="48"/>
      <c r="W100" s="2"/>
      <c r="X100" s="2"/>
      <c r="Y100" s="2"/>
      <c r="Z100" s="2"/>
    </row>
    <row r="101" spans="1:26" ht="12.75" customHeight="1" x14ac:dyDescent="0.35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W96" sqref="W96"/>
    </sheetView>
  </sheetViews>
  <sheetFormatPr defaultColWidth="14.453125" defaultRowHeight="15" customHeight="1" x14ac:dyDescent="0.35"/>
  <cols>
    <col min="1" max="1" width="2.54296875" customWidth="1"/>
    <col min="2" max="2" width="17.81640625" customWidth="1"/>
    <col min="3" max="4" width="15" customWidth="1"/>
    <col min="5" max="5" width="16.08984375" customWidth="1"/>
    <col min="6" max="6" width="13.26953125" customWidth="1"/>
    <col min="7" max="7" width="11.54296875" customWidth="1"/>
    <col min="8" max="8" width="9.54296875" customWidth="1"/>
    <col min="9" max="9" width="13.26953125" customWidth="1"/>
    <col min="10" max="10" width="10.26953125" customWidth="1"/>
    <col min="11" max="11" width="12.7265625" customWidth="1"/>
    <col min="12" max="12" width="11.54296875" customWidth="1"/>
    <col min="13" max="13" width="11.453125" customWidth="1"/>
    <col min="14" max="14" width="11.7265625" customWidth="1"/>
    <col min="15" max="15" width="8.81640625" customWidth="1"/>
    <col min="16" max="17" width="13.26953125" customWidth="1"/>
    <col min="18" max="18" width="7.81640625" customWidth="1"/>
    <col min="19" max="19" width="15.08984375" customWidth="1"/>
    <col min="20" max="20" width="13" customWidth="1"/>
    <col min="21" max="22" width="20.08984375" customWidth="1"/>
    <col min="23" max="23" width="15.54296875" customWidth="1"/>
    <col min="24" max="26" width="8.7265625" customWidth="1"/>
  </cols>
  <sheetData>
    <row r="1" spans="1:26" ht="12.75" customHeight="1" x14ac:dyDescent="0.35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4" t="s">
        <v>0</v>
      </c>
      <c r="T1" s="41">
        <v>5.1999999999999998E-3</v>
      </c>
      <c r="U1" s="4" t="s">
        <v>1</v>
      </c>
      <c r="V1" s="47">
        <f>(V95*$T$1)/U95</f>
        <v>5.7162049275530829E-3</v>
      </c>
      <c r="W1" s="2"/>
      <c r="X1" s="2"/>
      <c r="Y1" s="2"/>
      <c r="Z1" s="2"/>
    </row>
    <row r="2" spans="1:26" ht="12.75" customHeight="1" x14ac:dyDescent="0.35">
      <c r="A2" s="2"/>
      <c r="B2" s="7"/>
      <c r="C2" s="8" t="s">
        <v>2</v>
      </c>
      <c r="D2" s="8"/>
      <c r="E2" s="9" t="s">
        <v>159</v>
      </c>
      <c r="F2" s="10"/>
      <c r="G2" s="11" t="s">
        <v>4</v>
      </c>
      <c r="H2" s="10"/>
      <c r="I2" s="10"/>
      <c r="J2" s="12"/>
      <c r="K2" s="10"/>
      <c r="L2" s="10"/>
      <c r="M2" s="13"/>
      <c r="N2" s="8"/>
      <c r="O2" s="14"/>
      <c r="P2" s="14"/>
      <c r="Q2" s="10"/>
      <c r="R2" s="10"/>
      <c r="S2" s="10"/>
      <c r="T2" s="2"/>
      <c r="U2" s="2"/>
      <c r="V2" s="2"/>
      <c r="W2" s="2"/>
      <c r="X2" s="2"/>
      <c r="Y2" s="2"/>
      <c r="Z2" s="2"/>
    </row>
    <row r="3" spans="1:26" ht="12.75" customHeight="1" x14ac:dyDescent="0.35">
      <c r="A3" s="2"/>
      <c r="B3" s="16" t="s">
        <v>5</v>
      </c>
      <c r="C3" s="16" t="s">
        <v>6</v>
      </c>
      <c r="D3" s="17" t="s">
        <v>7</v>
      </c>
      <c r="E3" s="17" t="s">
        <v>8</v>
      </c>
      <c r="F3" s="17" t="s">
        <v>9</v>
      </c>
      <c r="G3" s="17" t="s">
        <v>10</v>
      </c>
      <c r="H3" s="18" t="s">
        <v>11</v>
      </c>
      <c r="I3" s="17" t="s">
        <v>12</v>
      </c>
      <c r="J3" s="17" t="s">
        <v>13</v>
      </c>
      <c r="K3" s="17" t="s">
        <v>14</v>
      </c>
      <c r="L3" s="17" t="s">
        <v>15</v>
      </c>
      <c r="M3" s="43" t="s">
        <v>16</v>
      </c>
      <c r="N3" s="20" t="s">
        <v>17</v>
      </c>
      <c r="O3" s="20" t="s">
        <v>18</v>
      </c>
      <c r="P3" s="19" t="s">
        <v>19</v>
      </c>
      <c r="Q3" s="19" t="s">
        <v>20</v>
      </c>
      <c r="R3" s="19" t="s">
        <v>21</v>
      </c>
      <c r="S3" s="2"/>
      <c r="T3" s="17" t="s">
        <v>22</v>
      </c>
      <c r="U3" s="19" t="s">
        <v>23</v>
      </c>
      <c r="V3" s="19" t="s">
        <v>24</v>
      </c>
      <c r="W3" s="2"/>
      <c r="X3" s="2"/>
      <c r="Y3" s="2"/>
      <c r="Z3" s="2"/>
    </row>
    <row r="4" spans="1:26" ht="12.75" customHeight="1" x14ac:dyDescent="0.35">
      <c r="A4" s="2"/>
      <c r="B4" s="8" t="s">
        <v>100</v>
      </c>
      <c r="C4" s="8" t="s">
        <v>26</v>
      </c>
      <c r="D4" s="8">
        <v>14</v>
      </c>
      <c r="E4" s="21">
        <v>95</v>
      </c>
      <c r="F4" s="21">
        <v>104</v>
      </c>
      <c r="G4" s="21">
        <v>0</v>
      </c>
      <c r="H4" s="22">
        <v>0</v>
      </c>
      <c r="I4" s="21">
        <v>0</v>
      </c>
      <c r="J4" s="21">
        <v>72</v>
      </c>
      <c r="K4" s="21">
        <f t="shared" ref="K4:K94" si="0">(E4+F4+G4)-(I4+J4)</f>
        <v>127</v>
      </c>
      <c r="L4" s="21">
        <v>120</v>
      </c>
      <c r="M4" s="23">
        <v>27</v>
      </c>
      <c r="N4" s="21">
        <f t="shared" ref="N4:N9" si="1">(L4/(I4+J4))*M4</f>
        <v>45</v>
      </c>
      <c r="O4" s="44">
        <v>1.7638888888888888</v>
      </c>
      <c r="P4" s="21">
        <v>0</v>
      </c>
      <c r="Q4" s="21">
        <v>0</v>
      </c>
      <c r="R4" s="21">
        <v>0</v>
      </c>
      <c r="S4" s="2"/>
      <c r="T4" s="26">
        <v>1631375</v>
      </c>
      <c r="U4" s="26">
        <f t="shared" ref="U4:U94" si="2">T4*(I4+J4)</f>
        <v>117459000</v>
      </c>
      <c r="V4" s="26">
        <f t="shared" ref="V4:V94" si="3">T4*L4</f>
        <v>195765000</v>
      </c>
      <c r="W4" s="2"/>
      <c r="X4" s="2"/>
      <c r="Y4" s="2"/>
      <c r="Z4" s="2"/>
    </row>
    <row r="5" spans="1:26" ht="12.75" customHeight="1" x14ac:dyDescent="0.35">
      <c r="A5" s="2"/>
      <c r="B5" s="8" t="s">
        <v>27</v>
      </c>
      <c r="C5" s="8" t="s">
        <v>26</v>
      </c>
      <c r="D5" s="8">
        <v>14</v>
      </c>
      <c r="E5" s="21">
        <v>82</v>
      </c>
      <c r="F5" s="21">
        <v>0</v>
      </c>
      <c r="G5" s="21">
        <v>0</v>
      </c>
      <c r="H5" s="22">
        <v>0</v>
      </c>
      <c r="I5" s="21">
        <v>0</v>
      </c>
      <c r="J5" s="21">
        <v>81</v>
      </c>
      <c r="K5" s="21">
        <f t="shared" si="0"/>
        <v>1</v>
      </c>
      <c r="L5" s="21">
        <v>39.200000000000003</v>
      </c>
      <c r="M5" s="23">
        <v>27</v>
      </c>
      <c r="N5" s="21">
        <f t="shared" si="1"/>
        <v>13.066666666666668</v>
      </c>
      <c r="O5" s="44">
        <v>1.2345679012345678E-2</v>
      </c>
      <c r="P5" s="21">
        <v>0</v>
      </c>
      <c r="Q5" s="21">
        <v>100</v>
      </c>
      <c r="R5" s="21">
        <v>0</v>
      </c>
      <c r="S5" s="2"/>
      <c r="T5" s="26">
        <v>844750</v>
      </c>
      <c r="U5" s="26">
        <f t="shared" si="2"/>
        <v>68424750</v>
      </c>
      <c r="V5" s="26">
        <f t="shared" si="3"/>
        <v>33114200.000000004</v>
      </c>
      <c r="W5" s="2"/>
      <c r="X5" s="2"/>
      <c r="Y5" s="2"/>
      <c r="Z5" s="2"/>
    </row>
    <row r="6" spans="1:26" ht="12.75" customHeight="1" x14ac:dyDescent="0.35">
      <c r="A6" s="2"/>
      <c r="B6" s="8" t="s">
        <v>28</v>
      </c>
      <c r="C6" s="8" t="s">
        <v>26</v>
      </c>
      <c r="D6" s="8">
        <v>14</v>
      </c>
      <c r="E6" s="21">
        <v>162</v>
      </c>
      <c r="F6" s="21">
        <v>0</v>
      </c>
      <c r="G6" s="21">
        <v>0</v>
      </c>
      <c r="H6" s="22">
        <v>0</v>
      </c>
      <c r="I6" s="21">
        <v>0</v>
      </c>
      <c r="J6" s="21">
        <v>26</v>
      </c>
      <c r="K6" s="21">
        <f t="shared" si="0"/>
        <v>136</v>
      </c>
      <c r="L6" s="21">
        <v>136</v>
      </c>
      <c r="M6" s="23">
        <v>27</v>
      </c>
      <c r="N6" s="21">
        <f t="shared" si="1"/>
        <v>141.23076923076923</v>
      </c>
      <c r="O6" s="44">
        <v>5.2307692307692308</v>
      </c>
      <c r="P6" s="21">
        <v>0</v>
      </c>
      <c r="Q6" s="21">
        <v>0</v>
      </c>
      <c r="R6" s="21">
        <v>0</v>
      </c>
      <c r="S6" s="2"/>
      <c r="T6" s="26">
        <v>928605</v>
      </c>
      <c r="U6" s="26">
        <f t="shared" si="2"/>
        <v>24143730</v>
      </c>
      <c r="V6" s="26">
        <f t="shared" si="3"/>
        <v>126290280</v>
      </c>
      <c r="W6" s="2"/>
      <c r="X6" s="2"/>
      <c r="Y6" s="2"/>
      <c r="Z6" s="2"/>
    </row>
    <row r="7" spans="1:26" ht="12.75" customHeight="1" x14ac:dyDescent="0.35">
      <c r="A7" s="2"/>
      <c r="B7" s="8" t="s">
        <v>29</v>
      </c>
      <c r="C7" s="8" t="s">
        <v>26</v>
      </c>
      <c r="D7" s="8">
        <v>14</v>
      </c>
      <c r="E7" s="21">
        <v>279</v>
      </c>
      <c r="F7" s="21">
        <v>334</v>
      </c>
      <c r="G7" s="21">
        <v>0</v>
      </c>
      <c r="H7" s="22">
        <v>0</v>
      </c>
      <c r="I7" s="21">
        <v>0</v>
      </c>
      <c r="J7" s="21">
        <v>404</v>
      </c>
      <c r="K7" s="21">
        <f t="shared" si="0"/>
        <v>209</v>
      </c>
      <c r="L7" s="21">
        <v>194.083333333333</v>
      </c>
      <c r="M7" s="23">
        <v>27</v>
      </c>
      <c r="N7" s="21">
        <f t="shared" si="1"/>
        <v>12.970915841584137</v>
      </c>
      <c r="O7" s="44">
        <v>0.51732673267326734</v>
      </c>
      <c r="P7" s="21">
        <v>36</v>
      </c>
      <c r="Q7" s="21">
        <v>0</v>
      </c>
      <c r="R7" s="21">
        <v>0</v>
      </c>
      <c r="S7" s="2"/>
      <c r="T7" s="26">
        <v>1329900</v>
      </c>
      <c r="U7" s="26">
        <f t="shared" si="2"/>
        <v>537279600</v>
      </c>
      <c r="V7" s="26">
        <f t="shared" si="3"/>
        <v>258111424.99999955</v>
      </c>
      <c r="W7" s="2"/>
      <c r="X7" s="2"/>
      <c r="Y7" s="2"/>
      <c r="Z7" s="2"/>
    </row>
    <row r="8" spans="1:26" ht="12.75" customHeight="1" x14ac:dyDescent="0.35">
      <c r="A8" s="2"/>
      <c r="B8" s="8" t="s">
        <v>116</v>
      </c>
      <c r="C8" s="8" t="s">
        <v>26</v>
      </c>
      <c r="D8" s="8">
        <v>14</v>
      </c>
      <c r="E8" s="21">
        <v>107</v>
      </c>
      <c r="F8" s="21">
        <v>147</v>
      </c>
      <c r="G8" s="21">
        <v>0</v>
      </c>
      <c r="H8" s="22">
        <v>0</v>
      </c>
      <c r="I8" s="21">
        <v>0</v>
      </c>
      <c r="J8" s="21">
        <v>159</v>
      </c>
      <c r="K8" s="21">
        <f t="shared" si="0"/>
        <v>95</v>
      </c>
      <c r="L8" s="21">
        <v>145.20000000000002</v>
      </c>
      <c r="M8" s="23">
        <v>27</v>
      </c>
      <c r="N8" s="21">
        <f t="shared" si="1"/>
        <v>24.656603773584909</v>
      </c>
      <c r="O8" s="44">
        <v>0.59748427672955973</v>
      </c>
      <c r="P8" s="21">
        <v>0</v>
      </c>
      <c r="Q8" s="21">
        <v>0</v>
      </c>
      <c r="R8" s="21">
        <v>0</v>
      </c>
      <c r="S8" s="2"/>
      <c r="T8" s="26">
        <v>865210</v>
      </c>
      <c r="U8" s="26">
        <f t="shared" si="2"/>
        <v>137568390</v>
      </c>
      <c r="V8" s="26">
        <f t="shared" si="3"/>
        <v>125628492.00000001</v>
      </c>
      <c r="W8" s="2"/>
      <c r="X8" s="2"/>
      <c r="Y8" s="2"/>
      <c r="Z8" s="2"/>
    </row>
    <row r="9" spans="1:26" ht="12.75" customHeight="1" x14ac:dyDescent="0.35">
      <c r="A9" s="2"/>
      <c r="B9" s="8" t="s">
        <v>117</v>
      </c>
      <c r="C9" s="8" t="s">
        <v>26</v>
      </c>
      <c r="D9" s="8">
        <v>14</v>
      </c>
      <c r="E9" s="21">
        <v>164</v>
      </c>
      <c r="F9" s="21">
        <v>432</v>
      </c>
      <c r="G9" s="21">
        <v>0</v>
      </c>
      <c r="H9" s="22">
        <v>0</v>
      </c>
      <c r="I9" s="21">
        <v>0</v>
      </c>
      <c r="J9" s="21">
        <v>488</v>
      </c>
      <c r="K9" s="21">
        <f t="shared" si="0"/>
        <v>108</v>
      </c>
      <c r="L9" s="21">
        <v>86.727272727272705</v>
      </c>
      <c r="M9" s="23">
        <v>27</v>
      </c>
      <c r="N9" s="21">
        <f t="shared" si="1"/>
        <v>4.7984351713859894</v>
      </c>
      <c r="O9" s="44">
        <v>0.22131147540983606</v>
      </c>
      <c r="P9" s="21">
        <v>0</v>
      </c>
      <c r="Q9" s="21">
        <v>162</v>
      </c>
      <c r="R9" s="21">
        <v>0</v>
      </c>
      <c r="S9" s="2"/>
      <c r="T9" s="26">
        <v>865210</v>
      </c>
      <c r="U9" s="26">
        <f t="shared" si="2"/>
        <v>422222480</v>
      </c>
      <c r="V9" s="26">
        <f t="shared" si="3"/>
        <v>75037303.636363611</v>
      </c>
      <c r="W9" s="2"/>
      <c r="X9" s="2"/>
      <c r="Y9" s="2"/>
      <c r="Z9" s="2"/>
    </row>
    <row r="10" spans="1:26" ht="12.75" customHeight="1" x14ac:dyDescent="0.35">
      <c r="A10" s="2"/>
      <c r="B10" s="8" t="s">
        <v>30</v>
      </c>
      <c r="C10" s="8" t="s">
        <v>26</v>
      </c>
      <c r="D10" s="8">
        <v>14</v>
      </c>
      <c r="E10" s="21">
        <v>200</v>
      </c>
      <c r="F10" s="21">
        <v>105</v>
      </c>
      <c r="G10" s="21">
        <v>0</v>
      </c>
      <c r="H10" s="22">
        <v>0</v>
      </c>
      <c r="I10" s="21">
        <v>0</v>
      </c>
      <c r="J10" s="21">
        <v>0</v>
      </c>
      <c r="K10" s="21">
        <f t="shared" si="0"/>
        <v>305</v>
      </c>
      <c r="L10" s="21">
        <v>305</v>
      </c>
      <c r="M10" s="23">
        <v>27</v>
      </c>
      <c r="N10" s="21">
        <v>0</v>
      </c>
      <c r="O10" s="44">
        <v>0</v>
      </c>
      <c r="P10" s="21">
        <v>0</v>
      </c>
      <c r="Q10" s="21">
        <v>0</v>
      </c>
      <c r="R10" s="21">
        <v>0</v>
      </c>
      <c r="S10" s="2"/>
      <c r="T10" s="26">
        <v>841116</v>
      </c>
      <c r="U10" s="26">
        <f t="shared" si="2"/>
        <v>0</v>
      </c>
      <c r="V10" s="26">
        <f t="shared" si="3"/>
        <v>256540380</v>
      </c>
      <c r="W10" s="2"/>
      <c r="X10" s="2"/>
      <c r="Y10" s="2"/>
      <c r="Z10" s="2"/>
    </row>
    <row r="11" spans="1:26" ht="12.75" customHeight="1" x14ac:dyDescent="0.35">
      <c r="A11" s="2"/>
      <c r="B11" s="8" t="s">
        <v>31</v>
      </c>
      <c r="C11" s="8" t="s">
        <v>26</v>
      </c>
      <c r="D11" s="8">
        <v>14</v>
      </c>
      <c r="E11" s="21">
        <v>116</v>
      </c>
      <c r="F11" s="21">
        <v>0</v>
      </c>
      <c r="G11" s="21">
        <v>0</v>
      </c>
      <c r="H11" s="22">
        <v>0</v>
      </c>
      <c r="I11" s="21">
        <v>0</v>
      </c>
      <c r="J11" s="21">
        <v>5</v>
      </c>
      <c r="K11" s="21">
        <f t="shared" si="0"/>
        <v>111</v>
      </c>
      <c r="L11" s="21">
        <v>112</v>
      </c>
      <c r="M11" s="23">
        <v>27</v>
      </c>
      <c r="N11" s="21">
        <f t="shared" ref="N11:N12" si="4">(L11/(I11+J11))*M11</f>
        <v>604.79999999999995</v>
      </c>
      <c r="O11" s="44">
        <v>22.2</v>
      </c>
      <c r="P11" s="21">
        <v>2</v>
      </c>
      <c r="Q11" s="21">
        <v>0</v>
      </c>
      <c r="R11" s="21">
        <v>0</v>
      </c>
      <c r="S11" s="2"/>
      <c r="T11" s="26">
        <v>928605</v>
      </c>
      <c r="U11" s="26">
        <f t="shared" si="2"/>
        <v>4643025</v>
      </c>
      <c r="V11" s="26">
        <f t="shared" si="3"/>
        <v>104003760</v>
      </c>
      <c r="W11" s="2"/>
      <c r="X11" s="2"/>
      <c r="Y11" s="2"/>
      <c r="Z11" s="2"/>
    </row>
    <row r="12" spans="1:26" ht="12.75" customHeight="1" x14ac:dyDescent="0.35">
      <c r="A12" s="2"/>
      <c r="B12" s="8" t="s">
        <v>118</v>
      </c>
      <c r="C12" s="8" t="s">
        <v>26</v>
      </c>
      <c r="D12" s="8">
        <v>14</v>
      </c>
      <c r="E12" s="21">
        <v>489</v>
      </c>
      <c r="F12" s="21">
        <v>0</v>
      </c>
      <c r="G12" s="21">
        <v>0</v>
      </c>
      <c r="H12" s="22">
        <v>0</v>
      </c>
      <c r="I12" s="21">
        <v>0</v>
      </c>
      <c r="J12" s="21">
        <v>166</v>
      </c>
      <c r="K12" s="21">
        <f t="shared" si="0"/>
        <v>323</v>
      </c>
      <c r="L12" s="21">
        <v>383</v>
      </c>
      <c r="M12" s="23">
        <v>27</v>
      </c>
      <c r="N12" s="21">
        <f t="shared" si="4"/>
        <v>62.295180722891558</v>
      </c>
      <c r="O12" s="44">
        <v>1.9457831325301205</v>
      </c>
      <c r="P12" s="21">
        <v>0</v>
      </c>
      <c r="Q12" s="21">
        <v>0</v>
      </c>
      <c r="R12" s="21">
        <v>0</v>
      </c>
      <c r="S12" s="2"/>
      <c r="T12" s="26">
        <v>139965</v>
      </c>
      <c r="U12" s="26">
        <f t="shared" si="2"/>
        <v>23234190</v>
      </c>
      <c r="V12" s="26">
        <f t="shared" si="3"/>
        <v>53606595</v>
      </c>
      <c r="W12" s="2"/>
      <c r="X12" s="2"/>
      <c r="Y12" s="2"/>
      <c r="Z12" s="2"/>
    </row>
    <row r="13" spans="1:26" ht="12.75" customHeight="1" x14ac:dyDescent="0.35">
      <c r="A13" s="2"/>
      <c r="B13" s="8" t="s">
        <v>101</v>
      </c>
      <c r="C13" s="8" t="s">
        <v>26</v>
      </c>
      <c r="D13" s="8">
        <v>14</v>
      </c>
      <c r="E13" s="21">
        <v>0</v>
      </c>
      <c r="F13" s="21">
        <v>0</v>
      </c>
      <c r="G13" s="21">
        <v>0</v>
      </c>
      <c r="H13" s="22">
        <v>0</v>
      </c>
      <c r="I13" s="21">
        <v>0</v>
      </c>
      <c r="J13" s="21">
        <v>0</v>
      </c>
      <c r="K13" s="21">
        <f t="shared" si="0"/>
        <v>0</v>
      </c>
      <c r="L13" s="21">
        <v>0</v>
      </c>
      <c r="M13" s="23">
        <v>27</v>
      </c>
      <c r="N13" s="21">
        <v>0</v>
      </c>
      <c r="O13" s="44">
        <v>0</v>
      </c>
      <c r="P13" s="21">
        <v>0</v>
      </c>
      <c r="Q13" s="21">
        <v>100</v>
      </c>
      <c r="R13" s="21">
        <v>0</v>
      </c>
      <c r="S13" s="2"/>
      <c r="T13" s="26">
        <v>165230</v>
      </c>
      <c r="U13" s="26">
        <f t="shared" si="2"/>
        <v>0</v>
      </c>
      <c r="V13" s="26">
        <f t="shared" si="3"/>
        <v>0</v>
      </c>
      <c r="W13" s="2"/>
      <c r="X13" s="2"/>
      <c r="Y13" s="2"/>
      <c r="Z13" s="2"/>
    </row>
    <row r="14" spans="1:26" ht="12.75" customHeight="1" x14ac:dyDescent="0.35">
      <c r="A14" s="2"/>
      <c r="B14" s="8" t="s">
        <v>102</v>
      </c>
      <c r="C14" s="8" t="s">
        <v>26</v>
      </c>
      <c r="D14" s="8">
        <v>14</v>
      </c>
      <c r="E14" s="21">
        <v>2850</v>
      </c>
      <c r="F14" s="21">
        <v>5</v>
      </c>
      <c r="G14" s="21">
        <v>0</v>
      </c>
      <c r="H14" s="22">
        <v>0</v>
      </c>
      <c r="I14" s="21">
        <v>0</v>
      </c>
      <c r="J14" s="21">
        <v>806</v>
      </c>
      <c r="K14" s="21">
        <f t="shared" si="0"/>
        <v>2049</v>
      </c>
      <c r="L14" s="21">
        <v>2308</v>
      </c>
      <c r="M14" s="23">
        <v>27</v>
      </c>
      <c r="N14" s="21">
        <f>(L14/(I14+J14))*M14</f>
        <v>77.315136476426801</v>
      </c>
      <c r="O14" s="44">
        <v>2.5421836228287842</v>
      </c>
      <c r="P14" s="21">
        <v>0</v>
      </c>
      <c r="Q14" s="21">
        <v>0</v>
      </c>
      <c r="R14" s="21">
        <v>0</v>
      </c>
      <c r="S14" s="2"/>
      <c r="T14" s="26">
        <v>139965</v>
      </c>
      <c r="U14" s="26">
        <f t="shared" si="2"/>
        <v>112811790</v>
      </c>
      <c r="V14" s="26">
        <f t="shared" si="3"/>
        <v>323039220</v>
      </c>
      <c r="W14" s="2"/>
      <c r="X14" s="2"/>
      <c r="Y14" s="2"/>
      <c r="Z14" s="2"/>
    </row>
    <row r="15" spans="1:26" ht="12.75" customHeight="1" x14ac:dyDescent="0.35">
      <c r="A15" s="2"/>
      <c r="B15" s="8" t="s">
        <v>103</v>
      </c>
      <c r="C15" s="8" t="s">
        <v>26</v>
      </c>
      <c r="D15" s="8">
        <v>14</v>
      </c>
      <c r="E15" s="21">
        <v>0.25</v>
      </c>
      <c r="F15" s="21">
        <v>0</v>
      </c>
      <c r="G15" s="21">
        <v>0</v>
      </c>
      <c r="H15" s="22">
        <v>0</v>
      </c>
      <c r="I15" s="21">
        <v>0</v>
      </c>
      <c r="J15" s="21">
        <v>0</v>
      </c>
      <c r="K15" s="21">
        <f t="shared" si="0"/>
        <v>0.25</v>
      </c>
      <c r="L15" s="21">
        <v>0</v>
      </c>
      <c r="M15" s="23">
        <v>27</v>
      </c>
      <c r="N15" s="21">
        <v>0</v>
      </c>
      <c r="O15" s="44">
        <v>0</v>
      </c>
      <c r="P15" s="21">
        <v>0</v>
      </c>
      <c r="Q15" s="21">
        <v>0</v>
      </c>
      <c r="R15" s="21">
        <v>0</v>
      </c>
      <c r="S15" s="2"/>
      <c r="T15" s="26">
        <v>139965</v>
      </c>
      <c r="U15" s="26">
        <f t="shared" si="2"/>
        <v>0</v>
      </c>
      <c r="V15" s="26">
        <f t="shared" si="3"/>
        <v>0</v>
      </c>
      <c r="W15" s="2"/>
      <c r="X15" s="2"/>
      <c r="Y15" s="2"/>
      <c r="Z15" s="2"/>
    </row>
    <row r="16" spans="1:26" ht="12.75" customHeight="1" x14ac:dyDescent="0.35">
      <c r="A16" s="2"/>
      <c r="B16" s="8" t="s">
        <v>32</v>
      </c>
      <c r="C16" s="8" t="s">
        <v>26</v>
      </c>
      <c r="D16" s="8">
        <v>14</v>
      </c>
      <c r="E16" s="21">
        <v>60</v>
      </c>
      <c r="F16" s="21">
        <v>84</v>
      </c>
      <c r="G16" s="21">
        <v>0</v>
      </c>
      <c r="H16" s="22">
        <v>0</v>
      </c>
      <c r="I16" s="21">
        <v>0</v>
      </c>
      <c r="J16" s="21">
        <v>121</v>
      </c>
      <c r="K16" s="21">
        <f t="shared" si="0"/>
        <v>23</v>
      </c>
      <c r="L16" s="21">
        <v>58.25</v>
      </c>
      <c r="M16" s="23">
        <v>27</v>
      </c>
      <c r="N16" s="21">
        <f t="shared" ref="N16:N25" si="5">(L16/(I16+J16))*M16</f>
        <v>12.99793388429752</v>
      </c>
      <c r="O16" s="44">
        <v>0.19008264462809918</v>
      </c>
      <c r="P16" s="21">
        <v>16</v>
      </c>
      <c r="Q16" s="21">
        <v>95</v>
      </c>
      <c r="R16" s="21">
        <v>0</v>
      </c>
      <c r="S16" s="2"/>
      <c r="T16" s="26">
        <v>3438210</v>
      </c>
      <c r="U16" s="26">
        <f t="shared" si="2"/>
        <v>416023410</v>
      </c>
      <c r="V16" s="26">
        <f t="shared" si="3"/>
        <v>200275732.5</v>
      </c>
      <c r="W16" s="2"/>
      <c r="X16" s="2"/>
      <c r="Y16" s="2"/>
      <c r="Z16" s="2"/>
    </row>
    <row r="17" spans="1:26" ht="12.75" customHeight="1" x14ac:dyDescent="0.35">
      <c r="A17" s="2"/>
      <c r="B17" s="8" t="s">
        <v>33</v>
      </c>
      <c r="C17" s="8" t="s">
        <v>26</v>
      </c>
      <c r="D17" s="8">
        <v>14</v>
      </c>
      <c r="E17" s="21">
        <v>726</v>
      </c>
      <c r="F17" s="21">
        <v>614</v>
      </c>
      <c r="G17" s="21">
        <v>0</v>
      </c>
      <c r="H17" s="22">
        <v>0</v>
      </c>
      <c r="I17" s="21">
        <v>0</v>
      </c>
      <c r="J17" s="21">
        <v>384</v>
      </c>
      <c r="K17" s="21">
        <f t="shared" si="0"/>
        <v>956</v>
      </c>
      <c r="L17" s="21">
        <v>898.66666666666708</v>
      </c>
      <c r="M17" s="23">
        <v>27</v>
      </c>
      <c r="N17" s="21">
        <f t="shared" si="5"/>
        <v>63.187500000000036</v>
      </c>
      <c r="O17" s="44">
        <v>2.4895833333333335</v>
      </c>
      <c r="P17" s="21">
        <v>0</v>
      </c>
      <c r="Q17" s="21">
        <v>0</v>
      </c>
      <c r="R17" s="21">
        <v>0</v>
      </c>
      <c r="S17" s="2"/>
      <c r="T17" s="26">
        <v>165230</v>
      </c>
      <c r="U17" s="26">
        <f t="shared" si="2"/>
        <v>63448320</v>
      </c>
      <c r="V17" s="26">
        <f t="shared" si="3"/>
        <v>148486693.3333334</v>
      </c>
      <c r="W17" s="2"/>
      <c r="X17" s="2"/>
      <c r="Y17" s="2"/>
      <c r="Z17" s="2"/>
    </row>
    <row r="18" spans="1:26" ht="12.75" customHeight="1" x14ac:dyDescent="0.35">
      <c r="A18" s="2"/>
      <c r="B18" s="8" t="s">
        <v>119</v>
      </c>
      <c r="C18" s="8" t="s">
        <v>26</v>
      </c>
      <c r="D18" s="8">
        <v>14</v>
      </c>
      <c r="E18" s="21">
        <v>208</v>
      </c>
      <c r="F18" s="21">
        <v>0</v>
      </c>
      <c r="G18" s="21">
        <v>0</v>
      </c>
      <c r="H18" s="22">
        <v>0</v>
      </c>
      <c r="I18" s="21">
        <v>0</v>
      </c>
      <c r="J18" s="21">
        <v>22</v>
      </c>
      <c r="K18" s="21">
        <f t="shared" si="0"/>
        <v>186</v>
      </c>
      <c r="L18" s="21">
        <v>194</v>
      </c>
      <c r="M18" s="23">
        <v>27</v>
      </c>
      <c r="N18" s="21">
        <f t="shared" si="5"/>
        <v>238.09090909090909</v>
      </c>
      <c r="O18" s="44">
        <v>8.454545454545455</v>
      </c>
      <c r="P18" s="21">
        <v>0</v>
      </c>
      <c r="Q18" s="21">
        <v>0</v>
      </c>
      <c r="R18" s="21">
        <v>0</v>
      </c>
      <c r="S18" s="2"/>
      <c r="T18" s="26">
        <v>1516675</v>
      </c>
      <c r="U18" s="26">
        <f t="shared" si="2"/>
        <v>33366850</v>
      </c>
      <c r="V18" s="26">
        <f t="shared" si="3"/>
        <v>294234950</v>
      </c>
      <c r="W18" s="2"/>
      <c r="X18" s="2"/>
      <c r="Y18" s="2"/>
      <c r="Z18" s="2"/>
    </row>
    <row r="19" spans="1:26" ht="12.75" customHeight="1" x14ac:dyDescent="0.35">
      <c r="A19" s="2"/>
      <c r="B19" s="8" t="s">
        <v>119</v>
      </c>
      <c r="C19" s="8" t="s">
        <v>26</v>
      </c>
      <c r="D19" s="8">
        <v>14</v>
      </c>
      <c r="E19" s="21">
        <v>15</v>
      </c>
      <c r="F19" s="21">
        <v>0</v>
      </c>
      <c r="G19" s="21">
        <v>0</v>
      </c>
      <c r="H19" s="22">
        <v>0</v>
      </c>
      <c r="I19" s="21">
        <v>0</v>
      </c>
      <c r="J19" s="21">
        <v>4</v>
      </c>
      <c r="K19" s="21">
        <f t="shared" si="0"/>
        <v>11</v>
      </c>
      <c r="L19" s="21">
        <v>12</v>
      </c>
      <c r="M19" s="23">
        <v>27</v>
      </c>
      <c r="N19" s="21">
        <f t="shared" si="5"/>
        <v>81</v>
      </c>
      <c r="O19" s="44">
        <v>2.75</v>
      </c>
      <c r="P19" s="21">
        <v>0</v>
      </c>
      <c r="Q19" s="21">
        <v>15</v>
      </c>
      <c r="R19" s="21">
        <v>0</v>
      </c>
      <c r="S19" s="2"/>
      <c r="T19" s="26">
        <v>1516675</v>
      </c>
      <c r="U19" s="26">
        <f t="shared" si="2"/>
        <v>6066700</v>
      </c>
      <c r="V19" s="26">
        <f t="shared" si="3"/>
        <v>18200100</v>
      </c>
      <c r="W19" s="2"/>
      <c r="X19" s="2"/>
      <c r="Y19" s="2"/>
      <c r="Z19" s="2"/>
    </row>
    <row r="20" spans="1:26" ht="12.75" customHeight="1" x14ac:dyDescent="0.35">
      <c r="A20" s="2"/>
      <c r="B20" s="8" t="s">
        <v>35</v>
      </c>
      <c r="C20" s="8" t="s">
        <v>26</v>
      </c>
      <c r="D20" s="8">
        <v>14</v>
      </c>
      <c r="E20" s="21">
        <v>57</v>
      </c>
      <c r="F20" s="21">
        <v>0</v>
      </c>
      <c r="G20" s="21">
        <v>0</v>
      </c>
      <c r="H20" s="22">
        <v>0</v>
      </c>
      <c r="I20" s="21">
        <v>0</v>
      </c>
      <c r="J20" s="21">
        <v>3</v>
      </c>
      <c r="K20" s="21">
        <f t="shared" si="0"/>
        <v>54</v>
      </c>
      <c r="L20" s="21">
        <v>55</v>
      </c>
      <c r="M20" s="23">
        <v>27</v>
      </c>
      <c r="N20" s="21">
        <f t="shared" si="5"/>
        <v>494.99999999999994</v>
      </c>
      <c r="O20" s="44">
        <v>18</v>
      </c>
      <c r="P20" s="21">
        <v>0</v>
      </c>
      <c r="Q20" s="21">
        <v>0</v>
      </c>
      <c r="R20" s="21">
        <v>0</v>
      </c>
      <c r="S20" s="2"/>
      <c r="T20" s="26">
        <v>1516675</v>
      </c>
      <c r="U20" s="26">
        <f t="shared" si="2"/>
        <v>4550025</v>
      </c>
      <c r="V20" s="26">
        <f t="shared" si="3"/>
        <v>83417125</v>
      </c>
      <c r="W20" s="2"/>
      <c r="X20" s="2"/>
      <c r="Y20" s="2"/>
      <c r="Z20" s="2"/>
    </row>
    <row r="21" spans="1:26" ht="12.75" customHeight="1" x14ac:dyDescent="0.35">
      <c r="A21" s="2"/>
      <c r="B21" s="8" t="s">
        <v>149</v>
      </c>
      <c r="C21" s="8" t="s">
        <v>26</v>
      </c>
      <c r="D21" s="8">
        <v>14</v>
      </c>
      <c r="E21" s="21">
        <v>25</v>
      </c>
      <c r="F21" s="21">
        <v>0</v>
      </c>
      <c r="G21" s="21">
        <v>0</v>
      </c>
      <c r="H21" s="22">
        <v>0</v>
      </c>
      <c r="I21" s="21">
        <v>0</v>
      </c>
      <c r="J21" s="21">
        <v>9</v>
      </c>
      <c r="K21" s="21">
        <f t="shared" si="0"/>
        <v>16</v>
      </c>
      <c r="L21" s="21">
        <v>19.6666666666667</v>
      </c>
      <c r="M21" s="23">
        <v>27</v>
      </c>
      <c r="N21" s="21">
        <f t="shared" si="5"/>
        <v>59.000000000000092</v>
      </c>
      <c r="O21" s="44">
        <v>1.7777777777777777</v>
      </c>
      <c r="P21" s="21">
        <v>0</v>
      </c>
      <c r="Q21" s="21">
        <v>0</v>
      </c>
      <c r="R21" s="21">
        <v>0</v>
      </c>
      <c r="S21" s="2"/>
      <c r="T21" s="26">
        <v>1516675</v>
      </c>
      <c r="U21" s="26">
        <f t="shared" si="2"/>
        <v>13650075</v>
      </c>
      <c r="V21" s="26">
        <f t="shared" si="3"/>
        <v>29827941.666666716</v>
      </c>
      <c r="W21" s="2"/>
      <c r="X21" s="2"/>
      <c r="Y21" s="2"/>
      <c r="Z21" s="2"/>
    </row>
    <row r="22" spans="1:26" ht="12.75" customHeight="1" x14ac:dyDescent="0.35">
      <c r="A22" s="2"/>
      <c r="B22" s="8" t="s">
        <v>37</v>
      </c>
      <c r="C22" s="8" t="s">
        <v>26</v>
      </c>
      <c r="D22" s="8">
        <v>14</v>
      </c>
      <c r="E22" s="21">
        <v>27</v>
      </c>
      <c r="F22" s="21">
        <v>0</v>
      </c>
      <c r="G22" s="21">
        <v>0</v>
      </c>
      <c r="H22" s="22">
        <v>0</v>
      </c>
      <c r="I22" s="21">
        <v>0</v>
      </c>
      <c r="J22" s="21">
        <v>11</v>
      </c>
      <c r="K22" s="21">
        <f t="shared" si="0"/>
        <v>16</v>
      </c>
      <c r="L22" s="21">
        <v>19.75</v>
      </c>
      <c r="M22" s="23">
        <v>27</v>
      </c>
      <c r="N22" s="21">
        <f t="shared" si="5"/>
        <v>48.477272727272727</v>
      </c>
      <c r="O22" s="44">
        <v>1.4545454545454546</v>
      </c>
      <c r="P22" s="21">
        <v>0</v>
      </c>
      <c r="Q22" s="21">
        <v>0</v>
      </c>
      <c r="R22" s="21">
        <v>0</v>
      </c>
      <c r="S22" s="2"/>
      <c r="T22" s="26">
        <v>1516675</v>
      </c>
      <c r="U22" s="26">
        <f t="shared" si="2"/>
        <v>16683425</v>
      </c>
      <c r="V22" s="26">
        <f t="shared" si="3"/>
        <v>29954331.25</v>
      </c>
      <c r="W22" s="2"/>
      <c r="X22" s="2"/>
      <c r="Y22" s="2"/>
      <c r="Z22" s="2"/>
    </row>
    <row r="23" spans="1:26" ht="12.75" customHeight="1" x14ac:dyDescent="0.35">
      <c r="A23" s="2"/>
      <c r="B23" s="8" t="s">
        <v>141</v>
      </c>
      <c r="C23" s="8" t="s">
        <v>26</v>
      </c>
      <c r="D23" s="8">
        <v>14</v>
      </c>
      <c r="E23" s="21">
        <v>58</v>
      </c>
      <c r="F23" s="21">
        <v>54</v>
      </c>
      <c r="G23" s="21">
        <v>0</v>
      </c>
      <c r="H23" s="22">
        <v>0</v>
      </c>
      <c r="I23" s="21">
        <v>0</v>
      </c>
      <c r="J23" s="21">
        <v>44</v>
      </c>
      <c r="K23" s="21">
        <f t="shared" si="0"/>
        <v>68</v>
      </c>
      <c r="L23" s="21">
        <v>41.25</v>
      </c>
      <c r="M23" s="23">
        <v>27</v>
      </c>
      <c r="N23" s="21">
        <f t="shared" si="5"/>
        <v>25.3125</v>
      </c>
      <c r="O23" s="44">
        <v>1.5454545454545454</v>
      </c>
      <c r="P23" s="21">
        <v>0</v>
      </c>
      <c r="Q23" s="21">
        <v>22</v>
      </c>
      <c r="R23" s="21">
        <v>0</v>
      </c>
      <c r="S23" s="2"/>
      <c r="T23" s="26">
        <v>1516675</v>
      </c>
      <c r="U23" s="26">
        <f t="shared" si="2"/>
        <v>66733700</v>
      </c>
      <c r="V23" s="26">
        <f t="shared" si="3"/>
        <v>62562843.75</v>
      </c>
      <c r="W23" s="2"/>
      <c r="X23" s="2"/>
      <c r="Y23" s="2"/>
      <c r="Z23" s="2"/>
    </row>
    <row r="24" spans="1:26" ht="12.75" customHeight="1" x14ac:dyDescent="0.35">
      <c r="A24" s="2"/>
      <c r="B24" s="8" t="s">
        <v>39</v>
      </c>
      <c r="C24" s="8" t="s">
        <v>26</v>
      </c>
      <c r="D24" s="8">
        <v>14</v>
      </c>
      <c r="E24" s="21">
        <v>78</v>
      </c>
      <c r="F24" s="21">
        <v>0</v>
      </c>
      <c r="G24" s="21">
        <v>0</v>
      </c>
      <c r="H24" s="22">
        <v>0</v>
      </c>
      <c r="I24" s="21">
        <v>0</v>
      </c>
      <c r="J24" s="21">
        <v>6</v>
      </c>
      <c r="K24" s="21">
        <f t="shared" si="0"/>
        <v>72</v>
      </c>
      <c r="L24" s="21">
        <v>74</v>
      </c>
      <c r="M24" s="23">
        <v>27</v>
      </c>
      <c r="N24" s="21">
        <f t="shared" si="5"/>
        <v>333</v>
      </c>
      <c r="O24" s="44">
        <v>12</v>
      </c>
      <c r="P24" s="21">
        <v>0</v>
      </c>
      <c r="Q24" s="21">
        <v>0</v>
      </c>
      <c r="R24" s="21">
        <v>0</v>
      </c>
      <c r="S24" s="2"/>
      <c r="T24" s="26">
        <v>1516675</v>
      </c>
      <c r="U24" s="26">
        <f t="shared" si="2"/>
        <v>9100050</v>
      </c>
      <c r="V24" s="26">
        <f t="shared" si="3"/>
        <v>112233950</v>
      </c>
      <c r="W24" s="2"/>
      <c r="X24" s="2"/>
      <c r="Y24" s="2"/>
      <c r="Z24" s="2"/>
    </row>
    <row r="25" spans="1:26" ht="12.75" customHeight="1" x14ac:dyDescent="0.35">
      <c r="A25" s="2"/>
      <c r="B25" s="8" t="s">
        <v>120</v>
      </c>
      <c r="C25" s="8" t="s">
        <v>26</v>
      </c>
      <c r="D25" s="8">
        <v>14</v>
      </c>
      <c r="E25" s="21">
        <v>37</v>
      </c>
      <c r="F25" s="21">
        <v>10</v>
      </c>
      <c r="G25" s="21">
        <v>0</v>
      </c>
      <c r="H25" s="22">
        <v>0</v>
      </c>
      <c r="I25" s="21">
        <v>-48</v>
      </c>
      <c r="J25" s="21">
        <v>71</v>
      </c>
      <c r="K25" s="21">
        <f t="shared" si="0"/>
        <v>24</v>
      </c>
      <c r="L25" s="21">
        <v>62.6</v>
      </c>
      <c r="M25" s="23">
        <v>27</v>
      </c>
      <c r="N25" s="21">
        <f t="shared" si="5"/>
        <v>73.486956521739131</v>
      </c>
      <c r="O25" s="44">
        <v>1.0434782608695652</v>
      </c>
      <c r="P25" s="21">
        <v>105</v>
      </c>
      <c r="Q25" s="21">
        <v>0</v>
      </c>
      <c r="R25" s="21">
        <v>0</v>
      </c>
      <c r="S25" s="2"/>
      <c r="T25" s="26">
        <v>1345865</v>
      </c>
      <c r="U25" s="26">
        <f t="shared" si="2"/>
        <v>30954895</v>
      </c>
      <c r="V25" s="26">
        <f t="shared" si="3"/>
        <v>84251149</v>
      </c>
      <c r="W25" s="2"/>
      <c r="X25" s="2"/>
      <c r="Y25" s="2"/>
      <c r="Z25" s="2"/>
    </row>
    <row r="26" spans="1:26" ht="12.75" customHeight="1" x14ac:dyDescent="0.35">
      <c r="A26" s="2"/>
      <c r="B26" s="8" t="s">
        <v>120</v>
      </c>
      <c r="C26" s="8" t="s">
        <v>26</v>
      </c>
      <c r="D26" s="8">
        <v>14</v>
      </c>
      <c r="E26" s="21">
        <v>76</v>
      </c>
      <c r="F26" s="21">
        <v>0</v>
      </c>
      <c r="G26" s="21">
        <v>0</v>
      </c>
      <c r="H26" s="22">
        <v>0</v>
      </c>
      <c r="I26" s="21">
        <v>0</v>
      </c>
      <c r="J26" s="21">
        <v>0</v>
      </c>
      <c r="K26" s="21">
        <f t="shared" si="0"/>
        <v>76</v>
      </c>
      <c r="L26" s="21">
        <v>0</v>
      </c>
      <c r="M26" s="23">
        <v>27</v>
      </c>
      <c r="N26" s="21">
        <v>0</v>
      </c>
      <c r="O26" s="44">
        <v>0</v>
      </c>
      <c r="P26" s="21">
        <v>0</v>
      </c>
      <c r="Q26" s="21">
        <v>0</v>
      </c>
      <c r="R26" s="21">
        <v>0</v>
      </c>
      <c r="S26" s="2"/>
      <c r="T26" s="26">
        <v>1326180</v>
      </c>
      <c r="U26" s="26">
        <f t="shared" si="2"/>
        <v>0</v>
      </c>
      <c r="V26" s="26">
        <f t="shared" si="3"/>
        <v>0</v>
      </c>
      <c r="W26" s="2"/>
      <c r="X26" s="2"/>
      <c r="Y26" s="2"/>
      <c r="Z26" s="2"/>
    </row>
    <row r="27" spans="1:26" ht="12.75" customHeight="1" x14ac:dyDescent="0.35">
      <c r="A27" s="2"/>
      <c r="B27" s="8" t="s">
        <v>150</v>
      </c>
      <c r="C27" s="8" t="s">
        <v>26</v>
      </c>
      <c r="D27" s="8">
        <v>14</v>
      </c>
      <c r="E27" s="21">
        <v>267</v>
      </c>
      <c r="F27" s="21">
        <v>82</v>
      </c>
      <c r="G27" s="21">
        <v>0</v>
      </c>
      <c r="H27" s="22">
        <v>0</v>
      </c>
      <c r="I27" s="21">
        <v>0</v>
      </c>
      <c r="J27" s="21">
        <v>0</v>
      </c>
      <c r="K27" s="21">
        <f t="shared" si="0"/>
        <v>349</v>
      </c>
      <c r="L27" s="21">
        <v>349</v>
      </c>
      <c r="M27" s="23">
        <v>27</v>
      </c>
      <c r="N27" s="21">
        <v>0</v>
      </c>
      <c r="O27" s="44">
        <v>0</v>
      </c>
      <c r="P27" s="21">
        <v>28</v>
      </c>
      <c r="Q27" s="21">
        <v>0</v>
      </c>
      <c r="R27" s="21">
        <v>0</v>
      </c>
      <c r="S27" s="2"/>
      <c r="T27" s="26">
        <v>848935</v>
      </c>
      <c r="U27" s="26">
        <f t="shared" si="2"/>
        <v>0</v>
      </c>
      <c r="V27" s="26">
        <f t="shared" si="3"/>
        <v>296278315</v>
      </c>
      <c r="W27" s="2"/>
      <c r="X27" s="2"/>
      <c r="Y27" s="2"/>
      <c r="Z27" s="2"/>
    </row>
    <row r="28" spans="1:26" ht="12.75" customHeight="1" x14ac:dyDescent="0.35">
      <c r="A28" s="2"/>
      <c r="B28" s="8" t="s">
        <v>151</v>
      </c>
      <c r="C28" s="8" t="s">
        <v>26</v>
      </c>
      <c r="D28" s="8">
        <v>14</v>
      </c>
      <c r="E28" s="21">
        <v>783</v>
      </c>
      <c r="F28" s="21">
        <v>1061</v>
      </c>
      <c r="G28" s="21">
        <v>0</v>
      </c>
      <c r="H28" s="22">
        <v>0</v>
      </c>
      <c r="I28" s="21">
        <v>0</v>
      </c>
      <c r="J28" s="21">
        <v>798</v>
      </c>
      <c r="K28" s="21">
        <f t="shared" si="0"/>
        <v>1046</v>
      </c>
      <c r="L28" s="21">
        <v>714.22222222222206</v>
      </c>
      <c r="M28" s="23">
        <v>27</v>
      </c>
      <c r="N28" s="21">
        <f t="shared" ref="N28:N31" si="6">(L28/(I28+J28))*M28</f>
        <v>24.165413533834581</v>
      </c>
      <c r="O28" s="44">
        <v>1.3107769423558897</v>
      </c>
      <c r="P28" s="21">
        <v>16</v>
      </c>
      <c r="Q28" s="21">
        <v>69</v>
      </c>
      <c r="R28" s="21">
        <v>0</v>
      </c>
      <c r="S28" s="2"/>
      <c r="T28" s="26">
        <v>1040050</v>
      </c>
      <c r="U28" s="26">
        <f t="shared" si="2"/>
        <v>829959900</v>
      </c>
      <c r="V28" s="26">
        <f t="shared" si="3"/>
        <v>742826822.22222209</v>
      </c>
      <c r="W28" s="2"/>
      <c r="X28" s="2"/>
      <c r="Y28" s="2"/>
      <c r="Z28" s="2"/>
    </row>
    <row r="29" spans="1:26" ht="12.75" customHeight="1" x14ac:dyDescent="0.35">
      <c r="A29" s="2"/>
      <c r="B29" s="8" t="s">
        <v>150</v>
      </c>
      <c r="C29" s="8" t="s">
        <v>26</v>
      </c>
      <c r="D29" s="8">
        <v>14</v>
      </c>
      <c r="E29" s="21">
        <v>104</v>
      </c>
      <c r="F29" s="21">
        <v>0</v>
      </c>
      <c r="G29" s="21">
        <v>0</v>
      </c>
      <c r="H29" s="22">
        <v>0</v>
      </c>
      <c r="I29" s="21">
        <v>0</v>
      </c>
      <c r="J29" s="21">
        <v>48</v>
      </c>
      <c r="K29" s="21">
        <f t="shared" si="0"/>
        <v>56</v>
      </c>
      <c r="L29" s="21">
        <v>56</v>
      </c>
      <c r="M29" s="23">
        <v>27</v>
      </c>
      <c r="N29" s="21">
        <f t="shared" si="6"/>
        <v>31.500000000000004</v>
      </c>
      <c r="O29" s="44">
        <v>1.1666666666666667</v>
      </c>
      <c r="P29" s="21">
        <v>0</v>
      </c>
      <c r="Q29" s="21">
        <v>0</v>
      </c>
      <c r="R29" s="21">
        <v>0</v>
      </c>
      <c r="S29" s="2"/>
      <c r="T29" s="26">
        <v>819485</v>
      </c>
      <c r="U29" s="26">
        <f t="shared" si="2"/>
        <v>39335280</v>
      </c>
      <c r="V29" s="26">
        <f t="shared" si="3"/>
        <v>45891160</v>
      </c>
      <c r="W29" s="2"/>
      <c r="X29" s="2"/>
      <c r="Y29" s="2"/>
      <c r="Z29" s="2"/>
    </row>
    <row r="30" spans="1:26" ht="12.75" customHeight="1" x14ac:dyDescent="0.35">
      <c r="A30" s="2"/>
      <c r="B30" s="8" t="s">
        <v>121</v>
      </c>
      <c r="C30" s="8" t="s">
        <v>26</v>
      </c>
      <c r="D30" s="8">
        <v>14</v>
      </c>
      <c r="E30" s="21">
        <v>331</v>
      </c>
      <c r="F30" s="21">
        <v>773</v>
      </c>
      <c r="G30" s="21">
        <v>0</v>
      </c>
      <c r="H30" s="22">
        <v>0</v>
      </c>
      <c r="I30" s="21">
        <v>0</v>
      </c>
      <c r="J30" s="21">
        <v>663</v>
      </c>
      <c r="K30" s="21">
        <f t="shared" si="0"/>
        <v>441</v>
      </c>
      <c r="L30" s="21">
        <v>703.27272727272702</v>
      </c>
      <c r="M30" s="23">
        <v>27</v>
      </c>
      <c r="N30" s="21">
        <f t="shared" si="6"/>
        <v>28.640065816536392</v>
      </c>
      <c r="O30" s="44">
        <v>0.66515837104072395</v>
      </c>
      <c r="P30" s="21">
        <v>0</v>
      </c>
      <c r="Q30" s="21">
        <v>1136</v>
      </c>
      <c r="R30" s="21">
        <v>0</v>
      </c>
      <c r="S30" s="2"/>
      <c r="T30" s="26">
        <v>819485</v>
      </c>
      <c r="U30" s="26">
        <f t="shared" si="2"/>
        <v>543318555</v>
      </c>
      <c r="V30" s="26">
        <f t="shared" si="3"/>
        <v>576321450.90909076</v>
      </c>
      <c r="W30" s="2"/>
      <c r="X30" s="2"/>
      <c r="Y30" s="2"/>
      <c r="Z30" s="2"/>
    </row>
    <row r="31" spans="1:26" ht="12.75" customHeight="1" x14ac:dyDescent="0.35">
      <c r="A31" s="2"/>
      <c r="B31" s="8" t="s">
        <v>122</v>
      </c>
      <c r="C31" s="8" t="s">
        <v>26</v>
      </c>
      <c r="D31" s="8">
        <v>14</v>
      </c>
      <c r="E31" s="21">
        <v>54</v>
      </c>
      <c r="F31" s="21">
        <v>401</v>
      </c>
      <c r="G31" s="21">
        <v>0</v>
      </c>
      <c r="H31" s="22">
        <v>0</v>
      </c>
      <c r="I31" s="21">
        <v>0</v>
      </c>
      <c r="J31" s="21">
        <v>336</v>
      </c>
      <c r="K31" s="21">
        <f t="shared" si="0"/>
        <v>119</v>
      </c>
      <c r="L31" s="21">
        <v>190.20000000000002</v>
      </c>
      <c r="M31" s="23">
        <v>27</v>
      </c>
      <c r="N31" s="21">
        <f t="shared" si="6"/>
        <v>15.283928571428573</v>
      </c>
      <c r="O31" s="44">
        <v>0.35416666666666669</v>
      </c>
      <c r="P31" s="21">
        <v>29</v>
      </c>
      <c r="Q31" s="21">
        <v>500</v>
      </c>
      <c r="R31" s="21">
        <v>0</v>
      </c>
      <c r="S31" s="2"/>
      <c r="T31" s="26">
        <v>819485</v>
      </c>
      <c r="U31" s="26">
        <f t="shared" si="2"/>
        <v>275346960</v>
      </c>
      <c r="V31" s="26">
        <f t="shared" si="3"/>
        <v>155866047</v>
      </c>
      <c r="W31" s="2"/>
      <c r="X31" s="2"/>
      <c r="Y31" s="2"/>
      <c r="Z31" s="2"/>
    </row>
    <row r="32" spans="1:26" ht="12.75" customHeight="1" x14ac:dyDescent="0.35">
      <c r="A32" s="2"/>
      <c r="B32" s="8" t="s">
        <v>151</v>
      </c>
      <c r="C32" s="8" t="s">
        <v>26</v>
      </c>
      <c r="D32" s="8">
        <v>14</v>
      </c>
      <c r="E32" s="21">
        <v>63</v>
      </c>
      <c r="F32" s="21">
        <v>0</v>
      </c>
      <c r="G32" s="21">
        <v>0</v>
      </c>
      <c r="H32" s="22">
        <v>0</v>
      </c>
      <c r="I32" s="21">
        <v>0</v>
      </c>
      <c r="J32" s="21">
        <v>0</v>
      </c>
      <c r="K32" s="21">
        <f t="shared" si="0"/>
        <v>63</v>
      </c>
      <c r="L32" s="21">
        <v>0</v>
      </c>
      <c r="M32" s="23">
        <v>27</v>
      </c>
      <c r="N32" s="21">
        <v>0</v>
      </c>
      <c r="O32" s="44">
        <v>0</v>
      </c>
      <c r="P32" s="21">
        <v>0</v>
      </c>
      <c r="Q32" s="21">
        <v>0</v>
      </c>
      <c r="R32" s="21">
        <v>0</v>
      </c>
      <c r="S32" s="2"/>
      <c r="T32" s="26">
        <v>1272550</v>
      </c>
      <c r="U32" s="26">
        <f t="shared" si="2"/>
        <v>0</v>
      </c>
      <c r="V32" s="26">
        <f t="shared" si="3"/>
        <v>0</v>
      </c>
      <c r="W32" s="2"/>
      <c r="X32" s="2"/>
      <c r="Y32" s="2"/>
      <c r="Z32" s="2"/>
    </row>
    <row r="33" spans="1:26" ht="12.75" customHeight="1" x14ac:dyDescent="0.35">
      <c r="A33" s="2"/>
      <c r="B33" s="8" t="s">
        <v>123</v>
      </c>
      <c r="C33" s="8" t="s">
        <v>26</v>
      </c>
      <c r="D33" s="8">
        <v>14</v>
      </c>
      <c r="E33" s="21">
        <v>126</v>
      </c>
      <c r="F33" s="21">
        <v>100</v>
      </c>
      <c r="G33" s="21">
        <v>0</v>
      </c>
      <c r="H33" s="22">
        <v>0</v>
      </c>
      <c r="I33" s="21">
        <v>0</v>
      </c>
      <c r="J33" s="21">
        <v>83</v>
      </c>
      <c r="K33" s="21">
        <f t="shared" si="0"/>
        <v>143</v>
      </c>
      <c r="L33" s="21">
        <v>81.428571428571402</v>
      </c>
      <c r="M33" s="23">
        <v>27</v>
      </c>
      <c r="N33" s="21">
        <f t="shared" ref="N33:N46" si="7">(L33/(I33+J33))*M33</f>
        <v>26.488812392426844</v>
      </c>
      <c r="O33" s="44">
        <v>1.7228915662650603</v>
      </c>
      <c r="P33" s="21">
        <v>0</v>
      </c>
      <c r="Q33" s="21">
        <v>100</v>
      </c>
      <c r="R33" s="21">
        <v>0</v>
      </c>
      <c r="S33" s="2"/>
      <c r="T33" s="26">
        <v>1272550</v>
      </c>
      <c r="U33" s="26">
        <f t="shared" si="2"/>
        <v>105621650</v>
      </c>
      <c r="V33" s="26">
        <f t="shared" si="3"/>
        <v>103621928.57142854</v>
      </c>
      <c r="W33" s="2"/>
      <c r="X33" s="2"/>
      <c r="Y33" s="2"/>
      <c r="Z33" s="2"/>
    </row>
    <row r="34" spans="1:26" ht="12.75" customHeight="1" x14ac:dyDescent="0.35">
      <c r="A34" s="2"/>
      <c r="B34" s="8" t="s">
        <v>48</v>
      </c>
      <c r="C34" s="8" t="s">
        <v>26</v>
      </c>
      <c r="D34" s="8">
        <v>14</v>
      </c>
      <c r="E34" s="21">
        <v>166</v>
      </c>
      <c r="F34" s="21">
        <v>0</v>
      </c>
      <c r="G34" s="21">
        <v>0</v>
      </c>
      <c r="H34" s="22">
        <v>0</v>
      </c>
      <c r="I34" s="21">
        <v>0</v>
      </c>
      <c r="J34" s="21">
        <v>119</v>
      </c>
      <c r="K34" s="21">
        <f t="shared" si="0"/>
        <v>47</v>
      </c>
      <c r="L34" s="21">
        <v>85.4</v>
      </c>
      <c r="M34" s="23">
        <v>27</v>
      </c>
      <c r="N34" s="21">
        <f t="shared" si="7"/>
        <v>19.376470588235293</v>
      </c>
      <c r="O34" s="44">
        <v>0.3949579831932773</v>
      </c>
      <c r="P34" s="21">
        <v>6</v>
      </c>
      <c r="Q34" s="21">
        <v>100</v>
      </c>
      <c r="R34" s="21">
        <v>0</v>
      </c>
      <c r="S34" s="2"/>
      <c r="T34" s="26">
        <v>1272550</v>
      </c>
      <c r="U34" s="26">
        <f t="shared" si="2"/>
        <v>151433450</v>
      </c>
      <c r="V34" s="26">
        <f t="shared" si="3"/>
        <v>108675770</v>
      </c>
      <c r="W34" s="2"/>
      <c r="X34" s="2"/>
      <c r="Y34" s="2"/>
      <c r="Z34" s="2"/>
    </row>
    <row r="35" spans="1:26" ht="12.75" customHeight="1" x14ac:dyDescent="0.35">
      <c r="A35" s="2"/>
      <c r="B35" s="8" t="s">
        <v>160</v>
      </c>
      <c r="C35" s="8" t="s">
        <v>26</v>
      </c>
      <c r="D35" s="8">
        <v>14</v>
      </c>
      <c r="E35" s="21">
        <v>458</v>
      </c>
      <c r="F35" s="21">
        <v>250</v>
      </c>
      <c r="G35" s="21">
        <v>0</v>
      </c>
      <c r="H35" s="22">
        <v>0</v>
      </c>
      <c r="I35" s="21">
        <v>0</v>
      </c>
      <c r="J35" s="21">
        <v>566</v>
      </c>
      <c r="K35" s="21">
        <f t="shared" si="0"/>
        <v>142</v>
      </c>
      <c r="L35" s="21">
        <v>215.75</v>
      </c>
      <c r="M35" s="23">
        <v>27</v>
      </c>
      <c r="N35" s="21">
        <f t="shared" si="7"/>
        <v>10.291961130742049</v>
      </c>
      <c r="O35" s="44">
        <v>0.25088339222614842</v>
      </c>
      <c r="P35" s="21">
        <v>0</v>
      </c>
      <c r="Q35" s="21">
        <v>450</v>
      </c>
      <c r="R35" s="21">
        <v>0</v>
      </c>
      <c r="S35" s="2"/>
      <c r="T35" s="26">
        <v>819485</v>
      </c>
      <c r="U35" s="26">
        <f t="shared" si="2"/>
        <v>463828510</v>
      </c>
      <c r="V35" s="26">
        <f t="shared" si="3"/>
        <v>176803888.75</v>
      </c>
      <c r="W35" s="2"/>
      <c r="X35" s="2"/>
      <c r="Y35" s="2"/>
      <c r="Z35" s="2"/>
    </row>
    <row r="36" spans="1:26" ht="12.75" customHeight="1" x14ac:dyDescent="0.35">
      <c r="A36" s="2"/>
      <c r="B36" s="8" t="s">
        <v>142</v>
      </c>
      <c r="C36" s="8" t="s">
        <v>26</v>
      </c>
      <c r="D36" s="8">
        <v>14</v>
      </c>
      <c r="E36" s="21">
        <v>453</v>
      </c>
      <c r="F36" s="21">
        <v>0</v>
      </c>
      <c r="G36" s="21">
        <v>0</v>
      </c>
      <c r="H36" s="22">
        <v>0</v>
      </c>
      <c r="I36" s="21">
        <v>0</v>
      </c>
      <c r="J36" s="21">
        <v>42</v>
      </c>
      <c r="K36" s="21">
        <f t="shared" si="0"/>
        <v>411</v>
      </c>
      <c r="L36" s="21">
        <v>426</v>
      </c>
      <c r="M36" s="23">
        <v>27</v>
      </c>
      <c r="N36" s="21">
        <f t="shared" si="7"/>
        <v>273.85714285714283</v>
      </c>
      <c r="O36" s="44">
        <v>9.7857142857142865</v>
      </c>
      <c r="P36" s="21">
        <v>0</v>
      </c>
      <c r="Q36" s="21">
        <v>0</v>
      </c>
      <c r="R36" s="21">
        <v>0</v>
      </c>
      <c r="S36" s="2"/>
      <c r="T36" s="26">
        <v>819485</v>
      </c>
      <c r="U36" s="26">
        <f t="shared" si="2"/>
        <v>34418370</v>
      </c>
      <c r="V36" s="26">
        <f t="shared" si="3"/>
        <v>349100610</v>
      </c>
      <c r="W36" s="2"/>
      <c r="X36" s="2"/>
      <c r="Y36" s="2"/>
      <c r="Z36" s="2"/>
    </row>
    <row r="37" spans="1:26" ht="12.75" customHeight="1" x14ac:dyDescent="0.35">
      <c r="A37" s="2"/>
      <c r="B37" s="8" t="s">
        <v>142</v>
      </c>
      <c r="C37" s="8" t="s">
        <v>26</v>
      </c>
      <c r="D37" s="8">
        <v>14</v>
      </c>
      <c r="E37" s="21">
        <v>162</v>
      </c>
      <c r="F37" s="21">
        <v>450</v>
      </c>
      <c r="G37" s="21">
        <v>0</v>
      </c>
      <c r="H37" s="22">
        <v>0</v>
      </c>
      <c r="I37" s="21">
        <v>0</v>
      </c>
      <c r="J37" s="21">
        <v>368</v>
      </c>
      <c r="K37" s="21">
        <f t="shared" si="0"/>
        <v>244</v>
      </c>
      <c r="L37" s="21">
        <v>341.5</v>
      </c>
      <c r="M37" s="23">
        <v>27</v>
      </c>
      <c r="N37" s="21">
        <f t="shared" si="7"/>
        <v>25.055706521739129</v>
      </c>
      <c r="O37" s="44">
        <v>0.66304347826086951</v>
      </c>
      <c r="P37" s="21">
        <v>0</v>
      </c>
      <c r="Q37" s="21">
        <v>0</v>
      </c>
      <c r="R37" s="21">
        <v>0</v>
      </c>
      <c r="S37" s="2"/>
      <c r="T37" s="26">
        <v>819485</v>
      </c>
      <c r="U37" s="26">
        <f t="shared" si="2"/>
        <v>301570480</v>
      </c>
      <c r="V37" s="26">
        <f t="shared" si="3"/>
        <v>279854127.5</v>
      </c>
      <c r="W37" s="2"/>
      <c r="X37" s="2"/>
      <c r="Y37" s="2"/>
      <c r="Z37" s="2"/>
    </row>
    <row r="38" spans="1:26" ht="12.75" customHeight="1" x14ac:dyDescent="0.35">
      <c r="A38" s="2"/>
      <c r="B38" s="8" t="s">
        <v>104</v>
      </c>
      <c r="C38" s="8" t="s">
        <v>26</v>
      </c>
      <c r="D38" s="8">
        <v>14</v>
      </c>
      <c r="E38" s="21">
        <v>180</v>
      </c>
      <c r="F38" s="21">
        <v>0</v>
      </c>
      <c r="G38" s="21">
        <v>0</v>
      </c>
      <c r="H38" s="22">
        <v>0</v>
      </c>
      <c r="I38" s="21">
        <v>0</v>
      </c>
      <c r="J38" s="21">
        <v>96</v>
      </c>
      <c r="K38" s="21">
        <f t="shared" si="0"/>
        <v>84</v>
      </c>
      <c r="L38" s="21">
        <v>108</v>
      </c>
      <c r="M38" s="23">
        <v>27</v>
      </c>
      <c r="N38" s="21">
        <f t="shared" si="7"/>
        <v>30.375</v>
      </c>
      <c r="O38" s="44">
        <v>0.875</v>
      </c>
      <c r="P38" s="21">
        <v>0</v>
      </c>
      <c r="Q38" s="21">
        <v>100</v>
      </c>
      <c r="R38" s="21">
        <v>0</v>
      </c>
      <c r="S38" s="2"/>
      <c r="T38" s="26">
        <v>1445220</v>
      </c>
      <c r="U38" s="26">
        <f t="shared" si="2"/>
        <v>138741120</v>
      </c>
      <c r="V38" s="26">
        <f t="shared" si="3"/>
        <v>156083760</v>
      </c>
      <c r="W38" s="2"/>
      <c r="X38" s="2"/>
      <c r="Y38" s="2"/>
      <c r="Z38" s="2"/>
    </row>
    <row r="39" spans="1:26" ht="12.75" customHeight="1" x14ac:dyDescent="0.35">
      <c r="A39" s="2"/>
      <c r="B39" s="8" t="s">
        <v>124</v>
      </c>
      <c r="C39" s="8" t="s">
        <v>26</v>
      </c>
      <c r="D39" s="8">
        <v>14</v>
      </c>
      <c r="E39" s="21">
        <v>94</v>
      </c>
      <c r="F39" s="21">
        <v>93</v>
      </c>
      <c r="G39" s="21">
        <v>0</v>
      </c>
      <c r="H39" s="22">
        <v>0</v>
      </c>
      <c r="I39" s="21">
        <v>0</v>
      </c>
      <c r="J39" s="21">
        <v>45</v>
      </c>
      <c r="K39" s="21">
        <f t="shared" si="0"/>
        <v>142</v>
      </c>
      <c r="L39" s="21">
        <v>164.5</v>
      </c>
      <c r="M39" s="23">
        <v>27</v>
      </c>
      <c r="N39" s="21">
        <f t="shared" si="7"/>
        <v>98.7</v>
      </c>
      <c r="O39" s="44">
        <v>3.1555555555555554</v>
      </c>
      <c r="P39" s="21">
        <v>7</v>
      </c>
      <c r="Q39" s="21">
        <v>100</v>
      </c>
      <c r="R39" s="21">
        <v>0</v>
      </c>
      <c r="S39" s="2"/>
      <c r="T39" s="26">
        <v>1445220</v>
      </c>
      <c r="U39" s="26">
        <f t="shared" si="2"/>
        <v>65034900</v>
      </c>
      <c r="V39" s="26">
        <f t="shared" si="3"/>
        <v>237738690</v>
      </c>
      <c r="W39" s="2"/>
      <c r="X39" s="2"/>
      <c r="Y39" s="2"/>
      <c r="Z39" s="2"/>
    </row>
    <row r="40" spans="1:26" ht="12.75" customHeight="1" x14ac:dyDescent="0.35">
      <c r="A40" s="2"/>
      <c r="B40" s="8" t="s">
        <v>52</v>
      </c>
      <c r="C40" s="8" t="s">
        <v>26</v>
      </c>
      <c r="D40" s="8">
        <v>14</v>
      </c>
      <c r="E40" s="21">
        <v>328</v>
      </c>
      <c r="F40" s="21">
        <v>0</v>
      </c>
      <c r="G40" s="21">
        <v>0</v>
      </c>
      <c r="H40" s="22">
        <v>0</v>
      </c>
      <c r="I40" s="21">
        <v>0</v>
      </c>
      <c r="J40" s="21">
        <v>48</v>
      </c>
      <c r="K40" s="21">
        <f t="shared" si="0"/>
        <v>280</v>
      </c>
      <c r="L40" s="21">
        <v>280</v>
      </c>
      <c r="M40" s="23">
        <v>27</v>
      </c>
      <c r="N40" s="21">
        <f t="shared" si="7"/>
        <v>157.5</v>
      </c>
      <c r="O40" s="44">
        <v>5.833333333333333</v>
      </c>
      <c r="P40" s="21">
        <v>0</v>
      </c>
      <c r="Q40" s="21">
        <v>0</v>
      </c>
      <c r="R40" s="21">
        <v>0</v>
      </c>
      <c r="S40" s="2"/>
      <c r="T40" s="26">
        <v>1445220</v>
      </c>
      <c r="U40" s="26">
        <f t="shared" si="2"/>
        <v>69370560</v>
      </c>
      <c r="V40" s="26">
        <f t="shared" si="3"/>
        <v>404661600</v>
      </c>
      <c r="W40" s="2"/>
      <c r="X40" s="2"/>
      <c r="Y40" s="2"/>
      <c r="Z40" s="2"/>
    </row>
    <row r="41" spans="1:26" ht="12.75" customHeight="1" x14ac:dyDescent="0.35">
      <c r="A41" s="2"/>
      <c r="B41" s="8" t="s">
        <v>53</v>
      </c>
      <c r="C41" s="8" t="s">
        <v>26</v>
      </c>
      <c r="D41" s="8">
        <v>14</v>
      </c>
      <c r="E41" s="21">
        <v>200</v>
      </c>
      <c r="F41" s="21">
        <v>0</v>
      </c>
      <c r="G41" s="21">
        <v>0</v>
      </c>
      <c r="H41" s="22">
        <v>0</v>
      </c>
      <c r="I41" s="21">
        <v>0</v>
      </c>
      <c r="J41" s="21">
        <v>106</v>
      </c>
      <c r="K41" s="21">
        <f t="shared" si="0"/>
        <v>94</v>
      </c>
      <c r="L41" s="21">
        <v>133.75</v>
      </c>
      <c r="M41" s="23">
        <v>27</v>
      </c>
      <c r="N41" s="21">
        <f t="shared" si="7"/>
        <v>34.068396226415096</v>
      </c>
      <c r="O41" s="44">
        <v>0.8867924528301887</v>
      </c>
      <c r="P41" s="21">
        <v>0</v>
      </c>
      <c r="Q41" s="21">
        <v>100</v>
      </c>
      <c r="R41" s="21">
        <v>0</v>
      </c>
      <c r="S41" s="2"/>
      <c r="T41" s="26">
        <v>1272550</v>
      </c>
      <c r="U41" s="26">
        <f t="shared" si="2"/>
        <v>134890300</v>
      </c>
      <c r="V41" s="26">
        <f t="shared" si="3"/>
        <v>170203562.5</v>
      </c>
      <c r="W41" s="2"/>
      <c r="X41" s="2"/>
      <c r="Y41" s="2"/>
      <c r="Z41" s="2"/>
    </row>
    <row r="42" spans="1:26" ht="12.75" customHeight="1" x14ac:dyDescent="0.35">
      <c r="A42" s="2"/>
      <c r="B42" s="8" t="s">
        <v>143</v>
      </c>
      <c r="C42" s="8" t="s">
        <v>26</v>
      </c>
      <c r="D42" s="8">
        <v>14</v>
      </c>
      <c r="E42" s="21">
        <v>579</v>
      </c>
      <c r="F42" s="21">
        <v>479</v>
      </c>
      <c r="G42" s="21">
        <v>0</v>
      </c>
      <c r="H42" s="22">
        <v>0</v>
      </c>
      <c r="I42" s="21">
        <v>0</v>
      </c>
      <c r="J42" s="21">
        <v>804</v>
      </c>
      <c r="K42" s="21">
        <f t="shared" si="0"/>
        <v>254</v>
      </c>
      <c r="L42" s="21">
        <v>244.28571428571402</v>
      </c>
      <c r="M42" s="23">
        <v>27</v>
      </c>
      <c r="N42" s="21">
        <f t="shared" si="7"/>
        <v>8.2036247334754702</v>
      </c>
      <c r="O42" s="44">
        <v>0.31592039800995025</v>
      </c>
      <c r="P42" s="21">
        <v>5</v>
      </c>
      <c r="Q42" s="21">
        <v>0</v>
      </c>
      <c r="R42" s="21">
        <v>0</v>
      </c>
      <c r="S42" s="2"/>
      <c r="T42" s="26">
        <v>819485</v>
      </c>
      <c r="U42" s="26">
        <f t="shared" si="2"/>
        <v>658865940</v>
      </c>
      <c r="V42" s="26">
        <f t="shared" si="3"/>
        <v>200188478.57142836</v>
      </c>
      <c r="W42" s="2"/>
      <c r="X42" s="2"/>
      <c r="Y42" s="2"/>
      <c r="Z42" s="2"/>
    </row>
    <row r="43" spans="1:26" ht="12.75" customHeight="1" x14ac:dyDescent="0.35">
      <c r="A43" s="2"/>
      <c r="B43" s="8" t="s">
        <v>143</v>
      </c>
      <c r="C43" s="8" t="s">
        <v>26</v>
      </c>
      <c r="D43" s="8">
        <v>14</v>
      </c>
      <c r="E43" s="21">
        <v>232</v>
      </c>
      <c r="F43" s="21">
        <v>0</v>
      </c>
      <c r="G43" s="21">
        <v>0</v>
      </c>
      <c r="H43" s="22">
        <v>0</v>
      </c>
      <c r="I43" s="21">
        <v>0</v>
      </c>
      <c r="J43" s="21">
        <v>127</v>
      </c>
      <c r="K43" s="21">
        <f t="shared" si="0"/>
        <v>105</v>
      </c>
      <c r="L43" s="21">
        <v>166.20000000000002</v>
      </c>
      <c r="M43" s="23">
        <v>27</v>
      </c>
      <c r="N43" s="21">
        <f t="shared" si="7"/>
        <v>35.333858267716536</v>
      </c>
      <c r="O43" s="44">
        <v>0.82677165354330706</v>
      </c>
      <c r="P43" s="21">
        <v>0</v>
      </c>
      <c r="Q43" s="21">
        <v>240</v>
      </c>
      <c r="R43" s="21">
        <v>0</v>
      </c>
      <c r="S43" s="2"/>
      <c r="T43" s="26">
        <v>819485</v>
      </c>
      <c r="U43" s="26">
        <f t="shared" si="2"/>
        <v>104074595</v>
      </c>
      <c r="V43" s="26">
        <f t="shared" si="3"/>
        <v>136198407</v>
      </c>
      <c r="W43" s="2"/>
      <c r="X43" s="2"/>
      <c r="Y43" s="2"/>
      <c r="Z43" s="2"/>
    </row>
    <row r="44" spans="1:26" ht="12.75" customHeight="1" x14ac:dyDescent="0.35">
      <c r="A44" s="2"/>
      <c r="B44" s="8" t="s">
        <v>56</v>
      </c>
      <c r="C44" s="8" t="s">
        <v>26</v>
      </c>
      <c r="D44" s="8">
        <v>14</v>
      </c>
      <c r="E44" s="21">
        <v>179</v>
      </c>
      <c r="F44" s="21">
        <v>210</v>
      </c>
      <c r="G44" s="21">
        <v>0</v>
      </c>
      <c r="H44" s="22">
        <v>0</v>
      </c>
      <c r="I44" s="21">
        <v>0</v>
      </c>
      <c r="J44" s="21">
        <v>102</v>
      </c>
      <c r="K44" s="21">
        <f t="shared" si="0"/>
        <v>287</v>
      </c>
      <c r="L44" s="21">
        <v>269.75</v>
      </c>
      <c r="M44" s="23">
        <v>27</v>
      </c>
      <c r="N44" s="21">
        <f t="shared" si="7"/>
        <v>71.404411764705884</v>
      </c>
      <c r="O44" s="44">
        <v>2.8137254901960786</v>
      </c>
      <c r="P44" s="21">
        <v>0</v>
      </c>
      <c r="Q44" s="21">
        <v>0</v>
      </c>
      <c r="R44" s="21">
        <v>0</v>
      </c>
      <c r="S44" s="2"/>
      <c r="T44" s="26">
        <v>819485</v>
      </c>
      <c r="U44" s="26">
        <f t="shared" si="2"/>
        <v>83587470</v>
      </c>
      <c r="V44" s="26">
        <f t="shared" si="3"/>
        <v>221056078.75</v>
      </c>
      <c r="W44" s="2"/>
      <c r="X44" s="2"/>
      <c r="Y44" s="2"/>
      <c r="Z44" s="2"/>
    </row>
    <row r="45" spans="1:26" ht="12.75" customHeight="1" x14ac:dyDescent="0.35">
      <c r="A45" s="2"/>
      <c r="B45" s="8" t="s">
        <v>152</v>
      </c>
      <c r="C45" s="8" t="s">
        <v>26</v>
      </c>
      <c r="D45" s="8">
        <v>14</v>
      </c>
      <c r="E45" s="21">
        <v>250</v>
      </c>
      <c r="F45" s="21">
        <v>581</v>
      </c>
      <c r="G45" s="21">
        <v>0</v>
      </c>
      <c r="H45" s="22">
        <v>0</v>
      </c>
      <c r="I45" s="21">
        <v>0</v>
      </c>
      <c r="J45" s="21">
        <v>419</v>
      </c>
      <c r="K45" s="21">
        <f t="shared" si="0"/>
        <v>412</v>
      </c>
      <c r="L45" s="21">
        <v>585.64285714285711</v>
      </c>
      <c r="M45" s="23">
        <v>27</v>
      </c>
      <c r="N45" s="21">
        <f t="shared" si="7"/>
        <v>37.738322536651893</v>
      </c>
      <c r="O45" s="44">
        <v>0.98329355608591884</v>
      </c>
      <c r="P45" s="21">
        <v>0</v>
      </c>
      <c r="Q45" s="21">
        <v>670</v>
      </c>
      <c r="R45" s="21">
        <v>0</v>
      </c>
      <c r="S45" s="2"/>
      <c r="T45" s="26">
        <v>819485</v>
      </c>
      <c r="U45" s="26">
        <f t="shared" si="2"/>
        <v>343364215</v>
      </c>
      <c r="V45" s="26">
        <f t="shared" si="3"/>
        <v>479925536.78571427</v>
      </c>
      <c r="W45" s="2"/>
      <c r="X45" s="2"/>
      <c r="Y45" s="2"/>
      <c r="Z45" s="2"/>
    </row>
    <row r="46" spans="1:26" ht="12.75" customHeight="1" x14ac:dyDescent="0.35">
      <c r="A46" s="2"/>
      <c r="B46" s="8" t="s">
        <v>125</v>
      </c>
      <c r="C46" s="8" t="s">
        <v>26</v>
      </c>
      <c r="D46" s="8">
        <v>14</v>
      </c>
      <c r="E46" s="21">
        <v>432.98</v>
      </c>
      <c r="F46" s="21">
        <v>470</v>
      </c>
      <c r="G46" s="21">
        <v>0</v>
      </c>
      <c r="H46" s="22">
        <v>0</v>
      </c>
      <c r="I46" s="21">
        <v>0</v>
      </c>
      <c r="J46" s="21">
        <v>408</v>
      </c>
      <c r="K46" s="21">
        <f t="shared" si="0"/>
        <v>494.98</v>
      </c>
      <c r="L46" s="21">
        <v>514.23</v>
      </c>
      <c r="M46" s="23">
        <v>27</v>
      </c>
      <c r="N46" s="21">
        <f t="shared" si="7"/>
        <v>34.029926470588236</v>
      </c>
      <c r="O46" s="44">
        <v>1.2131862745098039</v>
      </c>
      <c r="P46" s="21">
        <v>0</v>
      </c>
      <c r="Q46" s="21">
        <v>0</v>
      </c>
      <c r="R46" s="21">
        <v>0</v>
      </c>
      <c r="S46" s="2"/>
      <c r="T46" s="26">
        <v>819485</v>
      </c>
      <c r="U46" s="26">
        <f t="shared" si="2"/>
        <v>334349880</v>
      </c>
      <c r="V46" s="26">
        <f t="shared" si="3"/>
        <v>421403771.55000001</v>
      </c>
      <c r="W46" s="2"/>
      <c r="X46" s="2"/>
      <c r="Y46" s="2"/>
      <c r="Z46" s="2"/>
    </row>
    <row r="47" spans="1:26" ht="12.75" customHeight="1" x14ac:dyDescent="0.35">
      <c r="A47" s="2"/>
      <c r="B47" s="8" t="s">
        <v>143</v>
      </c>
      <c r="C47" s="8" t="s">
        <v>26</v>
      </c>
      <c r="D47" s="8">
        <v>14</v>
      </c>
      <c r="E47" s="21">
        <v>21</v>
      </c>
      <c r="F47" s="21">
        <v>0</v>
      </c>
      <c r="G47" s="21">
        <v>0</v>
      </c>
      <c r="H47" s="22">
        <v>0</v>
      </c>
      <c r="I47" s="21">
        <v>0</v>
      </c>
      <c r="J47" s="21">
        <v>0</v>
      </c>
      <c r="K47" s="21">
        <f t="shared" si="0"/>
        <v>21</v>
      </c>
      <c r="L47" s="21">
        <v>0</v>
      </c>
      <c r="M47" s="23">
        <v>27</v>
      </c>
      <c r="N47" s="21">
        <v>0</v>
      </c>
      <c r="O47" s="44">
        <v>0</v>
      </c>
      <c r="P47" s="21">
        <v>0</v>
      </c>
      <c r="Q47" s="21">
        <v>0</v>
      </c>
      <c r="R47" s="21">
        <v>0</v>
      </c>
      <c r="S47" s="2"/>
      <c r="T47" s="26">
        <v>1481800</v>
      </c>
      <c r="U47" s="26">
        <f t="shared" si="2"/>
        <v>0</v>
      </c>
      <c r="V47" s="26">
        <f t="shared" si="3"/>
        <v>0</v>
      </c>
      <c r="W47" s="2"/>
      <c r="X47" s="2"/>
      <c r="Y47" s="2"/>
      <c r="Z47" s="2"/>
    </row>
    <row r="48" spans="1:26" ht="12.75" customHeight="1" x14ac:dyDescent="0.35">
      <c r="A48" s="2"/>
      <c r="B48" s="8" t="s">
        <v>58</v>
      </c>
      <c r="C48" s="8" t="s">
        <v>26</v>
      </c>
      <c r="D48" s="8">
        <v>14</v>
      </c>
      <c r="E48" s="21">
        <v>128</v>
      </c>
      <c r="F48" s="21">
        <v>0</v>
      </c>
      <c r="G48" s="21">
        <v>0</v>
      </c>
      <c r="H48" s="22">
        <v>0</v>
      </c>
      <c r="I48" s="21">
        <v>0</v>
      </c>
      <c r="J48" s="21">
        <v>0</v>
      </c>
      <c r="K48" s="21">
        <f t="shared" si="0"/>
        <v>128</v>
      </c>
      <c r="L48" s="21">
        <v>0</v>
      </c>
      <c r="M48" s="23">
        <v>27</v>
      </c>
      <c r="N48" s="21">
        <v>0</v>
      </c>
      <c r="O48" s="44">
        <v>0</v>
      </c>
      <c r="P48" s="21">
        <v>0</v>
      </c>
      <c r="Q48" s="21">
        <v>0</v>
      </c>
      <c r="R48" s="21">
        <v>0</v>
      </c>
      <c r="S48" s="2"/>
      <c r="T48" s="26">
        <v>1481800</v>
      </c>
      <c r="U48" s="26">
        <f t="shared" si="2"/>
        <v>0</v>
      </c>
      <c r="V48" s="26">
        <f t="shared" si="3"/>
        <v>0</v>
      </c>
      <c r="W48" s="2"/>
      <c r="X48" s="2"/>
      <c r="Y48" s="2"/>
      <c r="Z48" s="2"/>
    </row>
    <row r="49" spans="1:26" ht="12.75" customHeight="1" x14ac:dyDescent="0.35">
      <c r="A49" s="2"/>
      <c r="B49" s="8" t="s">
        <v>59</v>
      </c>
      <c r="C49" s="8" t="s">
        <v>26</v>
      </c>
      <c r="D49" s="8">
        <v>14</v>
      </c>
      <c r="E49" s="21">
        <v>1</v>
      </c>
      <c r="F49" s="21">
        <v>0</v>
      </c>
      <c r="G49" s="21">
        <v>0</v>
      </c>
      <c r="H49" s="22">
        <v>1</v>
      </c>
      <c r="I49" s="21">
        <v>0</v>
      </c>
      <c r="J49" s="21">
        <v>2</v>
      </c>
      <c r="K49" s="21">
        <f t="shared" si="0"/>
        <v>-1</v>
      </c>
      <c r="L49" s="21">
        <v>0</v>
      </c>
      <c r="M49" s="23">
        <v>27</v>
      </c>
      <c r="N49" s="21">
        <f>(L49/(I49+J49))*M49</f>
        <v>0</v>
      </c>
      <c r="O49" s="44">
        <v>0</v>
      </c>
      <c r="P49" s="21">
        <v>0</v>
      </c>
      <c r="Q49" s="21">
        <v>0</v>
      </c>
      <c r="R49" s="21">
        <v>0</v>
      </c>
      <c r="S49" s="2"/>
      <c r="T49" s="26">
        <v>1481800</v>
      </c>
      <c r="U49" s="26">
        <f t="shared" si="2"/>
        <v>2963600</v>
      </c>
      <c r="V49" s="26">
        <f t="shared" si="3"/>
        <v>0</v>
      </c>
      <c r="W49" s="2"/>
      <c r="X49" s="2"/>
      <c r="Y49" s="2"/>
      <c r="Z49" s="2"/>
    </row>
    <row r="50" spans="1:26" ht="12.75" customHeight="1" x14ac:dyDescent="0.35">
      <c r="A50" s="2"/>
      <c r="B50" s="8" t="s">
        <v>153</v>
      </c>
      <c r="C50" s="8" t="s">
        <v>26</v>
      </c>
      <c r="D50" s="8">
        <v>14</v>
      </c>
      <c r="E50" s="21">
        <v>28</v>
      </c>
      <c r="F50" s="21">
        <v>0</v>
      </c>
      <c r="G50" s="21">
        <v>0</v>
      </c>
      <c r="H50" s="22">
        <v>0</v>
      </c>
      <c r="I50" s="21">
        <v>0</v>
      </c>
      <c r="J50" s="21">
        <v>0</v>
      </c>
      <c r="K50" s="21">
        <f t="shared" si="0"/>
        <v>28</v>
      </c>
      <c r="L50" s="21">
        <v>0</v>
      </c>
      <c r="M50" s="23">
        <v>27</v>
      </c>
      <c r="N50" s="21">
        <v>0</v>
      </c>
      <c r="O50" s="44">
        <v>0</v>
      </c>
      <c r="P50" s="21">
        <v>0</v>
      </c>
      <c r="Q50" s="21">
        <v>0</v>
      </c>
      <c r="R50" s="21">
        <v>0</v>
      </c>
      <c r="S50" s="2"/>
      <c r="T50" s="26">
        <v>1481800</v>
      </c>
      <c r="U50" s="26">
        <f t="shared" si="2"/>
        <v>0</v>
      </c>
      <c r="V50" s="26">
        <f t="shared" si="3"/>
        <v>0</v>
      </c>
      <c r="W50" s="2"/>
      <c r="X50" s="2"/>
      <c r="Y50" s="2"/>
      <c r="Z50" s="2"/>
    </row>
    <row r="51" spans="1:26" ht="12.75" customHeight="1" x14ac:dyDescent="0.35">
      <c r="A51" s="2"/>
      <c r="B51" s="8" t="s">
        <v>153</v>
      </c>
      <c r="C51" s="8" t="s">
        <v>26</v>
      </c>
      <c r="D51" s="8">
        <v>14</v>
      </c>
      <c r="E51" s="21">
        <v>18</v>
      </c>
      <c r="F51" s="21">
        <v>18</v>
      </c>
      <c r="G51" s="21">
        <v>0</v>
      </c>
      <c r="H51" s="22">
        <v>0</v>
      </c>
      <c r="I51" s="21">
        <v>0</v>
      </c>
      <c r="J51" s="21">
        <v>17</v>
      </c>
      <c r="K51" s="21">
        <f t="shared" si="0"/>
        <v>19</v>
      </c>
      <c r="L51" s="21">
        <v>20.8333333333333</v>
      </c>
      <c r="M51" s="23">
        <v>27</v>
      </c>
      <c r="N51" s="21">
        <f t="shared" ref="N51:N57" si="8">(L51/(I51+J51))*M51</f>
        <v>33.088235294117595</v>
      </c>
      <c r="O51" s="44">
        <v>1.1176470588235294</v>
      </c>
      <c r="P51" s="21">
        <v>0.5</v>
      </c>
      <c r="Q51" s="21">
        <v>18.5</v>
      </c>
      <c r="R51" s="21">
        <v>0</v>
      </c>
      <c r="S51" s="2"/>
      <c r="T51" s="26">
        <v>1481800</v>
      </c>
      <c r="U51" s="26">
        <f t="shared" si="2"/>
        <v>25190600</v>
      </c>
      <c r="V51" s="26">
        <f t="shared" si="3"/>
        <v>30870833.333333284</v>
      </c>
      <c r="W51" s="2"/>
      <c r="X51" s="2"/>
      <c r="Y51" s="2"/>
      <c r="Z51" s="2"/>
    </row>
    <row r="52" spans="1:26" ht="12.75" customHeight="1" x14ac:dyDescent="0.35">
      <c r="A52" s="2"/>
      <c r="B52" s="8" t="s">
        <v>61</v>
      </c>
      <c r="C52" s="8" t="s">
        <v>26</v>
      </c>
      <c r="D52" s="8">
        <v>14</v>
      </c>
      <c r="E52" s="21">
        <v>50</v>
      </c>
      <c r="F52" s="21">
        <v>0</v>
      </c>
      <c r="G52" s="21">
        <v>0</v>
      </c>
      <c r="H52" s="22">
        <v>0</v>
      </c>
      <c r="I52" s="21">
        <v>0</v>
      </c>
      <c r="J52" s="21">
        <v>2</v>
      </c>
      <c r="K52" s="21">
        <f t="shared" si="0"/>
        <v>48</v>
      </c>
      <c r="L52" s="21">
        <v>48</v>
      </c>
      <c r="M52" s="23">
        <v>27</v>
      </c>
      <c r="N52" s="21">
        <f t="shared" si="8"/>
        <v>648</v>
      </c>
      <c r="O52" s="44">
        <v>24</v>
      </c>
      <c r="P52" s="21">
        <v>0</v>
      </c>
      <c r="Q52" s="21">
        <v>0</v>
      </c>
      <c r="R52" s="21">
        <v>0</v>
      </c>
      <c r="S52" s="2"/>
      <c r="T52" s="26">
        <v>1481800</v>
      </c>
      <c r="U52" s="26">
        <f t="shared" si="2"/>
        <v>2963600</v>
      </c>
      <c r="V52" s="26">
        <f t="shared" si="3"/>
        <v>71126400</v>
      </c>
      <c r="W52" s="2"/>
      <c r="X52" s="2"/>
      <c r="Y52" s="2"/>
      <c r="Z52" s="2"/>
    </row>
    <row r="53" spans="1:26" ht="12.75" customHeight="1" x14ac:dyDescent="0.35">
      <c r="A53" s="2"/>
      <c r="B53" s="8" t="s">
        <v>62</v>
      </c>
      <c r="C53" s="8" t="s">
        <v>26</v>
      </c>
      <c r="D53" s="8">
        <v>14</v>
      </c>
      <c r="E53" s="21">
        <v>48</v>
      </c>
      <c r="F53" s="21">
        <v>0</v>
      </c>
      <c r="G53" s="21">
        <v>0</v>
      </c>
      <c r="H53" s="22">
        <v>0</v>
      </c>
      <c r="I53" s="21">
        <v>0</v>
      </c>
      <c r="J53" s="21">
        <v>2</v>
      </c>
      <c r="K53" s="21">
        <f t="shared" si="0"/>
        <v>46</v>
      </c>
      <c r="L53" s="21">
        <v>46</v>
      </c>
      <c r="M53" s="23">
        <v>27</v>
      </c>
      <c r="N53" s="21">
        <f t="shared" si="8"/>
        <v>621</v>
      </c>
      <c r="O53" s="44">
        <v>23</v>
      </c>
      <c r="P53" s="21">
        <v>0</v>
      </c>
      <c r="Q53" s="21">
        <v>0</v>
      </c>
      <c r="R53" s="21">
        <v>0</v>
      </c>
      <c r="S53" s="2"/>
      <c r="T53" s="26">
        <v>1481800</v>
      </c>
      <c r="U53" s="26">
        <f t="shared" si="2"/>
        <v>2963600</v>
      </c>
      <c r="V53" s="26">
        <f t="shared" si="3"/>
        <v>68162800</v>
      </c>
      <c r="W53" s="2"/>
      <c r="X53" s="2"/>
      <c r="Y53" s="2"/>
      <c r="Z53" s="2"/>
    </row>
    <row r="54" spans="1:26" ht="12.75" customHeight="1" x14ac:dyDescent="0.35">
      <c r="A54" s="2"/>
      <c r="B54" s="8" t="s">
        <v>105</v>
      </c>
      <c r="C54" s="8" t="s">
        <v>26</v>
      </c>
      <c r="D54" s="8">
        <v>14</v>
      </c>
      <c r="E54" s="21">
        <v>451</v>
      </c>
      <c r="F54" s="21">
        <v>216</v>
      </c>
      <c r="G54" s="21">
        <v>0</v>
      </c>
      <c r="H54" s="22">
        <v>0</v>
      </c>
      <c r="I54" s="21">
        <v>0</v>
      </c>
      <c r="J54" s="21">
        <v>252</v>
      </c>
      <c r="K54" s="21">
        <f t="shared" si="0"/>
        <v>415</v>
      </c>
      <c r="L54" s="21">
        <v>360</v>
      </c>
      <c r="M54" s="23">
        <v>27</v>
      </c>
      <c r="N54" s="21">
        <f t="shared" si="8"/>
        <v>38.571428571428569</v>
      </c>
      <c r="O54" s="44">
        <v>1.6468253968253967</v>
      </c>
      <c r="P54" s="21">
        <v>41</v>
      </c>
      <c r="Q54" s="21">
        <v>100</v>
      </c>
      <c r="R54" s="21">
        <v>0</v>
      </c>
      <c r="S54" s="2"/>
      <c r="T54" s="26">
        <v>848935</v>
      </c>
      <c r="U54" s="26">
        <f t="shared" si="2"/>
        <v>213931620</v>
      </c>
      <c r="V54" s="26">
        <f t="shared" si="3"/>
        <v>305616600</v>
      </c>
      <c r="W54" s="2"/>
      <c r="X54" s="2"/>
      <c r="Y54" s="2"/>
      <c r="Z54" s="2"/>
    </row>
    <row r="55" spans="1:26" ht="12.75" customHeight="1" x14ac:dyDescent="0.35">
      <c r="A55" s="2"/>
      <c r="B55" s="8" t="s">
        <v>126</v>
      </c>
      <c r="C55" s="8" t="s">
        <v>26</v>
      </c>
      <c r="D55" s="8">
        <v>14</v>
      </c>
      <c r="E55" s="21">
        <v>340</v>
      </c>
      <c r="F55" s="21">
        <v>431</v>
      </c>
      <c r="G55" s="21">
        <v>0</v>
      </c>
      <c r="H55" s="22">
        <v>0</v>
      </c>
      <c r="I55" s="21">
        <v>0</v>
      </c>
      <c r="J55" s="21">
        <v>506</v>
      </c>
      <c r="K55" s="21">
        <f t="shared" si="0"/>
        <v>265</v>
      </c>
      <c r="L55" s="21">
        <v>224.666666666667</v>
      </c>
      <c r="M55" s="23">
        <v>27</v>
      </c>
      <c r="N55" s="21">
        <f t="shared" si="8"/>
        <v>11.988142292490137</v>
      </c>
      <c r="O55" s="44">
        <v>0.52371541501976282</v>
      </c>
      <c r="P55" s="21">
        <v>0</v>
      </c>
      <c r="Q55" s="21">
        <v>650</v>
      </c>
      <c r="R55" s="21">
        <v>150</v>
      </c>
      <c r="S55" s="2"/>
      <c r="T55" s="26">
        <v>1012770</v>
      </c>
      <c r="U55" s="26">
        <f t="shared" si="2"/>
        <v>512461620</v>
      </c>
      <c r="V55" s="26">
        <f t="shared" si="3"/>
        <v>227535660.00000033</v>
      </c>
      <c r="W55" s="2"/>
      <c r="X55" s="2"/>
      <c r="Y55" s="2"/>
      <c r="Z55" s="2"/>
    </row>
    <row r="56" spans="1:26" ht="12.75" customHeight="1" x14ac:dyDescent="0.35">
      <c r="A56" s="2"/>
      <c r="B56" s="8" t="s">
        <v>161</v>
      </c>
      <c r="C56" s="8" t="s">
        <v>26</v>
      </c>
      <c r="D56" s="8">
        <v>14</v>
      </c>
      <c r="E56" s="21">
        <v>0</v>
      </c>
      <c r="F56" s="21">
        <v>100</v>
      </c>
      <c r="G56" s="21">
        <v>0</v>
      </c>
      <c r="H56" s="22">
        <v>0</v>
      </c>
      <c r="I56" s="21">
        <v>0</v>
      </c>
      <c r="J56" s="21">
        <v>55</v>
      </c>
      <c r="K56" s="21">
        <f t="shared" si="0"/>
        <v>45</v>
      </c>
      <c r="L56" s="21">
        <v>72.5</v>
      </c>
      <c r="M56" s="23">
        <v>27</v>
      </c>
      <c r="N56" s="21">
        <f t="shared" si="8"/>
        <v>35.590909090909086</v>
      </c>
      <c r="O56" s="44">
        <v>0.81818181818181823</v>
      </c>
      <c r="P56" s="21">
        <v>0</v>
      </c>
      <c r="Q56" s="21">
        <v>450</v>
      </c>
      <c r="R56" s="21">
        <v>0</v>
      </c>
      <c r="S56" s="2"/>
      <c r="T56" s="26">
        <v>1012770</v>
      </c>
      <c r="U56" s="26">
        <f t="shared" si="2"/>
        <v>55702350</v>
      </c>
      <c r="V56" s="26">
        <f t="shared" si="3"/>
        <v>73425825</v>
      </c>
      <c r="W56" s="2"/>
      <c r="X56" s="2"/>
      <c r="Y56" s="2"/>
      <c r="Z56" s="2"/>
    </row>
    <row r="57" spans="1:26" ht="12.75" customHeight="1" x14ac:dyDescent="0.35">
      <c r="A57" s="2"/>
      <c r="B57" s="8" t="s">
        <v>126</v>
      </c>
      <c r="C57" s="8" t="s">
        <v>26</v>
      </c>
      <c r="D57" s="8">
        <v>14</v>
      </c>
      <c r="E57" s="21">
        <v>120</v>
      </c>
      <c r="F57" s="21">
        <v>0</v>
      </c>
      <c r="G57" s="21">
        <v>0</v>
      </c>
      <c r="H57" s="22">
        <v>0</v>
      </c>
      <c r="I57" s="21">
        <v>0</v>
      </c>
      <c r="J57" s="21">
        <v>120</v>
      </c>
      <c r="K57" s="21">
        <f t="shared" si="0"/>
        <v>0</v>
      </c>
      <c r="L57" s="21">
        <v>35</v>
      </c>
      <c r="M57" s="23">
        <v>27</v>
      </c>
      <c r="N57" s="21">
        <f t="shared" si="8"/>
        <v>7.8750000000000009</v>
      </c>
      <c r="O57" s="44">
        <v>0</v>
      </c>
      <c r="P57" s="21">
        <v>0</v>
      </c>
      <c r="Q57" s="21">
        <v>0</v>
      </c>
      <c r="R57" s="21">
        <v>0</v>
      </c>
      <c r="S57" s="2"/>
      <c r="T57" s="26">
        <v>1012770</v>
      </c>
      <c r="U57" s="26">
        <f t="shared" si="2"/>
        <v>121532400</v>
      </c>
      <c r="V57" s="26">
        <f t="shared" si="3"/>
        <v>35446950</v>
      </c>
      <c r="W57" s="2"/>
      <c r="X57" s="2"/>
      <c r="Y57" s="2"/>
      <c r="Z57" s="2"/>
    </row>
    <row r="58" spans="1:26" ht="12.75" customHeight="1" x14ac:dyDescent="0.35">
      <c r="A58" s="2"/>
      <c r="B58" s="8" t="s">
        <v>162</v>
      </c>
      <c r="C58" s="8" t="s">
        <v>26</v>
      </c>
      <c r="D58" s="8">
        <v>14</v>
      </c>
      <c r="E58" s="21">
        <v>23</v>
      </c>
      <c r="F58" s="21">
        <v>0</v>
      </c>
      <c r="G58" s="21">
        <v>0</v>
      </c>
      <c r="H58" s="22">
        <v>0</v>
      </c>
      <c r="I58" s="21">
        <v>0</v>
      </c>
      <c r="J58" s="21">
        <v>0</v>
      </c>
      <c r="K58" s="21">
        <f t="shared" si="0"/>
        <v>23</v>
      </c>
      <c r="L58" s="21">
        <v>0</v>
      </c>
      <c r="M58" s="23">
        <v>27</v>
      </c>
      <c r="N58" s="21">
        <v>0</v>
      </c>
      <c r="O58" s="44">
        <v>0</v>
      </c>
      <c r="P58" s="21">
        <v>0</v>
      </c>
      <c r="Q58" s="21">
        <v>0</v>
      </c>
      <c r="R58" s="21">
        <v>0</v>
      </c>
      <c r="S58" s="2"/>
      <c r="T58" s="26">
        <v>1012770</v>
      </c>
      <c r="U58" s="26">
        <f t="shared" si="2"/>
        <v>0</v>
      </c>
      <c r="V58" s="26">
        <f t="shared" si="3"/>
        <v>0</v>
      </c>
      <c r="W58" s="2"/>
      <c r="X58" s="2"/>
      <c r="Y58" s="2"/>
      <c r="Z58" s="2"/>
    </row>
    <row r="59" spans="1:26" ht="12.75" customHeight="1" x14ac:dyDescent="0.35">
      <c r="A59" s="2"/>
      <c r="B59" s="8" t="s">
        <v>127</v>
      </c>
      <c r="C59" s="8" t="s">
        <v>26</v>
      </c>
      <c r="D59" s="8">
        <v>14</v>
      </c>
      <c r="E59" s="21">
        <v>40</v>
      </c>
      <c r="F59" s="21">
        <v>0</v>
      </c>
      <c r="G59" s="21">
        <v>0</v>
      </c>
      <c r="H59" s="22">
        <v>0</v>
      </c>
      <c r="I59" s="21">
        <v>0</v>
      </c>
      <c r="J59" s="21">
        <v>16</v>
      </c>
      <c r="K59" s="21">
        <f t="shared" si="0"/>
        <v>24</v>
      </c>
      <c r="L59" s="21">
        <v>29</v>
      </c>
      <c r="M59" s="23">
        <v>27</v>
      </c>
      <c r="N59" s="21">
        <f t="shared" ref="N59:N60" si="9">(L59/(I59+J59))*M59</f>
        <v>48.9375</v>
      </c>
      <c r="O59" s="44">
        <v>1.5</v>
      </c>
      <c r="P59" s="21">
        <v>0</v>
      </c>
      <c r="Q59" s="21">
        <v>0</v>
      </c>
      <c r="R59" s="21">
        <v>0</v>
      </c>
      <c r="S59" s="2"/>
      <c r="T59" s="26">
        <v>1237210</v>
      </c>
      <c r="U59" s="26">
        <f t="shared" si="2"/>
        <v>19795360</v>
      </c>
      <c r="V59" s="26">
        <f t="shared" si="3"/>
        <v>35879090</v>
      </c>
      <c r="W59" s="2"/>
      <c r="X59" s="2"/>
      <c r="Y59" s="2"/>
      <c r="Z59" s="2"/>
    </row>
    <row r="60" spans="1:26" ht="12.75" customHeight="1" x14ac:dyDescent="0.35">
      <c r="A60" s="2"/>
      <c r="B60" s="8" t="s">
        <v>69</v>
      </c>
      <c r="C60" s="8" t="s">
        <v>26</v>
      </c>
      <c r="D60" s="8">
        <v>14</v>
      </c>
      <c r="E60" s="21">
        <v>34</v>
      </c>
      <c r="F60" s="21">
        <v>0</v>
      </c>
      <c r="G60" s="21">
        <v>0</v>
      </c>
      <c r="H60" s="22">
        <v>0</v>
      </c>
      <c r="I60" s="21">
        <v>0</v>
      </c>
      <c r="J60" s="21">
        <v>9</v>
      </c>
      <c r="K60" s="21">
        <f t="shared" si="0"/>
        <v>25</v>
      </c>
      <c r="L60" s="21">
        <v>28.5</v>
      </c>
      <c r="M60" s="23">
        <v>27</v>
      </c>
      <c r="N60" s="21">
        <f t="shared" si="9"/>
        <v>85.5</v>
      </c>
      <c r="O60" s="44">
        <v>2.7777777777777777</v>
      </c>
      <c r="P60" s="21">
        <v>0</v>
      </c>
      <c r="Q60" s="21">
        <v>0</v>
      </c>
      <c r="R60" s="21">
        <v>0</v>
      </c>
      <c r="S60" s="2"/>
      <c r="T60" s="26">
        <v>1436695</v>
      </c>
      <c r="U60" s="26">
        <f t="shared" si="2"/>
        <v>12930255</v>
      </c>
      <c r="V60" s="26">
        <f t="shared" si="3"/>
        <v>40945807.5</v>
      </c>
      <c r="W60" s="2"/>
      <c r="X60" s="2"/>
      <c r="Y60" s="2"/>
      <c r="Z60" s="2"/>
    </row>
    <row r="61" spans="1:26" ht="12.75" customHeight="1" x14ac:dyDescent="0.35">
      <c r="A61" s="2"/>
      <c r="B61" s="8" t="s">
        <v>127</v>
      </c>
      <c r="C61" s="8" t="s">
        <v>26</v>
      </c>
      <c r="D61" s="8">
        <v>14</v>
      </c>
      <c r="E61" s="21">
        <v>105</v>
      </c>
      <c r="F61" s="21">
        <v>0</v>
      </c>
      <c r="G61" s="21">
        <v>0</v>
      </c>
      <c r="H61" s="22">
        <v>0</v>
      </c>
      <c r="I61" s="21">
        <v>0</v>
      </c>
      <c r="J61" s="21">
        <v>0</v>
      </c>
      <c r="K61" s="21">
        <f t="shared" si="0"/>
        <v>105</v>
      </c>
      <c r="L61" s="21">
        <v>0</v>
      </c>
      <c r="M61" s="23">
        <v>27</v>
      </c>
      <c r="N61" s="21">
        <v>0</v>
      </c>
      <c r="O61" s="44">
        <v>0</v>
      </c>
      <c r="P61" s="21">
        <v>0</v>
      </c>
      <c r="Q61" s="21">
        <v>0</v>
      </c>
      <c r="R61" s="21">
        <v>0</v>
      </c>
      <c r="S61" s="2"/>
      <c r="T61" s="26">
        <v>1436695</v>
      </c>
      <c r="U61" s="26">
        <f t="shared" si="2"/>
        <v>0</v>
      </c>
      <c r="V61" s="26">
        <f t="shared" si="3"/>
        <v>0</v>
      </c>
      <c r="W61" s="2"/>
      <c r="X61" s="2"/>
      <c r="Y61" s="2"/>
      <c r="Z61" s="2"/>
    </row>
    <row r="62" spans="1:26" ht="12.75" customHeight="1" x14ac:dyDescent="0.35">
      <c r="A62" s="2"/>
      <c r="B62" s="8" t="s">
        <v>144</v>
      </c>
      <c r="C62" s="8" t="s">
        <v>26</v>
      </c>
      <c r="D62" s="8">
        <v>14</v>
      </c>
      <c r="E62" s="21">
        <v>907</v>
      </c>
      <c r="F62" s="21">
        <v>4</v>
      </c>
      <c r="G62" s="21">
        <v>0</v>
      </c>
      <c r="H62" s="22">
        <v>0</v>
      </c>
      <c r="I62" s="21">
        <v>0</v>
      </c>
      <c r="J62" s="21">
        <v>796</v>
      </c>
      <c r="K62" s="21">
        <f t="shared" si="0"/>
        <v>115</v>
      </c>
      <c r="L62" s="21">
        <v>511.36363636363603</v>
      </c>
      <c r="M62" s="23">
        <v>27</v>
      </c>
      <c r="N62" s="21">
        <f t="shared" ref="N62:N66" si="10">(L62/(I62+J62))*M62</f>
        <v>17.345248972133383</v>
      </c>
      <c r="O62" s="44">
        <v>0.14447236180904521</v>
      </c>
      <c r="P62" s="21">
        <v>0</v>
      </c>
      <c r="Q62" s="21">
        <v>800</v>
      </c>
      <c r="R62" s="21">
        <v>0</v>
      </c>
      <c r="S62" s="2"/>
      <c r="T62" s="26">
        <v>848935</v>
      </c>
      <c r="U62" s="26">
        <f t="shared" si="2"/>
        <v>675752260</v>
      </c>
      <c r="V62" s="26">
        <f t="shared" si="3"/>
        <v>434114488.63636333</v>
      </c>
      <c r="W62" s="2"/>
      <c r="X62" s="2"/>
      <c r="Y62" s="2"/>
      <c r="Z62" s="2"/>
    </row>
    <row r="63" spans="1:26" ht="12.75" customHeight="1" x14ac:dyDescent="0.35">
      <c r="A63" s="2"/>
      <c r="B63" s="8" t="s">
        <v>128</v>
      </c>
      <c r="C63" s="8" t="s">
        <v>26</v>
      </c>
      <c r="D63" s="8">
        <v>14</v>
      </c>
      <c r="E63" s="21">
        <v>97</v>
      </c>
      <c r="F63" s="21">
        <v>0</v>
      </c>
      <c r="G63" s="21">
        <v>0</v>
      </c>
      <c r="H63" s="22">
        <v>0</v>
      </c>
      <c r="I63" s="21">
        <v>0</v>
      </c>
      <c r="J63" s="21">
        <v>16</v>
      </c>
      <c r="K63" s="21">
        <f t="shared" si="0"/>
        <v>81</v>
      </c>
      <c r="L63" s="21">
        <v>87</v>
      </c>
      <c r="M63" s="23">
        <v>27</v>
      </c>
      <c r="N63" s="21">
        <f t="shared" si="10"/>
        <v>146.8125</v>
      </c>
      <c r="O63" s="44">
        <v>5.0625</v>
      </c>
      <c r="P63" s="21">
        <v>0</v>
      </c>
      <c r="Q63" s="21">
        <v>0</v>
      </c>
      <c r="R63" s="21">
        <v>0</v>
      </c>
      <c r="S63" s="2"/>
      <c r="T63" s="26">
        <v>1497718</v>
      </c>
      <c r="U63" s="26">
        <f t="shared" si="2"/>
        <v>23963488</v>
      </c>
      <c r="V63" s="26">
        <f t="shared" si="3"/>
        <v>130301466</v>
      </c>
      <c r="W63" s="2"/>
      <c r="X63" s="2"/>
      <c r="Y63" s="2"/>
      <c r="Z63" s="2"/>
    </row>
    <row r="64" spans="1:26" ht="12.75" customHeight="1" x14ac:dyDescent="0.35">
      <c r="A64" s="2"/>
      <c r="B64" s="8" t="s">
        <v>72</v>
      </c>
      <c r="C64" s="8" t="s">
        <v>26</v>
      </c>
      <c r="D64" s="8">
        <v>14</v>
      </c>
      <c r="E64" s="21">
        <v>243</v>
      </c>
      <c r="F64" s="21">
        <v>369</v>
      </c>
      <c r="G64" s="21">
        <v>0</v>
      </c>
      <c r="H64" s="22">
        <v>20</v>
      </c>
      <c r="I64" s="21">
        <v>0</v>
      </c>
      <c r="J64" s="21">
        <v>632</v>
      </c>
      <c r="K64" s="21">
        <f t="shared" si="0"/>
        <v>-20</v>
      </c>
      <c r="L64" s="21">
        <v>224.57894736842101</v>
      </c>
      <c r="M64" s="23">
        <v>27</v>
      </c>
      <c r="N64" s="21">
        <f t="shared" si="10"/>
        <v>9.5943537641572263</v>
      </c>
      <c r="O64" s="44">
        <v>0</v>
      </c>
      <c r="P64" s="21">
        <v>0</v>
      </c>
      <c r="Q64" s="21">
        <v>0</v>
      </c>
      <c r="R64" s="21">
        <v>0</v>
      </c>
      <c r="S64" s="2"/>
      <c r="T64" s="26">
        <v>1396550</v>
      </c>
      <c r="U64" s="26">
        <f t="shared" si="2"/>
        <v>882619600</v>
      </c>
      <c r="V64" s="26">
        <f t="shared" si="3"/>
        <v>313635728.94736838</v>
      </c>
      <c r="W64" s="2"/>
      <c r="X64" s="2"/>
      <c r="Y64" s="2"/>
      <c r="Z64" s="2"/>
    </row>
    <row r="65" spans="1:26" ht="12.75" customHeight="1" x14ac:dyDescent="0.35">
      <c r="A65" s="2"/>
      <c r="B65" s="8" t="s">
        <v>128</v>
      </c>
      <c r="C65" s="8" t="s">
        <v>26</v>
      </c>
      <c r="D65" s="8">
        <v>14</v>
      </c>
      <c r="E65" s="21">
        <v>0</v>
      </c>
      <c r="F65" s="21">
        <v>482</v>
      </c>
      <c r="G65" s="21">
        <v>0</v>
      </c>
      <c r="H65" s="22">
        <v>0</v>
      </c>
      <c r="I65" s="21">
        <v>0</v>
      </c>
      <c r="J65" s="21">
        <v>144</v>
      </c>
      <c r="K65" s="21">
        <f t="shared" si="0"/>
        <v>338</v>
      </c>
      <c r="L65" s="21">
        <v>375.16666666666703</v>
      </c>
      <c r="M65" s="23">
        <v>27</v>
      </c>
      <c r="N65" s="21">
        <f t="shared" si="10"/>
        <v>70.343750000000071</v>
      </c>
      <c r="O65" s="44">
        <v>2.3472222222222223</v>
      </c>
      <c r="P65" s="21">
        <v>0</v>
      </c>
      <c r="Q65" s="21">
        <v>511</v>
      </c>
      <c r="R65" s="21">
        <v>0</v>
      </c>
      <c r="S65" s="2"/>
      <c r="T65" s="26">
        <v>1396550</v>
      </c>
      <c r="U65" s="26">
        <f t="shared" si="2"/>
        <v>201103200</v>
      </c>
      <c r="V65" s="26">
        <f t="shared" si="3"/>
        <v>523939008.33333385</v>
      </c>
      <c r="W65" s="2"/>
      <c r="X65" s="2"/>
      <c r="Y65" s="2"/>
      <c r="Z65" s="2"/>
    </row>
    <row r="66" spans="1:26" ht="12.75" customHeight="1" x14ac:dyDescent="0.35">
      <c r="A66" s="2"/>
      <c r="B66" s="8" t="s">
        <v>129</v>
      </c>
      <c r="C66" s="8" t="s">
        <v>26</v>
      </c>
      <c r="D66" s="8">
        <v>14</v>
      </c>
      <c r="E66" s="21">
        <v>51</v>
      </c>
      <c r="F66" s="21">
        <v>56</v>
      </c>
      <c r="G66" s="21">
        <v>0</v>
      </c>
      <c r="H66" s="22">
        <v>0</v>
      </c>
      <c r="I66" s="21">
        <v>0</v>
      </c>
      <c r="J66" s="21">
        <v>71</v>
      </c>
      <c r="K66" s="21">
        <f t="shared" si="0"/>
        <v>36</v>
      </c>
      <c r="L66" s="21">
        <v>25.2</v>
      </c>
      <c r="M66" s="23">
        <v>27</v>
      </c>
      <c r="N66" s="21">
        <f t="shared" si="10"/>
        <v>9.5830985915492946</v>
      </c>
      <c r="O66" s="44">
        <v>0.50704225352112675</v>
      </c>
      <c r="P66" s="21">
        <v>0</v>
      </c>
      <c r="Q66" s="21">
        <v>50</v>
      </c>
      <c r="R66" s="21">
        <v>0</v>
      </c>
      <c r="S66" s="2"/>
      <c r="T66" s="26">
        <v>1143590</v>
      </c>
      <c r="U66" s="26">
        <f t="shared" si="2"/>
        <v>81194890</v>
      </c>
      <c r="V66" s="26">
        <f t="shared" si="3"/>
        <v>28818468</v>
      </c>
      <c r="W66" s="2"/>
      <c r="X66" s="2"/>
      <c r="Y66" s="2"/>
      <c r="Z66" s="2"/>
    </row>
    <row r="67" spans="1:26" ht="12.75" customHeight="1" x14ac:dyDescent="0.35">
      <c r="A67" s="2"/>
      <c r="B67" s="8" t="s">
        <v>74</v>
      </c>
      <c r="C67" s="8" t="s">
        <v>26</v>
      </c>
      <c r="D67" s="8">
        <v>14</v>
      </c>
      <c r="E67" s="21">
        <v>6</v>
      </c>
      <c r="F67" s="21">
        <v>0</v>
      </c>
      <c r="G67" s="21">
        <v>0</v>
      </c>
      <c r="H67" s="22">
        <v>0</v>
      </c>
      <c r="I67" s="21">
        <v>0</v>
      </c>
      <c r="J67" s="21">
        <v>0</v>
      </c>
      <c r="K67" s="21">
        <f t="shared" si="0"/>
        <v>6</v>
      </c>
      <c r="L67" s="21">
        <v>0</v>
      </c>
      <c r="M67" s="23">
        <v>27</v>
      </c>
      <c r="N67" s="21">
        <v>0</v>
      </c>
      <c r="O67" s="44">
        <v>0</v>
      </c>
      <c r="P67" s="21">
        <v>0</v>
      </c>
      <c r="Q67" s="21">
        <v>0</v>
      </c>
      <c r="R67" s="21">
        <v>0</v>
      </c>
      <c r="S67" s="2"/>
      <c r="T67" s="26">
        <v>954645</v>
      </c>
      <c r="U67" s="26">
        <f t="shared" si="2"/>
        <v>0</v>
      </c>
      <c r="V67" s="26">
        <f t="shared" si="3"/>
        <v>0</v>
      </c>
      <c r="W67" s="2"/>
      <c r="X67" s="2"/>
      <c r="Y67" s="2"/>
      <c r="Z67" s="2"/>
    </row>
    <row r="68" spans="1:26" ht="12.75" customHeight="1" x14ac:dyDescent="0.35">
      <c r="A68" s="2"/>
      <c r="B68" s="8" t="s">
        <v>129</v>
      </c>
      <c r="C68" s="8" t="s">
        <v>26</v>
      </c>
      <c r="D68" s="8">
        <v>14</v>
      </c>
      <c r="E68" s="21">
        <v>103</v>
      </c>
      <c r="F68" s="21">
        <v>0</v>
      </c>
      <c r="G68" s="21">
        <v>0</v>
      </c>
      <c r="H68" s="22">
        <v>0</v>
      </c>
      <c r="I68" s="21">
        <v>0</v>
      </c>
      <c r="J68" s="21">
        <v>60</v>
      </c>
      <c r="K68" s="21">
        <f t="shared" si="0"/>
        <v>43</v>
      </c>
      <c r="L68" s="21">
        <v>43</v>
      </c>
      <c r="M68" s="23">
        <v>27</v>
      </c>
      <c r="N68" s="21">
        <f t="shared" ref="N68:N81" si="11">(L68/(I68+J68))*M68</f>
        <v>19.350000000000001</v>
      </c>
      <c r="O68" s="44">
        <v>0.71666666666666667</v>
      </c>
      <c r="P68" s="21">
        <v>0</v>
      </c>
      <c r="Q68" s="21">
        <v>100</v>
      </c>
      <c r="R68" s="21">
        <v>0</v>
      </c>
      <c r="S68" s="2"/>
      <c r="T68" s="26">
        <v>954645</v>
      </c>
      <c r="U68" s="26">
        <f t="shared" si="2"/>
        <v>57278700</v>
      </c>
      <c r="V68" s="26">
        <f t="shared" si="3"/>
        <v>41049735</v>
      </c>
      <c r="W68" s="2"/>
      <c r="X68" s="2"/>
      <c r="Y68" s="2"/>
      <c r="Z68" s="2"/>
    </row>
    <row r="69" spans="1:26" ht="12.75" customHeight="1" x14ac:dyDescent="0.35">
      <c r="A69" s="2"/>
      <c r="B69" s="8" t="s">
        <v>75</v>
      </c>
      <c r="C69" s="8" t="s">
        <v>26</v>
      </c>
      <c r="D69" s="8">
        <v>14</v>
      </c>
      <c r="E69" s="21">
        <v>21</v>
      </c>
      <c r="F69" s="21">
        <v>0</v>
      </c>
      <c r="G69" s="21">
        <v>0</v>
      </c>
      <c r="H69" s="22">
        <v>0</v>
      </c>
      <c r="I69" s="21">
        <v>0</v>
      </c>
      <c r="J69" s="21">
        <v>21</v>
      </c>
      <c r="K69" s="21">
        <f t="shared" si="0"/>
        <v>0</v>
      </c>
      <c r="L69" s="21">
        <v>1.5</v>
      </c>
      <c r="M69" s="23">
        <v>27</v>
      </c>
      <c r="N69" s="21">
        <f t="shared" si="11"/>
        <v>1.9285714285714284</v>
      </c>
      <c r="O69" s="44">
        <v>0</v>
      </c>
      <c r="P69" s="21">
        <v>0</v>
      </c>
      <c r="Q69" s="21">
        <v>0</v>
      </c>
      <c r="R69" s="21">
        <v>0</v>
      </c>
      <c r="S69" s="2"/>
      <c r="T69" s="26">
        <v>771202</v>
      </c>
      <c r="U69" s="26">
        <f t="shared" si="2"/>
        <v>16195242</v>
      </c>
      <c r="V69" s="26">
        <f t="shared" si="3"/>
        <v>1156803</v>
      </c>
      <c r="W69" s="2"/>
      <c r="X69" s="2"/>
      <c r="Y69" s="2"/>
      <c r="Z69" s="2"/>
    </row>
    <row r="70" spans="1:26" ht="12.75" customHeight="1" x14ac:dyDescent="0.35">
      <c r="A70" s="2"/>
      <c r="B70" s="8" t="s">
        <v>130</v>
      </c>
      <c r="C70" s="8" t="s">
        <v>26</v>
      </c>
      <c r="D70" s="8">
        <v>14</v>
      </c>
      <c r="E70" s="21">
        <v>57</v>
      </c>
      <c r="F70" s="21">
        <v>0</v>
      </c>
      <c r="G70" s="21">
        <v>0</v>
      </c>
      <c r="H70" s="22">
        <v>0</v>
      </c>
      <c r="I70" s="21">
        <v>0</v>
      </c>
      <c r="J70" s="21">
        <v>16</v>
      </c>
      <c r="K70" s="21">
        <f t="shared" si="0"/>
        <v>41</v>
      </c>
      <c r="L70" s="21">
        <v>42</v>
      </c>
      <c r="M70" s="23">
        <v>27</v>
      </c>
      <c r="N70" s="21">
        <f t="shared" si="11"/>
        <v>70.875</v>
      </c>
      <c r="O70" s="44">
        <v>2.5625</v>
      </c>
      <c r="P70" s="21">
        <v>0</v>
      </c>
      <c r="Q70" s="21">
        <v>0</v>
      </c>
      <c r="R70" s="21">
        <v>0</v>
      </c>
      <c r="S70" s="2"/>
      <c r="T70" s="26">
        <v>1497718</v>
      </c>
      <c r="U70" s="26">
        <f t="shared" si="2"/>
        <v>23963488</v>
      </c>
      <c r="V70" s="26">
        <f t="shared" si="3"/>
        <v>62904156</v>
      </c>
      <c r="W70" s="2"/>
      <c r="X70" s="2"/>
      <c r="Y70" s="2"/>
      <c r="Z70" s="2"/>
    </row>
    <row r="71" spans="1:26" ht="12.75" customHeight="1" x14ac:dyDescent="0.35">
      <c r="A71" s="2"/>
      <c r="B71" s="8" t="s">
        <v>77</v>
      </c>
      <c r="C71" s="8" t="s">
        <v>26</v>
      </c>
      <c r="D71" s="8">
        <v>14</v>
      </c>
      <c r="E71" s="21">
        <v>185</v>
      </c>
      <c r="F71" s="21">
        <v>96</v>
      </c>
      <c r="G71" s="21">
        <v>0</v>
      </c>
      <c r="H71" s="22">
        <v>0</v>
      </c>
      <c r="I71" s="21">
        <v>0</v>
      </c>
      <c r="J71" s="21">
        <v>78</v>
      </c>
      <c r="K71" s="21">
        <f t="shared" si="0"/>
        <v>203</v>
      </c>
      <c r="L71" s="21">
        <v>237.4</v>
      </c>
      <c r="M71" s="23">
        <v>27</v>
      </c>
      <c r="N71" s="21">
        <f t="shared" si="11"/>
        <v>82.176923076923089</v>
      </c>
      <c r="O71" s="44">
        <v>2.6025641025641026</v>
      </c>
      <c r="P71" s="21">
        <v>0</v>
      </c>
      <c r="Q71" s="21">
        <v>100</v>
      </c>
      <c r="R71" s="21">
        <v>0</v>
      </c>
      <c r="S71" s="2"/>
      <c r="T71" s="26">
        <v>907060</v>
      </c>
      <c r="U71" s="26">
        <f t="shared" si="2"/>
        <v>70750680</v>
      </c>
      <c r="V71" s="26">
        <f t="shared" si="3"/>
        <v>215336044</v>
      </c>
      <c r="W71" s="2"/>
      <c r="X71" s="2"/>
      <c r="Y71" s="2"/>
      <c r="Z71" s="2"/>
    </row>
    <row r="72" spans="1:26" ht="12.75" customHeight="1" x14ac:dyDescent="0.35">
      <c r="A72" s="2"/>
      <c r="B72" s="8" t="s">
        <v>131</v>
      </c>
      <c r="C72" s="8" t="s">
        <v>26</v>
      </c>
      <c r="D72" s="8">
        <v>14</v>
      </c>
      <c r="E72" s="21">
        <v>288</v>
      </c>
      <c r="F72" s="21">
        <v>372</v>
      </c>
      <c r="G72" s="21">
        <v>0</v>
      </c>
      <c r="H72" s="22">
        <v>0</v>
      </c>
      <c r="I72" s="21">
        <v>0</v>
      </c>
      <c r="J72" s="21">
        <v>396</v>
      </c>
      <c r="K72" s="21">
        <f t="shared" si="0"/>
        <v>264</v>
      </c>
      <c r="L72" s="21">
        <v>245.14285714285703</v>
      </c>
      <c r="M72" s="23">
        <v>27</v>
      </c>
      <c r="N72" s="21">
        <f t="shared" si="11"/>
        <v>16.714285714285705</v>
      </c>
      <c r="O72" s="44">
        <v>0.66666666666666663</v>
      </c>
      <c r="P72" s="21">
        <v>0</v>
      </c>
      <c r="Q72" s="21">
        <v>0</v>
      </c>
      <c r="R72" s="21">
        <v>0</v>
      </c>
      <c r="S72" s="2"/>
      <c r="T72" s="26">
        <v>823515</v>
      </c>
      <c r="U72" s="26">
        <f t="shared" si="2"/>
        <v>326111940</v>
      </c>
      <c r="V72" s="26">
        <f t="shared" si="3"/>
        <v>201878819.99999991</v>
      </c>
      <c r="W72" s="2"/>
      <c r="X72" s="2"/>
      <c r="Y72" s="2"/>
      <c r="Z72" s="2"/>
    </row>
    <row r="73" spans="1:26" ht="12.75" customHeight="1" x14ac:dyDescent="0.35">
      <c r="A73" s="2"/>
      <c r="B73" s="8" t="s">
        <v>132</v>
      </c>
      <c r="C73" s="8" t="s">
        <v>26</v>
      </c>
      <c r="D73" s="8">
        <v>14</v>
      </c>
      <c r="E73" s="21">
        <v>321</v>
      </c>
      <c r="F73" s="21">
        <v>0</v>
      </c>
      <c r="G73" s="21">
        <v>0</v>
      </c>
      <c r="H73" s="22">
        <v>0</v>
      </c>
      <c r="I73" s="21">
        <v>0</v>
      </c>
      <c r="J73" s="21">
        <v>62</v>
      </c>
      <c r="K73" s="21">
        <f t="shared" si="0"/>
        <v>259</v>
      </c>
      <c r="L73" s="21">
        <v>277</v>
      </c>
      <c r="M73" s="23">
        <v>27</v>
      </c>
      <c r="N73" s="21">
        <f t="shared" si="11"/>
        <v>120.62903225806451</v>
      </c>
      <c r="O73" s="44">
        <v>4.17741935483871</v>
      </c>
      <c r="P73" s="21">
        <v>0</v>
      </c>
      <c r="Q73" s="21">
        <v>0</v>
      </c>
      <c r="R73" s="21">
        <v>0</v>
      </c>
      <c r="S73" s="2"/>
      <c r="T73" s="26">
        <v>823515</v>
      </c>
      <c r="U73" s="26">
        <f t="shared" si="2"/>
        <v>51057930</v>
      </c>
      <c r="V73" s="26">
        <f t="shared" si="3"/>
        <v>228113655</v>
      </c>
      <c r="W73" s="2"/>
      <c r="X73" s="2"/>
      <c r="Y73" s="2"/>
      <c r="Z73" s="2"/>
    </row>
    <row r="74" spans="1:26" ht="12.75" customHeight="1" x14ac:dyDescent="0.35">
      <c r="A74" s="2"/>
      <c r="B74" s="8" t="s">
        <v>132</v>
      </c>
      <c r="C74" s="8" t="s">
        <v>26</v>
      </c>
      <c r="D74" s="8">
        <v>14</v>
      </c>
      <c r="E74" s="21">
        <v>57</v>
      </c>
      <c r="F74" s="21">
        <v>0</v>
      </c>
      <c r="G74" s="21">
        <v>0</v>
      </c>
      <c r="H74" s="22">
        <v>0</v>
      </c>
      <c r="I74" s="21">
        <v>0</v>
      </c>
      <c r="J74" s="21">
        <v>54</v>
      </c>
      <c r="K74" s="21">
        <f t="shared" si="0"/>
        <v>3</v>
      </c>
      <c r="L74" s="21">
        <v>3</v>
      </c>
      <c r="M74" s="23">
        <v>27</v>
      </c>
      <c r="N74" s="21">
        <f t="shared" si="11"/>
        <v>1.5</v>
      </c>
      <c r="O74" s="44">
        <v>5.5555555555555552E-2</v>
      </c>
      <c r="P74" s="21">
        <v>0</v>
      </c>
      <c r="Q74" s="21">
        <v>0</v>
      </c>
      <c r="R74" s="21">
        <v>0</v>
      </c>
      <c r="S74" s="2"/>
      <c r="T74" s="26">
        <v>823515</v>
      </c>
      <c r="U74" s="26">
        <f t="shared" si="2"/>
        <v>44469810</v>
      </c>
      <c r="V74" s="26">
        <f t="shared" si="3"/>
        <v>2470545</v>
      </c>
      <c r="W74" s="2"/>
      <c r="X74" s="2"/>
      <c r="Y74" s="2"/>
      <c r="Z74" s="2"/>
    </row>
    <row r="75" spans="1:26" ht="12.75" customHeight="1" x14ac:dyDescent="0.35">
      <c r="A75" s="2"/>
      <c r="B75" s="8" t="s">
        <v>80</v>
      </c>
      <c r="C75" s="8" t="s">
        <v>26</v>
      </c>
      <c r="D75" s="8">
        <v>14</v>
      </c>
      <c r="E75" s="21">
        <v>108</v>
      </c>
      <c r="F75" s="21">
        <v>203</v>
      </c>
      <c r="G75" s="21">
        <v>0</v>
      </c>
      <c r="H75" s="22">
        <v>0</v>
      </c>
      <c r="I75" s="21">
        <v>0</v>
      </c>
      <c r="J75" s="21">
        <v>45</v>
      </c>
      <c r="K75" s="21">
        <f t="shared" si="0"/>
        <v>266</v>
      </c>
      <c r="L75" s="21">
        <v>252.333333333333</v>
      </c>
      <c r="M75" s="23">
        <v>27</v>
      </c>
      <c r="N75" s="21">
        <f t="shared" si="11"/>
        <v>151.39999999999978</v>
      </c>
      <c r="O75" s="44">
        <v>5.9111111111111114</v>
      </c>
      <c r="P75" s="21">
        <v>0</v>
      </c>
      <c r="Q75" s="21">
        <v>0</v>
      </c>
      <c r="R75" s="21">
        <v>0</v>
      </c>
      <c r="S75" s="2"/>
      <c r="T75" s="26">
        <v>823515</v>
      </c>
      <c r="U75" s="26">
        <f t="shared" si="2"/>
        <v>37058175</v>
      </c>
      <c r="V75" s="26">
        <f t="shared" si="3"/>
        <v>207800284.99999973</v>
      </c>
      <c r="W75" s="2"/>
      <c r="X75" s="2"/>
      <c r="Y75" s="2"/>
      <c r="Z75" s="2"/>
    </row>
    <row r="76" spans="1:26" ht="12.75" customHeight="1" x14ac:dyDescent="0.35">
      <c r="A76" s="2"/>
      <c r="B76" s="8" t="s">
        <v>82</v>
      </c>
      <c r="C76" s="8" t="s">
        <v>26</v>
      </c>
      <c r="D76" s="8">
        <v>14</v>
      </c>
      <c r="E76" s="21">
        <v>46</v>
      </c>
      <c r="F76" s="21">
        <v>0</v>
      </c>
      <c r="G76" s="21">
        <v>0</v>
      </c>
      <c r="H76" s="22">
        <v>0</v>
      </c>
      <c r="I76" s="21">
        <v>0</v>
      </c>
      <c r="J76" s="21">
        <v>12</v>
      </c>
      <c r="K76" s="21">
        <f t="shared" si="0"/>
        <v>34</v>
      </c>
      <c r="L76" s="21">
        <v>38</v>
      </c>
      <c r="M76" s="23">
        <v>27</v>
      </c>
      <c r="N76" s="21">
        <f t="shared" si="11"/>
        <v>85.5</v>
      </c>
      <c r="O76" s="44">
        <v>2.8333333333333335</v>
      </c>
      <c r="P76" s="21">
        <v>0</v>
      </c>
      <c r="Q76" s="21">
        <v>0</v>
      </c>
      <c r="R76" s="21">
        <v>0</v>
      </c>
      <c r="S76" s="2"/>
      <c r="T76" s="26">
        <v>604345</v>
      </c>
      <c r="U76" s="26">
        <f t="shared" si="2"/>
        <v>7252140</v>
      </c>
      <c r="V76" s="26">
        <f t="shared" si="3"/>
        <v>22965110</v>
      </c>
      <c r="W76" s="2"/>
      <c r="X76" s="2"/>
      <c r="Y76" s="2"/>
      <c r="Z76" s="2"/>
    </row>
    <row r="77" spans="1:26" ht="12.75" customHeight="1" x14ac:dyDescent="0.35">
      <c r="A77" s="2"/>
      <c r="B77" s="8" t="s">
        <v>109</v>
      </c>
      <c r="C77" s="8" t="s">
        <v>26</v>
      </c>
      <c r="D77" s="8">
        <v>14</v>
      </c>
      <c r="E77" s="21">
        <v>33</v>
      </c>
      <c r="F77" s="21">
        <v>0</v>
      </c>
      <c r="G77" s="21">
        <v>0</v>
      </c>
      <c r="H77" s="22">
        <v>0</v>
      </c>
      <c r="I77" s="21">
        <v>0</v>
      </c>
      <c r="J77" s="21">
        <v>17</v>
      </c>
      <c r="K77" s="21">
        <f t="shared" si="0"/>
        <v>16</v>
      </c>
      <c r="L77" s="21">
        <v>21.8</v>
      </c>
      <c r="M77" s="23">
        <v>27</v>
      </c>
      <c r="N77" s="21">
        <f t="shared" si="11"/>
        <v>34.623529411764707</v>
      </c>
      <c r="O77" s="44">
        <v>0.94117647058823528</v>
      </c>
      <c r="P77" s="21">
        <v>0</v>
      </c>
      <c r="Q77" s="21">
        <v>0</v>
      </c>
      <c r="R77" s="21">
        <v>0</v>
      </c>
      <c r="S77" s="2"/>
      <c r="T77" s="26">
        <v>597835</v>
      </c>
      <c r="U77" s="26">
        <f t="shared" si="2"/>
        <v>10163195</v>
      </c>
      <c r="V77" s="26">
        <f t="shared" si="3"/>
        <v>13032803</v>
      </c>
      <c r="W77" s="2"/>
      <c r="X77" s="2"/>
      <c r="Y77" s="2"/>
      <c r="Z77" s="2"/>
    </row>
    <row r="78" spans="1:26" ht="12.75" customHeight="1" x14ac:dyDescent="0.35">
      <c r="A78" s="2"/>
      <c r="B78" s="8" t="s">
        <v>133</v>
      </c>
      <c r="C78" s="8" t="s">
        <v>26</v>
      </c>
      <c r="D78" s="8">
        <v>14</v>
      </c>
      <c r="E78" s="21">
        <v>646.32000000000005</v>
      </c>
      <c r="F78" s="21">
        <v>1161</v>
      </c>
      <c r="G78" s="21">
        <v>0</v>
      </c>
      <c r="H78" s="22">
        <v>0</v>
      </c>
      <c r="I78" s="21">
        <v>0</v>
      </c>
      <c r="J78" s="21">
        <v>1245</v>
      </c>
      <c r="K78" s="21">
        <f t="shared" si="0"/>
        <v>562.32000000000016</v>
      </c>
      <c r="L78" s="21">
        <v>428.764444444444</v>
      </c>
      <c r="M78" s="23">
        <v>27</v>
      </c>
      <c r="N78" s="21">
        <f t="shared" si="11"/>
        <v>9.2985060240963762</v>
      </c>
      <c r="O78" s="44">
        <v>0.45166265060240968</v>
      </c>
      <c r="P78" s="21">
        <v>0</v>
      </c>
      <c r="Q78" s="21">
        <v>984</v>
      </c>
      <c r="R78" s="21">
        <v>0</v>
      </c>
      <c r="S78" s="2"/>
      <c r="T78" s="26">
        <v>597835</v>
      </c>
      <c r="U78" s="26">
        <f t="shared" si="2"/>
        <v>744304575</v>
      </c>
      <c r="V78" s="26">
        <f t="shared" si="3"/>
        <v>256330391.64444417</v>
      </c>
      <c r="W78" s="2"/>
      <c r="X78" s="2"/>
      <c r="Y78" s="2"/>
      <c r="Z78" s="2"/>
    </row>
    <row r="79" spans="1:26" ht="12.75" customHeight="1" x14ac:dyDescent="0.35">
      <c r="A79" s="2"/>
      <c r="B79" s="8" t="s">
        <v>84</v>
      </c>
      <c r="C79" s="8" t="s">
        <v>26</v>
      </c>
      <c r="D79" s="8">
        <v>14</v>
      </c>
      <c r="E79" s="21">
        <v>496</v>
      </c>
      <c r="F79" s="21">
        <v>97</v>
      </c>
      <c r="G79" s="21">
        <v>0</v>
      </c>
      <c r="H79" s="22">
        <v>0</v>
      </c>
      <c r="I79" s="21">
        <v>0</v>
      </c>
      <c r="J79" s="21">
        <v>346</v>
      </c>
      <c r="K79" s="21">
        <f t="shared" si="0"/>
        <v>247</v>
      </c>
      <c r="L79" s="21">
        <v>291.875</v>
      </c>
      <c r="M79" s="23">
        <v>27</v>
      </c>
      <c r="N79" s="21">
        <f t="shared" si="11"/>
        <v>22.77637283236994</v>
      </c>
      <c r="O79" s="44">
        <v>0.71387283236994215</v>
      </c>
      <c r="P79" s="21">
        <v>23</v>
      </c>
      <c r="Q79" s="21">
        <v>350</v>
      </c>
      <c r="R79" s="21">
        <v>0</v>
      </c>
      <c r="S79" s="2"/>
      <c r="T79" s="26">
        <v>937285</v>
      </c>
      <c r="U79" s="26">
        <f t="shared" si="2"/>
        <v>324300610</v>
      </c>
      <c r="V79" s="26">
        <f t="shared" si="3"/>
        <v>273570059.375</v>
      </c>
      <c r="W79" s="2"/>
      <c r="X79" s="2"/>
      <c r="Y79" s="2"/>
      <c r="Z79" s="2"/>
    </row>
    <row r="80" spans="1:26" ht="12.75" customHeight="1" x14ac:dyDescent="0.35">
      <c r="A80" s="2"/>
      <c r="B80" s="8" t="s">
        <v>134</v>
      </c>
      <c r="C80" s="8" t="s">
        <v>26</v>
      </c>
      <c r="D80" s="8">
        <v>14</v>
      </c>
      <c r="E80" s="21">
        <v>300</v>
      </c>
      <c r="F80" s="21">
        <v>517</v>
      </c>
      <c r="G80" s="21">
        <v>0</v>
      </c>
      <c r="H80" s="22">
        <v>0</v>
      </c>
      <c r="I80" s="21">
        <v>0</v>
      </c>
      <c r="J80" s="21">
        <v>499</v>
      </c>
      <c r="K80" s="21">
        <f t="shared" si="0"/>
        <v>318</v>
      </c>
      <c r="L80" s="21">
        <v>355.5625</v>
      </c>
      <c r="M80" s="23">
        <v>27</v>
      </c>
      <c r="N80" s="21">
        <f t="shared" si="11"/>
        <v>19.238852705410821</v>
      </c>
      <c r="O80" s="44">
        <v>0.63727454909819636</v>
      </c>
      <c r="P80" s="21">
        <v>2</v>
      </c>
      <c r="Q80" s="21">
        <v>0</v>
      </c>
      <c r="R80" s="21">
        <v>0</v>
      </c>
      <c r="S80" s="2"/>
      <c r="T80" s="26">
        <v>1402595</v>
      </c>
      <c r="U80" s="26">
        <f t="shared" si="2"/>
        <v>699894905</v>
      </c>
      <c r="V80" s="26">
        <f t="shared" si="3"/>
        <v>498710184.6875</v>
      </c>
      <c r="W80" s="2"/>
      <c r="X80" s="2"/>
      <c r="Y80" s="2"/>
      <c r="Z80" s="2"/>
    </row>
    <row r="81" spans="1:26" ht="12.75" customHeight="1" x14ac:dyDescent="0.35">
      <c r="A81" s="2"/>
      <c r="B81" s="8" t="s">
        <v>146</v>
      </c>
      <c r="C81" s="8" t="s">
        <v>26</v>
      </c>
      <c r="D81" s="8">
        <v>14</v>
      </c>
      <c r="E81" s="21">
        <v>66</v>
      </c>
      <c r="F81" s="21">
        <v>0</v>
      </c>
      <c r="G81" s="21">
        <v>0</v>
      </c>
      <c r="H81" s="22">
        <v>0</v>
      </c>
      <c r="I81" s="21">
        <v>0</v>
      </c>
      <c r="J81" s="21">
        <v>36</v>
      </c>
      <c r="K81" s="21">
        <f t="shared" si="0"/>
        <v>30</v>
      </c>
      <c r="L81" s="21">
        <v>30</v>
      </c>
      <c r="M81" s="23">
        <v>27</v>
      </c>
      <c r="N81" s="21">
        <f t="shared" si="11"/>
        <v>22.5</v>
      </c>
      <c r="O81" s="44">
        <v>0.83333333333333337</v>
      </c>
      <c r="P81" s="21">
        <v>250</v>
      </c>
      <c r="Q81" s="21">
        <v>0</v>
      </c>
      <c r="R81" s="21">
        <v>0</v>
      </c>
      <c r="S81" s="2"/>
      <c r="T81" s="26">
        <v>1402595</v>
      </c>
      <c r="U81" s="26">
        <f t="shared" si="2"/>
        <v>50493420</v>
      </c>
      <c r="V81" s="26">
        <f t="shared" si="3"/>
        <v>42077850</v>
      </c>
      <c r="W81" s="2"/>
      <c r="X81" s="2"/>
      <c r="Y81" s="2"/>
      <c r="Z81" s="2"/>
    </row>
    <row r="82" spans="1:26" ht="12.75" customHeight="1" x14ac:dyDescent="0.35">
      <c r="A82" s="2"/>
      <c r="B82" s="8" t="s">
        <v>145</v>
      </c>
      <c r="C82" s="8" t="s">
        <v>26</v>
      </c>
      <c r="D82" s="8">
        <v>14</v>
      </c>
      <c r="E82" s="21">
        <v>24</v>
      </c>
      <c r="F82" s="21">
        <v>0</v>
      </c>
      <c r="G82" s="21">
        <v>0</v>
      </c>
      <c r="H82" s="22">
        <v>0</v>
      </c>
      <c r="I82" s="21">
        <v>0</v>
      </c>
      <c r="J82" s="21">
        <v>0</v>
      </c>
      <c r="K82" s="21">
        <f t="shared" si="0"/>
        <v>24</v>
      </c>
      <c r="L82" s="21">
        <v>0</v>
      </c>
      <c r="M82" s="23">
        <v>27</v>
      </c>
      <c r="N82" s="21">
        <v>0</v>
      </c>
      <c r="O82" s="44">
        <v>0</v>
      </c>
      <c r="P82" s="21">
        <v>0</v>
      </c>
      <c r="Q82" s="21">
        <v>0</v>
      </c>
      <c r="R82" s="21">
        <v>0</v>
      </c>
      <c r="S82" s="2"/>
      <c r="T82" s="26">
        <v>10957105</v>
      </c>
      <c r="U82" s="26">
        <f t="shared" si="2"/>
        <v>0</v>
      </c>
      <c r="V82" s="26">
        <f t="shared" si="3"/>
        <v>0</v>
      </c>
      <c r="W82" s="2"/>
      <c r="X82" s="2"/>
      <c r="Y82" s="2"/>
      <c r="Z82" s="2"/>
    </row>
    <row r="83" spans="1:26" ht="12.75" customHeight="1" x14ac:dyDescent="0.35">
      <c r="A83" s="2"/>
      <c r="B83" s="8" t="s">
        <v>146</v>
      </c>
      <c r="C83" s="8" t="s">
        <v>26</v>
      </c>
      <c r="D83" s="8">
        <v>14</v>
      </c>
      <c r="E83" s="21">
        <v>187</v>
      </c>
      <c r="F83" s="21">
        <v>0</v>
      </c>
      <c r="G83" s="21">
        <v>0</v>
      </c>
      <c r="H83" s="22">
        <v>0</v>
      </c>
      <c r="I83" s="21">
        <v>0</v>
      </c>
      <c r="J83" s="21">
        <v>11</v>
      </c>
      <c r="K83" s="21">
        <f t="shared" si="0"/>
        <v>176</v>
      </c>
      <c r="L83" s="21">
        <v>176</v>
      </c>
      <c r="M83" s="23">
        <v>27</v>
      </c>
      <c r="N83" s="21">
        <f t="shared" ref="N83:N87" si="12">(L83/(I83+J83))*M83</f>
        <v>432</v>
      </c>
      <c r="O83" s="44">
        <v>16</v>
      </c>
      <c r="P83" s="21">
        <v>0</v>
      </c>
      <c r="Q83" s="21">
        <v>0</v>
      </c>
      <c r="R83" s="21">
        <v>0</v>
      </c>
      <c r="S83" s="2"/>
      <c r="T83" s="26">
        <v>1372215</v>
      </c>
      <c r="U83" s="26">
        <f t="shared" si="2"/>
        <v>15094365</v>
      </c>
      <c r="V83" s="26">
        <f t="shared" si="3"/>
        <v>241509840</v>
      </c>
      <c r="W83" s="2"/>
      <c r="X83" s="2"/>
      <c r="Y83" s="2"/>
      <c r="Z83" s="2"/>
    </row>
    <row r="84" spans="1:26" ht="12.75" customHeight="1" x14ac:dyDescent="0.35">
      <c r="A84" s="2"/>
      <c r="B84" s="8" t="s">
        <v>86</v>
      </c>
      <c r="C84" s="8" t="s">
        <v>26</v>
      </c>
      <c r="D84" s="8">
        <v>14</v>
      </c>
      <c r="E84" s="21">
        <v>62</v>
      </c>
      <c r="F84" s="21">
        <v>0</v>
      </c>
      <c r="G84" s="21">
        <v>0</v>
      </c>
      <c r="H84" s="22">
        <v>0</v>
      </c>
      <c r="I84" s="21">
        <v>0</v>
      </c>
      <c r="J84" s="21">
        <v>8</v>
      </c>
      <c r="K84" s="21">
        <f t="shared" si="0"/>
        <v>54</v>
      </c>
      <c r="L84" s="21">
        <v>55</v>
      </c>
      <c r="M84" s="23">
        <v>27</v>
      </c>
      <c r="N84" s="21">
        <f t="shared" si="12"/>
        <v>185.625</v>
      </c>
      <c r="O84" s="44">
        <v>6.75</v>
      </c>
      <c r="P84" s="21">
        <v>0</v>
      </c>
      <c r="Q84" s="21">
        <v>0</v>
      </c>
      <c r="R84" s="21">
        <v>0</v>
      </c>
      <c r="S84" s="2"/>
      <c r="T84" s="26">
        <v>1027805</v>
      </c>
      <c r="U84" s="26">
        <f t="shared" si="2"/>
        <v>8222440</v>
      </c>
      <c r="V84" s="26">
        <f t="shared" si="3"/>
        <v>56529275</v>
      </c>
      <c r="W84" s="2"/>
      <c r="X84" s="2"/>
      <c r="Y84" s="2"/>
      <c r="Z84" s="2"/>
    </row>
    <row r="85" spans="1:26" ht="12.75" customHeight="1" x14ac:dyDescent="0.35">
      <c r="A85" s="2"/>
      <c r="B85" s="8" t="s">
        <v>157</v>
      </c>
      <c r="C85" s="8" t="s">
        <v>26</v>
      </c>
      <c r="D85" s="8">
        <v>14</v>
      </c>
      <c r="E85" s="21">
        <v>31</v>
      </c>
      <c r="F85" s="21">
        <v>0</v>
      </c>
      <c r="G85" s="21">
        <v>0</v>
      </c>
      <c r="H85" s="22">
        <v>0</v>
      </c>
      <c r="I85" s="21">
        <v>0</v>
      </c>
      <c r="J85" s="21">
        <v>19</v>
      </c>
      <c r="K85" s="21">
        <f t="shared" si="0"/>
        <v>12</v>
      </c>
      <c r="L85" s="21">
        <v>19.600000000000001</v>
      </c>
      <c r="M85" s="23">
        <v>27</v>
      </c>
      <c r="N85" s="21">
        <f t="shared" si="12"/>
        <v>27.852631578947371</v>
      </c>
      <c r="O85" s="44">
        <v>0.63157894736842102</v>
      </c>
      <c r="P85" s="21">
        <v>0</v>
      </c>
      <c r="Q85" s="21">
        <v>30</v>
      </c>
      <c r="R85" s="21">
        <v>0</v>
      </c>
      <c r="S85" s="2"/>
      <c r="T85" s="26">
        <v>746480</v>
      </c>
      <c r="U85" s="26">
        <f t="shared" si="2"/>
        <v>14183120</v>
      </c>
      <c r="V85" s="26">
        <f t="shared" si="3"/>
        <v>14631008.000000002</v>
      </c>
      <c r="W85" s="2"/>
      <c r="X85" s="2"/>
      <c r="Y85" s="2"/>
      <c r="Z85" s="2"/>
    </row>
    <row r="86" spans="1:26" ht="12.75" customHeight="1" x14ac:dyDescent="0.35">
      <c r="A86" s="2"/>
      <c r="B86" s="8" t="s">
        <v>88</v>
      </c>
      <c r="C86" s="8" t="s">
        <v>26</v>
      </c>
      <c r="D86" s="8">
        <v>14</v>
      </c>
      <c r="E86" s="21">
        <v>925</v>
      </c>
      <c r="F86" s="21">
        <v>4</v>
      </c>
      <c r="G86" s="21">
        <v>0</v>
      </c>
      <c r="H86" s="22">
        <v>0</v>
      </c>
      <c r="I86" s="21">
        <v>0</v>
      </c>
      <c r="J86" s="21">
        <v>70</v>
      </c>
      <c r="K86" s="21">
        <f t="shared" si="0"/>
        <v>859</v>
      </c>
      <c r="L86" s="21">
        <v>906</v>
      </c>
      <c r="M86" s="23">
        <v>27</v>
      </c>
      <c r="N86" s="21">
        <f t="shared" si="12"/>
        <v>349.45714285714286</v>
      </c>
      <c r="O86" s="44">
        <v>12.271428571428572</v>
      </c>
      <c r="P86" s="21">
        <v>0</v>
      </c>
      <c r="Q86" s="21">
        <v>0</v>
      </c>
      <c r="R86" s="21">
        <v>0</v>
      </c>
      <c r="S86" s="2"/>
      <c r="T86" s="26">
        <v>1372215</v>
      </c>
      <c r="U86" s="26">
        <f t="shared" si="2"/>
        <v>96055050</v>
      </c>
      <c r="V86" s="26">
        <f t="shared" si="3"/>
        <v>1243226790</v>
      </c>
      <c r="W86" s="2"/>
      <c r="X86" s="2"/>
      <c r="Y86" s="2"/>
      <c r="Z86" s="2"/>
    </row>
    <row r="87" spans="1:26" ht="12.75" customHeight="1" x14ac:dyDescent="0.35">
      <c r="A87" s="2"/>
      <c r="B87" s="8" t="s">
        <v>89</v>
      </c>
      <c r="C87" s="8" t="s">
        <v>26</v>
      </c>
      <c r="D87" s="8">
        <v>14</v>
      </c>
      <c r="E87" s="21">
        <v>48</v>
      </c>
      <c r="F87" s="21">
        <v>0</v>
      </c>
      <c r="G87" s="21">
        <v>0</v>
      </c>
      <c r="H87" s="22">
        <v>0</v>
      </c>
      <c r="I87" s="21">
        <v>0</v>
      </c>
      <c r="J87" s="21">
        <v>8</v>
      </c>
      <c r="K87" s="21">
        <f t="shared" si="0"/>
        <v>40</v>
      </c>
      <c r="L87" s="21">
        <v>42</v>
      </c>
      <c r="M87" s="23">
        <v>27</v>
      </c>
      <c r="N87" s="21">
        <f t="shared" si="12"/>
        <v>141.75</v>
      </c>
      <c r="O87" s="44">
        <v>5</v>
      </c>
      <c r="P87" s="21">
        <v>0</v>
      </c>
      <c r="Q87" s="21">
        <v>32</v>
      </c>
      <c r="R87" s="21">
        <v>0</v>
      </c>
      <c r="S87" s="2"/>
      <c r="T87" s="26">
        <v>6276182</v>
      </c>
      <c r="U87" s="26">
        <f t="shared" si="2"/>
        <v>50209456</v>
      </c>
      <c r="V87" s="26">
        <f t="shared" si="3"/>
        <v>263599644</v>
      </c>
      <c r="W87" s="2"/>
      <c r="X87" s="2"/>
      <c r="Y87" s="2"/>
      <c r="Z87" s="2"/>
    </row>
    <row r="88" spans="1:26" ht="12.75" customHeight="1" x14ac:dyDescent="0.35">
      <c r="A88" s="2"/>
      <c r="B88" s="8" t="s">
        <v>90</v>
      </c>
      <c r="C88" s="8" t="s">
        <v>26</v>
      </c>
      <c r="D88" s="8">
        <v>14</v>
      </c>
      <c r="E88" s="21">
        <v>0</v>
      </c>
      <c r="F88" s="21">
        <v>205</v>
      </c>
      <c r="G88" s="21">
        <v>0</v>
      </c>
      <c r="H88" s="22">
        <v>0</v>
      </c>
      <c r="I88" s="21">
        <v>0</v>
      </c>
      <c r="J88" s="21">
        <v>0</v>
      </c>
      <c r="K88" s="21">
        <f t="shared" si="0"/>
        <v>205</v>
      </c>
      <c r="L88" s="21">
        <v>153</v>
      </c>
      <c r="M88" s="23">
        <v>27</v>
      </c>
      <c r="N88" s="21">
        <v>0</v>
      </c>
      <c r="O88" s="44">
        <v>0</v>
      </c>
      <c r="P88" s="21">
        <v>0</v>
      </c>
      <c r="Q88" s="21">
        <v>0</v>
      </c>
      <c r="R88" s="21">
        <v>0</v>
      </c>
      <c r="S88" s="2"/>
      <c r="T88" s="26">
        <v>848935</v>
      </c>
      <c r="U88" s="26">
        <f t="shared" si="2"/>
        <v>0</v>
      </c>
      <c r="V88" s="26">
        <f t="shared" si="3"/>
        <v>129887055</v>
      </c>
      <c r="W88" s="2"/>
      <c r="X88" s="2"/>
      <c r="Y88" s="2"/>
      <c r="Z88" s="2"/>
    </row>
    <row r="89" spans="1:26" ht="12.75" customHeight="1" x14ac:dyDescent="0.35">
      <c r="A89" s="2"/>
      <c r="B89" s="8" t="s">
        <v>136</v>
      </c>
      <c r="C89" s="8" t="s">
        <v>26</v>
      </c>
      <c r="D89" s="8">
        <v>14</v>
      </c>
      <c r="E89" s="21">
        <v>205</v>
      </c>
      <c r="F89" s="21">
        <v>203</v>
      </c>
      <c r="G89" s="21">
        <v>0</v>
      </c>
      <c r="H89" s="22">
        <v>0</v>
      </c>
      <c r="I89" s="21">
        <v>0</v>
      </c>
      <c r="J89" s="21">
        <v>231</v>
      </c>
      <c r="K89" s="21">
        <f t="shared" si="0"/>
        <v>177</v>
      </c>
      <c r="L89" s="21">
        <v>316.5</v>
      </c>
      <c r="M89" s="23">
        <v>27</v>
      </c>
      <c r="N89" s="21">
        <f t="shared" ref="N89:N95" si="13">(L89/(I89+J89))*M89</f>
        <v>36.993506493506494</v>
      </c>
      <c r="O89" s="44">
        <v>0.76623376623376627</v>
      </c>
      <c r="P89" s="21">
        <v>0</v>
      </c>
      <c r="Q89" s="21">
        <v>200</v>
      </c>
      <c r="R89" s="21">
        <v>0</v>
      </c>
      <c r="S89" s="2"/>
      <c r="T89" s="26">
        <v>923955</v>
      </c>
      <c r="U89" s="26">
        <f t="shared" si="2"/>
        <v>213433605</v>
      </c>
      <c r="V89" s="26">
        <f t="shared" si="3"/>
        <v>292431757.5</v>
      </c>
      <c r="W89" s="2"/>
      <c r="X89" s="2"/>
      <c r="Y89" s="2"/>
      <c r="Z89" s="2"/>
    </row>
    <row r="90" spans="1:26" ht="12.75" customHeight="1" x14ac:dyDescent="0.35">
      <c r="A90" s="2"/>
      <c r="B90" s="8" t="s">
        <v>154</v>
      </c>
      <c r="C90" s="8" t="s">
        <v>26</v>
      </c>
      <c r="D90" s="8">
        <v>14</v>
      </c>
      <c r="E90" s="21">
        <v>34</v>
      </c>
      <c r="F90" s="21">
        <v>88</v>
      </c>
      <c r="G90" s="21">
        <v>0</v>
      </c>
      <c r="H90" s="22">
        <v>0</v>
      </c>
      <c r="I90" s="21">
        <v>0</v>
      </c>
      <c r="J90" s="21">
        <v>87</v>
      </c>
      <c r="K90" s="21">
        <f t="shared" si="0"/>
        <v>35</v>
      </c>
      <c r="L90" s="21">
        <v>54.75</v>
      </c>
      <c r="M90" s="23">
        <v>27</v>
      </c>
      <c r="N90" s="21">
        <f t="shared" si="13"/>
        <v>16.991379310344826</v>
      </c>
      <c r="O90" s="44">
        <v>0.40229885057471265</v>
      </c>
      <c r="P90" s="21">
        <v>0</v>
      </c>
      <c r="Q90" s="21">
        <v>48</v>
      </c>
      <c r="R90" s="21">
        <v>0</v>
      </c>
      <c r="S90" s="2"/>
      <c r="T90" s="26">
        <v>1345865</v>
      </c>
      <c r="U90" s="26">
        <f t="shared" si="2"/>
        <v>117090255</v>
      </c>
      <c r="V90" s="26">
        <f t="shared" si="3"/>
        <v>73686108.75</v>
      </c>
      <c r="W90" s="2"/>
      <c r="X90" s="2"/>
      <c r="Y90" s="2"/>
      <c r="Z90" s="2"/>
    </row>
    <row r="91" spans="1:26" ht="12.75" customHeight="1" x14ac:dyDescent="0.35">
      <c r="A91" s="2"/>
      <c r="B91" s="8" t="s">
        <v>92</v>
      </c>
      <c r="C91" s="8" t="s">
        <v>26</v>
      </c>
      <c r="D91" s="8">
        <v>14</v>
      </c>
      <c r="E91" s="21">
        <v>290</v>
      </c>
      <c r="F91" s="21">
        <v>28</v>
      </c>
      <c r="G91" s="21">
        <v>0</v>
      </c>
      <c r="H91" s="22">
        <v>0</v>
      </c>
      <c r="I91" s="21">
        <v>0</v>
      </c>
      <c r="J91" s="21">
        <v>316</v>
      </c>
      <c r="K91" s="21">
        <f t="shared" si="0"/>
        <v>2</v>
      </c>
      <c r="L91" s="21">
        <v>105.28571428571401</v>
      </c>
      <c r="M91" s="23">
        <v>27</v>
      </c>
      <c r="N91" s="21">
        <f t="shared" si="13"/>
        <v>8.9959312839059447</v>
      </c>
      <c r="O91" s="44">
        <v>6.3291139240506328E-3</v>
      </c>
      <c r="P91" s="21">
        <v>37</v>
      </c>
      <c r="Q91" s="21">
        <v>0</v>
      </c>
      <c r="R91" s="21">
        <v>0</v>
      </c>
      <c r="S91" s="2"/>
      <c r="T91" s="26">
        <v>923955</v>
      </c>
      <c r="U91" s="26">
        <f t="shared" si="2"/>
        <v>291969780</v>
      </c>
      <c r="V91" s="26">
        <f t="shared" si="3"/>
        <v>97279262.142856881</v>
      </c>
      <c r="W91" s="2"/>
      <c r="X91" s="2"/>
      <c r="Y91" s="2"/>
      <c r="Z91" s="2"/>
    </row>
    <row r="92" spans="1:26" ht="12.75" customHeight="1" x14ac:dyDescent="0.35">
      <c r="A92" s="2"/>
      <c r="B92" s="8" t="s">
        <v>137</v>
      </c>
      <c r="C92" s="8" t="s">
        <v>26</v>
      </c>
      <c r="D92" s="8">
        <v>14</v>
      </c>
      <c r="E92" s="21">
        <v>0</v>
      </c>
      <c r="F92" s="21">
        <v>847</v>
      </c>
      <c r="G92" s="21">
        <v>0</v>
      </c>
      <c r="H92" s="22">
        <v>0</v>
      </c>
      <c r="I92" s="21">
        <v>0</v>
      </c>
      <c r="J92" s="21">
        <v>648</v>
      </c>
      <c r="K92" s="21">
        <f t="shared" si="0"/>
        <v>199</v>
      </c>
      <c r="L92" s="21">
        <v>404</v>
      </c>
      <c r="M92" s="23">
        <v>27</v>
      </c>
      <c r="N92" s="21">
        <f t="shared" si="13"/>
        <v>16.833333333333332</v>
      </c>
      <c r="O92" s="44">
        <v>0.30709876543209874</v>
      </c>
      <c r="P92" s="21">
        <v>150</v>
      </c>
      <c r="Q92" s="21">
        <v>556</v>
      </c>
      <c r="R92" s="21">
        <v>0</v>
      </c>
      <c r="S92" s="2"/>
      <c r="T92" s="26">
        <v>923955</v>
      </c>
      <c r="U92" s="26">
        <f t="shared" si="2"/>
        <v>598722840</v>
      </c>
      <c r="V92" s="26">
        <f t="shared" si="3"/>
        <v>373277820</v>
      </c>
      <c r="W92" s="2"/>
      <c r="X92" s="2"/>
      <c r="Y92" s="2"/>
      <c r="Z92" s="2"/>
    </row>
    <row r="93" spans="1:26" ht="12.75" customHeight="1" x14ac:dyDescent="0.35">
      <c r="A93" s="2"/>
      <c r="B93" s="8" t="s">
        <v>157</v>
      </c>
      <c r="C93" s="8" t="s">
        <v>26</v>
      </c>
      <c r="D93" s="8">
        <v>14</v>
      </c>
      <c r="E93" s="21">
        <v>50</v>
      </c>
      <c r="F93" s="21">
        <v>0</v>
      </c>
      <c r="G93" s="21">
        <v>0</v>
      </c>
      <c r="H93" s="22">
        <v>0</v>
      </c>
      <c r="I93" s="21">
        <v>0</v>
      </c>
      <c r="J93" s="21">
        <v>50</v>
      </c>
      <c r="K93" s="21">
        <f t="shared" si="0"/>
        <v>0</v>
      </c>
      <c r="L93" s="21">
        <v>0</v>
      </c>
      <c r="M93" s="23">
        <v>27</v>
      </c>
      <c r="N93" s="21">
        <f t="shared" si="13"/>
        <v>0</v>
      </c>
      <c r="O93" s="44">
        <v>0</v>
      </c>
      <c r="P93" s="21">
        <v>0</v>
      </c>
      <c r="Q93" s="21">
        <v>0</v>
      </c>
      <c r="R93" s="21">
        <v>0</v>
      </c>
      <c r="S93" s="2"/>
      <c r="T93" s="26">
        <v>504525</v>
      </c>
      <c r="U93" s="26">
        <f t="shared" si="2"/>
        <v>25226250</v>
      </c>
      <c r="V93" s="26">
        <f t="shared" si="3"/>
        <v>0</v>
      </c>
      <c r="W93" s="2"/>
      <c r="X93" s="2"/>
      <c r="Y93" s="2"/>
      <c r="Z93" s="2"/>
    </row>
    <row r="94" spans="1:26" ht="12.75" customHeight="1" x14ac:dyDescent="0.35">
      <c r="A94" s="2"/>
      <c r="B94" s="8" t="s">
        <v>138</v>
      </c>
      <c r="C94" s="8" t="s">
        <v>26</v>
      </c>
      <c r="D94" s="8">
        <v>14</v>
      </c>
      <c r="E94" s="21">
        <v>697</v>
      </c>
      <c r="F94" s="21">
        <v>450</v>
      </c>
      <c r="G94" s="21">
        <v>0</v>
      </c>
      <c r="H94" s="22">
        <v>0</v>
      </c>
      <c r="I94" s="21">
        <v>0</v>
      </c>
      <c r="J94" s="21">
        <v>677</v>
      </c>
      <c r="K94" s="21">
        <f t="shared" si="0"/>
        <v>470</v>
      </c>
      <c r="L94" s="21">
        <v>514.54545454545496</v>
      </c>
      <c r="M94" s="23">
        <v>27</v>
      </c>
      <c r="N94" s="21">
        <f t="shared" si="13"/>
        <v>20.521015173895545</v>
      </c>
      <c r="O94" s="44">
        <v>0.69423929098966031</v>
      </c>
      <c r="P94" s="21">
        <v>0</v>
      </c>
      <c r="Q94" s="21">
        <v>200</v>
      </c>
      <c r="R94" s="21">
        <v>0</v>
      </c>
      <c r="S94" s="2"/>
      <c r="T94" s="26">
        <v>848935</v>
      </c>
      <c r="U94" s="26">
        <f t="shared" si="2"/>
        <v>574728995</v>
      </c>
      <c r="V94" s="26">
        <f t="shared" si="3"/>
        <v>436815645.4545458</v>
      </c>
      <c r="W94" s="4" t="s">
        <v>163</v>
      </c>
      <c r="X94" s="2"/>
      <c r="Y94" s="2"/>
      <c r="Z94" s="2"/>
    </row>
    <row r="95" spans="1:26" ht="18.75" customHeight="1" x14ac:dyDescent="0.35">
      <c r="A95" s="33"/>
      <c r="B95" s="27" t="s">
        <v>96</v>
      </c>
      <c r="C95" s="28"/>
      <c r="D95" s="28"/>
      <c r="E95" s="29">
        <f t="shared" ref="E95:L95" si="14">SUM(E4:E94)</f>
        <v>19344.55</v>
      </c>
      <c r="F95" s="29">
        <f t="shared" si="14"/>
        <v>12786</v>
      </c>
      <c r="G95" s="29">
        <f t="shared" si="14"/>
        <v>0</v>
      </c>
      <c r="H95" s="29">
        <f t="shared" si="14"/>
        <v>21</v>
      </c>
      <c r="I95" s="29">
        <f t="shared" si="14"/>
        <v>-48</v>
      </c>
      <c r="J95" s="29">
        <f t="shared" si="14"/>
        <v>15712</v>
      </c>
      <c r="K95" s="29">
        <f t="shared" si="14"/>
        <v>16466.55</v>
      </c>
      <c r="L95" s="29">
        <f t="shared" si="14"/>
        <v>17995.39458589656</v>
      </c>
      <c r="M95" s="30">
        <v>27</v>
      </c>
      <c r="N95" s="30">
        <f t="shared" si="13"/>
        <v>31.018619370480536</v>
      </c>
      <c r="O95" s="45">
        <f>+K95/($I95+$J95)*$M$4</f>
        <v>28.383353549540345</v>
      </c>
      <c r="P95" s="29">
        <f t="shared" ref="P95:R95" si="15">SUM(P4:P94)</f>
        <v>753.5</v>
      </c>
      <c r="Q95" s="29">
        <f t="shared" si="15"/>
        <v>9238.5</v>
      </c>
      <c r="R95" s="29">
        <f t="shared" si="15"/>
        <v>150</v>
      </c>
      <c r="S95" s="33"/>
      <c r="T95" s="2"/>
      <c r="U95" s="35">
        <f t="shared" ref="U95:V95" si="16">SUM(U4:U94)</f>
        <v>14088775949</v>
      </c>
      <c r="V95" s="35">
        <f t="shared" si="16"/>
        <v>15487371250.550993</v>
      </c>
      <c r="W95" s="29">
        <f>(V95/U95)*M94</f>
        <v>29.680294816141011</v>
      </c>
      <c r="X95" s="33"/>
      <c r="Y95" s="33"/>
      <c r="Z95" s="33"/>
    </row>
    <row r="96" spans="1:26" ht="18.75" customHeight="1" x14ac:dyDescent="0.35">
      <c r="A96" s="2"/>
      <c r="B96" s="1"/>
      <c r="C96" s="2"/>
      <c r="D96" s="2"/>
      <c r="E96" s="36"/>
      <c r="F96" s="36"/>
      <c r="G96" s="36"/>
      <c r="H96" s="36"/>
      <c r="I96" s="36"/>
      <c r="J96" s="36"/>
      <c r="K96" s="36"/>
      <c r="L96" s="36"/>
      <c r="M96" s="3"/>
      <c r="N96" s="36"/>
      <c r="O96" s="36"/>
      <c r="P96" s="37"/>
      <c r="Q96" s="36"/>
      <c r="R96" s="36"/>
      <c r="S96" s="36"/>
      <c r="T96" s="2"/>
      <c r="U96" s="48"/>
      <c r="V96" s="48"/>
      <c r="W96" s="2"/>
      <c r="X96" s="2"/>
      <c r="Y96" s="2"/>
      <c r="Z96" s="2"/>
    </row>
    <row r="97" spans="1:26" ht="12.75" customHeight="1" x14ac:dyDescent="0.35">
      <c r="A97" s="2"/>
      <c r="B97" s="2" t="s">
        <v>97</v>
      </c>
      <c r="C97" s="39">
        <v>24.9</v>
      </c>
      <c r="D97" s="2" t="s">
        <v>98</v>
      </c>
      <c r="E97" s="2"/>
      <c r="F97" s="2"/>
      <c r="G97" s="2"/>
      <c r="H97" s="2"/>
      <c r="I97" s="2"/>
      <c r="J97" s="2"/>
      <c r="K97" s="2"/>
      <c r="L97" s="2"/>
      <c r="M97" s="3"/>
      <c r="N97" s="2"/>
      <c r="O97" s="2"/>
      <c r="P97" s="2"/>
      <c r="Q97" s="2"/>
      <c r="R97" s="2"/>
      <c r="S97" s="2"/>
      <c r="T97" s="2"/>
      <c r="U97" s="48"/>
      <c r="V97" s="48"/>
      <c r="W97" s="2"/>
      <c r="X97" s="2"/>
      <c r="Y97" s="2"/>
      <c r="Z97" s="2"/>
    </row>
    <row r="98" spans="1:26" ht="12.75" customHeight="1" x14ac:dyDescent="0.35">
      <c r="A98" s="2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2"/>
      <c r="O98" s="2"/>
      <c r="P98" s="2"/>
      <c r="Q98" s="2"/>
      <c r="R98" s="2"/>
      <c r="S98" s="2"/>
      <c r="T98" s="2"/>
      <c r="U98" s="48"/>
      <c r="V98" s="48"/>
      <c r="W98" s="2"/>
      <c r="X98" s="2"/>
      <c r="Y98" s="2"/>
      <c r="Z98" s="2"/>
    </row>
    <row r="99" spans="1:26" ht="12.75" customHeight="1" x14ac:dyDescent="0.35">
      <c r="A99" s="2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2"/>
      <c r="O99" s="2"/>
      <c r="P99" s="2"/>
      <c r="Q99" s="2"/>
      <c r="R99" s="2"/>
      <c r="S99" s="2"/>
      <c r="T99" s="2"/>
      <c r="U99" s="48"/>
      <c r="V99" s="48"/>
      <c r="W99" s="2"/>
      <c r="X99" s="2"/>
      <c r="Y99" s="2"/>
      <c r="Z99" s="2"/>
    </row>
    <row r="100" spans="1:26" ht="12.75" customHeight="1" x14ac:dyDescent="0.35">
      <c r="A100" s="2"/>
      <c r="B100" s="1"/>
      <c r="C100" s="40"/>
      <c r="D100" s="40"/>
      <c r="E100" s="2"/>
      <c r="F100" s="2"/>
      <c r="G100" s="2"/>
      <c r="H100" s="2"/>
      <c r="I100" s="2"/>
      <c r="J100" s="2"/>
      <c r="K100" s="2"/>
      <c r="L100" s="2"/>
      <c r="M100" s="3"/>
      <c r="N100" s="2"/>
      <c r="O100" s="2"/>
      <c r="P100" s="2"/>
      <c r="Q100" s="2"/>
      <c r="R100" s="2"/>
      <c r="S100" s="2"/>
      <c r="T100" s="2"/>
      <c r="U100" s="48"/>
      <c r="V100" s="48"/>
      <c r="W100" s="2"/>
      <c r="X100" s="2"/>
      <c r="Y100" s="2"/>
      <c r="Z100" s="2"/>
    </row>
    <row r="101" spans="1:26" ht="12.75" customHeight="1" x14ac:dyDescent="0.35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B1" workbookViewId="0">
      <selection activeCell="F7" sqref="F7"/>
    </sheetView>
  </sheetViews>
  <sheetFormatPr defaultColWidth="14.453125" defaultRowHeight="15" customHeight="1" x14ac:dyDescent="0.35"/>
  <cols>
    <col min="1" max="1" width="23.54296875" customWidth="1"/>
    <col min="2" max="2" width="23.08984375" customWidth="1"/>
    <col min="3" max="3" width="18.26953125" customWidth="1"/>
    <col min="4" max="8" width="23.08984375" customWidth="1"/>
    <col min="9" max="9" width="18.08984375" customWidth="1"/>
  </cols>
  <sheetData>
    <row r="1" spans="1:26" ht="21" customHeight="1" x14ac:dyDescent="0.35">
      <c r="A1" s="50" t="s">
        <v>4</v>
      </c>
      <c r="B1" s="51" t="s">
        <v>164</v>
      </c>
      <c r="C1" s="51" t="s">
        <v>165</v>
      </c>
      <c r="D1" s="51" t="s">
        <v>166</v>
      </c>
      <c r="E1" s="51" t="s">
        <v>167</v>
      </c>
      <c r="F1" s="51" t="s">
        <v>168</v>
      </c>
      <c r="G1" s="51" t="s">
        <v>169</v>
      </c>
      <c r="H1" s="51" t="s">
        <v>170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21" customHeight="1" x14ac:dyDescent="0.35">
      <c r="A2" s="51" t="s">
        <v>171</v>
      </c>
      <c r="B2" s="53">
        <v>15876</v>
      </c>
      <c r="C2" s="53">
        <v>17935</v>
      </c>
      <c r="D2" s="53">
        <v>21946</v>
      </c>
      <c r="E2" s="53">
        <v>13516</v>
      </c>
      <c r="F2" s="53">
        <v>20887</v>
      </c>
      <c r="G2" s="53">
        <v>17481</v>
      </c>
      <c r="H2" s="53">
        <v>15664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21" customHeight="1" x14ac:dyDescent="0.35">
      <c r="A3" s="51" t="s">
        <v>172</v>
      </c>
      <c r="B3" s="54">
        <v>16137807596</v>
      </c>
      <c r="C3" s="53">
        <v>17543648294</v>
      </c>
      <c r="D3" s="54">
        <v>20240909876</v>
      </c>
      <c r="E3" s="54">
        <v>13066217748</v>
      </c>
      <c r="F3" s="54">
        <v>19789186558</v>
      </c>
      <c r="G3" s="54">
        <v>14913355841</v>
      </c>
      <c r="H3" s="54">
        <v>14088775949</v>
      </c>
      <c r="I3" s="55" t="s">
        <v>173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21" customHeight="1" x14ac:dyDescent="0.35">
      <c r="A4" s="51" t="s">
        <v>174</v>
      </c>
      <c r="B4" s="56">
        <v>8475.0566893424038</v>
      </c>
      <c r="C4" s="56">
        <v>7502.0908837468633</v>
      </c>
      <c r="D4" s="56">
        <v>6130.9578055226466</v>
      </c>
      <c r="E4" s="56">
        <v>9954.8683042320208</v>
      </c>
      <c r="F4" s="56">
        <v>6441.8059079810409</v>
      </c>
      <c r="G4" s="56">
        <v>7696.9280933585032</v>
      </c>
      <c r="H4" s="56">
        <v>8589.7599591419821</v>
      </c>
      <c r="I4" s="57">
        <v>7827.3525204750667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21" customHeight="1" x14ac:dyDescent="0.35">
      <c r="A5" s="51" t="s">
        <v>175</v>
      </c>
      <c r="B5" s="58">
        <v>8.3375637737402603E-3</v>
      </c>
      <c r="C5" s="58">
        <v>7.669442395628545E-3</v>
      </c>
      <c r="D5" s="58">
        <v>6.6474284419169461E-3</v>
      </c>
      <c r="E5" s="58">
        <v>1.0297547660308591E-2</v>
      </c>
      <c r="F5" s="58">
        <v>6.7991677983149168E-3</v>
      </c>
      <c r="G5" s="58">
        <v>9.0221142333433303E-3</v>
      </c>
      <c r="H5" s="58">
        <v>9.5501554206737279E-3</v>
      </c>
      <c r="I5" s="58">
        <v>8.3319171034180444E-3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21" customHeight="1" x14ac:dyDescent="0.3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21" customHeight="1" x14ac:dyDescent="0.35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21" customHeight="1" x14ac:dyDescent="0.35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21" customHeight="1" x14ac:dyDescent="0.3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21" customHeight="1" x14ac:dyDescent="0.3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3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21" customHeight="1" x14ac:dyDescent="0.3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21" customHeight="1" x14ac:dyDescent="0.3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21" customHeight="1" x14ac:dyDescent="0.3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21" customHeight="1" x14ac:dyDescent="0.3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21" customHeight="1" x14ac:dyDescent="0.3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21" customHeight="1" x14ac:dyDescent="0.3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21" customHeight="1" x14ac:dyDescent="0.3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21" customHeight="1" x14ac:dyDescent="0.3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21" customHeight="1" x14ac:dyDescent="0.3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21" customHeight="1" x14ac:dyDescent="0.3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21" customHeight="1" x14ac:dyDescent="0.3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21" customHeight="1" x14ac:dyDescent="0.3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21" customHeight="1" x14ac:dyDescent="0.3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21" customHeight="1" x14ac:dyDescent="0.3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21" customHeight="1" x14ac:dyDescent="0.3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21" customHeight="1" x14ac:dyDescent="0.3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21" customHeight="1" x14ac:dyDescent="0.3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21" customHeight="1" x14ac:dyDescent="0.3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21" customHeight="1" x14ac:dyDescent="0.3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21" customHeight="1" x14ac:dyDescent="0.3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21" customHeight="1" x14ac:dyDescent="0.3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21" customHeight="1" x14ac:dyDescent="0.3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21" customHeight="1" x14ac:dyDescent="0.3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21" customHeight="1" x14ac:dyDescent="0.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21" customHeight="1" x14ac:dyDescent="0.3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21" customHeight="1" x14ac:dyDescent="0.3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21" customHeight="1" x14ac:dyDescent="0.3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21" customHeight="1" x14ac:dyDescent="0.3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21" customHeight="1" x14ac:dyDescent="0.3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21" customHeight="1" x14ac:dyDescent="0.3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21" customHeight="1" x14ac:dyDescent="0.3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21" customHeight="1" x14ac:dyDescent="0.3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21" customHeight="1" x14ac:dyDescent="0.3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21" customHeight="1" x14ac:dyDescent="0.3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21" customHeight="1" x14ac:dyDescent="0.3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21" customHeight="1" x14ac:dyDescent="0.3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21" customHeight="1" x14ac:dyDescent="0.3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21" customHeight="1" x14ac:dyDescent="0.3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21" customHeight="1" x14ac:dyDescent="0.3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21" customHeight="1" x14ac:dyDescent="0.3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21" customHeight="1" x14ac:dyDescent="0.3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21" customHeight="1" x14ac:dyDescent="0.3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21" customHeight="1" x14ac:dyDescent="0.3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21" customHeight="1" x14ac:dyDescent="0.3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21" customHeight="1" x14ac:dyDescent="0.3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21" customHeight="1" x14ac:dyDescent="0.3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21" customHeight="1" x14ac:dyDescent="0.3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21" customHeight="1" x14ac:dyDescent="0.3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21" customHeight="1" x14ac:dyDescent="0.3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21" customHeight="1" x14ac:dyDescent="0.3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21" customHeight="1" x14ac:dyDescent="0.3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21" customHeight="1" x14ac:dyDescent="0.3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21" customHeight="1" x14ac:dyDescent="0.3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21" customHeight="1" x14ac:dyDescent="0.3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21" customHeight="1" x14ac:dyDescent="0.3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21" customHeight="1" x14ac:dyDescent="0.3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21" customHeight="1" x14ac:dyDescent="0.3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21" customHeight="1" x14ac:dyDescent="0.3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21" customHeight="1" x14ac:dyDescent="0.3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21" customHeight="1" x14ac:dyDescent="0.3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21" customHeight="1" x14ac:dyDescent="0.3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21" customHeight="1" x14ac:dyDescent="0.3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21" customHeight="1" x14ac:dyDescent="0.3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21" customHeight="1" x14ac:dyDescent="0.3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21" customHeight="1" x14ac:dyDescent="0.3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21" customHeight="1" x14ac:dyDescent="0.3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21" customHeight="1" x14ac:dyDescent="0.3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21" customHeight="1" x14ac:dyDescent="0.3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21" customHeight="1" x14ac:dyDescent="0.3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21" customHeight="1" x14ac:dyDescent="0.3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21" customHeight="1" x14ac:dyDescent="0.3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21" customHeight="1" x14ac:dyDescent="0.3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21" customHeight="1" x14ac:dyDescent="0.3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21" customHeight="1" x14ac:dyDescent="0.3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21" customHeight="1" x14ac:dyDescent="0.3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21" customHeight="1" x14ac:dyDescent="0.3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21" customHeight="1" x14ac:dyDescent="0.3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21" customHeight="1" x14ac:dyDescent="0.3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21" customHeight="1" x14ac:dyDescent="0.3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21" customHeight="1" x14ac:dyDescent="0.3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21" customHeight="1" x14ac:dyDescent="0.3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21" customHeight="1" x14ac:dyDescent="0.3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21" customHeight="1" x14ac:dyDescent="0.3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21" customHeight="1" x14ac:dyDescent="0.3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21" customHeight="1" x14ac:dyDescent="0.3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21" customHeight="1" x14ac:dyDescent="0.3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21" customHeight="1" x14ac:dyDescent="0.3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21" customHeight="1" x14ac:dyDescent="0.3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21" customHeight="1" x14ac:dyDescent="0.3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21" customHeight="1" x14ac:dyDescent="0.3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21" customHeight="1" x14ac:dyDescent="0.3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21" customHeight="1" x14ac:dyDescent="0.3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21" customHeight="1" x14ac:dyDescent="0.3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21" customHeight="1" x14ac:dyDescent="0.3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21" customHeight="1" x14ac:dyDescent="0.3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21" customHeight="1" x14ac:dyDescent="0.3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21" customHeight="1" x14ac:dyDescent="0.3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21" customHeight="1" x14ac:dyDescent="0.3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21" customHeight="1" x14ac:dyDescent="0.3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21" customHeight="1" x14ac:dyDescent="0.3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21" customHeight="1" x14ac:dyDescent="0.3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21" customHeight="1" x14ac:dyDescent="0.3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21" customHeight="1" x14ac:dyDescent="0.3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21" customHeight="1" x14ac:dyDescent="0.3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21" customHeight="1" x14ac:dyDescent="0.3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21" customHeight="1" x14ac:dyDescent="0.3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21" customHeight="1" x14ac:dyDescent="0.3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21" customHeight="1" x14ac:dyDescent="0.3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21" customHeight="1" x14ac:dyDescent="0.3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21" customHeight="1" x14ac:dyDescent="0.3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21" customHeight="1" x14ac:dyDescent="0.3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21" customHeight="1" x14ac:dyDescent="0.3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21" customHeight="1" x14ac:dyDescent="0.3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21" customHeight="1" x14ac:dyDescent="0.3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21" customHeight="1" x14ac:dyDescent="0.3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21" customHeight="1" x14ac:dyDescent="0.3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21" customHeight="1" x14ac:dyDescent="0.3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21" customHeight="1" x14ac:dyDescent="0.3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21" customHeight="1" x14ac:dyDescent="0.3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21" customHeight="1" x14ac:dyDescent="0.3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21" customHeight="1" x14ac:dyDescent="0.3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21" customHeight="1" x14ac:dyDescent="0.3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21" customHeight="1" x14ac:dyDescent="0.3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21" customHeight="1" x14ac:dyDescent="0.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21" customHeight="1" x14ac:dyDescent="0.3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21" customHeight="1" x14ac:dyDescent="0.3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21" customHeight="1" x14ac:dyDescent="0.3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21" customHeight="1" x14ac:dyDescent="0.3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21" customHeight="1" x14ac:dyDescent="0.3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21" customHeight="1" x14ac:dyDescent="0.3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21" customHeight="1" x14ac:dyDescent="0.3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21" customHeight="1" x14ac:dyDescent="0.3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21" customHeight="1" x14ac:dyDescent="0.3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21" customHeight="1" x14ac:dyDescent="0.3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21" customHeight="1" x14ac:dyDescent="0.3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21" customHeight="1" x14ac:dyDescent="0.3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21" customHeight="1" x14ac:dyDescent="0.3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21" customHeight="1" x14ac:dyDescent="0.3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21" customHeight="1" x14ac:dyDescent="0.3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21" customHeight="1" x14ac:dyDescent="0.3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21" customHeight="1" x14ac:dyDescent="0.3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21" customHeight="1" x14ac:dyDescent="0.3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21" customHeight="1" x14ac:dyDescent="0.3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21" customHeight="1" x14ac:dyDescent="0.3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21" customHeight="1" x14ac:dyDescent="0.3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21" customHeight="1" x14ac:dyDescent="0.3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21" customHeight="1" x14ac:dyDescent="0.3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21" customHeight="1" x14ac:dyDescent="0.3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21" customHeight="1" x14ac:dyDescent="0.3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21" customHeight="1" x14ac:dyDescent="0.3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21" customHeight="1" x14ac:dyDescent="0.3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21" customHeight="1" x14ac:dyDescent="0.3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21" customHeight="1" x14ac:dyDescent="0.3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21" customHeight="1" x14ac:dyDescent="0.3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21" customHeight="1" x14ac:dyDescent="0.3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21" customHeight="1" x14ac:dyDescent="0.3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21" customHeight="1" x14ac:dyDescent="0.3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21" customHeight="1" x14ac:dyDescent="0.3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21" customHeight="1" x14ac:dyDescent="0.3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21" customHeight="1" x14ac:dyDescent="0.3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21" customHeight="1" x14ac:dyDescent="0.3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21" customHeight="1" x14ac:dyDescent="0.3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21" customHeight="1" x14ac:dyDescent="0.3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21" customHeight="1" x14ac:dyDescent="0.3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21" customHeight="1" x14ac:dyDescent="0.3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21" customHeight="1" x14ac:dyDescent="0.3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21" customHeight="1" x14ac:dyDescent="0.3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21" customHeight="1" x14ac:dyDescent="0.3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21" customHeight="1" x14ac:dyDescent="0.3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21" customHeight="1" x14ac:dyDescent="0.3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21" customHeight="1" x14ac:dyDescent="0.3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21" customHeight="1" x14ac:dyDescent="0.3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21" customHeight="1" x14ac:dyDescent="0.3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21" customHeight="1" x14ac:dyDescent="0.3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21" customHeight="1" x14ac:dyDescent="0.3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21" customHeight="1" x14ac:dyDescent="0.3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21" customHeight="1" x14ac:dyDescent="0.3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21" customHeight="1" x14ac:dyDescent="0.3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21" customHeight="1" x14ac:dyDescent="0.3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21" customHeight="1" x14ac:dyDescent="0.3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21" customHeight="1" x14ac:dyDescent="0.3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21" customHeight="1" x14ac:dyDescent="0.3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21" customHeight="1" x14ac:dyDescent="0.3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21" customHeight="1" x14ac:dyDescent="0.3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21" customHeight="1" x14ac:dyDescent="0.3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21" customHeight="1" x14ac:dyDescent="0.3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21" customHeight="1" x14ac:dyDescent="0.3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21" customHeight="1" x14ac:dyDescent="0.3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21" customHeight="1" x14ac:dyDescent="0.3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21" customHeight="1" x14ac:dyDescent="0.3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21" customHeight="1" x14ac:dyDescent="0.3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21" customHeight="1" x14ac:dyDescent="0.3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21" customHeight="1" x14ac:dyDescent="0.3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21" customHeight="1" x14ac:dyDescent="0.3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21" customHeight="1" x14ac:dyDescent="0.3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21" customHeight="1" x14ac:dyDescent="0.3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21" customHeight="1" x14ac:dyDescent="0.3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21" customHeight="1" x14ac:dyDescent="0.3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21" customHeight="1" x14ac:dyDescent="0.3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21" customHeight="1" x14ac:dyDescent="0.3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21" customHeight="1" x14ac:dyDescent="0.3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21" customHeight="1" x14ac:dyDescent="0.3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21" customHeight="1" x14ac:dyDescent="0.3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21" customHeight="1" x14ac:dyDescent="0.3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21" customHeight="1" x14ac:dyDescent="0.3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21" customHeight="1" x14ac:dyDescent="0.3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21" customHeight="1" x14ac:dyDescent="0.3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21" customHeight="1" x14ac:dyDescent="0.3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21" customHeight="1" x14ac:dyDescent="0.3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21" customHeight="1" x14ac:dyDescent="0.3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21" customHeight="1" x14ac:dyDescent="0.3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21" customHeight="1" x14ac:dyDescent="0.3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21" customHeight="1" x14ac:dyDescent="0.3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21" customHeight="1" x14ac:dyDescent="0.3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21" customHeight="1" x14ac:dyDescent="0.3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21" customHeight="1" x14ac:dyDescent="0.3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21" customHeight="1" x14ac:dyDescent="0.3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21" customHeight="1" x14ac:dyDescent="0.3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21" customHeight="1" x14ac:dyDescent="0.3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21" customHeight="1" x14ac:dyDescent="0.3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21" customHeight="1" x14ac:dyDescent="0.3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21" customHeight="1" x14ac:dyDescent="0.3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21" customHeight="1" x14ac:dyDescent="0.3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21" customHeight="1" x14ac:dyDescent="0.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21" customHeight="1" x14ac:dyDescent="0.3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21" customHeight="1" x14ac:dyDescent="0.3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21" customHeight="1" x14ac:dyDescent="0.3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21" customHeight="1" x14ac:dyDescent="0.3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21" customHeight="1" x14ac:dyDescent="0.3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21" customHeight="1" x14ac:dyDescent="0.3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21" customHeight="1" x14ac:dyDescent="0.3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21" customHeight="1" x14ac:dyDescent="0.3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21" customHeight="1" x14ac:dyDescent="0.3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21" customHeight="1" x14ac:dyDescent="0.3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21" customHeight="1" x14ac:dyDescent="0.3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21" customHeight="1" x14ac:dyDescent="0.3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21" customHeight="1" x14ac:dyDescent="0.3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21" customHeight="1" x14ac:dyDescent="0.3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21" customHeight="1" x14ac:dyDescent="0.3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21" customHeight="1" x14ac:dyDescent="0.3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21" customHeight="1" x14ac:dyDescent="0.3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21" customHeight="1" x14ac:dyDescent="0.3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21" customHeight="1" x14ac:dyDescent="0.3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21" customHeight="1" x14ac:dyDescent="0.3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21" customHeight="1" x14ac:dyDescent="0.3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21" customHeight="1" x14ac:dyDescent="0.3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21" customHeight="1" x14ac:dyDescent="0.3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21" customHeight="1" x14ac:dyDescent="0.3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21" customHeight="1" x14ac:dyDescent="0.3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21" customHeight="1" x14ac:dyDescent="0.3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21" customHeight="1" x14ac:dyDescent="0.3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21" customHeight="1" x14ac:dyDescent="0.3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21" customHeight="1" x14ac:dyDescent="0.3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21" customHeight="1" x14ac:dyDescent="0.3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21" customHeight="1" x14ac:dyDescent="0.3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21" customHeight="1" x14ac:dyDescent="0.3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21" customHeight="1" x14ac:dyDescent="0.3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21" customHeight="1" x14ac:dyDescent="0.3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21" customHeight="1" x14ac:dyDescent="0.3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21" customHeight="1" x14ac:dyDescent="0.3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21" customHeight="1" x14ac:dyDescent="0.3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21" customHeight="1" x14ac:dyDescent="0.3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21" customHeight="1" x14ac:dyDescent="0.3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21" customHeight="1" x14ac:dyDescent="0.3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21" customHeight="1" x14ac:dyDescent="0.3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21" customHeight="1" x14ac:dyDescent="0.3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21" customHeight="1" x14ac:dyDescent="0.3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21" customHeight="1" x14ac:dyDescent="0.3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21" customHeight="1" x14ac:dyDescent="0.3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21" customHeight="1" x14ac:dyDescent="0.3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21" customHeight="1" x14ac:dyDescent="0.3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21" customHeight="1" x14ac:dyDescent="0.3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21" customHeight="1" x14ac:dyDescent="0.3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21" customHeight="1" x14ac:dyDescent="0.3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21" customHeight="1" x14ac:dyDescent="0.3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21" customHeight="1" x14ac:dyDescent="0.3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21" customHeight="1" x14ac:dyDescent="0.3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21" customHeight="1" x14ac:dyDescent="0.3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21" customHeight="1" x14ac:dyDescent="0.3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21" customHeight="1" x14ac:dyDescent="0.3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21" customHeight="1" x14ac:dyDescent="0.3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21" customHeight="1" x14ac:dyDescent="0.3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21" customHeight="1" x14ac:dyDescent="0.3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21" customHeight="1" x14ac:dyDescent="0.3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21" customHeight="1" x14ac:dyDescent="0.3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21" customHeight="1" x14ac:dyDescent="0.3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21" customHeight="1" x14ac:dyDescent="0.3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21" customHeight="1" x14ac:dyDescent="0.3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21" customHeight="1" x14ac:dyDescent="0.3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21" customHeight="1" x14ac:dyDescent="0.3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21" customHeight="1" x14ac:dyDescent="0.3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21" customHeight="1" x14ac:dyDescent="0.3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21" customHeight="1" x14ac:dyDescent="0.3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21" customHeight="1" x14ac:dyDescent="0.3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21" customHeight="1" x14ac:dyDescent="0.3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21" customHeight="1" x14ac:dyDescent="0.3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21" customHeight="1" x14ac:dyDescent="0.3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21" customHeight="1" x14ac:dyDescent="0.3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21" customHeight="1" x14ac:dyDescent="0.3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21" customHeight="1" x14ac:dyDescent="0.3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21" customHeight="1" x14ac:dyDescent="0.3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21" customHeight="1" x14ac:dyDescent="0.3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21" customHeight="1" x14ac:dyDescent="0.3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21" customHeight="1" x14ac:dyDescent="0.3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21" customHeight="1" x14ac:dyDescent="0.3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21" customHeight="1" x14ac:dyDescent="0.3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21" customHeight="1" x14ac:dyDescent="0.3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21" customHeight="1" x14ac:dyDescent="0.3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21" customHeight="1" x14ac:dyDescent="0.3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21" customHeight="1" x14ac:dyDescent="0.3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21" customHeight="1" x14ac:dyDescent="0.3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21" customHeight="1" x14ac:dyDescent="0.3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21" customHeight="1" x14ac:dyDescent="0.3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21" customHeight="1" x14ac:dyDescent="0.3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21" customHeight="1" x14ac:dyDescent="0.3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21" customHeight="1" x14ac:dyDescent="0.3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21" customHeight="1" x14ac:dyDescent="0.3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21" customHeight="1" x14ac:dyDescent="0.3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21" customHeight="1" x14ac:dyDescent="0.3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21" customHeight="1" x14ac:dyDescent="0.3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21" customHeight="1" x14ac:dyDescent="0.3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21" customHeight="1" x14ac:dyDescent="0.3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21" customHeight="1" x14ac:dyDescent="0.3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21" customHeight="1" x14ac:dyDescent="0.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21" customHeight="1" x14ac:dyDescent="0.3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21" customHeight="1" x14ac:dyDescent="0.3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21" customHeight="1" x14ac:dyDescent="0.3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21" customHeight="1" x14ac:dyDescent="0.3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21" customHeight="1" x14ac:dyDescent="0.3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21" customHeight="1" x14ac:dyDescent="0.3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21" customHeight="1" x14ac:dyDescent="0.3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21" customHeight="1" x14ac:dyDescent="0.3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21" customHeight="1" x14ac:dyDescent="0.3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21" customHeight="1" x14ac:dyDescent="0.3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21" customHeight="1" x14ac:dyDescent="0.3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21" customHeight="1" x14ac:dyDescent="0.3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21" customHeight="1" x14ac:dyDescent="0.3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21" customHeight="1" x14ac:dyDescent="0.3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21" customHeight="1" x14ac:dyDescent="0.3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21" customHeight="1" x14ac:dyDescent="0.3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21" customHeight="1" x14ac:dyDescent="0.3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21" customHeight="1" x14ac:dyDescent="0.3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21" customHeight="1" x14ac:dyDescent="0.3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21" customHeight="1" x14ac:dyDescent="0.3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21" customHeight="1" x14ac:dyDescent="0.3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21" customHeight="1" x14ac:dyDescent="0.3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21" customHeight="1" x14ac:dyDescent="0.3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21" customHeight="1" x14ac:dyDescent="0.3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21" customHeight="1" x14ac:dyDescent="0.3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21" customHeight="1" x14ac:dyDescent="0.3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21" customHeight="1" x14ac:dyDescent="0.3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21" customHeight="1" x14ac:dyDescent="0.3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21" customHeight="1" x14ac:dyDescent="0.3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21" customHeight="1" x14ac:dyDescent="0.3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21" customHeight="1" x14ac:dyDescent="0.3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21" customHeight="1" x14ac:dyDescent="0.3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21" customHeight="1" x14ac:dyDescent="0.3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21" customHeight="1" x14ac:dyDescent="0.3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21" customHeight="1" x14ac:dyDescent="0.3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21" customHeight="1" x14ac:dyDescent="0.3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21" customHeight="1" x14ac:dyDescent="0.3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21" customHeight="1" x14ac:dyDescent="0.3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21" customHeight="1" x14ac:dyDescent="0.3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21" customHeight="1" x14ac:dyDescent="0.3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21" customHeight="1" x14ac:dyDescent="0.3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21" customHeight="1" x14ac:dyDescent="0.3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21" customHeight="1" x14ac:dyDescent="0.3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21" customHeight="1" x14ac:dyDescent="0.3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21" customHeight="1" x14ac:dyDescent="0.3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21" customHeight="1" x14ac:dyDescent="0.3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21" customHeight="1" x14ac:dyDescent="0.3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21" customHeight="1" x14ac:dyDescent="0.3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21" customHeight="1" x14ac:dyDescent="0.3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21" customHeight="1" x14ac:dyDescent="0.3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21" customHeight="1" x14ac:dyDescent="0.3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21" customHeight="1" x14ac:dyDescent="0.3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21" customHeight="1" x14ac:dyDescent="0.3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21" customHeight="1" x14ac:dyDescent="0.3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21" customHeight="1" x14ac:dyDescent="0.3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21" customHeight="1" x14ac:dyDescent="0.3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21" customHeight="1" x14ac:dyDescent="0.3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21" customHeight="1" x14ac:dyDescent="0.3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21" customHeight="1" x14ac:dyDescent="0.3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21" customHeight="1" x14ac:dyDescent="0.3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21" customHeight="1" x14ac:dyDescent="0.3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21" customHeight="1" x14ac:dyDescent="0.3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21" customHeight="1" x14ac:dyDescent="0.3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21" customHeight="1" x14ac:dyDescent="0.3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21" customHeight="1" x14ac:dyDescent="0.3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21" customHeight="1" x14ac:dyDescent="0.3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21" customHeight="1" x14ac:dyDescent="0.3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21" customHeight="1" x14ac:dyDescent="0.3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21" customHeight="1" x14ac:dyDescent="0.3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21" customHeight="1" x14ac:dyDescent="0.3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21" customHeight="1" x14ac:dyDescent="0.3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21" customHeight="1" x14ac:dyDescent="0.3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21" customHeight="1" x14ac:dyDescent="0.3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21" customHeight="1" x14ac:dyDescent="0.3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21" customHeight="1" x14ac:dyDescent="0.3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21" customHeight="1" x14ac:dyDescent="0.3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21" customHeight="1" x14ac:dyDescent="0.3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21" customHeight="1" x14ac:dyDescent="0.3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21" customHeight="1" x14ac:dyDescent="0.3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21" customHeight="1" x14ac:dyDescent="0.3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21" customHeight="1" x14ac:dyDescent="0.3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21" customHeight="1" x14ac:dyDescent="0.3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21" customHeight="1" x14ac:dyDescent="0.3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21" customHeight="1" x14ac:dyDescent="0.3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21" customHeight="1" x14ac:dyDescent="0.3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21" customHeight="1" x14ac:dyDescent="0.3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21" customHeight="1" x14ac:dyDescent="0.3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21" customHeight="1" x14ac:dyDescent="0.3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21" customHeight="1" x14ac:dyDescent="0.3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21" customHeight="1" x14ac:dyDescent="0.3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21" customHeight="1" x14ac:dyDescent="0.3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21" customHeight="1" x14ac:dyDescent="0.3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21" customHeight="1" x14ac:dyDescent="0.3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21" customHeight="1" x14ac:dyDescent="0.3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21" customHeight="1" x14ac:dyDescent="0.3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21" customHeight="1" x14ac:dyDescent="0.3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21" customHeight="1" x14ac:dyDescent="0.3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21" customHeight="1" x14ac:dyDescent="0.3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21" customHeight="1" x14ac:dyDescent="0.3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21" customHeight="1" x14ac:dyDescent="0.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21" customHeight="1" x14ac:dyDescent="0.3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21" customHeight="1" x14ac:dyDescent="0.3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21" customHeight="1" x14ac:dyDescent="0.3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21" customHeight="1" x14ac:dyDescent="0.3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21" customHeight="1" x14ac:dyDescent="0.3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21" customHeight="1" x14ac:dyDescent="0.3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21" customHeight="1" x14ac:dyDescent="0.3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21" customHeight="1" x14ac:dyDescent="0.3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21" customHeight="1" x14ac:dyDescent="0.3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21" customHeight="1" x14ac:dyDescent="0.3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21" customHeight="1" x14ac:dyDescent="0.3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21" customHeight="1" x14ac:dyDescent="0.3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21" customHeight="1" x14ac:dyDescent="0.3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21" customHeight="1" x14ac:dyDescent="0.3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21" customHeight="1" x14ac:dyDescent="0.3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21" customHeight="1" x14ac:dyDescent="0.3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21" customHeight="1" x14ac:dyDescent="0.3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21" customHeight="1" x14ac:dyDescent="0.3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21" customHeight="1" x14ac:dyDescent="0.3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21" customHeight="1" x14ac:dyDescent="0.3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21" customHeight="1" x14ac:dyDescent="0.3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21" customHeight="1" x14ac:dyDescent="0.3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21" customHeight="1" x14ac:dyDescent="0.3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21" customHeight="1" x14ac:dyDescent="0.3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21" customHeight="1" x14ac:dyDescent="0.3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21" customHeight="1" x14ac:dyDescent="0.3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21" customHeight="1" x14ac:dyDescent="0.3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21" customHeight="1" x14ac:dyDescent="0.3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21" customHeight="1" x14ac:dyDescent="0.3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21" customHeight="1" x14ac:dyDescent="0.3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21" customHeight="1" x14ac:dyDescent="0.3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21" customHeight="1" x14ac:dyDescent="0.3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21" customHeight="1" x14ac:dyDescent="0.3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21" customHeight="1" x14ac:dyDescent="0.3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21" customHeight="1" x14ac:dyDescent="0.3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21" customHeight="1" x14ac:dyDescent="0.3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21" customHeight="1" x14ac:dyDescent="0.3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21" customHeight="1" x14ac:dyDescent="0.3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21" customHeight="1" x14ac:dyDescent="0.3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21" customHeight="1" x14ac:dyDescent="0.3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21" customHeight="1" x14ac:dyDescent="0.3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21" customHeight="1" x14ac:dyDescent="0.3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21" customHeight="1" x14ac:dyDescent="0.3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21" customHeight="1" x14ac:dyDescent="0.3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21" customHeight="1" x14ac:dyDescent="0.3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21" customHeight="1" x14ac:dyDescent="0.3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21" customHeight="1" x14ac:dyDescent="0.3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21" customHeight="1" x14ac:dyDescent="0.3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21" customHeight="1" x14ac:dyDescent="0.3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21" customHeight="1" x14ac:dyDescent="0.3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21" customHeight="1" x14ac:dyDescent="0.3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21" customHeight="1" x14ac:dyDescent="0.3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21" customHeight="1" x14ac:dyDescent="0.3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21" customHeight="1" x14ac:dyDescent="0.3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21" customHeight="1" x14ac:dyDescent="0.3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21" customHeight="1" x14ac:dyDescent="0.3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21" customHeight="1" x14ac:dyDescent="0.3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21" customHeight="1" x14ac:dyDescent="0.3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21" customHeight="1" x14ac:dyDescent="0.3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21" customHeight="1" x14ac:dyDescent="0.3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21" customHeight="1" x14ac:dyDescent="0.3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21" customHeight="1" x14ac:dyDescent="0.3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21" customHeight="1" x14ac:dyDescent="0.3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21" customHeight="1" x14ac:dyDescent="0.3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21" customHeight="1" x14ac:dyDescent="0.3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21" customHeight="1" x14ac:dyDescent="0.3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21" customHeight="1" x14ac:dyDescent="0.3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21" customHeight="1" x14ac:dyDescent="0.3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21" customHeight="1" x14ac:dyDescent="0.3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21" customHeight="1" x14ac:dyDescent="0.3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21" customHeight="1" x14ac:dyDescent="0.3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21" customHeight="1" x14ac:dyDescent="0.3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21" customHeight="1" x14ac:dyDescent="0.3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21" customHeight="1" x14ac:dyDescent="0.3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21" customHeight="1" x14ac:dyDescent="0.3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21" customHeight="1" x14ac:dyDescent="0.3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21" customHeight="1" x14ac:dyDescent="0.3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21" customHeight="1" x14ac:dyDescent="0.3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21" customHeight="1" x14ac:dyDescent="0.3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21" customHeight="1" x14ac:dyDescent="0.3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21" customHeight="1" x14ac:dyDescent="0.3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21" customHeight="1" x14ac:dyDescent="0.3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21" customHeight="1" x14ac:dyDescent="0.3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21" customHeight="1" x14ac:dyDescent="0.3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21" customHeight="1" x14ac:dyDescent="0.3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21" customHeight="1" x14ac:dyDescent="0.3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21" customHeight="1" x14ac:dyDescent="0.3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21" customHeight="1" x14ac:dyDescent="0.3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21" customHeight="1" x14ac:dyDescent="0.3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21" customHeight="1" x14ac:dyDescent="0.3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21" customHeight="1" x14ac:dyDescent="0.3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21" customHeight="1" x14ac:dyDescent="0.3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21" customHeight="1" x14ac:dyDescent="0.3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21" customHeight="1" x14ac:dyDescent="0.3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21" customHeight="1" x14ac:dyDescent="0.3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21" customHeight="1" x14ac:dyDescent="0.3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21" customHeight="1" x14ac:dyDescent="0.3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21" customHeight="1" x14ac:dyDescent="0.3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21" customHeight="1" x14ac:dyDescent="0.3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21" customHeight="1" x14ac:dyDescent="0.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21" customHeight="1" x14ac:dyDescent="0.3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21" customHeight="1" x14ac:dyDescent="0.3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21" customHeight="1" x14ac:dyDescent="0.3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21" customHeight="1" x14ac:dyDescent="0.3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21" customHeight="1" x14ac:dyDescent="0.3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21" customHeight="1" x14ac:dyDescent="0.3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21" customHeight="1" x14ac:dyDescent="0.3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21" customHeight="1" x14ac:dyDescent="0.3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21" customHeight="1" x14ac:dyDescent="0.3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21" customHeight="1" x14ac:dyDescent="0.3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21" customHeight="1" x14ac:dyDescent="0.3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21" customHeight="1" x14ac:dyDescent="0.3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21" customHeight="1" x14ac:dyDescent="0.3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21" customHeight="1" x14ac:dyDescent="0.3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21" customHeight="1" x14ac:dyDescent="0.3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21" customHeight="1" x14ac:dyDescent="0.3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21" customHeight="1" x14ac:dyDescent="0.3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21" customHeight="1" x14ac:dyDescent="0.3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21" customHeight="1" x14ac:dyDescent="0.3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21" customHeight="1" x14ac:dyDescent="0.3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21" customHeight="1" x14ac:dyDescent="0.3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21" customHeight="1" x14ac:dyDescent="0.3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21" customHeight="1" x14ac:dyDescent="0.3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21" customHeight="1" x14ac:dyDescent="0.3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21" customHeight="1" x14ac:dyDescent="0.3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21" customHeight="1" x14ac:dyDescent="0.3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21" customHeight="1" x14ac:dyDescent="0.3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21" customHeight="1" x14ac:dyDescent="0.3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21" customHeight="1" x14ac:dyDescent="0.3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21" customHeight="1" x14ac:dyDescent="0.3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21" customHeight="1" x14ac:dyDescent="0.3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21" customHeight="1" x14ac:dyDescent="0.3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21" customHeight="1" x14ac:dyDescent="0.3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21" customHeight="1" x14ac:dyDescent="0.3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21" customHeight="1" x14ac:dyDescent="0.3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21" customHeight="1" x14ac:dyDescent="0.3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21" customHeight="1" x14ac:dyDescent="0.3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21" customHeight="1" x14ac:dyDescent="0.3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21" customHeight="1" x14ac:dyDescent="0.3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21" customHeight="1" x14ac:dyDescent="0.3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21" customHeight="1" x14ac:dyDescent="0.3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21" customHeight="1" x14ac:dyDescent="0.3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21" customHeight="1" x14ac:dyDescent="0.3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21" customHeight="1" x14ac:dyDescent="0.3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21" customHeight="1" x14ac:dyDescent="0.3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21" customHeight="1" x14ac:dyDescent="0.3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21" customHeight="1" x14ac:dyDescent="0.3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21" customHeight="1" x14ac:dyDescent="0.3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21" customHeight="1" x14ac:dyDescent="0.3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21" customHeight="1" x14ac:dyDescent="0.3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21" customHeight="1" x14ac:dyDescent="0.3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21" customHeight="1" x14ac:dyDescent="0.3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21" customHeight="1" x14ac:dyDescent="0.3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21" customHeight="1" x14ac:dyDescent="0.3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21" customHeight="1" x14ac:dyDescent="0.3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21" customHeight="1" x14ac:dyDescent="0.3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21" customHeight="1" x14ac:dyDescent="0.3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21" customHeight="1" x14ac:dyDescent="0.3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21" customHeight="1" x14ac:dyDescent="0.3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21" customHeight="1" x14ac:dyDescent="0.3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21" customHeight="1" x14ac:dyDescent="0.3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21" customHeight="1" x14ac:dyDescent="0.3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21" customHeight="1" x14ac:dyDescent="0.3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21" customHeight="1" x14ac:dyDescent="0.3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21" customHeight="1" x14ac:dyDescent="0.3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21" customHeight="1" x14ac:dyDescent="0.3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21" customHeight="1" x14ac:dyDescent="0.3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21" customHeight="1" x14ac:dyDescent="0.3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21" customHeight="1" x14ac:dyDescent="0.3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21" customHeight="1" x14ac:dyDescent="0.3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21" customHeight="1" x14ac:dyDescent="0.3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21" customHeight="1" x14ac:dyDescent="0.3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21" customHeight="1" x14ac:dyDescent="0.3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21" customHeight="1" x14ac:dyDescent="0.3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21" customHeight="1" x14ac:dyDescent="0.3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21" customHeight="1" x14ac:dyDescent="0.3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21" customHeight="1" x14ac:dyDescent="0.3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21" customHeight="1" x14ac:dyDescent="0.3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21" customHeight="1" x14ac:dyDescent="0.3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21" customHeight="1" x14ac:dyDescent="0.3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21" customHeight="1" x14ac:dyDescent="0.3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21" customHeight="1" x14ac:dyDescent="0.3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21" customHeight="1" x14ac:dyDescent="0.3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21" customHeight="1" x14ac:dyDescent="0.3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21" customHeight="1" x14ac:dyDescent="0.3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21" customHeight="1" x14ac:dyDescent="0.3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21" customHeight="1" x14ac:dyDescent="0.3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21" customHeight="1" x14ac:dyDescent="0.3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21" customHeight="1" x14ac:dyDescent="0.3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21" customHeight="1" x14ac:dyDescent="0.3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21" customHeight="1" x14ac:dyDescent="0.3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21" customHeight="1" x14ac:dyDescent="0.3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21" customHeight="1" x14ac:dyDescent="0.3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21" customHeight="1" x14ac:dyDescent="0.3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21" customHeight="1" x14ac:dyDescent="0.3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21" customHeight="1" x14ac:dyDescent="0.3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21" customHeight="1" x14ac:dyDescent="0.3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21" customHeight="1" x14ac:dyDescent="0.3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21" customHeight="1" x14ac:dyDescent="0.3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21" customHeight="1" x14ac:dyDescent="0.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21" customHeight="1" x14ac:dyDescent="0.3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21" customHeight="1" x14ac:dyDescent="0.3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21" customHeight="1" x14ac:dyDescent="0.3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21" customHeight="1" x14ac:dyDescent="0.3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21" customHeight="1" x14ac:dyDescent="0.3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21" customHeight="1" x14ac:dyDescent="0.3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21" customHeight="1" x14ac:dyDescent="0.3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21" customHeight="1" x14ac:dyDescent="0.3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21" customHeight="1" x14ac:dyDescent="0.3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21" customHeight="1" x14ac:dyDescent="0.3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21" customHeight="1" x14ac:dyDescent="0.3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21" customHeight="1" x14ac:dyDescent="0.3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21" customHeight="1" x14ac:dyDescent="0.3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21" customHeight="1" x14ac:dyDescent="0.3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21" customHeight="1" x14ac:dyDescent="0.3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21" customHeight="1" x14ac:dyDescent="0.3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21" customHeight="1" x14ac:dyDescent="0.3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21" customHeight="1" x14ac:dyDescent="0.3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21" customHeight="1" x14ac:dyDescent="0.3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21" customHeight="1" x14ac:dyDescent="0.3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21" customHeight="1" x14ac:dyDescent="0.3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21" customHeight="1" x14ac:dyDescent="0.3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21" customHeight="1" x14ac:dyDescent="0.3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21" customHeight="1" x14ac:dyDescent="0.3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21" customHeight="1" x14ac:dyDescent="0.3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21" customHeight="1" x14ac:dyDescent="0.3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21" customHeight="1" x14ac:dyDescent="0.3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21" customHeight="1" x14ac:dyDescent="0.3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21" customHeight="1" x14ac:dyDescent="0.3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21" customHeight="1" x14ac:dyDescent="0.3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21" customHeight="1" x14ac:dyDescent="0.3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21" customHeight="1" x14ac:dyDescent="0.3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21" customHeight="1" x14ac:dyDescent="0.3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21" customHeight="1" x14ac:dyDescent="0.3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21" customHeight="1" x14ac:dyDescent="0.3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21" customHeight="1" x14ac:dyDescent="0.3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21" customHeight="1" x14ac:dyDescent="0.3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21" customHeight="1" x14ac:dyDescent="0.3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21" customHeight="1" x14ac:dyDescent="0.3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21" customHeight="1" x14ac:dyDescent="0.3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21" customHeight="1" x14ac:dyDescent="0.3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21" customHeight="1" x14ac:dyDescent="0.3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21" customHeight="1" x14ac:dyDescent="0.3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21" customHeight="1" x14ac:dyDescent="0.3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21" customHeight="1" x14ac:dyDescent="0.3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21" customHeight="1" x14ac:dyDescent="0.3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21" customHeight="1" x14ac:dyDescent="0.3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21" customHeight="1" x14ac:dyDescent="0.3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21" customHeight="1" x14ac:dyDescent="0.3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21" customHeight="1" x14ac:dyDescent="0.3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21" customHeight="1" x14ac:dyDescent="0.3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21" customHeight="1" x14ac:dyDescent="0.3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21" customHeight="1" x14ac:dyDescent="0.3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21" customHeight="1" x14ac:dyDescent="0.3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21" customHeight="1" x14ac:dyDescent="0.3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21" customHeight="1" x14ac:dyDescent="0.3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21" customHeight="1" x14ac:dyDescent="0.3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21" customHeight="1" x14ac:dyDescent="0.3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21" customHeight="1" x14ac:dyDescent="0.3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21" customHeight="1" x14ac:dyDescent="0.3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21" customHeight="1" x14ac:dyDescent="0.3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21" customHeight="1" x14ac:dyDescent="0.3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21" customHeight="1" x14ac:dyDescent="0.3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21" customHeight="1" x14ac:dyDescent="0.3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21" customHeight="1" x14ac:dyDescent="0.3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21" customHeight="1" x14ac:dyDescent="0.3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21" customHeight="1" x14ac:dyDescent="0.3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21" customHeight="1" x14ac:dyDescent="0.3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21" customHeight="1" x14ac:dyDescent="0.3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21" customHeight="1" x14ac:dyDescent="0.3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21" customHeight="1" x14ac:dyDescent="0.3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21" customHeight="1" x14ac:dyDescent="0.3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21" customHeight="1" x14ac:dyDescent="0.3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21" customHeight="1" x14ac:dyDescent="0.3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21" customHeight="1" x14ac:dyDescent="0.3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21" customHeight="1" x14ac:dyDescent="0.3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21" customHeight="1" x14ac:dyDescent="0.3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21" customHeight="1" x14ac:dyDescent="0.3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21" customHeight="1" x14ac:dyDescent="0.3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21" customHeight="1" x14ac:dyDescent="0.3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21" customHeight="1" x14ac:dyDescent="0.3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21" customHeight="1" x14ac:dyDescent="0.3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21" customHeight="1" x14ac:dyDescent="0.3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21" customHeight="1" x14ac:dyDescent="0.3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21" customHeight="1" x14ac:dyDescent="0.3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21" customHeight="1" x14ac:dyDescent="0.3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21" customHeight="1" x14ac:dyDescent="0.3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21" customHeight="1" x14ac:dyDescent="0.3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21" customHeight="1" x14ac:dyDescent="0.3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21" customHeight="1" x14ac:dyDescent="0.3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21" customHeight="1" x14ac:dyDescent="0.3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21" customHeight="1" x14ac:dyDescent="0.3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21" customHeight="1" x14ac:dyDescent="0.3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21" customHeight="1" x14ac:dyDescent="0.3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21" customHeight="1" x14ac:dyDescent="0.3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21" customHeight="1" x14ac:dyDescent="0.3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21" customHeight="1" x14ac:dyDescent="0.3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21" customHeight="1" x14ac:dyDescent="0.3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21" customHeight="1" x14ac:dyDescent="0.3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21" customHeight="1" x14ac:dyDescent="0.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21" customHeight="1" x14ac:dyDescent="0.3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21" customHeight="1" x14ac:dyDescent="0.3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21" customHeight="1" x14ac:dyDescent="0.3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21" customHeight="1" x14ac:dyDescent="0.3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21" customHeight="1" x14ac:dyDescent="0.3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21" customHeight="1" x14ac:dyDescent="0.3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21" customHeight="1" x14ac:dyDescent="0.3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21" customHeight="1" x14ac:dyDescent="0.3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21" customHeight="1" x14ac:dyDescent="0.3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21" customHeight="1" x14ac:dyDescent="0.3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21" customHeight="1" x14ac:dyDescent="0.3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21" customHeight="1" x14ac:dyDescent="0.3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21" customHeight="1" x14ac:dyDescent="0.3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21" customHeight="1" x14ac:dyDescent="0.3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21" customHeight="1" x14ac:dyDescent="0.3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21" customHeight="1" x14ac:dyDescent="0.3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21" customHeight="1" x14ac:dyDescent="0.3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21" customHeight="1" x14ac:dyDescent="0.3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21" customHeight="1" x14ac:dyDescent="0.3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21" customHeight="1" x14ac:dyDescent="0.3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21" customHeight="1" x14ac:dyDescent="0.3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21" customHeight="1" x14ac:dyDescent="0.3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21" customHeight="1" x14ac:dyDescent="0.3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21" customHeight="1" x14ac:dyDescent="0.3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21" customHeight="1" x14ac:dyDescent="0.3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21" customHeight="1" x14ac:dyDescent="0.3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21" customHeight="1" x14ac:dyDescent="0.3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21" customHeight="1" x14ac:dyDescent="0.3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21" customHeight="1" x14ac:dyDescent="0.3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21" customHeight="1" x14ac:dyDescent="0.3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21" customHeight="1" x14ac:dyDescent="0.3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21" customHeight="1" x14ac:dyDescent="0.3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21" customHeight="1" x14ac:dyDescent="0.3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21" customHeight="1" x14ac:dyDescent="0.3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21" customHeight="1" x14ac:dyDescent="0.3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21" customHeight="1" x14ac:dyDescent="0.3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21" customHeight="1" x14ac:dyDescent="0.3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21" customHeight="1" x14ac:dyDescent="0.3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21" customHeight="1" x14ac:dyDescent="0.3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21" customHeight="1" x14ac:dyDescent="0.3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21" customHeight="1" x14ac:dyDescent="0.3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21" customHeight="1" x14ac:dyDescent="0.3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21" customHeight="1" x14ac:dyDescent="0.3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21" customHeight="1" x14ac:dyDescent="0.3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21" customHeight="1" x14ac:dyDescent="0.3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21" customHeight="1" x14ac:dyDescent="0.3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21" customHeight="1" x14ac:dyDescent="0.3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21" customHeight="1" x14ac:dyDescent="0.3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21" customHeight="1" x14ac:dyDescent="0.3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21" customHeight="1" x14ac:dyDescent="0.3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21" customHeight="1" x14ac:dyDescent="0.3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21" customHeight="1" x14ac:dyDescent="0.3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21" customHeight="1" x14ac:dyDescent="0.3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21" customHeight="1" x14ac:dyDescent="0.3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21" customHeight="1" x14ac:dyDescent="0.3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21" customHeight="1" x14ac:dyDescent="0.3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21" customHeight="1" x14ac:dyDescent="0.3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21" customHeight="1" x14ac:dyDescent="0.3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21" customHeight="1" x14ac:dyDescent="0.3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21" customHeight="1" x14ac:dyDescent="0.3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21" customHeight="1" x14ac:dyDescent="0.3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21" customHeight="1" x14ac:dyDescent="0.3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21" customHeight="1" x14ac:dyDescent="0.3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21" customHeight="1" x14ac:dyDescent="0.3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21" customHeight="1" x14ac:dyDescent="0.3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21" customHeight="1" x14ac:dyDescent="0.3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21" customHeight="1" x14ac:dyDescent="0.3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21" customHeight="1" x14ac:dyDescent="0.3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21" customHeight="1" x14ac:dyDescent="0.3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21" customHeight="1" x14ac:dyDescent="0.3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21" customHeight="1" x14ac:dyDescent="0.3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21" customHeight="1" x14ac:dyDescent="0.3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21" customHeight="1" x14ac:dyDescent="0.3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21" customHeight="1" x14ac:dyDescent="0.3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21" customHeight="1" x14ac:dyDescent="0.3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21" customHeight="1" x14ac:dyDescent="0.3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21" customHeight="1" x14ac:dyDescent="0.3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21" customHeight="1" x14ac:dyDescent="0.3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21" customHeight="1" x14ac:dyDescent="0.3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21" customHeight="1" x14ac:dyDescent="0.3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21" customHeight="1" x14ac:dyDescent="0.3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21" customHeight="1" x14ac:dyDescent="0.3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21" customHeight="1" x14ac:dyDescent="0.3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21" customHeight="1" x14ac:dyDescent="0.3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21" customHeight="1" x14ac:dyDescent="0.3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21" customHeight="1" x14ac:dyDescent="0.3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21" customHeight="1" x14ac:dyDescent="0.3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21" customHeight="1" x14ac:dyDescent="0.3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21" customHeight="1" x14ac:dyDescent="0.3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21" customHeight="1" x14ac:dyDescent="0.3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21" customHeight="1" x14ac:dyDescent="0.3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21" customHeight="1" x14ac:dyDescent="0.3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21" customHeight="1" x14ac:dyDescent="0.3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21" customHeight="1" x14ac:dyDescent="0.3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21" customHeight="1" x14ac:dyDescent="0.3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21" customHeight="1" x14ac:dyDescent="0.3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21" customHeight="1" x14ac:dyDescent="0.3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21" customHeight="1" x14ac:dyDescent="0.3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21" customHeight="1" x14ac:dyDescent="0.3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21" customHeight="1" x14ac:dyDescent="0.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21" customHeight="1" x14ac:dyDescent="0.3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21" customHeight="1" x14ac:dyDescent="0.3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21" customHeight="1" x14ac:dyDescent="0.3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21" customHeight="1" x14ac:dyDescent="0.3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21" customHeight="1" x14ac:dyDescent="0.3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21" customHeight="1" x14ac:dyDescent="0.3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21" customHeight="1" x14ac:dyDescent="0.3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21" customHeight="1" x14ac:dyDescent="0.3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21" customHeight="1" x14ac:dyDescent="0.3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21" customHeight="1" x14ac:dyDescent="0.3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21" customHeight="1" x14ac:dyDescent="0.3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21" customHeight="1" x14ac:dyDescent="0.3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21" customHeight="1" x14ac:dyDescent="0.3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21" customHeight="1" x14ac:dyDescent="0.3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21" customHeight="1" x14ac:dyDescent="0.3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21" customHeight="1" x14ac:dyDescent="0.3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21" customHeight="1" x14ac:dyDescent="0.3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21" customHeight="1" x14ac:dyDescent="0.3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21" customHeight="1" x14ac:dyDescent="0.3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21" customHeight="1" x14ac:dyDescent="0.3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21" customHeight="1" x14ac:dyDescent="0.3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21" customHeight="1" x14ac:dyDescent="0.3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21" customHeight="1" x14ac:dyDescent="0.3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21" customHeight="1" x14ac:dyDescent="0.3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21" customHeight="1" x14ac:dyDescent="0.3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21" customHeight="1" x14ac:dyDescent="0.3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21" customHeight="1" x14ac:dyDescent="0.3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21" customHeight="1" x14ac:dyDescent="0.3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21" customHeight="1" x14ac:dyDescent="0.3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21" customHeight="1" x14ac:dyDescent="0.3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21" customHeight="1" x14ac:dyDescent="0.3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21" customHeight="1" x14ac:dyDescent="0.3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21" customHeight="1" x14ac:dyDescent="0.3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21" customHeight="1" x14ac:dyDescent="0.3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21" customHeight="1" x14ac:dyDescent="0.3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21" customHeight="1" x14ac:dyDescent="0.3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21" customHeight="1" x14ac:dyDescent="0.3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21" customHeight="1" x14ac:dyDescent="0.3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21" customHeight="1" x14ac:dyDescent="0.3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21" customHeight="1" x14ac:dyDescent="0.3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21" customHeight="1" x14ac:dyDescent="0.3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21" customHeight="1" x14ac:dyDescent="0.3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21" customHeight="1" x14ac:dyDescent="0.3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21" customHeight="1" x14ac:dyDescent="0.3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21" customHeight="1" x14ac:dyDescent="0.3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21" customHeight="1" x14ac:dyDescent="0.3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21" customHeight="1" x14ac:dyDescent="0.3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21" customHeight="1" x14ac:dyDescent="0.3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21" customHeight="1" x14ac:dyDescent="0.3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21" customHeight="1" x14ac:dyDescent="0.3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21" customHeight="1" x14ac:dyDescent="0.3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21" customHeight="1" x14ac:dyDescent="0.3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21" customHeight="1" x14ac:dyDescent="0.3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21" customHeight="1" x14ac:dyDescent="0.3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21" customHeight="1" x14ac:dyDescent="0.3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21" customHeight="1" x14ac:dyDescent="0.3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21" customHeight="1" x14ac:dyDescent="0.3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21" customHeight="1" x14ac:dyDescent="0.3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21" customHeight="1" x14ac:dyDescent="0.3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21" customHeight="1" x14ac:dyDescent="0.3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21" customHeight="1" x14ac:dyDescent="0.3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21" customHeight="1" x14ac:dyDescent="0.3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21" customHeight="1" x14ac:dyDescent="0.3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21" customHeight="1" x14ac:dyDescent="0.3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21" customHeight="1" x14ac:dyDescent="0.3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21" customHeight="1" x14ac:dyDescent="0.3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21" customHeight="1" x14ac:dyDescent="0.3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21" customHeight="1" x14ac:dyDescent="0.3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21" customHeight="1" x14ac:dyDescent="0.3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21" customHeight="1" x14ac:dyDescent="0.3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21" customHeight="1" x14ac:dyDescent="0.3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21" customHeight="1" x14ac:dyDescent="0.3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21" customHeight="1" x14ac:dyDescent="0.3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21" customHeight="1" x14ac:dyDescent="0.3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21" customHeight="1" x14ac:dyDescent="0.3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21" customHeight="1" x14ac:dyDescent="0.3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21" customHeight="1" x14ac:dyDescent="0.3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21" customHeight="1" x14ac:dyDescent="0.3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21" customHeight="1" x14ac:dyDescent="0.3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21" customHeight="1" x14ac:dyDescent="0.3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21" customHeight="1" x14ac:dyDescent="0.3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21" customHeight="1" x14ac:dyDescent="0.3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21" customHeight="1" x14ac:dyDescent="0.3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21" customHeight="1" x14ac:dyDescent="0.3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21" customHeight="1" x14ac:dyDescent="0.3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21" customHeight="1" x14ac:dyDescent="0.3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21" customHeight="1" x14ac:dyDescent="0.3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21" customHeight="1" x14ac:dyDescent="0.3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21" customHeight="1" x14ac:dyDescent="0.3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21" customHeight="1" x14ac:dyDescent="0.3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21" customHeight="1" x14ac:dyDescent="0.3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21" customHeight="1" x14ac:dyDescent="0.3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21" customHeight="1" x14ac:dyDescent="0.3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21" customHeight="1" x14ac:dyDescent="0.3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21" customHeight="1" x14ac:dyDescent="0.3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21" customHeight="1" x14ac:dyDescent="0.3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21" customHeight="1" x14ac:dyDescent="0.3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21" customHeight="1" x14ac:dyDescent="0.3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21" customHeight="1" x14ac:dyDescent="0.3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21" customHeight="1" x14ac:dyDescent="0.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21" customHeight="1" x14ac:dyDescent="0.3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21" customHeight="1" x14ac:dyDescent="0.3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21" customHeight="1" x14ac:dyDescent="0.3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21" customHeight="1" x14ac:dyDescent="0.3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21" customHeight="1" x14ac:dyDescent="0.3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21" customHeight="1" x14ac:dyDescent="0.3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21" customHeight="1" x14ac:dyDescent="0.3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21" customHeight="1" x14ac:dyDescent="0.3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21" customHeight="1" x14ac:dyDescent="0.3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21" customHeight="1" x14ac:dyDescent="0.3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21" customHeight="1" x14ac:dyDescent="0.3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21" customHeight="1" x14ac:dyDescent="0.3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21" customHeight="1" x14ac:dyDescent="0.3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21" customHeight="1" x14ac:dyDescent="0.3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21" customHeight="1" x14ac:dyDescent="0.3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21" customHeight="1" x14ac:dyDescent="0.3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21" customHeight="1" x14ac:dyDescent="0.3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21" customHeight="1" x14ac:dyDescent="0.3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21" customHeight="1" x14ac:dyDescent="0.3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21" customHeight="1" x14ac:dyDescent="0.3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21" customHeight="1" x14ac:dyDescent="0.3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21" customHeight="1" x14ac:dyDescent="0.3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21" customHeight="1" x14ac:dyDescent="0.3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21" customHeight="1" x14ac:dyDescent="0.3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21" customHeight="1" x14ac:dyDescent="0.3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21" customHeight="1" x14ac:dyDescent="0.3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21" customHeight="1" x14ac:dyDescent="0.3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spans="1:26" ht="21" customHeight="1" x14ac:dyDescent="0.3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spans="1:26" ht="21" customHeight="1" x14ac:dyDescent="0.3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spans="1:26" ht="21" customHeight="1" x14ac:dyDescent="0.3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spans="1:26" ht="21" customHeight="1" x14ac:dyDescent="0.3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spans="1:26" ht="21" customHeight="1" x14ac:dyDescent="0.3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spans="1:26" ht="21" customHeight="1" x14ac:dyDescent="0.3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spans="1:26" ht="21" customHeight="1" x14ac:dyDescent="0.3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spans="1:26" ht="21" customHeight="1" x14ac:dyDescent="0.3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spans="1:26" ht="21" customHeight="1" x14ac:dyDescent="0.3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spans="1:26" ht="21" customHeight="1" x14ac:dyDescent="0.3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spans="1:26" ht="21" customHeight="1" x14ac:dyDescent="0.3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spans="1:26" ht="21" customHeight="1" x14ac:dyDescent="0.3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spans="1:26" ht="21" customHeight="1" x14ac:dyDescent="0.3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spans="1:26" ht="21" customHeight="1" x14ac:dyDescent="0.3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spans="1:26" ht="21" customHeight="1" x14ac:dyDescent="0.3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spans="1:26" ht="21" customHeight="1" x14ac:dyDescent="0.3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spans="1:26" ht="21" customHeight="1" x14ac:dyDescent="0.3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spans="1:26" ht="21" customHeight="1" x14ac:dyDescent="0.3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spans="1:26" ht="21" customHeight="1" x14ac:dyDescent="0.3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spans="1:26" ht="21" customHeight="1" x14ac:dyDescent="0.3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spans="1:26" ht="21" customHeight="1" x14ac:dyDescent="0.3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spans="1:26" ht="21" customHeight="1" x14ac:dyDescent="0.3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spans="1:26" ht="21" customHeight="1" x14ac:dyDescent="0.3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spans="1:26" ht="21" customHeight="1" x14ac:dyDescent="0.3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spans="1:26" ht="21" customHeight="1" x14ac:dyDescent="0.3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spans="1:26" ht="21" customHeight="1" x14ac:dyDescent="0.3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spans="1:26" ht="21" customHeight="1" x14ac:dyDescent="0.3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spans="1:26" ht="21" customHeight="1" x14ac:dyDescent="0.3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spans="1:26" ht="21" customHeight="1" x14ac:dyDescent="0.3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spans="1:26" ht="21" customHeight="1" x14ac:dyDescent="0.3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spans="1:26" ht="21" customHeight="1" x14ac:dyDescent="0.3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spans="1:26" ht="21" customHeight="1" x14ac:dyDescent="0.3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spans="1:26" ht="21" customHeight="1" x14ac:dyDescent="0.3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spans="1:26" ht="21" customHeight="1" x14ac:dyDescent="0.3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spans="1:26" ht="21" customHeight="1" x14ac:dyDescent="0.3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spans="1:26" ht="21" customHeight="1" x14ac:dyDescent="0.3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spans="1:26" ht="21" customHeight="1" x14ac:dyDescent="0.3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spans="1:26" ht="21" customHeight="1" x14ac:dyDescent="0.3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4.453125" defaultRowHeight="15" customHeight="1" x14ac:dyDescent="0.35"/>
  <cols>
    <col min="2" max="3" width="20" customWidth="1"/>
  </cols>
  <sheetData>
    <row r="1" spans="1:26" x14ac:dyDescent="0.35">
      <c r="A1" s="59" t="s">
        <v>176</v>
      </c>
      <c r="B1" s="59" t="s">
        <v>177</v>
      </c>
      <c r="C1" s="59" t="s">
        <v>178</v>
      </c>
      <c r="D1" s="59" t="s">
        <v>179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x14ac:dyDescent="0.35">
      <c r="A2" s="60" t="s">
        <v>168</v>
      </c>
      <c r="B2" s="61">
        <v>275968955</v>
      </c>
      <c r="C2" s="61">
        <v>6350648</v>
      </c>
      <c r="D2" s="62">
        <f t="shared" ref="D2:D5" si="0">C2/B2</f>
        <v>2.3012182656560048E-2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x14ac:dyDescent="0.35">
      <c r="A3" s="60" t="s">
        <v>169</v>
      </c>
      <c r="B3" s="61">
        <v>182504782</v>
      </c>
      <c r="C3" s="61">
        <v>3923167</v>
      </c>
      <c r="D3" s="62">
        <f t="shared" si="0"/>
        <v>2.1496242219012102E-2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x14ac:dyDescent="0.35">
      <c r="A4" s="60" t="s">
        <v>170</v>
      </c>
      <c r="B4" s="61">
        <v>210753735</v>
      </c>
      <c r="C4" s="61">
        <v>4570226</v>
      </c>
      <c r="D4" s="62">
        <f t="shared" si="0"/>
        <v>2.1685148308285024E-2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x14ac:dyDescent="0.35">
      <c r="A5" s="60" t="s">
        <v>180</v>
      </c>
      <c r="B5" s="61">
        <v>194610562</v>
      </c>
      <c r="C5" s="61">
        <v>5883288</v>
      </c>
      <c r="D5" s="62">
        <f t="shared" si="0"/>
        <v>3.0231082730237425E-2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x14ac:dyDescent="0.35">
      <c r="A6" s="64" t="s">
        <v>181</v>
      </c>
      <c r="B6" s="65"/>
      <c r="C6" s="65"/>
      <c r="D6" s="63">
        <f>AVERAGE(D2:D5)</f>
        <v>2.4106163978523651E-2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x14ac:dyDescent="0.3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x14ac:dyDescent="0.3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x14ac:dyDescent="0.3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x14ac:dyDescent="0.3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x14ac:dyDescent="0.3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x14ac:dyDescent="0.3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x14ac:dyDescent="0.3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x14ac:dyDescent="0.3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x14ac:dyDescent="0.3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x14ac:dyDescent="0.3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x14ac:dyDescent="0.3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x14ac:dyDescent="0.3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x14ac:dyDescent="0.3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x14ac:dyDescent="0.3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x14ac:dyDescent="0.3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x14ac:dyDescent="0.3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x14ac:dyDescent="0.3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x14ac:dyDescent="0.3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x14ac:dyDescent="0.3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x14ac:dyDescent="0.3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x14ac:dyDescent="0.3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x14ac:dyDescent="0.3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x14ac:dyDescent="0.3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x14ac:dyDescent="0.3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x14ac:dyDescent="0.3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x14ac:dyDescent="0.3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x14ac:dyDescent="0.35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x14ac:dyDescent="0.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x14ac:dyDescent="0.35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x14ac:dyDescent="0.3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x14ac:dyDescent="0.3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x14ac:dyDescent="0.3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x14ac:dyDescent="0.3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x14ac:dyDescent="0.3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x14ac:dyDescent="0.3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x14ac:dyDescent="0.3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x14ac:dyDescent="0.3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x14ac:dyDescent="0.3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x14ac:dyDescent="0.3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x14ac:dyDescent="0.3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x14ac:dyDescent="0.3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x14ac:dyDescent="0.3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x14ac:dyDescent="0.3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x14ac:dyDescent="0.3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x14ac:dyDescent="0.3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x14ac:dyDescent="0.3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x14ac:dyDescent="0.3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x14ac:dyDescent="0.3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x14ac:dyDescent="0.3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x14ac:dyDescent="0.3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x14ac:dyDescent="0.3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x14ac:dyDescent="0.3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x14ac:dyDescent="0.3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x14ac:dyDescent="0.3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x14ac:dyDescent="0.3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x14ac:dyDescent="0.3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x14ac:dyDescent="0.3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x14ac:dyDescent="0.3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x14ac:dyDescent="0.3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x14ac:dyDescent="0.3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x14ac:dyDescent="0.3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x14ac:dyDescent="0.3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x14ac:dyDescent="0.3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x14ac:dyDescent="0.3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x14ac:dyDescent="0.3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x14ac:dyDescent="0.3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x14ac:dyDescent="0.3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x14ac:dyDescent="0.3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x14ac:dyDescent="0.3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x14ac:dyDescent="0.3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x14ac:dyDescent="0.3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x14ac:dyDescent="0.3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x14ac:dyDescent="0.3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x14ac:dyDescent="0.3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x14ac:dyDescent="0.3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x14ac:dyDescent="0.3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x14ac:dyDescent="0.3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x14ac:dyDescent="0.3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x14ac:dyDescent="0.3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x14ac:dyDescent="0.3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x14ac:dyDescent="0.3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x14ac:dyDescent="0.3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x14ac:dyDescent="0.3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x14ac:dyDescent="0.3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x14ac:dyDescent="0.3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x14ac:dyDescent="0.3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x14ac:dyDescent="0.3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x14ac:dyDescent="0.3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x14ac:dyDescent="0.3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x14ac:dyDescent="0.3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x14ac:dyDescent="0.3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x14ac:dyDescent="0.3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x14ac:dyDescent="0.3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x14ac:dyDescent="0.3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x14ac:dyDescent="0.3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x14ac:dyDescent="0.3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x14ac:dyDescent="0.3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x14ac:dyDescent="0.3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x14ac:dyDescent="0.3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x14ac:dyDescent="0.3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x14ac:dyDescent="0.3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x14ac:dyDescent="0.3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x14ac:dyDescent="0.3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x14ac:dyDescent="0.3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x14ac:dyDescent="0.3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x14ac:dyDescent="0.3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x14ac:dyDescent="0.3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x14ac:dyDescent="0.3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x14ac:dyDescent="0.3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x14ac:dyDescent="0.3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x14ac:dyDescent="0.3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x14ac:dyDescent="0.3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x14ac:dyDescent="0.3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x14ac:dyDescent="0.3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x14ac:dyDescent="0.3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x14ac:dyDescent="0.3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x14ac:dyDescent="0.3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x14ac:dyDescent="0.3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x14ac:dyDescent="0.3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x14ac:dyDescent="0.3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x14ac:dyDescent="0.3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x14ac:dyDescent="0.3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x14ac:dyDescent="0.3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x14ac:dyDescent="0.3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x14ac:dyDescent="0.3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x14ac:dyDescent="0.3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x14ac:dyDescent="0.3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x14ac:dyDescent="0.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x14ac:dyDescent="0.3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x14ac:dyDescent="0.3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x14ac:dyDescent="0.3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x14ac:dyDescent="0.3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x14ac:dyDescent="0.3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x14ac:dyDescent="0.3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x14ac:dyDescent="0.3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x14ac:dyDescent="0.3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x14ac:dyDescent="0.3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x14ac:dyDescent="0.3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x14ac:dyDescent="0.3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x14ac:dyDescent="0.3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x14ac:dyDescent="0.3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x14ac:dyDescent="0.3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x14ac:dyDescent="0.3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x14ac:dyDescent="0.3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x14ac:dyDescent="0.3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x14ac:dyDescent="0.3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x14ac:dyDescent="0.3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x14ac:dyDescent="0.3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x14ac:dyDescent="0.3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x14ac:dyDescent="0.3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x14ac:dyDescent="0.3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x14ac:dyDescent="0.3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x14ac:dyDescent="0.3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x14ac:dyDescent="0.3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x14ac:dyDescent="0.3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x14ac:dyDescent="0.3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x14ac:dyDescent="0.3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x14ac:dyDescent="0.3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x14ac:dyDescent="0.3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x14ac:dyDescent="0.3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x14ac:dyDescent="0.3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x14ac:dyDescent="0.3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x14ac:dyDescent="0.3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x14ac:dyDescent="0.3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x14ac:dyDescent="0.3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x14ac:dyDescent="0.3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x14ac:dyDescent="0.3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x14ac:dyDescent="0.3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x14ac:dyDescent="0.3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x14ac:dyDescent="0.3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x14ac:dyDescent="0.3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x14ac:dyDescent="0.3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x14ac:dyDescent="0.3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x14ac:dyDescent="0.3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x14ac:dyDescent="0.3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x14ac:dyDescent="0.3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x14ac:dyDescent="0.3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x14ac:dyDescent="0.3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x14ac:dyDescent="0.3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x14ac:dyDescent="0.3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x14ac:dyDescent="0.3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x14ac:dyDescent="0.3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x14ac:dyDescent="0.3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x14ac:dyDescent="0.3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x14ac:dyDescent="0.3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x14ac:dyDescent="0.3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x14ac:dyDescent="0.3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x14ac:dyDescent="0.3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x14ac:dyDescent="0.3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x14ac:dyDescent="0.3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x14ac:dyDescent="0.3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x14ac:dyDescent="0.3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x14ac:dyDescent="0.3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x14ac:dyDescent="0.3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x14ac:dyDescent="0.3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x14ac:dyDescent="0.3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x14ac:dyDescent="0.3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x14ac:dyDescent="0.3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x14ac:dyDescent="0.3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x14ac:dyDescent="0.3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x14ac:dyDescent="0.3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x14ac:dyDescent="0.3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x14ac:dyDescent="0.3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x14ac:dyDescent="0.3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x14ac:dyDescent="0.3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x14ac:dyDescent="0.3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x14ac:dyDescent="0.3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x14ac:dyDescent="0.3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x14ac:dyDescent="0.3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x14ac:dyDescent="0.3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x14ac:dyDescent="0.3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x14ac:dyDescent="0.3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x14ac:dyDescent="0.3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x14ac:dyDescent="0.3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x14ac:dyDescent="0.3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x14ac:dyDescent="0.3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x14ac:dyDescent="0.3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x14ac:dyDescent="0.3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x14ac:dyDescent="0.3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x14ac:dyDescent="0.3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x14ac:dyDescent="0.3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x14ac:dyDescent="0.3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x14ac:dyDescent="0.3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x14ac:dyDescent="0.3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x14ac:dyDescent="0.3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x14ac:dyDescent="0.3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x14ac:dyDescent="0.3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x14ac:dyDescent="0.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x14ac:dyDescent="0.35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x14ac:dyDescent="0.35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x14ac:dyDescent="0.35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x14ac:dyDescent="0.35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x14ac:dyDescent="0.35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x14ac:dyDescent="0.35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x14ac:dyDescent="0.35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x14ac:dyDescent="0.35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x14ac:dyDescent="0.35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x14ac:dyDescent="0.3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x14ac:dyDescent="0.35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x14ac:dyDescent="0.35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x14ac:dyDescent="0.35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x14ac:dyDescent="0.35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x14ac:dyDescent="0.35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x14ac:dyDescent="0.35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x14ac:dyDescent="0.35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x14ac:dyDescent="0.35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x14ac:dyDescent="0.35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x14ac:dyDescent="0.3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x14ac:dyDescent="0.35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x14ac:dyDescent="0.35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x14ac:dyDescent="0.35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x14ac:dyDescent="0.35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x14ac:dyDescent="0.35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x14ac:dyDescent="0.35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x14ac:dyDescent="0.35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x14ac:dyDescent="0.35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x14ac:dyDescent="0.35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x14ac:dyDescent="0.3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x14ac:dyDescent="0.35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x14ac:dyDescent="0.35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x14ac:dyDescent="0.35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x14ac:dyDescent="0.35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x14ac:dyDescent="0.35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x14ac:dyDescent="0.35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x14ac:dyDescent="0.35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x14ac:dyDescent="0.35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x14ac:dyDescent="0.35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x14ac:dyDescent="0.3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x14ac:dyDescent="0.35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x14ac:dyDescent="0.35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x14ac:dyDescent="0.35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x14ac:dyDescent="0.35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x14ac:dyDescent="0.35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x14ac:dyDescent="0.35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x14ac:dyDescent="0.35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x14ac:dyDescent="0.35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x14ac:dyDescent="0.35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x14ac:dyDescent="0.3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x14ac:dyDescent="0.35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x14ac:dyDescent="0.35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x14ac:dyDescent="0.35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x14ac:dyDescent="0.35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x14ac:dyDescent="0.35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x14ac:dyDescent="0.35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x14ac:dyDescent="0.35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x14ac:dyDescent="0.35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x14ac:dyDescent="0.35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x14ac:dyDescent="0.3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x14ac:dyDescent="0.35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x14ac:dyDescent="0.35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x14ac:dyDescent="0.35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x14ac:dyDescent="0.35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x14ac:dyDescent="0.35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x14ac:dyDescent="0.35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x14ac:dyDescent="0.35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x14ac:dyDescent="0.35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x14ac:dyDescent="0.35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x14ac:dyDescent="0.3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x14ac:dyDescent="0.35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x14ac:dyDescent="0.35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x14ac:dyDescent="0.35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x14ac:dyDescent="0.35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x14ac:dyDescent="0.35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x14ac:dyDescent="0.35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x14ac:dyDescent="0.35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x14ac:dyDescent="0.35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x14ac:dyDescent="0.35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x14ac:dyDescent="0.3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x14ac:dyDescent="0.35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x14ac:dyDescent="0.35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x14ac:dyDescent="0.35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x14ac:dyDescent="0.35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x14ac:dyDescent="0.35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x14ac:dyDescent="0.35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x14ac:dyDescent="0.35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x14ac:dyDescent="0.35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x14ac:dyDescent="0.35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x14ac:dyDescent="0.3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x14ac:dyDescent="0.35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x14ac:dyDescent="0.35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x14ac:dyDescent="0.35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x14ac:dyDescent="0.35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x14ac:dyDescent="0.35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x14ac:dyDescent="0.35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x14ac:dyDescent="0.35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x14ac:dyDescent="0.35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x14ac:dyDescent="0.35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x14ac:dyDescent="0.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x14ac:dyDescent="0.35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x14ac:dyDescent="0.35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x14ac:dyDescent="0.35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x14ac:dyDescent="0.35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x14ac:dyDescent="0.35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x14ac:dyDescent="0.35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x14ac:dyDescent="0.35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x14ac:dyDescent="0.35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x14ac:dyDescent="0.35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x14ac:dyDescent="0.3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x14ac:dyDescent="0.35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x14ac:dyDescent="0.35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x14ac:dyDescent="0.35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x14ac:dyDescent="0.35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x14ac:dyDescent="0.35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x14ac:dyDescent="0.35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x14ac:dyDescent="0.35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x14ac:dyDescent="0.35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x14ac:dyDescent="0.35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x14ac:dyDescent="0.3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x14ac:dyDescent="0.35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x14ac:dyDescent="0.35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x14ac:dyDescent="0.35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x14ac:dyDescent="0.35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x14ac:dyDescent="0.35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x14ac:dyDescent="0.35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x14ac:dyDescent="0.35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x14ac:dyDescent="0.35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x14ac:dyDescent="0.35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x14ac:dyDescent="0.3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x14ac:dyDescent="0.35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x14ac:dyDescent="0.35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x14ac:dyDescent="0.35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x14ac:dyDescent="0.35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x14ac:dyDescent="0.35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x14ac:dyDescent="0.35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x14ac:dyDescent="0.35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x14ac:dyDescent="0.35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x14ac:dyDescent="0.35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x14ac:dyDescent="0.3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x14ac:dyDescent="0.35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x14ac:dyDescent="0.35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x14ac:dyDescent="0.35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x14ac:dyDescent="0.35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x14ac:dyDescent="0.35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x14ac:dyDescent="0.35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x14ac:dyDescent="0.35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x14ac:dyDescent="0.35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x14ac:dyDescent="0.35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x14ac:dyDescent="0.3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x14ac:dyDescent="0.35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x14ac:dyDescent="0.35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x14ac:dyDescent="0.35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x14ac:dyDescent="0.35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x14ac:dyDescent="0.35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x14ac:dyDescent="0.35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x14ac:dyDescent="0.35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x14ac:dyDescent="0.35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x14ac:dyDescent="0.35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x14ac:dyDescent="0.3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x14ac:dyDescent="0.35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x14ac:dyDescent="0.35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x14ac:dyDescent="0.35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x14ac:dyDescent="0.35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x14ac:dyDescent="0.35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x14ac:dyDescent="0.35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x14ac:dyDescent="0.35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x14ac:dyDescent="0.35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x14ac:dyDescent="0.35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x14ac:dyDescent="0.3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x14ac:dyDescent="0.35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x14ac:dyDescent="0.35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x14ac:dyDescent="0.35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x14ac:dyDescent="0.35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x14ac:dyDescent="0.35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x14ac:dyDescent="0.35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x14ac:dyDescent="0.35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x14ac:dyDescent="0.35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x14ac:dyDescent="0.35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x14ac:dyDescent="0.3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x14ac:dyDescent="0.35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x14ac:dyDescent="0.35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x14ac:dyDescent="0.35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x14ac:dyDescent="0.35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x14ac:dyDescent="0.35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x14ac:dyDescent="0.35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x14ac:dyDescent="0.35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x14ac:dyDescent="0.35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x14ac:dyDescent="0.35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x14ac:dyDescent="0.3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x14ac:dyDescent="0.35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x14ac:dyDescent="0.35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x14ac:dyDescent="0.35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x14ac:dyDescent="0.35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x14ac:dyDescent="0.35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x14ac:dyDescent="0.35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x14ac:dyDescent="0.35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x14ac:dyDescent="0.35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x14ac:dyDescent="0.35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x14ac:dyDescent="0.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x14ac:dyDescent="0.35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x14ac:dyDescent="0.35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x14ac:dyDescent="0.35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x14ac:dyDescent="0.35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x14ac:dyDescent="0.35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x14ac:dyDescent="0.35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x14ac:dyDescent="0.35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x14ac:dyDescent="0.35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x14ac:dyDescent="0.35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x14ac:dyDescent="0.3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x14ac:dyDescent="0.35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x14ac:dyDescent="0.35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x14ac:dyDescent="0.35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x14ac:dyDescent="0.35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x14ac:dyDescent="0.35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x14ac:dyDescent="0.35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x14ac:dyDescent="0.35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x14ac:dyDescent="0.35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x14ac:dyDescent="0.35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x14ac:dyDescent="0.3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x14ac:dyDescent="0.35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x14ac:dyDescent="0.35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x14ac:dyDescent="0.35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x14ac:dyDescent="0.35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x14ac:dyDescent="0.35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x14ac:dyDescent="0.35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x14ac:dyDescent="0.35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x14ac:dyDescent="0.35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x14ac:dyDescent="0.35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x14ac:dyDescent="0.3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x14ac:dyDescent="0.35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x14ac:dyDescent="0.35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x14ac:dyDescent="0.35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x14ac:dyDescent="0.35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x14ac:dyDescent="0.35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x14ac:dyDescent="0.35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x14ac:dyDescent="0.35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x14ac:dyDescent="0.35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x14ac:dyDescent="0.35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x14ac:dyDescent="0.3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x14ac:dyDescent="0.35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x14ac:dyDescent="0.35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x14ac:dyDescent="0.35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x14ac:dyDescent="0.35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x14ac:dyDescent="0.35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x14ac:dyDescent="0.35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x14ac:dyDescent="0.35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x14ac:dyDescent="0.35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x14ac:dyDescent="0.35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x14ac:dyDescent="0.3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x14ac:dyDescent="0.35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x14ac:dyDescent="0.35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x14ac:dyDescent="0.35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x14ac:dyDescent="0.35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x14ac:dyDescent="0.35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x14ac:dyDescent="0.35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x14ac:dyDescent="0.35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x14ac:dyDescent="0.35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x14ac:dyDescent="0.35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x14ac:dyDescent="0.3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x14ac:dyDescent="0.35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x14ac:dyDescent="0.35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x14ac:dyDescent="0.35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x14ac:dyDescent="0.35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x14ac:dyDescent="0.35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x14ac:dyDescent="0.35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x14ac:dyDescent="0.35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x14ac:dyDescent="0.35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x14ac:dyDescent="0.35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x14ac:dyDescent="0.3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x14ac:dyDescent="0.35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x14ac:dyDescent="0.35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x14ac:dyDescent="0.35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x14ac:dyDescent="0.35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x14ac:dyDescent="0.35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x14ac:dyDescent="0.35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x14ac:dyDescent="0.35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x14ac:dyDescent="0.35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x14ac:dyDescent="0.35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x14ac:dyDescent="0.3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x14ac:dyDescent="0.35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x14ac:dyDescent="0.35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x14ac:dyDescent="0.35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x14ac:dyDescent="0.35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x14ac:dyDescent="0.35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x14ac:dyDescent="0.35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x14ac:dyDescent="0.35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x14ac:dyDescent="0.35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x14ac:dyDescent="0.35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x14ac:dyDescent="0.3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x14ac:dyDescent="0.35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x14ac:dyDescent="0.35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x14ac:dyDescent="0.35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x14ac:dyDescent="0.35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x14ac:dyDescent="0.35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x14ac:dyDescent="0.35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x14ac:dyDescent="0.35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x14ac:dyDescent="0.35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x14ac:dyDescent="0.35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x14ac:dyDescent="0.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x14ac:dyDescent="0.35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x14ac:dyDescent="0.35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x14ac:dyDescent="0.35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x14ac:dyDescent="0.35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x14ac:dyDescent="0.35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x14ac:dyDescent="0.35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x14ac:dyDescent="0.35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x14ac:dyDescent="0.35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x14ac:dyDescent="0.35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x14ac:dyDescent="0.3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x14ac:dyDescent="0.35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x14ac:dyDescent="0.35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x14ac:dyDescent="0.35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x14ac:dyDescent="0.35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x14ac:dyDescent="0.35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x14ac:dyDescent="0.35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x14ac:dyDescent="0.35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x14ac:dyDescent="0.35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x14ac:dyDescent="0.35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x14ac:dyDescent="0.3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x14ac:dyDescent="0.35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x14ac:dyDescent="0.35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x14ac:dyDescent="0.35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x14ac:dyDescent="0.35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x14ac:dyDescent="0.35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x14ac:dyDescent="0.35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x14ac:dyDescent="0.35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x14ac:dyDescent="0.35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x14ac:dyDescent="0.35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x14ac:dyDescent="0.3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x14ac:dyDescent="0.35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x14ac:dyDescent="0.35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x14ac:dyDescent="0.35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x14ac:dyDescent="0.35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x14ac:dyDescent="0.35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x14ac:dyDescent="0.35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x14ac:dyDescent="0.35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x14ac:dyDescent="0.35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x14ac:dyDescent="0.35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x14ac:dyDescent="0.3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x14ac:dyDescent="0.35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x14ac:dyDescent="0.35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x14ac:dyDescent="0.35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x14ac:dyDescent="0.35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x14ac:dyDescent="0.35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x14ac:dyDescent="0.35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x14ac:dyDescent="0.35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x14ac:dyDescent="0.35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x14ac:dyDescent="0.35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x14ac:dyDescent="0.3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x14ac:dyDescent="0.35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x14ac:dyDescent="0.35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x14ac:dyDescent="0.35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x14ac:dyDescent="0.35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x14ac:dyDescent="0.35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x14ac:dyDescent="0.35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x14ac:dyDescent="0.35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x14ac:dyDescent="0.35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x14ac:dyDescent="0.35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x14ac:dyDescent="0.3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x14ac:dyDescent="0.35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x14ac:dyDescent="0.35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x14ac:dyDescent="0.35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x14ac:dyDescent="0.35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x14ac:dyDescent="0.35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x14ac:dyDescent="0.35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x14ac:dyDescent="0.35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x14ac:dyDescent="0.35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x14ac:dyDescent="0.35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x14ac:dyDescent="0.3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x14ac:dyDescent="0.35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x14ac:dyDescent="0.35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x14ac:dyDescent="0.35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x14ac:dyDescent="0.35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x14ac:dyDescent="0.35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x14ac:dyDescent="0.35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x14ac:dyDescent="0.35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x14ac:dyDescent="0.35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x14ac:dyDescent="0.35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x14ac:dyDescent="0.3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x14ac:dyDescent="0.35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x14ac:dyDescent="0.35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x14ac:dyDescent="0.35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x14ac:dyDescent="0.35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x14ac:dyDescent="0.35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x14ac:dyDescent="0.35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x14ac:dyDescent="0.35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x14ac:dyDescent="0.35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x14ac:dyDescent="0.35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x14ac:dyDescent="0.3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x14ac:dyDescent="0.35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x14ac:dyDescent="0.35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x14ac:dyDescent="0.35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x14ac:dyDescent="0.35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x14ac:dyDescent="0.35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x14ac:dyDescent="0.35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x14ac:dyDescent="0.35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x14ac:dyDescent="0.35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x14ac:dyDescent="0.35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x14ac:dyDescent="0.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x14ac:dyDescent="0.35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x14ac:dyDescent="0.35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x14ac:dyDescent="0.35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x14ac:dyDescent="0.35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x14ac:dyDescent="0.35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x14ac:dyDescent="0.35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x14ac:dyDescent="0.35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x14ac:dyDescent="0.35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x14ac:dyDescent="0.35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x14ac:dyDescent="0.3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x14ac:dyDescent="0.35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x14ac:dyDescent="0.35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x14ac:dyDescent="0.35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x14ac:dyDescent="0.35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x14ac:dyDescent="0.35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x14ac:dyDescent="0.35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x14ac:dyDescent="0.35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x14ac:dyDescent="0.35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x14ac:dyDescent="0.35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x14ac:dyDescent="0.3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x14ac:dyDescent="0.35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x14ac:dyDescent="0.35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x14ac:dyDescent="0.35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x14ac:dyDescent="0.35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x14ac:dyDescent="0.35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x14ac:dyDescent="0.35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x14ac:dyDescent="0.35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x14ac:dyDescent="0.35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x14ac:dyDescent="0.35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x14ac:dyDescent="0.3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x14ac:dyDescent="0.35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x14ac:dyDescent="0.35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x14ac:dyDescent="0.35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x14ac:dyDescent="0.35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x14ac:dyDescent="0.35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x14ac:dyDescent="0.35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x14ac:dyDescent="0.35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x14ac:dyDescent="0.35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x14ac:dyDescent="0.35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x14ac:dyDescent="0.3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x14ac:dyDescent="0.35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x14ac:dyDescent="0.35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x14ac:dyDescent="0.35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x14ac:dyDescent="0.35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x14ac:dyDescent="0.35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x14ac:dyDescent="0.35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x14ac:dyDescent="0.35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x14ac:dyDescent="0.35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x14ac:dyDescent="0.35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x14ac:dyDescent="0.3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x14ac:dyDescent="0.35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x14ac:dyDescent="0.35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x14ac:dyDescent="0.35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x14ac:dyDescent="0.35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x14ac:dyDescent="0.35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x14ac:dyDescent="0.35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x14ac:dyDescent="0.35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x14ac:dyDescent="0.35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x14ac:dyDescent="0.35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x14ac:dyDescent="0.3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x14ac:dyDescent="0.35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x14ac:dyDescent="0.35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x14ac:dyDescent="0.35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x14ac:dyDescent="0.35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x14ac:dyDescent="0.35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x14ac:dyDescent="0.35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x14ac:dyDescent="0.35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x14ac:dyDescent="0.35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x14ac:dyDescent="0.35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x14ac:dyDescent="0.3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x14ac:dyDescent="0.35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x14ac:dyDescent="0.35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x14ac:dyDescent="0.35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x14ac:dyDescent="0.35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x14ac:dyDescent="0.35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x14ac:dyDescent="0.35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x14ac:dyDescent="0.35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x14ac:dyDescent="0.35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x14ac:dyDescent="0.35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x14ac:dyDescent="0.3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x14ac:dyDescent="0.35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x14ac:dyDescent="0.35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x14ac:dyDescent="0.35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x14ac:dyDescent="0.35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x14ac:dyDescent="0.35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x14ac:dyDescent="0.35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x14ac:dyDescent="0.35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x14ac:dyDescent="0.35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x14ac:dyDescent="0.35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x14ac:dyDescent="0.3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x14ac:dyDescent="0.35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x14ac:dyDescent="0.35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x14ac:dyDescent="0.35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x14ac:dyDescent="0.35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x14ac:dyDescent="0.35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x14ac:dyDescent="0.35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x14ac:dyDescent="0.35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x14ac:dyDescent="0.35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x14ac:dyDescent="0.35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x14ac:dyDescent="0.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x14ac:dyDescent="0.35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x14ac:dyDescent="0.35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x14ac:dyDescent="0.35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x14ac:dyDescent="0.35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x14ac:dyDescent="0.35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x14ac:dyDescent="0.35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x14ac:dyDescent="0.35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x14ac:dyDescent="0.35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x14ac:dyDescent="0.35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x14ac:dyDescent="0.3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x14ac:dyDescent="0.35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x14ac:dyDescent="0.35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x14ac:dyDescent="0.35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x14ac:dyDescent="0.35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x14ac:dyDescent="0.35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x14ac:dyDescent="0.35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x14ac:dyDescent="0.35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x14ac:dyDescent="0.35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x14ac:dyDescent="0.35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x14ac:dyDescent="0.3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x14ac:dyDescent="0.35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x14ac:dyDescent="0.35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x14ac:dyDescent="0.35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x14ac:dyDescent="0.35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x14ac:dyDescent="0.35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x14ac:dyDescent="0.35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x14ac:dyDescent="0.35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x14ac:dyDescent="0.35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x14ac:dyDescent="0.35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x14ac:dyDescent="0.3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x14ac:dyDescent="0.35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x14ac:dyDescent="0.35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x14ac:dyDescent="0.35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x14ac:dyDescent="0.35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x14ac:dyDescent="0.35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x14ac:dyDescent="0.35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x14ac:dyDescent="0.35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x14ac:dyDescent="0.35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x14ac:dyDescent="0.35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x14ac:dyDescent="0.3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x14ac:dyDescent="0.35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x14ac:dyDescent="0.35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x14ac:dyDescent="0.35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x14ac:dyDescent="0.35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x14ac:dyDescent="0.35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x14ac:dyDescent="0.35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x14ac:dyDescent="0.35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x14ac:dyDescent="0.35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x14ac:dyDescent="0.35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x14ac:dyDescent="0.3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x14ac:dyDescent="0.35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x14ac:dyDescent="0.35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x14ac:dyDescent="0.35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x14ac:dyDescent="0.35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x14ac:dyDescent="0.35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x14ac:dyDescent="0.35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x14ac:dyDescent="0.35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x14ac:dyDescent="0.35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x14ac:dyDescent="0.35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x14ac:dyDescent="0.3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x14ac:dyDescent="0.35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x14ac:dyDescent="0.35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x14ac:dyDescent="0.35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x14ac:dyDescent="0.35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x14ac:dyDescent="0.35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x14ac:dyDescent="0.35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x14ac:dyDescent="0.35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x14ac:dyDescent="0.35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x14ac:dyDescent="0.35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x14ac:dyDescent="0.3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x14ac:dyDescent="0.35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x14ac:dyDescent="0.35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x14ac:dyDescent="0.35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x14ac:dyDescent="0.35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x14ac:dyDescent="0.35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x14ac:dyDescent="0.35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x14ac:dyDescent="0.35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x14ac:dyDescent="0.35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x14ac:dyDescent="0.35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x14ac:dyDescent="0.3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x14ac:dyDescent="0.35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x14ac:dyDescent="0.35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x14ac:dyDescent="0.35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x14ac:dyDescent="0.35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x14ac:dyDescent="0.35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x14ac:dyDescent="0.35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x14ac:dyDescent="0.35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x14ac:dyDescent="0.35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x14ac:dyDescent="0.35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x14ac:dyDescent="0.3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x14ac:dyDescent="0.35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x14ac:dyDescent="0.35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x14ac:dyDescent="0.35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x14ac:dyDescent="0.35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x14ac:dyDescent="0.35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x14ac:dyDescent="0.35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x14ac:dyDescent="0.35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x14ac:dyDescent="0.35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x14ac:dyDescent="0.35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x14ac:dyDescent="0.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x14ac:dyDescent="0.35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x14ac:dyDescent="0.35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x14ac:dyDescent="0.35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x14ac:dyDescent="0.35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x14ac:dyDescent="0.35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x14ac:dyDescent="0.35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x14ac:dyDescent="0.35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x14ac:dyDescent="0.35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x14ac:dyDescent="0.35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x14ac:dyDescent="0.3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x14ac:dyDescent="0.35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x14ac:dyDescent="0.35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x14ac:dyDescent="0.35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x14ac:dyDescent="0.35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x14ac:dyDescent="0.35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x14ac:dyDescent="0.35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x14ac:dyDescent="0.35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x14ac:dyDescent="0.35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x14ac:dyDescent="0.35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x14ac:dyDescent="0.3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x14ac:dyDescent="0.35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x14ac:dyDescent="0.35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x14ac:dyDescent="0.35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x14ac:dyDescent="0.35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x14ac:dyDescent="0.35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x14ac:dyDescent="0.35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x14ac:dyDescent="0.35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x14ac:dyDescent="0.35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x14ac:dyDescent="0.35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x14ac:dyDescent="0.3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x14ac:dyDescent="0.35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x14ac:dyDescent="0.35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x14ac:dyDescent="0.35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x14ac:dyDescent="0.35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x14ac:dyDescent="0.35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x14ac:dyDescent="0.35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x14ac:dyDescent="0.35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x14ac:dyDescent="0.35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x14ac:dyDescent="0.35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x14ac:dyDescent="0.3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x14ac:dyDescent="0.35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x14ac:dyDescent="0.35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x14ac:dyDescent="0.35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x14ac:dyDescent="0.35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x14ac:dyDescent="0.35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x14ac:dyDescent="0.35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x14ac:dyDescent="0.35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x14ac:dyDescent="0.35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x14ac:dyDescent="0.35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x14ac:dyDescent="0.3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x14ac:dyDescent="0.35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x14ac:dyDescent="0.35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x14ac:dyDescent="0.35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x14ac:dyDescent="0.35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x14ac:dyDescent="0.35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x14ac:dyDescent="0.35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x14ac:dyDescent="0.35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x14ac:dyDescent="0.35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x14ac:dyDescent="0.35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x14ac:dyDescent="0.3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x14ac:dyDescent="0.35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x14ac:dyDescent="0.35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x14ac:dyDescent="0.35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x14ac:dyDescent="0.35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x14ac:dyDescent="0.35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x14ac:dyDescent="0.35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x14ac:dyDescent="0.35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x14ac:dyDescent="0.35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x14ac:dyDescent="0.35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x14ac:dyDescent="0.3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x14ac:dyDescent="0.35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x14ac:dyDescent="0.35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x14ac:dyDescent="0.35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x14ac:dyDescent="0.35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x14ac:dyDescent="0.35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x14ac:dyDescent="0.35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x14ac:dyDescent="0.35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x14ac:dyDescent="0.35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x14ac:dyDescent="0.35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x14ac:dyDescent="0.3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x14ac:dyDescent="0.35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x14ac:dyDescent="0.35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x14ac:dyDescent="0.35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x14ac:dyDescent="0.35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x14ac:dyDescent="0.35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x14ac:dyDescent="0.35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x14ac:dyDescent="0.35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x14ac:dyDescent="0.35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x14ac:dyDescent="0.35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x14ac:dyDescent="0.3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x14ac:dyDescent="0.35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x14ac:dyDescent="0.35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x14ac:dyDescent="0.35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x14ac:dyDescent="0.35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x14ac:dyDescent="0.35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x14ac:dyDescent="0.35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x14ac:dyDescent="0.35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x14ac:dyDescent="0.35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x14ac:dyDescent="0.35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x14ac:dyDescent="0.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x14ac:dyDescent="0.35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x14ac:dyDescent="0.35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x14ac:dyDescent="0.35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x14ac:dyDescent="0.35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x14ac:dyDescent="0.35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x14ac:dyDescent="0.35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x14ac:dyDescent="0.35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x14ac:dyDescent="0.35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x14ac:dyDescent="0.35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x14ac:dyDescent="0.3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x14ac:dyDescent="0.35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x14ac:dyDescent="0.35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x14ac:dyDescent="0.35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x14ac:dyDescent="0.35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x14ac:dyDescent="0.35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x14ac:dyDescent="0.35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x14ac:dyDescent="0.35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x14ac:dyDescent="0.35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x14ac:dyDescent="0.35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x14ac:dyDescent="0.3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x14ac:dyDescent="0.35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x14ac:dyDescent="0.35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x14ac:dyDescent="0.35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x14ac:dyDescent="0.35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x14ac:dyDescent="0.35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x14ac:dyDescent="0.35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x14ac:dyDescent="0.35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x14ac:dyDescent="0.35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x14ac:dyDescent="0.35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x14ac:dyDescent="0.3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x14ac:dyDescent="0.35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x14ac:dyDescent="0.35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x14ac:dyDescent="0.35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x14ac:dyDescent="0.35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x14ac:dyDescent="0.35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x14ac:dyDescent="0.35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x14ac:dyDescent="0.35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x14ac:dyDescent="0.35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x14ac:dyDescent="0.35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x14ac:dyDescent="0.3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x14ac:dyDescent="0.35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x14ac:dyDescent="0.35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x14ac:dyDescent="0.35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x14ac:dyDescent="0.35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x14ac:dyDescent="0.35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x14ac:dyDescent="0.35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x14ac:dyDescent="0.35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x14ac:dyDescent="0.35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x14ac:dyDescent="0.35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x14ac:dyDescent="0.3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x14ac:dyDescent="0.35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x14ac:dyDescent="0.35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x14ac:dyDescent="0.35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x14ac:dyDescent="0.35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x14ac:dyDescent="0.35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x14ac:dyDescent="0.35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x14ac:dyDescent="0.35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x14ac:dyDescent="0.35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x14ac:dyDescent="0.35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x14ac:dyDescent="0.3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x14ac:dyDescent="0.35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x14ac:dyDescent="0.35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x14ac:dyDescent="0.35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x14ac:dyDescent="0.35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x14ac:dyDescent="0.35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 (plastik)</vt:lpstr>
      <vt:lpstr>Feb (plastik)</vt:lpstr>
      <vt:lpstr>Mar (plastik)</vt:lpstr>
      <vt:lpstr>Apr (plastik)</vt:lpstr>
      <vt:lpstr>Mei (plastik)</vt:lpstr>
      <vt:lpstr>Juni (plastik)</vt:lpstr>
      <vt:lpstr>Juli (plastik)</vt:lpstr>
      <vt:lpstr>Inventory Cost</vt:lpstr>
      <vt:lpstr>Reject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Ninis Sutopo</dc:creator>
  <cp:lastModifiedBy>Juli Yandi Rahman</cp:lastModifiedBy>
  <dcterms:created xsi:type="dcterms:W3CDTF">2022-02-02T03:44:31Z</dcterms:created>
  <dcterms:modified xsi:type="dcterms:W3CDTF">2024-09-20T18:57:32Z</dcterms:modified>
</cp:coreProperties>
</file>