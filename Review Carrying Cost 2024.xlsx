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07\Downloads\DATA\"/>
    </mc:Choice>
  </mc:AlternateContent>
  <xr:revisionPtr revIDLastSave="0" documentId="13_ncr:1_{640F2787-96ED-42A3-8779-1E6A1414F02F}" xr6:coauthVersionLast="36" xr6:coauthVersionMax="36" xr10:uidLastSave="{00000000-0000-0000-0000-000000000000}"/>
  <bookViews>
    <workbookView xWindow="-120" yWindow="-120" windowWidth="20730" windowHeight="11160" activeTab="1" xr2:uid="{00000000-000D-0000-FFFF-FFFF00000000}"/>
  </bookViews>
  <sheets>
    <sheet name="KARTON" sheetId="11" r:id="rId1"/>
    <sheet name="PLASTIK" sheetId="13" r:id="rId2"/>
  </sheets>
  <definedNames>
    <definedName name="solver_eng" localSheetId="0" hidden="1">1</definedName>
    <definedName name="solver_eng" localSheetId="1" hidden="1">2</definedName>
    <definedName name="solver_neg" localSheetId="0" hidden="1">1</definedName>
    <definedName name="solver_neg" localSheetId="1" hidden="1">1</definedName>
    <definedName name="solver_num" localSheetId="0" hidden="1">0</definedName>
    <definedName name="solver_num" localSheetId="1" hidden="1">0</definedName>
    <definedName name="solver_opt" localSheetId="0" hidden="1">KARTON!#REF!</definedName>
    <definedName name="solver_opt" localSheetId="1" hidden="1">PLASTIK!#REF!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</workbook>
</file>

<file path=xl/calcChain.xml><?xml version="1.0" encoding="utf-8"?>
<calcChain xmlns="http://schemas.openxmlformats.org/spreadsheetml/2006/main">
  <c r="D25" i="11" l="1"/>
  <c r="D24" i="11"/>
  <c r="E11" i="13" l="1"/>
  <c r="E12" i="13"/>
  <c r="E25" i="13"/>
  <c r="D12" i="13" l="1"/>
  <c r="D25" i="13"/>
  <c r="D34" i="13"/>
  <c r="C25" i="13" l="1"/>
  <c r="C11" i="11" l="1"/>
  <c r="D11" i="11"/>
  <c r="D10" i="11"/>
  <c r="C24" i="13"/>
  <c r="E35" i="13"/>
  <c r="F35" i="13"/>
  <c r="G35" i="13"/>
  <c r="H35" i="13"/>
  <c r="I35" i="13"/>
  <c r="J35" i="13"/>
  <c r="D35" i="13"/>
  <c r="I23" i="13"/>
  <c r="D29" i="13"/>
  <c r="E30" i="13"/>
  <c r="F30" i="13"/>
  <c r="G30" i="13"/>
  <c r="H30" i="13"/>
  <c r="J30" i="13"/>
  <c r="D30" i="13"/>
  <c r="E34" i="13"/>
  <c r="F34" i="13"/>
  <c r="G34" i="13"/>
  <c r="H34" i="13"/>
  <c r="I34" i="13"/>
  <c r="J34" i="13"/>
  <c r="D33" i="13"/>
  <c r="D37" i="11"/>
  <c r="F27" i="11"/>
  <c r="E38" i="11"/>
  <c r="F38" i="11"/>
  <c r="G38" i="11"/>
  <c r="H38" i="11"/>
  <c r="I38" i="11"/>
  <c r="J38" i="11"/>
  <c r="D38" i="11"/>
  <c r="E37" i="11"/>
  <c r="F37" i="11"/>
  <c r="G37" i="11"/>
  <c r="H37" i="11"/>
  <c r="I37" i="11"/>
  <c r="J37" i="11"/>
  <c r="D36" i="11"/>
  <c r="E32" i="11"/>
  <c r="F32" i="11"/>
  <c r="G32" i="11"/>
  <c r="H32" i="11"/>
  <c r="I32" i="11"/>
  <c r="J32" i="11"/>
  <c r="D20" i="11"/>
  <c r="E20" i="11" l="1"/>
  <c r="F20" i="11"/>
  <c r="G20" i="11"/>
  <c r="H20" i="11"/>
  <c r="I20" i="11"/>
  <c r="J20" i="11"/>
  <c r="D19" i="13"/>
  <c r="E19" i="13"/>
  <c r="F19" i="13"/>
  <c r="G19" i="13"/>
  <c r="H19" i="13"/>
  <c r="I19" i="13"/>
  <c r="J19" i="13"/>
  <c r="O27" i="11" l="1"/>
  <c r="N27" i="11"/>
  <c r="M27" i="11"/>
  <c r="L27" i="11"/>
  <c r="K27" i="11"/>
  <c r="J27" i="11"/>
  <c r="I27" i="11"/>
  <c r="H27" i="11"/>
  <c r="G27" i="11"/>
  <c r="E27" i="11"/>
  <c r="D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O24" i="11"/>
  <c r="O25" i="11" s="1"/>
  <c r="N24" i="11"/>
  <c r="N25" i="11" s="1"/>
  <c r="M24" i="11"/>
  <c r="M25" i="11" s="1"/>
  <c r="L24" i="11"/>
  <c r="L25" i="11" s="1"/>
  <c r="K24" i="11"/>
  <c r="K25" i="11" s="1"/>
  <c r="J24" i="11"/>
  <c r="I24" i="11"/>
  <c r="H24" i="11"/>
  <c r="G24" i="11"/>
  <c r="F24" i="11"/>
  <c r="E24" i="11"/>
  <c r="C22" i="11"/>
  <c r="C21" i="11"/>
  <c r="C19" i="11"/>
  <c r="C18" i="11"/>
  <c r="J25" i="13"/>
  <c r="I25" i="13"/>
  <c r="H25" i="13"/>
  <c r="G25" i="13"/>
  <c r="F25" i="13"/>
  <c r="J23" i="13"/>
  <c r="H23" i="13"/>
  <c r="G23" i="13"/>
  <c r="F23" i="13"/>
  <c r="E23" i="13"/>
  <c r="D23" i="13"/>
  <c r="C21" i="13"/>
  <c r="C20" i="13"/>
  <c r="C18" i="13"/>
  <c r="C19" i="13" s="1"/>
  <c r="C17" i="13"/>
  <c r="I24" i="13" l="1"/>
  <c r="J24" i="13"/>
  <c r="G24" i="13"/>
  <c r="D24" i="13"/>
  <c r="E24" i="13"/>
  <c r="F24" i="13"/>
  <c r="H24" i="13"/>
  <c r="C26" i="11"/>
  <c r="E25" i="11"/>
  <c r="F25" i="11"/>
  <c r="C27" i="11"/>
  <c r="C20" i="11"/>
  <c r="I25" i="11"/>
  <c r="H25" i="11"/>
  <c r="D32" i="11"/>
  <c r="J25" i="11"/>
  <c r="C24" i="11"/>
  <c r="C25" i="11" s="1"/>
  <c r="G25" i="11"/>
  <c r="C23" i="13"/>
  <c r="H29" i="13" l="1"/>
  <c r="F29" i="13"/>
  <c r="J29" i="13"/>
  <c r="E29" i="13"/>
  <c r="G29" i="13"/>
  <c r="I29" i="13"/>
  <c r="I30" i="13" s="1"/>
  <c r="G11" i="13" l="1"/>
  <c r="E8" i="13"/>
  <c r="D8" i="13"/>
  <c r="F8" i="13" l="1"/>
  <c r="G8" i="13"/>
  <c r="H8" i="13"/>
  <c r="I8" i="13"/>
  <c r="J8" i="13"/>
  <c r="K8" i="13"/>
  <c r="L8" i="13"/>
  <c r="M8" i="13"/>
  <c r="N8" i="13"/>
  <c r="O8" i="13"/>
  <c r="S36" i="11"/>
  <c r="O9" i="11"/>
  <c r="N9" i="11"/>
  <c r="M9" i="11"/>
  <c r="L9" i="11"/>
  <c r="K9" i="11"/>
  <c r="J9" i="11"/>
  <c r="I9" i="11"/>
  <c r="H9" i="11"/>
  <c r="G9" i="11"/>
  <c r="F9" i="11"/>
  <c r="E9" i="11"/>
  <c r="D9" i="11"/>
  <c r="C5" i="11" l="1"/>
  <c r="C4" i="13" l="1"/>
  <c r="O12" i="13" l="1"/>
  <c r="N12" i="13"/>
  <c r="M12" i="13"/>
  <c r="L12" i="13"/>
  <c r="K12" i="13"/>
  <c r="J12" i="13"/>
  <c r="I12" i="13"/>
  <c r="H12" i="13"/>
  <c r="G12" i="13"/>
  <c r="F12" i="13"/>
  <c r="O11" i="13"/>
  <c r="N11" i="13"/>
  <c r="M11" i="13"/>
  <c r="L11" i="13"/>
  <c r="K11" i="13"/>
  <c r="J11" i="13"/>
  <c r="I11" i="13"/>
  <c r="H11" i="13"/>
  <c r="F11" i="13"/>
  <c r="D11" i="13"/>
  <c r="N9" i="13"/>
  <c r="N10" i="13" s="1"/>
  <c r="I9" i="13"/>
  <c r="I10" i="13" s="1"/>
  <c r="F9" i="13"/>
  <c r="F10" i="13" s="1"/>
  <c r="E9" i="13"/>
  <c r="E10" i="13" s="1"/>
  <c r="D9" i="13"/>
  <c r="D10" i="13" s="1"/>
  <c r="O9" i="13"/>
  <c r="O10" i="13" s="1"/>
  <c r="M9" i="13"/>
  <c r="M10" i="13" s="1"/>
  <c r="L9" i="13"/>
  <c r="L10" i="13" s="1"/>
  <c r="K9" i="13"/>
  <c r="K10" i="13" s="1"/>
  <c r="J9" i="13"/>
  <c r="J10" i="13" s="1"/>
  <c r="H9" i="13"/>
  <c r="H10" i="13" s="1"/>
  <c r="G9" i="13"/>
  <c r="C7" i="13"/>
  <c r="C6" i="13"/>
  <c r="C11" i="13" s="1"/>
  <c r="C5" i="13"/>
  <c r="C12" i="13" l="1"/>
  <c r="G10" i="13"/>
  <c r="C9" i="13"/>
  <c r="C10" i="13" s="1"/>
  <c r="E28" i="13" l="1"/>
  <c r="I28" i="13"/>
  <c r="F28" i="13"/>
  <c r="H28" i="13"/>
  <c r="D28" i="13"/>
  <c r="J28" i="13"/>
  <c r="G28" i="13"/>
  <c r="H33" i="13"/>
  <c r="E33" i="13"/>
  <c r="F33" i="13"/>
  <c r="G33" i="13"/>
  <c r="I33" i="13"/>
  <c r="J33" i="13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0" i="11"/>
  <c r="O11" i="11" s="1"/>
  <c r="N10" i="11"/>
  <c r="N11" i="11" s="1"/>
  <c r="M10" i="11"/>
  <c r="M11" i="11" s="1"/>
  <c r="L10" i="11"/>
  <c r="L11" i="11" s="1"/>
  <c r="K10" i="11"/>
  <c r="K11" i="11" s="1"/>
  <c r="J10" i="11"/>
  <c r="J11" i="11" s="1"/>
  <c r="I10" i="11"/>
  <c r="I11" i="11" s="1"/>
  <c r="H10" i="11"/>
  <c r="H11" i="11" s="1"/>
  <c r="G10" i="11"/>
  <c r="G11" i="11" s="1"/>
  <c r="F10" i="11"/>
  <c r="F11" i="11" s="1"/>
  <c r="C8" i="11"/>
  <c r="C7" i="11"/>
  <c r="C6" i="11"/>
  <c r="C13" i="11" l="1"/>
  <c r="C12" i="11"/>
  <c r="E10" i="11"/>
  <c r="E11" i="11" s="1"/>
  <c r="E36" i="11" l="1"/>
  <c r="I36" i="11"/>
  <c r="J36" i="11"/>
  <c r="G36" i="11"/>
  <c r="H36" i="11"/>
  <c r="F36" i="11"/>
  <c r="C10" i="11"/>
  <c r="D31" i="11" s="1"/>
  <c r="D33" i="11" s="1"/>
  <c r="H31" i="11" l="1"/>
  <c r="H33" i="11" s="1"/>
  <c r="E31" i="11"/>
  <c r="E33" i="11" s="1"/>
  <c r="F31" i="11"/>
  <c r="F33" i="11" s="1"/>
  <c r="G31" i="11"/>
  <c r="G33" i="11" s="1"/>
  <c r="I31" i="11"/>
  <c r="I33" i="11" s="1"/>
  <c r="J31" i="11"/>
  <c r="J3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MT07</author>
  </authors>
  <commentList>
    <comment ref="B5" authorId="0" shapeId="0" xr:uid="{93BE23A6-ACBE-4EDE-A2A0-F4C521F98D27}">
      <text>
        <r>
          <rPr>
            <b/>
            <sz val="9"/>
            <color indexed="81"/>
            <rFont val="Tahoma"/>
            <family val="2"/>
          </rPr>
          <t>MT07:</t>
        </r>
        <r>
          <rPr>
            <sz val="9"/>
            <color indexed="81"/>
            <rFont val="Tahoma"/>
            <family val="2"/>
          </rPr>
          <t xml:space="preserve">
saldo rata-rata dikali harga</t>
        </r>
      </text>
    </comment>
    <comment ref="B7" authorId="0" shapeId="0" xr:uid="{96D0E378-FDAF-4FBF-B28F-BCD35A42E3FB}">
      <text>
        <r>
          <rPr>
            <b/>
            <sz val="9"/>
            <color indexed="81"/>
            <rFont val="Tahoma"/>
            <family val="2"/>
          </rPr>
          <t>MT07:</t>
        </r>
        <r>
          <rPr>
            <sz val="9"/>
            <color indexed="81"/>
            <rFont val="Tahoma"/>
            <family val="2"/>
          </rPr>
          <t xml:space="preserve">
pengeluaran (kolom keluar) dikali harga</t>
        </r>
      </text>
    </comment>
    <comment ref="B10" authorId="0" shapeId="0" xr:uid="{B7E3B494-D52F-4301-9702-F037B4179BD4}">
      <text>
        <r>
          <rPr>
            <b/>
            <sz val="9"/>
            <color indexed="81"/>
            <rFont val="Tahoma"/>
            <family val="2"/>
          </rPr>
          <t>MT07:</t>
        </r>
        <r>
          <rPr>
            <sz val="9"/>
            <color indexed="81"/>
            <rFont val="Tahoma"/>
            <family val="2"/>
          </rPr>
          <t xml:space="preserve">
avg stok (stock on hand) dikali bunga bank</t>
        </r>
      </text>
    </comment>
    <comment ref="B11" authorId="0" shapeId="0" xr:uid="{A56872E8-1E08-4F17-8099-D622F4940002}">
      <text>
        <r>
          <rPr>
            <b/>
            <sz val="9"/>
            <color indexed="81"/>
            <rFont val="Tahoma"/>
            <family val="2"/>
          </rPr>
          <t>MT07:</t>
        </r>
        <r>
          <rPr>
            <sz val="9"/>
            <color indexed="81"/>
            <rFont val="Tahoma"/>
            <family val="2"/>
          </rPr>
          <t xml:space="preserve">
carrying cost dibagi outbound (in rupiah)</t>
        </r>
      </text>
    </comment>
    <comment ref="C11" authorId="0" shapeId="0" xr:uid="{B4D4A88C-6AEE-45C8-98EA-1DD88273AA32}">
      <text>
        <r>
          <rPr>
            <b/>
            <sz val="9"/>
            <color indexed="81"/>
            <rFont val="Tahoma"/>
            <family val="2"/>
          </rPr>
          <t>MT07:</t>
        </r>
        <r>
          <rPr>
            <sz val="9"/>
            <color indexed="81"/>
            <rFont val="Tahoma"/>
            <family val="2"/>
          </rPr>
          <t xml:space="preserve">
dijadikan target ratio CC 2024</t>
        </r>
      </text>
    </comment>
    <comment ref="C12" authorId="0" shapeId="0" xr:uid="{C626AE63-EEBE-4585-B150-54C188CDC8EB}">
      <text>
        <r>
          <rPr>
            <b/>
            <sz val="9"/>
            <color indexed="81"/>
            <rFont val="Tahoma"/>
            <family val="2"/>
          </rPr>
          <t>MT07:</t>
        </r>
        <r>
          <rPr>
            <sz val="9"/>
            <color indexed="81"/>
            <rFont val="Tahoma"/>
            <family val="2"/>
          </rPr>
          <t xml:space="preserve">
Dijadikan target DOI 2024</t>
        </r>
      </text>
    </comment>
  </commentList>
</comments>
</file>

<file path=xl/sharedStrings.xml><?xml version="1.0" encoding="utf-8"?>
<sst xmlns="http://schemas.openxmlformats.org/spreadsheetml/2006/main" count="169" uniqueCount="56">
  <si>
    <t>Data</t>
  </si>
  <si>
    <t>Month</t>
  </si>
  <si>
    <t>Avg Jul (1-31)</t>
  </si>
  <si>
    <t>Avg Aug (1-31)</t>
  </si>
  <si>
    <t>Avg Sept (1-30)</t>
  </si>
  <si>
    <t>Avg Okt (1-31)</t>
  </si>
  <si>
    <t>Avg Nov (1-30)</t>
  </si>
  <si>
    <t>Avg Des (1-31)</t>
  </si>
  <si>
    <t>STOK ON HAND (in value)</t>
  </si>
  <si>
    <t>Carrying Cost</t>
  </si>
  <si>
    <t>Avg Jan (1-31)</t>
  </si>
  <si>
    <t>Avg Feb (1-28)</t>
  </si>
  <si>
    <t>Avg Mar (1-31)</t>
  </si>
  <si>
    <t>Avg Apr (1-30)</t>
  </si>
  <si>
    <t>Avg Mei (1-31)</t>
  </si>
  <si>
    <t>Avg Juni (1-30)</t>
  </si>
  <si>
    <t>Ration Carrying Cost</t>
  </si>
  <si>
    <t>Tahun 2023</t>
  </si>
  <si>
    <t>Avg Juli (1-31)</t>
  </si>
  <si>
    <t>Avg Agst (1-31)</t>
  </si>
  <si>
    <t>Bunga Pinjaman Bank 6%</t>
  </si>
  <si>
    <t>STOK ON HAND (In roll (AVG))</t>
  </si>
  <si>
    <t>Outbond (IDR)</t>
  </si>
  <si>
    <t>Outbond  (roll )</t>
  </si>
  <si>
    <t>Ratio Carrying Cost</t>
  </si>
  <si>
    <t>DOI 2022 (by roll)</t>
  </si>
  <si>
    <t>Mei</t>
  </si>
  <si>
    <t>Avg Jan-Des 2023</t>
  </si>
  <si>
    <t>DOI 2023 (VALUE)</t>
  </si>
  <si>
    <t>Tahun 2024</t>
  </si>
  <si>
    <t>Avg Jan-Des 2024</t>
  </si>
  <si>
    <t>DOI 2024 (VALUE)</t>
  </si>
  <si>
    <t>DOI 2024 (by IDR)</t>
  </si>
  <si>
    <t xml:space="preserve">Target DOI Karton </t>
  </si>
  <si>
    <t>Realisasi</t>
  </si>
  <si>
    <t>Carrying Cost : BI RATE : 6,25%</t>
  </si>
  <si>
    <t>DOI 2023 (by IDR)</t>
  </si>
  <si>
    <t xml:space="preserve">Target DOI Plastik </t>
  </si>
  <si>
    <t>Januari</t>
  </si>
  <si>
    <t>Februari</t>
  </si>
  <si>
    <t>Maret</t>
  </si>
  <si>
    <t>April</t>
  </si>
  <si>
    <t>Juni</t>
  </si>
  <si>
    <t>Juli</t>
  </si>
  <si>
    <t>STOK ON HAND (In pallet)</t>
  </si>
  <si>
    <t>Outbound (IDR)</t>
  </si>
  <si>
    <t>STOK ON HAND (in pallet (AVG))</t>
  </si>
  <si>
    <t>Days of Inventory</t>
  </si>
  <si>
    <t>Target</t>
  </si>
  <si>
    <t>Pencapaian 2024</t>
  </si>
  <si>
    <t>Pencapaian DOI 2024</t>
  </si>
  <si>
    <t>STOK ON HAND (in pcs (AVG))</t>
  </si>
  <si>
    <t>Outbound (pcs)</t>
  </si>
  <si>
    <t>DOI 2023 (by pcs)</t>
  </si>
  <si>
    <t>Outbond  (pcs)</t>
  </si>
  <si>
    <t>DOI 2024 (by 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</si>
</sst>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0.000%"/>
    <numFmt numFmtId="166" formatCode="0.000"/>
    <numFmt numFmtId="167" formatCode="_-* #,##0.00_-;\-* #,##0.00_-;_-* &quot;-&quot;_-;_-@_-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41" fontId="3" fillId="0" borderId="0" xfId="2" applyFont="1" applyAlignment="1">
      <alignment horizontal="center" vertical="center" wrapText="1"/>
    </xf>
    <xf numFmtId="41" fontId="3" fillId="0" borderId="0" xfId="2" applyFont="1" applyAlignment="1">
      <alignment vertical="center" wrapText="1"/>
    </xf>
    <xf numFmtId="0" fontId="3" fillId="0" borderId="0" xfId="0" applyFont="1" applyAlignment="1">
      <alignment vertical="center" wrapText="1"/>
    </xf>
    <xf numFmtId="41" fontId="3" fillId="0" borderId="1" xfId="2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1" fontId="5" fillId="4" borderId="2" xfId="0" applyNumberFormat="1" applyFont="1" applyFill="1" applyBorder="1" applyAlignment="1">
      <alignment horizontal="center" vertical="center" wrapText="1"/>
    </xf>
    <xf numFmtId="10" fontId="6" fillId="7" borderId="2" xfId="0" applyNumberFormat="1" applyFont="1" applyFill="1" applyBorder="1" applyAlignment="1">
      <alignment horizontal="center" vertical="center" wrapText="1"/>
    </xf>
    <xf numFmtId="41" fontId="5" fillId="8" borderId="2" xfId="0" applyNumberFormat="1" applyFont="1" applyFill="1" applyBorder="1" applyAlignment="1">
      <alignment horizontal="center" vertical="center" wrapText="1"/>
    </xf>
    <xf numFmtId="41" fontId="7" fillId="8" borderId="2" xfId="0" applyNumberFormat="1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166" fontId="7" fillId="9" borderId="2" xfId="3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41" fontId="3" fillId="6" borderId="2" xfId="2" applyFont="1" applyFill="1" applyBorder="1" applyAlignment="1">
      <alignment horizontal="center" vertical="center" wrapText="1"/>
    </xf>
    <xf numFmtId="41" fontId="3" fillId="10" borderId="2" xfId="2" applyFont="1" applyFill="1" applyBorder="1" applyAlignment="1">
      <alignment horizontal="center" vertical="center" wrapText="1"/>
    </xf>
    <xf numFmtId="41" fontId="3" fillId="9" borderId="2" xfId="2" applyFont="1" applyFill="1" applyBorder="1" applyAlignment="1">
      <alignment vertical="center" wrapText="1"/>
    </xf>
    <xf numFmtId="41" fontId="3" fillId="0" borderId="2" xfId="2" applyFont="1" applyBorder="1" applyAlignment="1">
      <alignment vertical="center" wrapText="1"/>
    </xf>
    <xf numFmtId="41" fontId="5" fillId="0" borderId="2" xfId="2" applyFont="1" applyBorder="1" applyAlignment="1">
      <alignment vertical="center" wrapText="1"/>
    </xf>
    <xf numFmtId="164" fontId="3" fillId="0" borderId="1" xfId="4" applyFont="1" applyBorder="1" applyAlignment="1">
      <alignment vertical="center" wrapText="1"/>
    </xf>
    <xf numFmtId="164" fontId="3" fillId="9" borderId="2" xfId="4" applyFont="1" applyFill="1" applyBorder="1" applyAlignment="1">
      <alignment vertical="center" wrapText="1"/>
    </xf>
    <xf numFmtId="166" fontId="5" fillId="9" borderId="2" xfId="3" applyNumberFormat="1" applyFont="1" applyFill="1" applyBorder="1" applyAlignment="1">
      <alignment horizontal="center" vertical="center" wrapText="1"/>
    </xf>
    <xf numFmtId="41" fontId="5" fillId="6" borderId="2" xfId="2" applyFont="1" applyFill="1" applyBorder="1" applyAlignment="1">
      <alignment horizontal="center" vertical="center" wrapText="1"/>
    </xf>
    <xf numFmtId="41" fontId="3" fillId="0" borderId="0" xfId="2" applyFont="1" applyFill="1" applyBorder="1" applyAlignment="1">
      <alignment vertical="center" wrapText="1"/>
    </xf>
    <xf numFmtId="166" fontId="7" fillId="0" borderId="0" xfId="3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41" fontId="5" fillId="4" borderId="5" xfId="0" applyNumberFormat="1" applyFont="1" applyFill="1" applyBorder="1" applyAlignment="1">
      <alignment horizontal="center" vertical="center" wrapText="1"/>
    </xf>
    <xf numFmtId="41" fontId="5" fillId="8" borderId="5" xfId="0" applyNumberFormat="1" applyFont="1" applyFill="1" applyBorder="1" applyAlignment="1">
      <alignment horizontal="center" vertical="center" wrapText="1"/>
    </xf>
    <xf numFmtId="165" fontId="5" fillId="8" borderId="5" xfId="0" applyNumberFormat="1" applyFont="1" applyFill="1" applyBorder="1" applyAlignment="1">
      <alignment horizontal="center" vertical="center" wrapText="1"/>
    </xf>
    <xf numFmtId="166" fontId="7" fillId="9" borderId="5" xfId="3" applyNumberFormat="1" applyFont="1" applyFill="1" applyBorder="1" applyAlignment="1">
      <alignment horizontal="center" vertical="center" wrapText="1"/>
    </xf>
    <xf numFmtId="41" fontId="5" fillId="11" borderId="2" xfId="0" applyNumberFormat="1" applyFont="1" applyFill="1" applyBorder="1" applyAlignment="1">
      <alignment horizontal="center" vertical="center" wrapText="1"/>
    </xf>
    <xf numFmtId="41" fontId="5" fillId="11" borderId="2" xfId="2" applyFont="1" applyFill="1" applyBorder="1" applyAlignment="1">
      <alignment horizontal="center" vertical="center" wrapText="1"/>
    </xf>
    <xf numFmtId="41" fontId="5" fillId="11" borderId="5" xfId="0" applyNumberFormat="1" applyFont="1" applyFill="1" applyBorder="1" applyAlignment="1">
      <alignment horizontal="center" vertical="center" wrapText="1"/>
    </xf>
    <xf numFmtId="41" fontId="3" fillId="11" borderId="2" xfId="2" applyFont="1" applyFill="1" applyBorder="1" applyAlignment="1">
      <alignment horizontal="center" vertical="center" wrapText="1"/>
    </xf>
    <xf numFmtId="41" fontId="4" fillId="3" borderId="0" xfId="2" applyFont="1" applyFill="1" applyAlignment="1">
      <alignment horizontal="left" vertical="center" wrapText="1"/>
    </xf>
    <xf numFmtId="41" fontId="3" fillId="0" borderId="2" xfId="2" applyFont="1" applyFill="1" applyBorder="1" applyAlignment="1">
      <alignment horizontal="center" vertical="center" wrapText="1"/>
    </xf>
    <xf numFmtId="41" fontId="3" fillId="0" borderId="2" xfId="0" applyNumberFormat="1" applyFont="1" applyFill="1" applyBorder="1" applyAlignment="1">
      <alignment horizontal="center" vertical="center" wrapText="1"/>
    </xf>
    <xf numFmtId="41" fontId="3" fillId="0" borderId="5" xfId="0" applyNumberFormat="1" applyFont="1" applyFill="1" applyBorder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167" fontId="3" fillId="0" borderId="0" xfId="2" applyNumberFormat="1" applyFont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5" fontId="3" fillId="0" borderId="2" xfId="2" applyNumberFormat="1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 wrapText="1"/>
    </xf>
    <xf numFmtId="167" fontId="3" fillId="0" borderId="2" xfId="2" applyNumberFormat="1" applyFont="1" applyBorder="1" applyAlignment="1">
      <alignment horizontal="center" vertical="center" wrapText="1"/>
    </xf>
    <xf numFmtId="41" fontId="5" fillId="0" borderId="0" xfId="2" applyFont="1" applyAlignment="1">
      <alignment horizontal="center" vertical="center" wrapText="1"/>
    </xf>
    <xf numFmtId="41" fontId="5" fillId="0" borderId="0" xfId="2" applyFont="1" applyAlignment="1">
      <alignment vertical="center" wrapText="1"/>
    </xf>
    <xf numFmtId="164" fontId="9" fillId="0" borderId="0" xfId="0" applyNumberFormat="1" applyFont="1" applyFill="1"/>
    <xf numFmtId="41" fontId="3" fillId="0" borderId="0" xfId="2" applyFont="1" applyFill="1" applyAlignment="1">
      <alignment vertical="center" wrapText="1"/>
    </xf>
    <xf numFmtId="10" fontId="5" fillId="0" borderId="2" xfId="0" applyNumberFormat="1" applyFont="1" applyFill="1" applyBorder="1" applyAlignment="1">
      <alignment horizontal="center" vertical="center" wrapText="1"/>
    </xf>
    <xf numFmtId="41" fontId="8" fillId="3" borderId="0" xfId="2" applyFont="1" applyFill="1" applyAlignment="1">
      <alignment vertical="center" wrapText="1"/>
    </xf>
    <xf numFmtId="41" fontId="8" fillId="0" borderId="0" xfId="2" applyFont="1" applyFill="1" applyAlignment="1">
      <alignment vertical="center" wrapText="1"/>
    </xf>
    <xf numFmtId="41" fontId="5" fillId="0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Fill="1" applyBorder="1" applyAlignment="1">
      <alignment horizontal="center" vertical="center" wrapText="1"/>
    </xf>
    <xf numFmtId="166" fontId="5" fillId="0" borderId="2" xfId="3" applyNumberFormat="1" applyFont="1" applyFill="1" applyBorder="1" applyAlignment="1">
      <alignment horizontal="center" vertical="center" wrapText="1"/>
    </xf>
    <xf numFmtId="2" fontId="5" fillId="0" borderId="2" xfId="3" applyNumberFormat="1" applyFont="1" applyFill="1" applyBorder="1" applyAlignment="1">
      <alignment horizontal="center" vertical="center" wrapText="1"/>
    </xf>
    <xf numFmtId="41" fontId="4" fillId="3" borderId="0" xfId="2" applyFont="1" applyFill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1" fontId="5" fillId="0" borderId="2" xfId="2" applyFont="1" applyBorder="1" applyAlignment="1">
      <alignment horizontal="center" vertical="center" wrapText="1"/>
    </xf>
    <xf numFmtId="41" fontId="8" fillId="3" borderId="0" xfId="2" applyFont="1" applyFill="1" applyAlignment="1">
      <alignment horizontal="left" vertical="center" wrapText="1"/>
    </xf>
    <xf numFmtId="41" fontId="4" fillId="3" borderId="0" xfId="2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41" fontId="10" fillId="12" borderId="0" xfId="2" applyFont="1" applyFill="1" applyAlignment="1">
      <alignment vertical="center" wrapText="1"/>
    </xf>
  </cellXfs>
  <cellStyles count="5">
    <cellStyle name="Comma [0]" xfId="4" builtinId="6"/>
    <cellStyle name="Comma [0] 16" xfId="2" xr:uid="{00000000-0005-0000-0000-000001000000}"/>
    <cellStyle name="Normal" xfId="0" builtinId="0"/>
    <cellStyle name="Percent" xfId="1" builtinId="5"/>
    <cellStyle name="Percent 15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38"/>
  <sheetViews>
    <sheetView zoomScale="70" zoomScaleNormal="70" workbookViewId="0">
      <selection activeCell="D12" sqref="D12"/>
    </sheetView>
  </sheetViews>
  <sheetFormatPr defaultColWidth="9.140625" defaultRowHeight="18.75" customHeight="1" x14ac:dyDescent="0.25"/>
  <cols>
    <col min="1" max="1" width="3" style="2" customWidth="1"/>
    <col min="2" max="2" width="33" style="2" customWidth="1"/>
    <col min="3" max="3" width="24.28515625" style="2" customWidth="1"/>
    <col min="4" max="4" width="20.140625" style="1" customWidth="1"/>
    <col min="5" max="5" width="17.85546875" style="1" bestFit="1" customWidth="1"/>
    <col min="6" max="9" width="17.85546875" style="1" customWidth="1"/>
    <col min="10" max="10" width="18.140625" style="2" customWidth="1"/>
    <col min="11" max="15" width="17.85546875" style="2" customWidth="1"/>
    <col min="16" max="16384" width="9.140625" style="2"/>
  </cols>
  <sheetData>
    <row r="2" spans="2:15" s="3" customFormat="1" ht="18.75" customHeight="1" x14ac:dyDescent="0.25">
      <c r="B2" s="59" t="s">
        <v>35</v>
      </c>
      <c r="C2" s="59"/>
    </row>
    <row r="3" spans="2:15" s="3" customFormat="1" ht="18.75" customHeight="1" x14ac:dyDescent="0.25">
      <c r="B3" s="65" t="s">
        <v>17</v>
      </c>
      <c r="C3" s="56" t="s">
        <v>0</v>
      </c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2:15" s="6" customFormat="1" ht="18.75" customHeight="1" x14ac:dyDescent="0.25">
      <c r="B4" s="4" t="s">
        <v>1</v>
      </c>
      <c r="C4" s="5" t="s">
        <v>27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2</v>
      </c>
      <c r="K4" s="5" t="s">
        <v>3</v>
      </c>
      <c r="L4" s="5" t="s">
        <v>4</v>
      </c>
      <c r="M4" s="5" t="s">
        <v>5</v>
      </c>
      <c r="N4" s="5" t="s">
        <v>6</v>
      </c>
      <c r="O4" s="5" t="s">
        <v>7</v>
      </c>
    </row>
    <row r="5" spans="2:15" s="3" customFormat="1" ht="18.75" customHeight="1" x14ac:dyDescent="0.25">
      <c r="B5" s="4" t="s">
        <v>8</v>
      </c>
      <c r="C5" s="51">
        <f>SUM(D5:O5)</f>
        <v>59722570257.081612</v>
      </c>
      <c r="D5" s="14">
        <v>5747983201.9294252</v>
      </c>
      <c r="E5" s="14">
        <v>5095071519.375329</v>
      </c>
      <c r="F5" s="14">
        <v>5375422306.8431149</v>
      </c>
      <c r="G5" s="33">
        <v>5080205255.7364836</v>
      </c>
      <c r="H5" s="14">
        <v>5952971000.0665216</v>
      </c>
      <c r="I5" s="15">
        <v>5772007322.8800488</v>
      </c>
      <c r="J5" s="15">
        <v>4870704337.4323568</v>
      </c>
      <c r="K5" s="15">
        <v>4817573881.3251123</v>
      </c>
      <c r="L5" s="15">
        <v>4769891336.2923641</v>
      </c>
      <c r="M5" s="15">
        <v>3501195955.2200198</v>
      </c>
      <c r="N5" s="15">
        <v>4346387558.7965097</v>
      </c>
      <c r="O5" s="15">
        <v>4393156581.1843243</v>
      </c>
    </row>
    <row r="6" spans="2:15" s="3" customFormat="1" ht="18.75" customHeight="1" x14ac:dyDescent="0.25">
      <c r="B6" s="4" t="s">
        <v>51</v>
      </c>
      <c r="C6" s="51">
        <f t="shared" ref="C6:C8" si="0">SUM(D6:O6)</f>
        <v>17113361.272164311</v>
      </c>
      <c r="D6" s="14">
        <v>1545213.1205297564</v>
      </c>
      <c r="E6" s="14">
        <v>1381466.1902526824</v>
      </c>
      <c r="F6" s="14">
        <v>1574128.7608379086</v>
      </c>
      <c r="G6" s="33">
        <v>1391591.8133825448</v>
      </c>
      <c r="H6" s="14">
        <v>1723777.1263758452</v>
      </c>
      <c r="I6" s="15">
        <v>1667541.6581285805</v>
      </c>
      <c r="J6" s="15">
        <v>1446672.4004256146</v>
      </c>
      <c r="K6" s="15">
        <v>1401528.0002395683</v>
      </c>
      <c r="L6" s="15">
        <v>1384807.2992853771</v>
      </c>
      <c r="M6" s="15">
        <v>1021239.9566250647</v>
      </c>
      <c r="N6" s="15">
        <v>1283053.0664686803</v>
      </c>
      <c r="O6" s="15">
        <v>1292341.879612691</v>
      </c>
    </row>
    <row r="7" spans="2:15" s="3" customFormat="1" ht="18.75" customHeight="1" x14ac:dyDescent="0.25">
      <c r="B7" s="4" t="s">
        <v>45</v>
      </c>
      <c r="C7" s="51">
        <f t="shared" si="0"/>
        <v>205421633875.47995</v>
      </c>
      <c r="D7" s="14">
        <v>14178519842.039999</v>
      </c>
      <c r="E7" s="14">
        <v>20483487145.079998</v>
      </c>
      <c r="F7" s="14">
        <v>24388166079.759998</v>
      </c>
      <c r="G7" s="33">
        <v>10481412180.240004</v>
      </c>
      <c r="H7" s="14">
        <v>17941641432.48</v>
      </c>
      <c r="I7" s="14">
        <v>12296372555.039999</v>
      </c>
      <c r="J7" s="14">
        <v>19239006044.319996</v>
      </c>
      <c r="K7" s="14">
        <v>17148700430.080002</v>
      </c>
      <c r="L7" s="14">
        <v>15039059366.680004</v>
      </c>
      <c r="M7" s="14">
        <v>18403245659.159992</v>
      </c>
      <c r="N7" s="14">
        <v>19318389890.960007</v>
      </c>
      <c r="O7" s="14">
        <v>16503633249.639996</v>
      </c>
    </row>
    <row r="8" spans="2:15" s="3" customFormat="1" ht="18.75" customHeight="1" x14ac:dyDescent="0.25">
      <c r="B8" s="4" t="s">
        <v>52</v>
      </c>
      <c r="C8" s="51">
        <f t="shared" si="0"/>
        <v>60186247</v>
      </c>
      <c r="D8" s="14">
        <v>4020924</v>
      </c>
      <c r="E8" s="14">
        <v>5834356</v>
      </c>
      <c r="F8" s="14">
        <v>7222473</v>
      </c>
      <c r="G8" s="33">
        <v>2970271</v>
      </c>
      <c r="H8" s="14">
        <v>5189935</v>
      </c>
      <c r="I8" s="14">
        <v>3717260</v>
      </c>
      <c r="J8" s="14">
        <v>5482084</v>
      </c>
      <c r="K8" s="14">
        <v>4993045</v>
      </c>
      <c r="L8" s="14">
        <v>4286987</v>
      </c>
      <c r="M8" s="14">
        <v>5420563</v>
      </c>
      <c r="N8" s="14">
        <v>5734530</v>
      </c>
      <c r="O8" s="14">
        <v>5313819</v>
      </c>
    </row>
    <row r="9" spans="2:15" s="3" customFormat="1" ht="18.75" customHeight="1" x14ac:dyDescent="0.25">
      <c r="B9" s="4" t="s">
        <v>20</v>
      </c>
      <c r="C9" s="48">
        <v>6.25E-2</v>
      </c>
      <c r="D9" s="8">
        <f>+$C$9/12</f>
        <v>5.208333333333333E-3</v>
      </c>
      <c r="E9" s="8">
        <f t="shared" ref="E9:O9" si="1">+$C$9/12</f>
        <v>5.208333333333333E-3</v>
      </c>
      <c r="F9" s="8">
        <f t="shared" si="1"/>
        <v>5.208333333333333E-3</v>
      </c>
      <c r="G9" s="8">
        <f t="shared" si="1"/>
        <v>5.208333333333333E-3</v>
      </c>
      <c r="H9" s="8">
        <f t="shared" si="1"/>
        <v>5.208333333333333E-3</v>
      </c>
      <c r="I9" s="8">
        <f t="shared" si="1"/>
        <v>5.208333333333333E-3</v>
      </c>
      <c r="J9" s="8">
        <f t="shared" si="1"/>
        <v>5.208333333333333E-3</v>
      </c>
      <c r="K9" s="8">
        <f t="shared" si="1"/>
        <v>5.208333333333333E-3</v>
      </c>
      <c r="L9" s="8">
        <f t="shared" si="1"/>
        <v>5.208333333333333E-3</v>
      </c>
      <c r="M9" s="8">
        <f t="shared" si="1"/>
        <v>5.208333333333333E-3</v>
      </c>
      <c r="N9" s="8">
        <f t="shared" si="1"/>
        <v>5.208333333333333E-3</v>
      </c>
      <c r="O9" s="8">
        <f t="shared" si="1"/>
        <v>5.208333333333333E-3</v>
      </c>
    </row>
    <row r="10" spans="2:15" s="3" customFormat="1" ht="18.75" customHeight="1" x14ac:dyDescent="0.25">
      <c r="B10" s="4" t="s">
        <v>9</v>
      </c>
      <c r="C10" s="51">
        <f>SUM(D10:O10)</f>
        <v>311055053.4223001</v>
      </c>
      <c r="D10" s="10">
        <f>IF(ISERROR(D5*D9),0,D5*D9)</f>
        <v>29937412.51004909</v>
      </c>
      <c r="E10" s="10">
        <f>IF(ISERROR(E5*E9),0,E5*E9)</f>
        <v>26536830.830079839</v>
      </c>
      <c r="F10" s="10">
        <f>IF(ISERROR(F5*F9),0,F5*F9)</f>
        <v>27996991.181474555</v>
      </c>
      <c r="G10" s="10">
        <f t="shared" ref="G10:O10" si="2">IF(ISERROR(G5*G9),0,G5*G9)</f>
        <v>26459402.373627517</v>
      </c>
      <c r="H10" s="10">
        <f t="shared" si="2"/>
        <v>31005057.292013131</v>
      </c>
      <c r="I10" s="10">
        <f t="shared" si="2"/>
        <v>30062538.140000254</v>
      </c>
      <c r="J10" s="10">
        <f t="shared" si="2"/>
        <v>25368251.757460192</v>
      </c>
      <c r="K10" s="10">
        <f t="shared" si="2"/>
        <v>25091530.631901626</v>
      </c>
      <c r="L10" s="10">
        <f t="shared" si="2"/>
        <v>24843184.043189395</v>
      </c>
      <c r="M10" s="10">
        <f t="shared" si="2"/>
        <v>18235395.600104269</v>
      </c>
      <c r="N10" s="10">
        <f t="shared" si="2"/>
        <v>22637435.202065155</v>
      </c>
      <c r="O10" s="10">
        <f t="shared" si="2"/>
        <v>22881023.860335022</v>
      </c>
    </row>
    <row r="11" spans="2:15" s="3" customFormat="1" ht="18.75" customHeight="1" x14ac:dyDescent="0.25">
      <c r="B11" s="4" t="s">
        <v>16</v>
      </c>
      <c r="C11" s="52">
        <f>C10/C7</f>
        <v>1.5142273360110249E-3</v>
      </c>
      <c r="D11" s="11">
        <f>D10/D7</f>
        <v>2.1114624688314226E-3</v>
      </c>
      <c r="E11" s="11">
        <f t="shared" ref="E11" si="3">E10/E7</f>
        <v>1.2955231031769811E-3</v>
      </c>
      <c r="F11" s="11">
        <f>F10/F7</f>
        <v>1.1479744352204308E-3</v>
      </c>
      <c r="G11" s="11">
        <f t="shared" ref="G11:O11" si="4">G10/G7</f>
        <v>2.5244119703173099E-3</v>
      </c>
      <c r="H11" s="11">
        <f t="shared" si="4"/>
        <v>1.7281059488728969E-3</v>
      </c>
      <c r="I11" s="11">
        <f t="shared" si="4"/>
        <v>2.444829806956224E-3</v>
      </c>
      <c r="J11" s="11">
        <f t="shared" si="4"/>
        <v>1.3185843228605751E-3</v>
      </c>
      <c r="K11" s="11">
        <f t="shared" si="4"/>
        <v>1.4631738850536657E-3</v>
      </c>
      <c r="L11" s="11">
        <f t="shared" si="4"/>
        <v>1.6519107636632552E-3</v>
      </c>
      <c r="M11" s="11">
        <f t="shared" si="4"/>
        <v>9.9087932301918829E-4</v>
      </c>
      <c r="N11" s="11">
        <f t="shared" si="4"/>
        <v>1.1718075538302644E-3</v>
      </c>
      <c r="O11" s="11">
        <f t="shared" si="4"/>
        <v>1.3864234325998573E-3</v>
      </c>
    </row>
    <row r="12" spans="2:15" s="13" customFormat="1" ht="18.75" customHeight="1" x14ac:dyDescent="0.25">
      <c r="B12" s="16" t="s">
        <v>28</v>
      </c>
      <c r="C12" s="53">
        <f>(C5/C7)*26</f>
        <v>7.5590228613670361</v>
      </c>
      <c r="D12" s="12">
        <f>(D5/D7)*26</f>
        <v>10.540420644406462</v>
      </c>
      <c r="E12" s="12">
        <f t="shared" ref="D12:O13" si="5">(E5/E7)*26</f>
        <v>6.4672513310594892</v>
      </c>
      <c r="F12" s="12">
        <f>(F5/F7)*26</f>
        <v>5.730688380620391</v>
      </c>
      <c r="G12" s="12">
        <f t="shared" si="5"/>
        <v>12.601864555824012</v>
      </c>
      <c r="H12" s="12">
        <f t="shared" si="5"/>
        <v>8.6267048967735018</v>
      </c>
      <c r="I12" s="12">
        <f t="shared" si="5"/>
        <v>12.204590396325472</v>
      </c>
      <c r="J12" s="12">
        <f t="shared" si="5"/>
        <v>6.5823729397199902</v>
      </c>
      <c r="K12" s="12">
        <f t="shared" si="5"/>
        <v>7.3041640341879006</v>
      </c>
      <c r="L12" s="12">
        <f t="shared" si="5"/>
        <v>8.2463385322069698</v>
      </c>
      <c r="M12" s="12">
        <f t="shared" si="5"/>
        <v>4.9464695805117875</v>
      </c>
      <c r="N12" s="12">
        <f t="shared" si="5"/>
        <v>5.8496633087206806</v>
      </c>
      <c r="O12" s="12">
        <f t="shared" si="5"/>
        <v>6.9210257755384879</v>
      </c>
    </row>
    <row r="13" spans="2:15" s="13" customFormat="1" ht="18.75" customHeight="1" x14ac:dyDescent="0.25">
      <c r="B13" s="16" t="s">
        <v>53</v>
      </c>
      <c r="C13" s="53">
        <f>(C6/C8)*26</f>
        <v>7.3928416416506595</v>
      </c>
      <c r="D13" s="12">
        <f t="shared" si="5"/>
        <v>9.9916191238067835</v>
      </c>
      <c r="E13" s="12">
        <f t="shared" si="5"/>
        <v>6.1563128726751923</v>
      </c>
      <c r="F13" s="12">
        <f>(F6/F8)*26</f>
        <v>5.6666667749101487</v>
      </c>
      <c r="G13" s="12">
        <f t="shared" si="5"/>
        <v>12.181173754161208</v>
      </c>
      <c r="H13" s="12">
        <f t="shared" si="5"/>
        <v>8.6356005009257277</v>
      </c>
      <c r="I13" s="12">
        <f t="shared" si="5"/>
        <v>11.663451873515195</v>
      </c>
      <c r="J13" s="12">
        <f t="shared" si="5"/>
        <v>6.861164916675115</v>
      </c>
      <c r="K13" s="12">
        <f t="shared" si="5"/>
        <v>7.2980972545268017</v>
      </c>
      <c r="L13" s="12">
        <f t="shared" si="5"/>
        <v>8.3986701572502565</v>
      </c>
      <c r="M13" s="12">
        <f t="shared" si="5"/>
        <v>4.898428239327111</v>
      </c>
      <c r="N13" s="12">
        <f t="shared" si="5"/>
        <v>5.8172822756504345</v>
      </c>
      <c r="O13" s="12">
        <f t="shared" si="5"/>
        <v>6.3233032344402336</v>
      </c>
    </row>
    <row r="14" spans="2:15" s="25" customFormat="1" ht="18.75" customHeight="1" x14ac:dyDescent="0.25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2:15" ht="18.75" customHeight="1" x14ac:dyDescent="0.25">
      <c r="B15" s="49" t="s">
        <v>35</v>
      </c>
      <c r="C15" s="5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ht="18.75" customHeight="1" x14ac:dyDescent="0.25">
      <c r="B16" s="65" t="s">
        <v>29</v>
      </c>
      <c r="C16" s="56" t="s">
        <v>0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3"/>
      <c r="O16" s="3"/>
    </row>
    <row r="17" spans="2:15" ht="18.75" customHeight="1" x14ac:dyDescent="0.25">
      <c r="B17" s="4" t="s">
        <v>1</v>
      </c>
      <c r="C17" s="5" t="s">
        <v>30</v>
      </c>
      <c r="D17" s="5" t="s">
        <v>10</v>
      </c>
      <c r="E17" s="5" t="s">
        <v>11</v>
      </c>
      <c r="F17" s="5" t="s">
        <v>12</v>
      </c>
      <c r="G17" s="5" t="s">
        <v>13</v>
      </c>
      <c r="H17" s="5" t="s">
        <v>14</v>
      </c>
      <c r="I17" s="5" t="s">
        <v>15</v>
      </c>
      <c r="J17" s="5" t="s">
        <v>2</v>
      </c>
      <c r="K17" s="5" t="s">
        <v>3</v>
      </c>
      <c r="L17" s="5" t="s">
        <v>4</v>
      </c>
      <c r="M17" s="5" t="s">
        <v>5</v>
      </c>
      <c r="N17" s="5" t="s">
        <v>6</v>
      </c>
      <c r="O17" s="5" t="s">
        <v>7</v>
      </c>
    </row>
    <row r="18" spans="2:15" ht="18.75" customHeight="1" x14ac:dyDescent="0.25">
      <c r="B18" s="4" t="s">
        <v>8</v>
      </c>
      <c r="C18" s="51">
        <f>SUM(D18:O18)</f>
        <v>23121668874.093506</v>
      </c>
      <c r="D18" s="35">
        <v>3577227227.1578584</v>
      </c>
      <c r="E18" s="35">
        <v>3122530976.3059969</v>
      </c>
      <c r="F18" s="35">
        <v>3132421751.8953228</v>
      </c>
      <c r="G18" s="35">
        <v>3006325390.7977147</v>
      </c>
      <c r="H18" s="35">
        <v>3457776508.6407433</v>
      </c>
      <c r="I18" s="35">
        <v>3746399633.4173393</v>
      </c>
      <c r="J18" s="35">
        <v>3078987385.8785315</v>
      </c>
      <c r="K18" s="35"/>
      <c r="L18" s="35"/>
      <c r="M18" s="35"/>
      <c r="N18" s="35"/>
      <c r="O18" s="35"/>
    </row>
    <row r="19" spans="2:15" ht="18.75" customHeight="1" x14ac:dyDescent="0.25">
      <c r="B19" s="4" t="s">
        <v>51</v>
      </c>
      <c r="C19" s="51">
        <f t="shared" ref="C19:C22" si="6">SUM(D19:O19)</f>
        <v>9755935.4541174062</v>
      </c>
      <c r="D19" s="35">
        <v>1510280.4445678701</v>
      </c>
      <c r="E19" s="35">
        <v>1331917.3597424638</v>
      </c>
      <c r="F19" s="35">
        <v>1336194.7211098755</v>
      </c>
      <c r="G19" s="35">
        <v>1270818.7804110062</v>
      </c>
      <c r="H19" s="35">
        <v>1438335.7326724848</v>
      </c>
      <c r="I19" s="35">
        <v>1600806.0239046516</v>
      </c>
      <c r="J19" s="35">
        <v>1267582.3917090548</v>
      </c>
      <c r="K19" s="35"/>
      <c r="L19" s="35"/>
      <c r="M19" s="35"/>
      <c r="N19" s="35"/>
      <c r="O19" s="35"/>
    </row>
    <row r="20" spans="2:15" ht="18.75" customHeight="1" x14ac:dyDescent="0.25">
      <c r="B20" s="4" t="s">
        <v>46</v>
      </c>
      <c r="C20" s="51">
        <f>C19/1250</f>
        <v>7804.7483632939247</v>
      </c>
      <c r="D20" s="7">
        <f>D19/1250</f>
        <v>1208.224355654296</v>
      </c>
      <c r="E20" s="7">
        <f t="shared" ref="E20:J20" si="7">E19/1250</f>
        <v>1065.533887793971</v>
      </c>
      <c r="F20" s="7">
        <f t="shared" si="7"/>
        <v>1068.9557768879004</v>
      </c>
      <c r="G20" s="7">
        <f t="shared" si="7"/>
        <v>1016.655024328805</v>
      </c>
      <c r="H20" s="7">
        <f t="shared" si="7"/>
        <v>1150.6685861379879</v>
      </c>
      <c r="I20" s="7">
        <f t="shared" si="7"/>
        <v>1280.6448191237214</v>
      </c>
      <c r="J20" s="7">
        <f t="shared" si="7"/>
        <v>1014.0659133672439</v>
      </c>
      <c r="K20" s="35"/>
      <c r="L20" s="35"/>
      <c r="M20" s="35"/>
      <c r="N20" s="35"/>
      <c r="O20" s="35"/>
    </row>
    <row r="21" spans="2:15" ht="18.75" customHeight="1" x14ac:dyDescent="0.25">
      <c r="B21" s="19" t="s">
        <v>22</v>
      </c>
      <c r="C21" s="51">
        <f t="shared" si="6"/>
        <v>73448237731</v>
      </c>
      <c r="D21" s="35">
        <v>10401150473</v>
      </c>
      <c r="E21" s="35">
        <v>10817290831</v>
      </c>
      <c r="F21" s="35">
        <v>11263724286</v>
      </c>
      <c r="G21" s="35">
        <v>7324635234</v>
      </c>
      <c r="H21" s="35">
        <v>12554478185</v>
      </c>
      <c r="I21" s="35">
        <v>10495311332</v>
      </c>
      <c r="J21" s="35">
        <v>10591647390</v>
      </c>
      <c r="K21" s="35"/>
      <c r="L21" s="35"/>
      <c r="M21" s="35"/>
      <c r="N21" s="35"/>
      <c r="O21" s="35"/>
    </row>
    <row r="22" spans="2:15" ht="18.75" customHeight="1" x14ac:dyDescent="0.25">
      <c r="B22" s="19" t="s">
        <v>54</v>
      </c>
      <c r="C22" s="51">
        <f t="shared" si="6"/>
        <v>33679647</v>
      </c>
      <c r="D22" s="35">
        <v>4901230</v>
      </c>
      <c r="E22" s="35">
        <v>4870657</v>
      </c>
      <c r="F22" s="35">
        <v>4855154</v>
      </c>
      <c r="G22" s="46">
        <v>3464963</v>
      </c>
      <c r="H22" s="35">
        <v>5752272</v>
      </c>
      <c r="I22" s="35">
        <v>4905026</v>
      </c>
      <c r="J22" s="35">
        <v>4930345</v>
      </c>
      <c r="K22" s="35"/>
      <c r="L22" s="35"/>
      <c r="M22" s="35"/>
      <c r="N22" s="35"/>
      <c r="O22" s="35"/>
    </row>
    <row r="23" spans="2:15" ht="18.75" customHeight="1" x14ac:dyDescent="0.25">
      <c r="B23" s="4" t="s">
        <v>20</v>
      </c>
      <c r="C23" s="48">
        <v>6.25E-2</v>
      </c>
      <c r="D23" s="8">
        <v>5.1999999999999998E-3</v>
      </c>
      <c r="E23" s="8">
        <v>5.1999999999999998E-3</v>
      </c>
      <c r="F23" s="8">
        <v>5.1999999999999998E-3</v>
      </c>
      <c r="G23" s="8">
        <v>5.1999999999999998E-3</v>
      </c>
      <c r="H23" s="8">
        <v>5.1999999999999998E-3</v>
      </c>
      <c r="I23" s="8">
        <v>5.1999999999999998E-3</v>
      </c>
      <c r="J23" s="8">
        <v>5.1999999999999998E-3</v>
      </c>
      <c r="K23" s="8">
        <v>5.1999999999999998E-3</v>
      </c>
      <c r="L23" s="8">
        <v>5.1999999999999998E-3</v>
      </c>
      <c r="M23" s="8">
        <v>5.1999999999999998E-3</v>
      </c>
      <c r="N23" s="8">
        <v>5.1999999999999998E-3</v>
      </c>
      <c r="O23" s="8">
        <v>5.1999999999999998E-3</v>
      </c>
    </row>
    <row r="24" spans="2:15" ht="18.75" customHeight="1" x14ac:dyDescent="0.25">
      <c r="B24" s="4" t="s">
        <v>9</v>
      </c>
      <c r="C24" s="51">
        <f>SUM(D24:O24)</f>
        <v>120232678.14528623</v>
      </c>
      <c r="D24" s="10">
        <f>IF(ISERROR(D18*D23),0,D18*D23)</f>
        <v>18601581.581220862</v>
      </c>
      <c r="E24" s="10">
        <f t="shared" ref="E24:O24" si="8">IF(ISERROR(E18*E23),0,E18*E23)</f>
        <v>16237161.076791184</v>
      </c>
      <c r="F24" s="10">
        <f t="shared" si="8"/>
        <v>16288593.109855678</v>
      </c>
      <c r="G24" s="10">
        <f t="shared" si="8"/>
        <v>15632892.032148115</v>
      </c>
      <c r="H24" s="10">
        <f t="shared" si="8"/>
        <v>17980437.844931863</v>
      </c>
      <c r="I24" s="10">
        <f t="shared" si="8"/>
        <v>19481278.093770165</v>
      </c>
      <c r="J24" s="10">
        <f t="shared" si="8"/>
        <v>16010734.406568363</v>
      </c>
      <c r="K24" s="10">
        <f t="shared" si="8"/>
        <v>0</v>
      </c>
      <c r="L24" s="10">
        <f t="shared" si="8"/>
        <v>0</v>
      </c>
      <c r="M24" s="10">
        <f t="shared" si="8"/>
        <v>0</v>
      </c>
      <c r="N24" s="10">
        <f t="shared" si="8"/>
        <v>0</v>
      </c>
      <c r="O24" s="10">
        <f t="shared" si="8"/>
        <v>0</v>
      </c>
    </row>
    <row r="25" spans="2:15" ht="18.75" customHeight="1" x14ac:dyDescent="0.25">
      <c r="B25" s="4" t="s">
        <v>16</v>
      </c>
      <c r="C25" s="52">
        <f t="shared" ref="C25:H25" si="9">C24/C21</f>
        <v>1.6369715851540453E-3</v>
      </c>
      <c r="D25" s="11">
        <f>D24/D21</f>
        <v>1.7884157747268523E-3</v>
      </c>
      <c r="E25" s="11">
        <f t="shared" si="9"/>
        <v>1.501037674817711E-3</v>
      </c>
      <c r="F25" s="11">
        <f t="shared" si="9"/>
        <v>1.4461107797268465E-3</v>
      </c>
      <c r="G25" s="11">
        <f t="shared" si="9"/>
        <v>2.1342894946607405E-3</v>
      </c>
      <c r="H25" s="11">
        <f t="shared" si="9"/>
        <v>1.432193164859274E-3</v>
      </c>
      <c r="I25" s="11">
        <f>I24/I21</f>
        <v>1.8561886805941743E-3</v>
      </c>
      <c r="J25" s="11">
        <f t="shared" ref="J25:O25" si="10">J24/J21</f>
        <v>1.5116377856087564E-3</v>
      </c>
      <c r="K25" s="11" t="e">
        <f t="shared" si="10"/>
        <v>#DIV/0!</v>
      </c>
      <c r="L25" s="11" t="e">
        <f t="shared" si="10"/>
        <v>#DIV/0!</v>
      </c>
      <c r="M25" s="11" t="e">
        <f t="shared" si="10"/>
        <v>#DIV/0!</v>
      </c>
      <c r="N25" s="11" t="e">
        <f t="shared" si="10"/>
        <v>#DIV/0!</v>
      </c>
      <c r="O25" s="11" t="e">
        <f t="shared" si="10"/>
        <v>#DIV/0!</v>
      </c>
    </row>
    <row r="26" spans="2:15" ht="18.75" customHeight="1" x14ac:dyDescent="0.25">
      <c r="B26" s="16" t="s">
        <v>31</v>
      </c>
      <c r="C26" s="53">
        <f>(C18/C21)*26</f>
        <v>8.1848579257702276</v>
      </c>
      <c r="D26" s="21">
        <f>(D18/D21)*26</f>
        <v>8.9420788736342622</v>
      </c>
      <c r="E26" s="21">
        <f t="shared" ref="E26:H26" si="11">(E18/E21)*26</f>
        <v>7.5051883740885543</v>
      </c>
      <c r="F26" s="21">
        <f t="shared" si="11"/>
        <v>7.2305538986342324</v>
      </c>
      <c r="G26" s="21">
        <f t="shared" si="11"/>
        <v>10.671447473303704</v>
      </c>
      <c r="H26" s="21">
        <f t="shared" si="11"/>
        <v>7.1609658242963699</v>
      </c>
      <c r="I26" s="21">
        <f>(I18/I21)*23</f>
        <v>8.2100653180126937</v>
      </c>
      <c r="J26" s="21">
        <f t="shared" ref="J26:O26" si="12">(J18/J21)*26</f>
        <v>7.5581889280437817</v>
      </c>
      <c r="K26" s="21" t="e">
        <f t="shared" si="12"/>
        <v>#DIV/0!</v>
      </c>
      <c r="L26" s="21" t="e">
        <f t="shared" si="12"/>
        <v>#DIV/0!</v>
      </c>
      <c r="M26" s="21" t="e">
        <f t="shared" si="12"/>
        <v>#DIV/0!</v>
      </c>
      <c r="N26" s="21" t="e">
        <f t="shared" si="12"/>
        <v>#DIV/0!</v>
      </c>
      <c r="O26" s="21" t="e">
        <f t="shared" si="12"/>
        <v>#DIV/0!</v>
      </c>
    </row>
    <row r="27" spans="2:15" ht="18.75" customHeight="1" x14ac:dyDescent="0.25">
      <c r="B27" s="16" t="s">
        <v>55</v>
      </c>
      <c r="C27" s="53">
        <f>(C19/C22)*26</f>
        <v>7.5313830280659584</v>
      </c>
      <c r="D27" s="21">
        <f>(D19/D22)*27</f>
        <v>8.3198650141561377</v>
      </c>
      <c r="E27" s="21">
        <f>(E19/E22)*26</f>
        <v>7.1098932553255256</v>
      </c>
      <c r="F27" s="21">
        <f>(F19/F22)*26</f>
        <v>7.1555017099059599</v>
      </c>
      <c r="G27" s="21">
        <f>(G19/G22)*19</f>
        <v>6.9684890799148844</v>
      </c>
      <c r="H27" s="21">
        <f>(H19/H22)*28</f>
        <v>7.0013032267649331</v>
      </c>
      <c r="I27" s="21">
        <f>(I19/I22)*23</f>
        <v>7.5062881521539309</v>
      </c>
      <c r="J27" s="21">
        <f t="shared" ref="J27:O27" si="13">(J19/J22)*26</f>
        <v>6.6845509156936123</v>
      </c>
      <c r="K27" s="21" t="e">
        <f t="shared" si="13"/>
        <v>#DIV/0!</v>
      </c>
      <c r="L27" s="21" t="e">
        <f t="shared" si="13"/>
        <v>#DIV/0!</v>
      </c>
      <c r="M27" s="21" t="e">
        <f t="shared" si="13"/>
        <v>#DIV/0!</v>
      </c>
      <c r="N27" s="21" t="e">
        <f t="shared" si="13"/>
        <v>#DIV/0!</v>
      </c>
      <c r="O27" s="21" t="e">
        <f t="shared" si="13"/>
        <v>#DIV/0!</v>
      </c>
    </row>
    <row r="30" spans="2:15" ht="18.75" customHeight="1" x14ac:dyDescent="0.25">
      <c r="D30" s="40" t="s">
        <v>10</v>
      </c>
      <c r="E30" s="40" t="s">
        <v>11</v>
      </c>
      <c r="F30" s="40" t="s">
        <v>12</v>
      </c>
      <c r="G30" s="40" t="s">
        <v>13</v>
      </c>
      <c r="H30" s="40" t="s">
        <v>14</v>
      </c>
      <c r="I30" s="40" t="s">
        <v>15</v>
      </c>
      <c r="J30" s="40" t="s">
        <v>2</v>
      </c>
      <c r="K30" s="40" t="s">
        <v>3</v>
      </c>
      <c r="L30" s="40" t="s">
        <v>4</v>
      </c>
      <c r="M30" s="40" t="s">
        <v>5</v>
      </c>
      <c r="N30" s="40" t="s">
        <v>6</v>
      </c>
      <c r="O30" s="40" t="s">
        <v>7</v>
      </c>
    </row>
    <row r="31" spans="2:15" ht="18.75" customHeight="1" x14ac:dyDescent="0.25">
      <c r="B31" s="58" t="s">
        <v>24</v>
      </c>
      <c r="C31" s="18" t="s">
        <v>48</v>
      </c>
      <c r="D31" s="41">
        <f>+$C$11</f>
        <v>1.5142273360110249E-3</v>
      </c>
      <c r="E31" s="41">
        <f t="shared" ref="E31:J31" si="14">+$C$11</f>
        <v>1.5142273360110249E-3</v>
      </c>
      <c r="F31" s="41">
        <f t="shared" si="14"/>
        <v>1.5142273360110249E-3</v>
      </c>
      <c r="G31" s="41">
        <f t="shared" si="14"/>
        <v>1.5142273360110249E-3</v>
      </c>
      <c r="H31" s="41">
        <f t="shared" si="14"/>
        <v>1.5142273360110249E-3</v>
      </c>
      <c r="I31" s="41">
        <f t="shared" si="14"/>
        <v>1.5142273360110249E-3</v>
      </c>
      <c r="J31" s="41">
        <f t="shared" si="14"/>
        <v>1.5142273360110249E-3</v>
      </c>
      <c r="K31" s="41"/>
      <c r="L31" s="41"/>
      <c r="M31" s="41"/>
      <c r="N31" s="41"/>
      <c r="O31" s="41"/>
    </row>
    <row r="32" spans="2:15" ht="18.75" customHeight="1" x14ac:dyDescent="0.25">
      <c r="B32" s="58"/>
      <c r="C32" s="18" t="s">
        <v>34</v>
      </c>
      <c r="D32" s="41">
        <f>D25</f>
        <v>1.7884157747268523E-3</v>
      </c>
      <c r="E32" s="41">
        <f t="shared" ref="E32:J32" si="15">E25</f>
        <v>1.501037674817711E-3</v>
      </c>
      <c r="F32" s="41">
        <f t="shared" si="15"/>
        <v>1.4461107797268465E-3</v>
      </c>
      <c r="G32" s="41">
        <f t="shared" si="15"/>
        <v>2.1342894946607405E-3</v>
      </c>
      <c r="H32" s="41">
        <f t="shared" si="15"/>
        <v>1.432193164859274E-3</v>
      </c>
      <c r="I32" s="41">
        <f t="shared" si="15"/>
        <v>1.8561886805941743E-3</v>
      </c>
      <c r="J32" s="41">
        <f t="shared" si="15"/>
        <v>1.5116377856087564E-3</v>
      </c>
      <c r="K32" s="41"/>
      <c r="L32" s="41"/>
      <c r="M32" s="41"/>
      <c r="N32" s="41"/>
      <c r="O32" s="41"/>
    </row>
    <row r="33" spans="2:19" ht="18.75" customHeight="1" x14ac:dyDescent="0.25">
      <c r="B33" s="58"/>
      <c r="C33" s="18" t="s">
        <v>49</v>
      </c>
      <c r="D33" s="42" t="str">
        <f>IF(D32&lt;D31,"Achieve","Not Achieve")</f>
        <v>Not Achieve</v>
      </c>
      <c r="E33" s="42" t="str">
        <f>IF(E32&lt;E31,"Achieve","Not Achieve")</f>
        <v>Achieve</v>
      </c>
      <c r="F33" s="42" t="str">
        <f t="shared" ref="F33:J33" si="16">IF(F32&lt;F31,"Achieve","Not Achieve")</f>
        <v>Achieve</v>
      </c>
      <c r="G33" s="42" t="str">
        <f t="shared" si="16"/>
        <v>Not Achieve</v>
      </c>
      <c r="H33" s="42" t="str">
        <f t="shared" si="16"/>
        <v>Achieve</v>
      </c>
      <c r="I33" s="42" t="str">
        <f t="shared" si="16"/>
        <v>Not Achieve</v>
      </c>
      <c r="J33" s="42" t="str">
        <f t="shared" si="16"/>
        <v>Achieve</v>
      </c>
      <c r="K33" s="17"/>
      <c r="L33" s="17"/>
      <c r="M33" s="17"/>
      <c r="N33" s="17"/>
      <c r="O33" s="17"/>
    </row>
    <row r="34" spans="2:19" ht="18.75" customHeight="1" x14ac:dyDescent="0.25">
      <c r="B34" s="44"/>
      <c r="C34" s="45"/>
      <c r="D34" s="38"/>
      <c r="E34" s="38"/>
      <c r="F34" s="38"/>
      <c r="G34" s="38"/>
      <c r="H34" s="38"/>
      <c r="I34" s="38"/>
      <c r="J34" s="38"/>
    </row>
    <row r="35" spans="2:19" ht="18.75" customHeight="1" x14ac:dyDescent="0.25">
      <c r="B35" s="45"/>
      <c r="C35" s="45"/>
      <c r="D35" s="40" t="s">
        <v>10</v>
      </c>
      <c r="E35" s="40" t="s">
        <v>11</v>
      </c>
      <c r="F35" s="40" t="s">
        <v>12</v>
      </c>
      <c r="G35" s="40" t="s">
        <v>13</v>
      </c>
      <c r="H35" s="40" t="s">
        <v>14</v>
      </c>
      <c r="I35" s="40" t="s">
        <v>15</v>
      </c>
      <c r="J35" s="40" t="s">
        <v>2</v>
      </c>
      <c r="K35" s="40" t="s">
        <v>3</v>
      </c>
      <c r="L35" s="40" t="s">
        <v>4</v>
      </c>
      <c r="M35" s="40" t="s">
        <v>5</v>
      </c>
      <c r="N35" s="40" t="s">
        <v>6</v>
      </c>
      <c r="O35" s="40" t="s">
        <v>7</v>
      </c>
    </row>
    <row r="36" spans="2:19" ht="18.75" customHeight="1" x14ac:dyDescent="0.25">
      <c r="B36" s="58" t="s">
        <v>47</v>
      </c>
      <c r="C36" s="18" t="s">
        <v>33</v>
      </c>
      <c r="D36" s="43">
        <f>+$C$12</f>
        <v>7.5590228613670361</v>
      </c>
      <c r="E36" s="43">
        <f t="shared" ref="E36:J36" si="17">+$C$12</f>
        <v>7.5590228613670361</v>
      </c>
      <c r="F36" s="43">
        <f t="shared" si="17"/>
        <v>7.5590228613670361</v>
      </c>
      <c r="G36" s="43">
        <f t="shared" si="17"/>
        <v>7.5590228613670361</v>
      </c>
      <c r="H36" s="43">
        <f t="shared" si="17"/>
        <v>7.5590228613670361</v>
      </c>
      <c r="I36" s="43">
        <f t="shared" si="17"/>
        <v>7.5590228613670361</v>
      </c>
      <c r="J36" s="43">
        <f t="shared" si="17"/>
        <v>7.5590228613670361</v>
      </c>
      <c r="K36" s="43"/>
      <c r="L36" s="43"/>
      <c r="M36" s="43"/>
      <c r="N36" s="43"/>
      <c r="O36" s="43"/>
      <c r="Q36" s="39"/>
      <c r="R36" s="39"/>
      <c r="S36" s="39">
        <f>+R12</f>
        <v>0</v>
      </c>
    </row>
    <row r="37" spans="2:19" ht="18.75" customHeight="1" x14ac:dyDescent="0.25">
      <c r="B37" s="58"/>
      <c r="C37" s="18" t="s">
        <v>34</v>
      </c>
      <c r="D37" s="43">
        <f>D26</f>
        <v>8.9420788736342622</v>
      </c>
      <c r="E37" s="43">
        <f t="shared" ref="E37:J37" si="18">E26</f>
        <v>7.5051883740885543</v>
      </c>
      <c r="F37" s="43">
        <f t="shared" si="18"/>
        <v>7.2305538986342324</v>
      </c>
      <c r="G37" s="43">
        <f t="shared" si="18"/>
        <v>10.671447473303704</v>
      </c>
      <c r="H37" s="43">
        <f t="shared" si="18"/>
        <v>7.1609658242963699</v>
      </c>
      <c r="I37" s="43">
        <f t="shared" si="18"/>
        <v>8.2100653180126937</v>
      </c>
      <c r="J37" s="43">
        <f t="shared" si="18"/>
        <v>7.5581889280437817</v>
      </c>
      <c r="K37" s="43"/>
      <c r="L37" s="43"/>
      <c r="M37" s="43"/>
      <c r="N37" s="43"/>
      <c r="O37" s="43"/>
    </row>
    <row r="38" spans="2:19" ht="18.75" customHeight="1" x14ac:dyDescent="0.25">
      <c r="B38" s="58"/>
      <c r="C38" s="18" t="s">
        <v>50</v>
      </c>
      <c r="D38" s="42" t="str">
        <f>IF(D37&lt;D36,"Achieve","Not Achieve")</f>
        <v>Not Achieve</v>
      </c>
      <c r="E38" s="42" t="str">
        <f t="shared" ref="E38:J38" si="19">IF(E37&lt;E36,"Achieve","Not Achieve")</f>
        <v>Achieve</v>
      </c>
      <c r="F38" s="42" t="str">
        <f t="shared" si="19"/>
        <v>Achieve</v>
      </c>
      <c r="G38" s="42" t="str">
        <f t="shared" si="19"/>
        <v>Not Achieve</v>
      </c>
      <c r="H38" s="42" t="str">
        <f t="shared" si="19"/>
        <v>Achieve</v>
      </c>
      <c r="I38" s="42" t="str">
        <f t="shared" si="19"/>
        <v>Not Achieve</v>
      </c>
      <c r="J38" s="42" t="str">
        <f t="shared" si="19"/>
        <v>Achieve</v>
      </c>
      <c r="K38" s="42"/>
      <c r="L38" s="42"/>
      <c r="M38" s="42"/>
      <c r="N38" s="42"/>
      <c r="O38" s="42"/>
    </row>
  </sheetData>
  <mergeCells count="5">
    <mergeCell ref="C16:M16"/>
    <mergeCell ref="B31:B33"/>
    <mergeCell ref="B36:B38"/>
    <mergeCell ref="B2:C2"/>
    <mergeCell ref="C3:M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5"/>
  <sheetViews>
    <sheetView tabSelected="1" zoomScale="70" zoomScaleNormal="70" workbookViewId="0">
      <selection activeCell="D22" sqref="D22"/>
    </sheetView>
  </sheetViews>
  <sheetFormatPr defaultColWidth="9.140625" defaultRowHeight="18" customHeight="1" x14ac:dyDescent="0.25"/>
  <cols>
    <col min="1" max="1" width="3" style="2" customWidth="1"/>
    <col min="2" max="2" width="34.140625" style="2" bestFit="1" customWidth="1"/>
    <col min="3" max="3" width="25.140625" style="2" customWidth="1"/>
    <col min="4" max="9" width="20.42578125" style="2" customWidth="1"/>
    <col min="10" max="12" width="20.42578125" style="1" customWidth="1"/>
    <col min="13" max="15" width="20.42578125" style="1" bestFit="1" customWidth="1"/>
    <col min="16" max="16384" width="9.140625" style="2"/>
  </cols>
  <sheetData>
    <row r="1" spans="2:15" s="3" customFormat="1" ht="18" customHeight="1" x14ac:dyDescent="0.25">
      <c r="B1" s="60" t="s">
        <v>35</v>
      </c>
      <c r="C1" s="60"/>
      <c r="D1" s="34"/>
      <c r="E1" s="34"/>
      <c r="F1" s="34"/>
      <c r="G1" s="34"/>
      <c r="H1" s="34"/>
      <c r="I1" s="34"/>
    </row>
    <row r="2" spans="2:15" s="3" customFormat="1" ht="18" customHeight="1" x14ac:dyDescent="0.25">
      <c r="B2" s="65" t="s">
        <v>17</v>
      </c>
      <c r="C2" s="61" t="s">
        <v>0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2:15" s="6" customFormat="1" ht="18" customHeight="1" x14ac:dyDescent="0.25">
      <c r="B3" s="4" t="s">
        <v>1</v>
      </c>
      <c r="C3" s="5" t="s">
        <v>27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18</v>
      </c>
      <c r="K3" s="5" t="s">
        <v>19</v>
      </c>
      <c r="L3" s="5" t="s">
        <v>4</v>
      </c>
      <c r="M3" s="5" t="s">
        <v>5</v>
      </c>
      <c r="N3" s="5" t="s">
        <v>6</v>
      </c>
      <c r="O3" s="5" t="s">
        <v>7</v>
      </c>
    </row>
    <row r="4" spans="2:15" s="3" customFormat="1" ht="18" customHeight="1" x14ac:dyDescent="0.25">
      <c r="B4" s="19" t="s">
        <v>8</v>
      </c>
      <c r="C4" s="51">
        <f>SUM(D4:O4)</f>
        <v>279131937577.3501</v>
      </c>
      <c r="D4" s="30">
        <v>26157361863.901978</v>
      </c>
      <c r="E4" s="30">
        <v>25891640158.77272</v>
      </c>
      <c r="F4" s="30">
        <v>25619478876.342365</v>
      </c>
      <c r="G4" s="32">
        <v>24070196276.966503</v>
      </c>
      <c r="H4" s="30">
        <v>26419278846.235916</v>
      </c>
      <c r="I4" s="31">
        <v>29702787522.408043</v>
      </c>
      <c r="J4" s="22">
        <v>25532052044.968712</v>
      </c>
      <c r="K4" s="14">
        <v>21994931988.372147</v>
      </c>
      <c r="L4" s="14">
        <v>20990992636.882442</v>
      </c>
      <c r="M4" s="14">
        <v>16759184908.276114</v>
      </c>
      <c r="N4" s="14">
        <v>19347538955.884979</v>
      </c>
      <c r="O4" s="15">
        <v>16646493498.338181</v>
      </c>
    </row>
    <row r="5" spans="2:15" s="3" customFormat="1" ht="18" customHeight="1" x14ac:dyDescent="0.25">
      <c r="B5" s="19" t="s">
        <v>21</v>
      </c>
      <c r="C5" s="51">
        <f>SUM(D5:O5)</f>
        <v>196951.35192377449</v>
      </c>
      <c r="D5" s="30">
        <v>19116.986314270525</v>
      </c>
      <c r="E5" s="30">
        <v>18567.222964787186</v>
      </c>
      <c r="F5" s="30">
        <v>18292.994336062489</v>
      </c>
      <c r="G5" s="30">
        <v>16112.33265151516</v>
      </c>
      <c r="H5" s="30">
        <v>17422.674211155729</v>
      </c>
      <c r="I5" s="31">
        <v>20645.74513983537</v>
      </c>
      <c r="J5" s="22">
        <v>16946.311339216343</v>
      </c>
      <c r="K5" s="14">
        <v>14650.491340593822</v>
      </c>
      <c r="L5" s="14">
        <v>15071.132837384836</v>
      </c>
      <c r="M5" s="14">
        <v>11674.571931434579</v>
      </c>
      <c r="N5" s="14">
        <v>14597.01543605517</v>
      </c>
      <c r="O5" s="15">
        <v>13853.873421463295</v>
      </c>
    </row>
    <row r="6" spans="2:15" s="3" customFormat="1" ht="18" customHeight="1" x14ac:dyDescent="0.25">
      <c r="B6" s="19" t="s">
        <v>22</v>
      </c>
      <c r="C6" s="51">
        <f>SUM(D6:O6)</f>
        <v>291470506764.42499</v>
      </c>
      <c r="D6" s="30">
        <v>17715984475</v>
      </c>
      <c r="E6" s="30">
        <v>20838564257.5</v>
      </c>
      <c r="F6" s="30">
        <v>23457238747.5</v>
      </c>
      <c r="G6" s="26">
        <v>16703825200</v>
      </c>
      <c r="H6" s="7">
        <v>24425414369</v>
      </c>
      <c r="I6" s="22">
        <v>24527106920</v>
      </c>
      <c r="J6" s="22">
        <v>27338429475</v>
      </c>
      <c r="K6" s="14">
        <v>29886694105</v>
      </c>
      <c r="L6" s="14">
        <v>24251082987.5</v>
      </c>
      <c r="M6" s="14">
        <v>27816734287.5</v>
      </c>
      <c r="N6" s="14">
        <v>26861986576.174999</v>
      </c>
      <c r="O6" s="14">
        <v>27647445364.25</v>
      </c>
    </row>
    <row r="7" spans="2:15" s="3" customFormat="1" ht="18" customHeight="1" x14ac:dyDescent="0.25">
      <c r="B7" s="19" t="s">
        <v>23</v>
      </c>
      <c r="C7" s="51">
        <f>SUM(D7:O7)</f>
        <v>233683.67799999999</v>
      </c>
      <c r="D7" s="30">
        <v>15167</v>
      </c>
      <c r="E7" s="30">
        <v>17044</v>
      </c>
      <c r="F7" s="30">
        <v>20064</v>
      </c>
      <c r="G7" s="26">
        <v>13027</v>
      </c>
      <c r="H7" s="7">
        <v>17297.057999999997</v>
      </c>
      <c r="I7" s="22">
        <v>19713</v>
      </c>
      <c r="J7" s="22">
        <v>22589</v>
      </c>
      <c r="K7" s="14">
        <v>24660</v>
      </c>
      <c r="L7" s="14">
        <v>18928</v>
      </c>
      <c r="M7" s="14">
        <v>22224</v>
      </c>
      <c r="N7" s="14">
        <v>21568.250000000004</v>
      </c>
      <c r="O7" s="14">
        <v>21402.37</v>
      </c>
    </row>
    <row r="8" spans="2:15" s="3" customFormat="1" ht="18" customHeight="1" x14ac:dyDescent="0.25">
      <c r="B8" s="19" t="s">
        <v>20</v>
      </c>
      <c r="C8" s="48">
        <v>6.25E-2</v>
      </c>
      <c r="D8" s="8">
        <f>+$C$8/12</f>
        <v>5.208333333333333E-3</v>
      </c>
      <c r="E8" s="8">
        <f>+$C$8/12</f>
        <v>5.208333333333333E-3</v>
      </c>
      <c r="F8" s="8">
        <f t="shared" ref="F8:O8" si="0">+$C$8/12</f>
        <v>5.208333333333333E-3</v>
      </c>
      <c r="G8" s="8">
        <f t="shared" si="0"/>
        <v>5.208333333333333E-3</v>
      </c>
      <c r="H8" s="8">
        <f t="shared" si="0"/>
        <v>5.208333333333333E-3</v>
      </c>
      <c r="I8" s="8">
        <f t="shared" si="0"/>
        <v>5.208333333333333E-3</v>
      </c>
      <c r="J8" s="8">
        <f t="shared" si="0"/>
        <v>5.208333333333333E-3</v>
      </c>
      <c r="K8" s="8">
        <f t="shared" si="0"/>
        <v>5.208333333333333E-3</v>
      </c>
      <c r="L8" s="8">
        <f t="shared" si="0"/>
        <v>5.208333333333333E-3</v>
      </c>
      <c r="M8" s="8">
        <f t="shared" si="0"/>
        <v>5.208333333333333E-3</v>
      </c>
      <c r="N8" s="8">
        <f t="shared" si="0"/>
        <v>5.208333333333333E-3</v>
      </c>
      <c r="O8" s="8">
        <f t="shared" si="0"/>
        <v>5.208333333333333E-3</v>
      </c>
    </row>
    <row r="9" spans="2:15" s="3" customFormat="1" ht="18" customHeight="1" x14ac:dyDescent="0.25">
      <c r="B9" s="19" t="s">
        <v>9</v>
      </c>
      <c r="C9" s="51">
        <f>SUM(D9:O9)</f>
        <v>1453812174.8820317</v>
      </c>
      <c r="D9" s="27">
        <f t="shared" ref="D9:F9" si="1">D4*D8</f>
        <v>136236259.7078228</v>
      </c>
      <c r="E9" s="27">
        <f t="shared" si="1"/>
        <v>134852292.49360791</v>
      </c>
      <c r="F9" s="27">
        <f t="shared" si="1"/>
        <v>133434785.81428315</v>
      </c>
      <c r="G9" s="27">
        <f>G4*G8</f>
        <v>125365605.60920054</v>
      </c>
      <c r="H9" s="9">
        <f>H4*H8</f>
        <v>137600410.65747872</v>
      </c>
      <c r="I9" s="10">
        <f>IF(ISERROR(I4*I8),0,I4*I8)</f>
        <v>154702018.3458752</v>
      </c>
      <c r="J9" s="10">
        <f t="shared" ref="J9" si="2">IF(ISERROR(J4*J8),0,J4*J8)</f>
        <v>132979437.73421204</v>
      </c>
      <c r="K9" s="10">
        <f>IF(ISERROR(K4*K8),0,K4*K8)</f>
        <v>114556937.43943825</v>
      </c>
      <c r="L9" s="10">
        <f t="shared" ref="L9:O9" si="3">IF(ISERROR(L4*L8),0,L4*L8)</f>
        <v>109328086.65042938</v>
      </c>
      <c r="M9" s="10">
        <f t="shared" si="3"/>
        <v>87287421.397271425</v>
      </c>
      <c r="N9" s="10">
        <f t="shared" si="3"/>
        <v>100768432.06190093</v>
      </c>
      <c r="O9" s="10">
        <f t="shared" si="3"/>
        <v>86700486.970511347</v>
      </c>
    </row>
    <row r="10" spans="2:15" s="3" customFormat="1" ht="18" customHeight="1" x14ac:dyDescent="0.25">
      <c r="B10" s="19" t="s">
        <v>24</v>
      </c>
      <c r="C10" s="52">
        <f>C9/C6</f>
        <v>4.9878534573552765E-3</v>
      </c>
      <c r="D10" s="28">
        <f t="shared" ref="D10:E10" si="4">D9/D6</f>
        <v>7.6900191406282436E-3</v>
      </c>
      <c r="E10" s="28">
        <f t="shared" si="4"/>
        <v>6.4712852011900614E-3</v>
      </c>
      <c r="F10" s="28">
        <f>F9/F6</f>
        <v>5.6884268114679188E-3</v>
      </c>
      <c r="G10" s="28">
        <f>G9/G6</f>
        <v>7.5052033955192816E-3</v>
      </c>
      <c r="H10" s="11">
        <f t="shared" ref="H10:J10" si="5">H9/H6</f>
        <v>5.6334934007145039E-3</v>
      </c>
      <c r="I10" s="11">
        <f t="shared" si="5"/>
        <v>6.3073895690374882E-3</v>
      </c>
      <c r="J10" s="11">
        <f t="shared" si="5"/>
        <v>4.8641944796359608E-3</v>
      </c>
      <c r="K10" s="11">
        <f>K9/K6</f>
        <v>3.8330414544000386E-3</v>
      </c>
      <c r="L10" s="11">
        <f t="shared" ref="L10:O10" si="6">L9/L6</f>
        <v>4.5081733754645742E-3</v>
      </c>
      <c r="M10" s="11">
        <f t="shared" si="6"/>
        <v>3.1379464064728749E-3</v>
      </c>
      <c r="N10" s="11">
        <f t="shared" si="6"/>
        <v>3.7513395286734525E-3</v>
      </c>
      <c r="O10" s="11">
        <f t="shared" si="6"/>
        <v>3.1359312163655052E-3</v>
      </c>
    </row>
    <row r="11" spans="2:15" s="13" customFormat="1" ht="18" customHeight="1" x14ac:dyDescent="0.25">
      <c r="B11" s="20" t="s">
        <v>36</v>
      </c>
      <c r="C11" s="54">
        <f>(C4/C6)*26</f>
        <v>24.899364459117542</v>
      </c>
      <c r="D11" s="29">
        <f t="shared" ref="D11:O12" si="7">(D4/D6)*26</f>
        <v>38.388575550016192</v>
      </c>
      <c r="E11" s="29">
        <f t="shared" si="7"/>
        <v>32.304655724340783</v>
      </c>
      <c r="F11" s="29">
        <f t="shared" si="7"/>
        <v>28.396626642847853</v>
      </c>
      <c r="G11" s="29">
        <f t="shared" si="7"/>
        <v>37.465975350432252</v>
      </c>
      <c r="H11" s="12">
        <f t="shared" si="7"/>
        <v>28.122399056366806</v>
      </c>
      <c r="I11" s="12">
        <f t="shared" si="7"/>
        <v>31.486488728635148</v>
      </c>
      <c r="J11" s="12">
        <f t="shared" si="7"/>
        <v>24.282058842342717</v>
      </c>
      <c r="K11" s="12">
        <f t="shared" si="7"/>
        <v>19.134542940364994</v>
      </c>
      <c r="L11" s="12">
        <f t="shared" si="7"/>
        <v>22.504801490319156</v>
      </c>
      <c r="M11" s="12">
        <f t="shared" si="7"/>
        <v>15.66462846111259</v>
      </c>
      <c r="N11" s="12">
        <f t="shared" si="7"/>
        <v>18.726686927137877</v>
      </c>
      <c r="O11" s="12">
        <f t="shared" si="7"/>
        <v>15.654568632096602</v>
      </c>
    </row>
    <row r="12" spans="2:15" s="13" customFormat="1" ht="18" customHeight="1" x14ac:dyDescent="0.25">
      <c r="B12" s="20" t="s">
        <v>25</v>
      </c>
      <c r="C12" s="53">
        <f t="shared" ref="C12:G12" si="8">(C5/C7)*26</f>
        <v>21.913105758366818</v>
      </c>
      <c r="D12" s="29">
        <f>(D5/D7)*26</f>
        <v>32.771256291358455</v>
      </c>
      <c r="E12" s="29">
        <f t="shared" si="7"/>
        <v>28.323621044617862</v>
      </c>
      <c r="F12" s="29">
        <f t="shared" si="7"/>
        <v>23.705036520017181</v>
      </c>
      <c r="G12" s="29">
        <f t="shared" si="8"/>
        <v>32.157875868534134</v>
      </c>
      <c r="H12" s="12">
        <f t="shared" si="7"/>
        <v>26.188819479592944</v>
      </c>
      <c r="I12" s="12">
        <f t="shared" si="7"/>
        <v>27.230222372836181</v>
      </c>
      <c r="J12" s="12">
        <f t="shared" si="7"/>
        <v>19.505250113755586</v>
      </c>
      <c r="K12" s="12">
        <f t="shared" si="7"/>
        <v>15.446584544016197</v>
      </c>
      <c r="L12" s="12">
        <f t="shared" si="7"/>
        <v>20.702105545858291</v>
      </c>
      <c r="M12" s="12">
        <f t="shared" si="7"/>
        <v>13.658156507257877</v>
      </c>
      <c r="N12" s="12">
        <f t="shared" si="7"/>
        <v>17.596346543527378</v>
      </c>
      <c r="O12" s="12">
        <f t="shared" si="7"/>
        <v>16.829944952734007</v>
      </c>
    </row>
    <row r="14" spans="2:15" s="47" customFormat="1" ht="18" customHeight="1" x14ac:dyDescent="0.25">
      <c r="B14" s="60" t="s">
        <v>35</v>
      </c>
      <c r="C14" s="60"/>
      <c r="D14" s="55"/>
      <c r="E14" s="55"/>
      <c r="F14" s="55"/>
      <c r="G14" s="55"/>
      <c r="H14" s="55"/>
      <c r="I14" s="55"/>
      <c r="J14" s="25"/>
      <c r="K14" s="25"/>
      <c r="L14" s="25"/>
      <c r="M14" s="25"/>
      <c r="N14" s="25"/>
      <c r="O14" s="25"/>
    </row>
    <row r="15" spans="2:15" ht="18" customHeight="1" x14ac:dyDescent="0.25">
      <c r="B15" s="65" t="s">
        <v>29</v>
      </c>
      <c r="C15" s="62" t="s">
        <v>0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4"/>
    </row>
    <row r="16" spans="2:15" ht="18" customHeight="1" x14ac:dyDescent="0.25">
      <c r="B16" s="4" t="s">
        <v>1</v>
      </c>
      <c r="C16" s="5" t="s">
        <v>30</v>
      </c>
      <c r="D16" s="5" t="s">
        <v>10</v>
      </c>
      <c r="E16" s="5" t="s">
        <v>11</v>
      </c>
      <c r="F16" s="5" t="s">
        <v>12</v>
      </c>
      <c r="G16" s="5" t="s">
        <v>13</v>
      </c>
      <c r="H16" s="5" t="s">
        <v>14</v>
      </c>
      <c r="I16" s="5" t="s">
        <v>15</v>
      </c>
      <c r="J16" s="5" t="s">
        <v>18</v>
      </c>
      <c r="K16" s="5" t="s">
        <v>19</v>
      </c>
      <c r="L16" s="5" t="s">
        <v>4</v>
      </c>
      <c r="M16" s="5" t="s">
        <v>5</v>
      </c>
      <c r="N16" s="5" t="s">
        <v>6</v>
      </c>
      <c r="O16" s="5" t="s">
        <v>7</v>
      </c>
    </row>
    <row r="17" spans="2:15" ht="18" customHeight="1" x14ac:dyDescent="0.25">
      <c r="B17" s="19" t="s">
        <v>8</v>
      </c>
      <c r="C17" s="51">
        <f>SUM(D17:O17)</f>
        <v>117084033616.7468</v>
      </c>
      <c r="D17" s="36">
        <v>21738971079.836586</v>
      </c>
      <c r="E17" s="36">
        <v>18843008862.374237</v>
      </c>
      <c r="F17" s="36">
        <v>17512564072.789375</v>
      </c>
      <c r="G17" s="37">
        <v>12851923156.916246</v>
      </c>
      <c r="H17" s="36">
        <v>15799223177.647802</v>
      </c>
      <c r="I17" s="35">
        <v>14850971930.381554</v>
      </c>
      <c r="J17" s="35">
        <v>15487371336.800991</v>
      </c>
      <c r="K17" s="35"/>
      <c r="L17" s="35"/>
      <c r="M17" s="35"/>
      <c r="N17" s="35"/>
      <c r="O17" s="35"/>
    </row>
    <row r="18" spans="2:15" ht="18" customHeight="1" x14ac:dyDescent="0.25">
      <c r="B18" s="19" t="s">
        <v>21</v>
      </c>
      <c r="C18" s="51">
        <f>SUM(D18:O18)</f>
        <v>130965.04139921523</v>
      </c>
      <c r="D18" s="36">
        <v>19292.324837401098</v>
      </c>
      <c r="E18" s="36">
        <v>21811.054405010203</v>
      </c>
      <c r="F18" s="36">
        <v>21168.086833866619</v>
      </c>
      <c r="G18" s="36">
        <v>12888.381799589304</v>
      </c>
      <c r="H18" s="36">
        <v>19781.810259740265</v>
      </c>
      <c r="I18" s="35">
        <v>18027.988677711182</v>
      </c>
      <c r="J18" s="35">
        <v>17995.39458589656</v>
      </c>
      <c r="K18" s="35"/>
      <c r="L18" s="35"/>
      <c r="M18" s="35"/>
      <c r="N18" s="35"/>
      <c r="O18" s="35"/>
    </row>
    <row r="19" spans="2:15" ht="18" customHeight="1" x14ac:dyDescent="0.25">
      <c r="B19" s="19" t="s">
        <v>44</v>
      </c>
      <c r="C19" s="51">
        <f>C18/54</f>
        <v>2425.2785444299116</v>
      </c>
      <c r="D19" s="7">
        <f t="shared" ref="D19:J19" si="9">D18/54</f>
        <v>357.26527476668701</v>
      </c>
      <c r="E19" s="7">
        <f t="shared" si="9"/>
        <v>403.90841490759635</v>
      </c>
      <c r="F19" s="7">
        <f t="shared" si="9"/>
        <v>392.00160803456703</v>
      </c>
      <c r="G19" s="7">
        <f t="shared" si="9"/>
        <v>238.67373702943155</v>
      </c>
      <c r="H19" s="7">
        <f t="shared" si="9"/>
        <v>366.32981962481972</v>
      </c>
      <c r="I19" s="7">
        <f t="shared" si="9"/>
        <v>333.85164217983669</v>
      </c>
      <c r="J19" s="7">
        <f t="shared" si="9"/>
        <v>333.24804788697332</v>
      </c>
      <c r="K19" s="35"/>
      <c r="L19" s="35"/>
      <c r="M19" s="35"/>
      <c r="N19" s="35"/>
      <c r="O19" s="35"/>
    </row>
    <row r="20" spans="2:15" ht="18" customHeight="1" x14ac:dyDescent="0.25">
      <c r="B20" s="19" t="s">
        <v>22</v>
      </c>
      <c r="C20" s="51">
        <f t="shared" ref="C20:C21" si="10">SUM(D20:O20)</f>
        <v>115779902158</v>
      </c>
      <c r="D20" s="36">
        <v>16137807630</v>
      </c>
      <c r="E20" s="36">
        <v>17543648380.5</v>
      </c>
      <c r="F20" s="36">
        <v>20240909913.5</v>
      </c>
      <c r="G20" s="37">
        <v>13066217764</v>
      </c>
      <c r="H20" s="36">
        <v>19789186638.5</v>
      </c>
      <c r="I20" s="35">
        <v>14913355852</v>
      </c>
      <c r="J20" s="35">
        <v>14088775979.5</v>
      </c>
      <c r="K20" s="35"/>
      <c r="L20" s="35"/>
      <c r="M20" s="35"/>
      <c r="N20" s="35"/>
      <c r="O20" s="35"/>
    </row>
    <row r="21" spans="2:15" ht="18" customHeight="1" x14ac:dyDescent="0.25">
      <c r="B21" s="19" t="s">
        <v>23</v>
      </c>
      <c r="C21" s="51">
        <f t="shared" si="10"/>
        <v>123278</v>
      </c>
      <c r="D21" s="36">
        <v>15876</v>
      </c>
      <c r="E21" s="36">
        <v>17908</v>
      </c>
      <c r="F21" s="36">
        <v>21946</v>
      </c>
      <c r="G21" s="37">
        <v>13516</v>
      </c>
      <c r="H21" s="36">
        <v>20887</v>
      </c>
      <c r="I21" s="35">
        <v>17481</v>
      </c>
      <c r="J21" s="35">
        <v>15664</v>
      </c>
      <c r="K21" s="35"/>
      <c r="L21" s="35"/>
      <c r="M21" s="35"/>
      <c r="N21" s="35"/>
      <c r="O21" s="35"/>
    </row>
    <row r="22" spans="2:15" ht="18" customHeight="1" x14ac:dyDescent="0.25">
      <c r="B22" s="19" t="s">
        <v>20</v>
      </c>
      <c r="C22" s="48">
        <v>6.25E-2</v>
      </c>
      <c r="D22" s="8">
        <v>5.1999999999999998E-3</v>
      </c>
      <c r="E22" s="8">
        <v>5.1999999999999998E-3</v>
      </c>
      <c r="F22" s="8">
        <v>5.1999999999999998E-3</v>
      </c>
      <c r="G22" s="8">
        <v>5.1999999999999998E-3</v>
      </c>
      <c r="H22" s="8">
        <v>5.1999999999999998E-3</v>
      </c>
      <c r="I22" s="8">
        <v>5.1999999999999998E-3</v>
      </c>
      <c r="J22" s="8">
        <v>5.1999999999999998E-3</v>
      </c>
      <c r="K22" s="8"/>
      <c r="L22" s="8"/>
      <c r="M22" s="8"/>
      <c r="N22" s="8"/>
      <c r="O22" s="8"/>
    </row>
    <row r="23" spans="2:15" ht="18" customHeight="1" x14ac:dyDescent="0.25">
      <c r="B23" s="19" t="s">
        <v>9</v>
      </c>
      <c r="C23" s="51">
        <f t="shared" ref="C23" si="11">SUM(D23:O23)</f>
        <v>608836974.80708337</v>
      </c>
      <c r="D23" s="10">
        <f>IF(ISERROR(D17*D22),0,D17*D22)</f>
        <v>113042649.61515024</v>
      </c>
      <c r="E23" s="10">
        <f t="shared" ref="E23:J23" si="12">IF(ISERROR(E17*E22),0,E17*E22)</f>
        <v>97983646.084346026</v>
      </c>
      <c r="F23" s="10">
        <f t="shared" si="12"/>
        <v>91065333.17850475</v>
      </c>
      <c r="G23" s="10">
        <f t="shared" si="12"/>
        <v>66830000.415964477</v>
      </c>
      <c r="H23" s="10">
        <f t="shared" si="12"/>
        <v>82155960.523768574</v>
      </c>
      <c r="I23" s="10">
        <f>IF(ISERROR(I17*I22),0,I17*I22)</f>
        <v>77225054.037984073</v>
      </c>
      <c r="J23" s="10">
        <f t="shared" si="12"/>
        <v>80534330.951365143</v>
      </c>
      <c r="K23" s="10"/>
      <c r="L23" s="10"/>
      <c r="M23" s="10"/>
      <c r="N23" s="10"/>
      <c r="O23" s="10"/>
    </row>
    <row r="24" spans="2:15" ht="18" customHeight="1" x14ac:dyDescent="0.25">
      <c r="B24" s="19" t="s">
        <v>24</v>
      </c>
      <c r="C24" s="52">
        <f>C23/C20</f>
        <v>5.2585722000026303E-3</v>
      </c>
      <c r="D24" s="11">
        <f>D23/D20</f>
        <v>7.0048331351406897E-3</v>
      </c>
      <c r="E24" s="11">
        <f t="shared" ref="E24:J24" si="13">E23/E20</f>
        <v>5.5851350847441836E-3</v>
      </c>
      <c r="F24" s="11">
        <f t="shared" si="13"/>
        <v>4.4990730934367368E-3</v>
      </c>
      <c r="G24" s="11">
        <f t="shared" si="13"/>
        <v>5.1147165632042559E-3</v>
      </c>
      <c r="H24" s="11">
        <f t="shared" si="13"/>
        <v>4.151558223415488E-3</v>
      </c>
      <c r="I24" s="11">
        <f t="shared" si="13"/>
        <v>5.1782479278550562E-3</v>
      </c>
      <c r="J24" s="11">
        <f t="shared" si="13"/>
        <v>5.716204947012242E-3</v>
      </c>
      <c r="K24" s="11"/>
      <c r="L24" s="11"/>
      <c r="M24" s="11"/>
      <c r="N24" s="11"/>
      <c r="O24" s="11"/>
    </row>
    <row r="25" spans="2:15" ht="18" customHeight="1" x14ac:dyDescent="0.25">
      <c r="B25" s="20" t="s">
        <v>32</v>
      </c>
      <c r="C25" s="53">
        <f>(C17/C20)*26</f>
        <v>26.292861000013147</v>
      </c>
      <c r="D25" s="21">
        <f>(D17/D20)*26</f>
        <v>35.024165675703451</v>
      </c>
      <c r="E25" s="21">
        <f t="shared" ref="E25:J25" si="14">(E17/E20)*26</f>
        <v>27.925675423720921</v>
      </c>
      <c r="F25" s="21">
        <f t="shared" si="14"/>
        <v>22.495365467183682</v>
      </c>
      <c r="G25" s="21">
        <f t="shared" si="14"/>
        <v>25.573582816021279</v>
      </c>
      <c r="H25" s="21">
        <f t="shared" si="14"/>
        <v>20.757791117077439</v>
      </c>
      <c r="I25" s="21">
        <f t="shared" si="14"/>
        <v>25.89123963927528</v>
      </c>
      <c r="J25" s="21">
        <f t="shared" si="14"/>
        <v>28.581024735061209</v>
      </c>
      <c r="K25" s="21"/>
      <c r="L25" s="21"/>
      <c r="M25" s="21"/>
      <c r="N25" s="21"/>
      <c r="O25" s="21"/>
    </row>
    <row r="27" spans="2:15" ht="18" customHeight="1" x14ac:dyDescent="0.25">
      <c r="D27" s="40" t="s">
        <v>38</v>
      </c>
      <c r="E27" s="40" t="s">
        <v>39</v>
      </c>
      <c r="F27" s="40" t="s">
        <v>40</v>
      </c>
      <c r="G27" s="40" t="s">
        <v>41</v>
      </c>
      <c r="H27" s="40" t="s">
        <v>26</v>
      </c>
      <c r="I27" s="40" t="s">
        <v>42</v>
      </c>
      <c r="J27" s="40" t="s">
        <v>43</v>
      </c>
      <c r="K27" s="40" t="s">
        <v>3</v>
      </c>
      <c r="L27" s="40" t="s">
        <v>4</v>
      </c>
      <c r="M27" s="40" t="s">
        <v>5</v>
      </c>
      <c r="N27" s="40" t="s">
        <v>6</v>
      </c>
      <c r="O27" s="40" t="s">
        <v>7</v>
      </c>
    </row>
    <row r="28" spans="2:15" ht="18" customHeight="1" x14ac:dyDescent="0.25">
      <c r="B28" s="58" t="s">
        <v>24</v>
      </c>
      <c r="C28" s="18" t="s">
        <v>48</v>
      </c>
      <c r="D28" s="41">
        <f>$C$10</f>
        <v>4.9878534573552765E-3</v>
      </c>
      <c r="E28" s="41">
        <f t="shared" ref="E28:J28" si="15">$C$10</f>
        <v>4.9878534573552765E-3</v>
      </c>
      <c r="F28" s="41">
        <f t="shared" si="15"/>
        <v>4.9878534573552765E-3</v>
      </c>
      <c r="G28" s="41">
        <f t="shared" si="15"/>
        <v>4.9878534573552765E-3</v>
      </c>
      <c r="H28" s="41">
        <f t="shared" si="15"/>
        <v>4.9878534573552765E-3</v>
      </c>
      <c r="I28" s="41">
        <f t="shared" si="15"/>
        <v>4.9878534573552765E-3</v>
      </c>
      <c r="J28" s="41">
        <f t="shared" si="15"/>
        <v>4.9878534573552765E-3</v>
      </c>
      <c r="K28" s="41"/>
      <c r="L28" s="41"/>
      <c r="M28" s="41"/>
      <c r="N28" s="41"/>
      <c r="O28" s="41"/>
    </row>
    <row r="29" spans="2:15" ht="18" customHeight="1" x14ac:dyDescent="0.25">
      <c r="B29" s="58"/>
      <c r="C29" s="18" t="s">
        <v>34</v>
      </c>
      <c r="D29" s="41">
        <f t="shared" ref="D29:J29" si="16">D24</f>
        <v>7.0048331351406897E-3</v>
      </c>
      <c r="E29" s="41">
        <f t="shared" si="16"/>
        <v>5.5851350847441836E-3</v>
      </c>
      <c r="F29" s="41">
        <f t="shared" si="16"/>
        <v>4.4990730934367368E-3</v>
      </c>
      <c r="G29" s="41">
        <f t="shared" si="16"/>
        <v>5.1147165632042559E-3</v>
      </c>
      <c r="H29" s="41">
        <f t="shared" si="16"/>
        <v>4.151558223415488E-3</v>
      </c>
      <c r="I29" s="41">
        <f t="shared" si="16"/>
        <v>5.1782479278550562E-3</v>
      </c>
      <c r="J29" s="41">
        <f t="shared" si="16"/>
        <v>5.716204947012242E-3</v>
      </c>
      <c r="K29" s="41"/>
      <c r="L29" s="41"/>
      <c r="M29" s="41"/>
      <c r="N29" s="41"/>
      <c r="O29" s="41"/>
    </row>
    <row r="30" spans="2:15" ht="18" customHeight="1" x14ac:dyDescent="0.25">
      <c r="B30" s="58"/>
      <c r="C30" s="18" t="s">
        <v>49</v>
      </c>
      <c r="D30" s="42" t="str">
        <f>IF(D29&lt;D28,"Achieve","Not Achieve")</f>
        <v>Not Achieve</v>
      </c>
      <c r="E30" s="42" t="str">
        <f t="shared" ref="E30:J30" si="17">IF(E29&lt;E28,"Achieve","Not Achieve")</f>
        <v>Not Achieve</v>
      </c>
      <c r="F30" s="42" t="str">
        <f t="shared" si="17"/>
        <v>Achieve</v>
      </c>
      <c r="G30" s="42" t="str">
        <f t="shared" si="17"/>
        <v>Not Achieve</v>
      </c>
      <c r="H30" s="42" t="str">
        <f t="shared" si="17"/>
        <v>Achieve</v>
      </c>
      <c r="I30" s="42" t="str">
        <f t="shared" si="17"/>
        <v>Not Achieve</v>
      </c>
      <c r="J30" s="42" t="str">
        <f t="shared" si="17"/>
        <v>Not Achieve</v>
      </c>
      <c r="K30" s="42"/>
      <c r="L30" s="42"/>
      <c r="M30" s="42"/>
      <c r="N30" s="42"/>
      <c r="O30" s="42"/>
    </row>
    <row r="31" spans="2:15" ht="18" customHeight="1" x14ac:dyDescent="0.25">
      <c r="B31" s="44"/>
      <c r="C31" s="45"/>
      <c r="D31" s="38"/>
      <c r="E31" s="38"/>
      <c r="F31" s="38"/>
      <c r="G31" s="38"/>
      <c r="H31" s="38"/>
      <c r="I31" s="38"/>
      <c r="J31" s="38"/>
      <c r="K31" s="2"/>
      <c r="L31" s="2"/>
      <c r="M31" s="2"/>
      <c r="N31" s="2"/>
      <c r="O31" s="2"/>
    </row>
    <row r="32" spans="2:15" ht="18" customHeight="1" x14ac:dyDescent="0.25">
      <c r="B32" s="45"/>
      <c r="C32" s="45"/>
      <c r="D32" s="40" t="s">
        <v>10</v>
      </c>
      <c r="E32" s="40" t="s">
        <v>11</v>
      </c>
      <c r="F32" s="40" t="s">
        <v>12</v>
      </c>
      <c r="G32" s="40" t="s">
        <v>13</v>
      </c>
      <c r="H32" s="40" t="s">
        <v>14</v>
      </c>
      <c r="I32" s="40" t="s">
        <v>15</v>
      </c>
      <c r="J32" s="40" t="s">
        <v>2</v>
      </c>
      <c r="K32" s="40" t="s">
        <v>3</v>
      </c>
      <c r="L32" s="40" t="s">
        <v>4</v>
      </c>
      <c r="M32" s="40" t="s">
        <v>5</v>
      </c>
      <c r="N32" s="40" t="s">
        <v>6</v>
      </c>
      <c r="O32" s="40" t="s">
        <v>7</v>
      </c>
    </row>
    <row r="33" spans="2:15" ht="18" customHeight="1" x14ac:dyDescent="0.25">
      <c r="B33" s="58" t="s">
        <v>47</v>
      </c>
      <c r="C33" s="18" t="s">
        <v>37</v>
      </c>
      <c r="D33" s="43">
        <f>$C$11</f>
        <v>24.899364459117542</v>
      </c>
      <c r="E33" s="43">
        <f t="shared" ref="E33:J33" si="18">$C$11</f>
        <v>24.899364459117542</v>
      </c>
      <c r="F33" s="43">
        <f t="shared" si="18"/>
        <v>24.899364459117542</v>
      </c>
      <c r="G33" s="43">
        <f t="shared" si="18"/>
        <v>24.899364459117542</v>
      </c>
      <c r="H33" s="43">
        <f t="shared" si="18"/>
        <v>24.899364459117542</v>
      </c>
      <c r="I33" s="43">
        <f t="shared" si="18"/>
        <v>24.899364459117542</v>
      </c>
      <c r="J33" s="43">
        <f t="shared" si="18"/>
        <v>24.899364459117542</v>
      </c>
      <c r="K33" s="43"/>
      <c r="L33" s="43"/>
      <c r="M33" s="43"/>
      <c r="N33" s="43"/>
      <c r="O33" s="43"/>
    </row>
    <row r="34" spans="2:15" ht="18" customHeight="1" x14ac:dyDescent="0.25">
      <c r="B34" s="58"/>
      <c r="C34" s="18" t="s">
        <v>34</v>
      </c>
      <c r="D34" s="43">
        <f>D25</f>
        <v>35.024165675703451</v>
      </c>
      <c r="E34" s="43">
        <f t="shared" ref="E34:J34" si="19">E25</f>
        <v>27.925675423720921</v>
      </c>
      <c r="F34" s="43">
        <f t="shared" si="19"/>
        <v>22.495365467183682</v>
      </c>
      <c r="G34" s="43">
        <f t="shared" si="19"/>
        <v>25.573582816021279</v>
      </c>
      <c r="H34" s="43">
        <f t="shared" si="19"/>
        <v>20.757791117077439</v>
      </c>
      <c r="I34" s="43">
        <f t="shared" si="19"/>
        <v>25.89123963927528</v>
      </c>
      <c r="J34" s="43">
        <f t="shared" si="19"/>
        <v>28.581024735061209</v>
      </c>
      <c r="K34" s="43"/>
      <c r="L34" s="43"/>
      <c r="M34" s="43"/>
      <c r="N34" s="43"/>
      <c r="O34" s="43"/>
    </row>
    <row r="35" spans="2:15" ht="18" customHeight="1" x14ac:dyDescent="0.25">
      <c r="B35" s="58"/>
      <c r="C35" s="18" t="s">
        <v>50</v>
      </c>
      <c r="D35" s="42" t="str">
        <f>IF(D34&lt;D33,"Achieve","Not Achieve")</f>
        <v>Not Achieve</v>
      </c>
      <c r="E35" s="42" t="str">
        <f t="shared" ref="E35:J35" si="20">IF(E34&lt;E33,"Achieve","Not Achieve")</f>
        <v>Not Achieve</v>
      </c>
      <c r="F35" s="42" t="str">
        <f t="shared" si="20"/>
        <v>Achieve</v>
      </c>
      <c r="G35" s="42" t="str">
        <f t="shared" si="20"/>
        <v>Not Achieve</v>
      </c>
      <c r="H35" s="42" t="str">
        <f t="shared" si="20"/>
        <v>Achieve</v>
      </c>
      <c r="I35" s="42" t="str">
        <f t="shared" si="20"/>
        <v>Not Achieve</v>
      </c>
      <c r="J35" s="42" t="str">
        <f t="shared" si="20"/>
        <v>Not Achieve</v>
      </c>
      <c r="K35" s="42"/>
      <c r="L35" s="42"/>
      <c r="M35" s="42"/>
      <c r="N35" s="42"/>
      <c r="O35" s="42"/>
    </row>
  </sheetData>
  <mergeCells count="6">
    <mergeCell ref="B28:B30"/>
    <mergeCell ref="B33:B35"/>
    <mergeCell ref="B1:C1"/>
    <mergeCell ref="C2:O2"/>
    <mergeCell ref="C15:O15"/>
    <mergeCell ref="B14:C14"/>
  </mergeCells>
  <pageMargins left="0.7" right="0.7" top="0.75" bottom="0.75" header="0.3" footer="0.3"/>
  <pageSetup paperSize="14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KARTON</vt:lpstr>
      <vt:lpstr>PLASTIK</vt:lpstr>
    </vt:vector>
  </TitlesOfParts>
  <Company>PT. Santos Jaya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PPIC6</dc:creator>
  <cp:lastModifiedBy>MT07</cp:lastModifiedBy>
  <dcterms:created xsi:type="dcterms:W3CDTF">2023-05-16T01:31:34Z</dcterms:created>
  <dcterms:modified xsi:type="dcterms:W3CDTF">2024-09-06T04:27:01Z</dcterms:modified>
</cp:coreProperties>
</file>