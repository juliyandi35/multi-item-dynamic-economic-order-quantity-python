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07\Downloads\DATA\DATA BARU\"/>
    </mc:Choice>
  </mc:AlternateContent>
  <xr:revisionPtr revIDLastSave="0" documentId="13_ncr:1_{700E1413-3CC5-4057-BD90-A6D080F8C1C4}" xr6:coauthVersionLast="36" xr6:coauthVersionMax="36" xr10:uidLastSave="{00000000-0000-0000-0000-000000000000}"/>
  <bookViews>
    <workbookView xWindow="0" yWindow="0" windowWidth="20490" windowHeight="7425" activeTab="7" xr2:uid="{ACB00E0A-FCD7-4EC8-920F-2F15AFC0D1D9}"/>
  </bookViews>
  <sheets>
    <sheet name="Jan" sheetId="1" r:id="rId1"/>
    <sheet name="Feb" sheetId="2" r:id="rId2"/>
    <sheet name="Mar" sheetId="4" r:id="rId3"/>
    <sheet name="Apr" sheetId="5" r:id="rId4"/>
    <sheet name="Mei" sheetId="6" r:id="rId5"/>
    <sheet name="Juni" sheetId="7" r:id="rId6"/>
    <sheet name="Juli" sheetId="17" r:id="rId7"/>
    <sheet name="Aug" sheetId="20" r:id="rId8"/>
    <sheet name="Reject" sheetId="18" r:id="rId9"/>
  </sheets>
  <definedNames>
    <definedName name="_xlnm._FilterDatabase" localSheetId="3" hidden="1">Apr!$A$1:$S$167</definedName>
    <definedName name="_xlnm._FilterDatabase" localSheetId="1" hidden="1">Feb!$A$1:$S$181</definedName>
    <definedName name="_xlnm._FilterDatabase" localSheetId="0" hidden="1">Jan!$A$1:$S$145</definedName>
    <definedName name="_xlnm._FilterDatabase" localSheetId="6" hidden="1">Juli!$A$1:$O$159</definedName>
    <definedName name="_xlnm._FilterDatabase" localSheetId="5" hidden="1">Juni!$A$1:$S$169</definedName>
    <definedName name="_xlnm._FilterDatabase" localSheetId="2" hidden="1">Mar!$A$1:$S$168</definedName>
    <definedName name="_xlnm._FilterDatabase" localSheetId="4" hidden="1">Mei!$A$1:$S$169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2" i="2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2" i="4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2" i="5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2" i="6"/>
  <c r="K160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2" i="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2" i="17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2" i="20"/>
  <c r="S3" i="20"/>
  <c r="S4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145" i="20"/>
  <c r="S146" i="20"/>
  <c r="S147" i="20"/>
  <c r="S148" i="20"/>
  <c r="S149" i="20"/>
  <c r="S150" i="20"/>
  <c r="S151" i="20"/>
  <c r="S152" i="20"/>
  <c r="S153" i="20"/>
  <c r="S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2" i="20"/>
  <c r="S154" i="20" l="1"/>
  <c r="R154" i="20"/>
  <c r="R159" i="20" l="1"/>
  <c r="R157" i="20"/>
  <c r="B2" i="18" l="1"/>
  <c r="B3" i="18"/>
  <c r="B4" i="18" l="1"/>
  <c r="D9" i="18" l="1"/>
  <c r="B5" i="18"/>
  <c r="B8" i="18" l="1"/>
  <c r="B6" i="18" l="1"/>
  <c r="B7" i="18" l="1"/>
  <c r="E8" i="18" l="1"/>
  <c r="E2" i="18"/>
  <c r="E3" i="18"/>
  <c r="E4" i="18"/>
  <c r="E5" i="18"/>
  <c r="E6" i="18"/>
  <c r="E7" i="18"/>
  <c r="B9" i="18"/>
  <c r="E9" i="18" s="1"/>
  <c r="A3" i="18"/>
  <c r="A2" i="18"/>
  <c r="A4" i="18"/>
  <c r="A5" i="18"/>
  <c r="A6" i="18"/>
  <c r="A7" i="18"/>
  <c r="A8" i="18"/>
  <c r="M146" i="1"/>
  <c r="O160" i="17" l="1"/>
  <c r="E160" i="17"/>
  <c r="M160" i="17"/>
  <c r="L160" i="17"/>
  <c r="J160" i="17"/>
  <c r="I160" i="17"/>
  <c r="H160" i="17"/>
  <c r="G160" i="17"/>
  <c r="F160" i="17"/>
  <c r="R107" i="17"/>
  <c r="R103" i="17"/>
  <c r="S159" i="17"/>
  <c r="R159" i="17"/>
  <c r="S158" i="17"/>
  <c r="R158" i="17"/>
  <c r="S157" i="17"/>
  <c r="R157" i="17"/>
  <c r="S156" i="17"/>
  <c r="R156" i="17"/>
  <c r="S155" i="17"/>
  <c r="R155" i="17"/>
  <c r="S154" i="17"/>
  <c r="R154" i="17"/>
  <c r="S153" i="17"/>
  <c r="R153" i="17"/>
  <c r="S152" i="17"/>
  <c r="R152" i="17"/>
  <c r="S151" i="17"/>
  <c r="R151" i="17"/>
  <c r="S150" i="17"/>
  <c r="R150" i="17"/>
  <c r="S149" i="17"/>
  <c r="R149" i="17"/>
  <c r="S148" i="17"/>
  <c r="R148" i="17"/>
  <c r="S147" i="17"/>
  <c r="R147" i="17"/>
  <c r="S146" i="17"/>
  <c r="R146" i="17"/>
  <c r="S145" i="17"/>
  <c r="R145" i="17"/>
  <c r="S144" i="17"/>
  <c r="R144" i="17"/>
  <c r="S143" i="17"/>
  <c r="R143" i="17"/>
  <c r="S142" i="17"/>
  <c r="R142" i="17"/>
  <c r="S141" i="17"/>
  <c r="R141" i="17"/>
  <c r="S140" i="17"/>
  <c r="R140" i="17"/>
  <c r="S139" i="17"/>
  <c r="R139" i="17"/>
  <c r="S138" i="17"/>
  <c r="R138" i="17"/>
  <c r="S137" i="17"/>
  <c r="R137" i="17"/>
  <c r="S136" i="17"/>
  <c r="R136" i="17"/>
  <c r="S135" i="17"/>
  <c r="R135" i="17"/>
  <c r="S134" i="17"/>
  <c r="R134" i="17"/>
  <c r="S133" i="17"/>
  <c r="R133" i="17"/>
  <c r="S132" i="17"/>
  <c r="R132" i="17"/>
  <c r="S131" i="17"/>
  <c r="R131" i="17"/>
  <c r="S130" i="17"/>
  <c r="R130" i="17"/>
  <c r="S129" i="17"/>
  <c r="R129" i="17"/>
  <c r="S128" i="17"/>
  <c r="R128" i="17"/>
  <c r="S127" i="17"/>
  <c r="R127" i="17"/>
  <c r="S126" i="17"/>
  <c r="R126" i="17"/>
  <c r="S125" i="17"/>
  <c r="R125" i="17"/>
  <c r="S124" i="17"/>
  <c r="R124" i="17"/>
  <c r="S123" i="17"/>
  <c r="R123" i="17"/>
  <c r="S122" i="17"/>
  <c r="R122" i="17"/>
  <c r="S121" i="17"/>
  <c r="R121" i="17"/>
  <c r="S120" i="17"/>
  <c r="R120" i="17"/>
  <c r="S119" i="17"/>
  <c r="R119" i="17"/>
  <c r="S118" i="17"/>
  <c r="R118" i="17"/>
  <c r="S117" i="17"/>
  <c r="R117" i="17"/>
  <c r="S116" i="17"/>
  <c r="R116" i="17"/>
  <c r="S115" i="17"/>
  <c r="R115" i="17"/>
  <c r="S114" i="17"/>
  <c r="R114" i="17"/>
  <c r="S113" i="17"/>
  <c r="R113" i="17"/>
  <c r="S112" i="17"/>
  <c r="R112" i="17"/>
  <c r="S111" i="17"/>
  <c r="R111" i="17"/>
  <c r="S110" i="17"/>
  <c r="R110" i="17"/>
  <c r="S109" i="17"/>
  <c r="R109" i="17"/>
  <c r="S108" i="17"/>
  <c r="R108" i="17"/>
  <c r="S107" i="17"/>
  <c r="S106" i="17"/>
  <c r="R106" i="17"/>
  <c r="S105" i="17"/>
  <c r="R105" i="17"/>
  <c r="S104" i="17"/>
  <c r="R104" i="17"/>
  <c r="S103" i="17"/>
  <c r="S102" i="17"/>
  <c r="R102" i="17"/>
  <c r="S101" i="17"/>
  <c r="R101" i="17"/>
  <c r="S100" i="17"/>
  <c r="R100" i="17"/>
  <c r="S99" i="17"/>
  <c r="R99" i="17"/>
  <c r="S98" i="17"/>
  <c r="R98" i="17"/>
  <c r="S97" i="17"/>
  <c r="R97" i="17"/>
  <c r="S96" i="17"/>
  <c r="R96" i="17"/>
  <c r="S95" i="17"/>
  <c r="R95" i="17"/>
  <c r="S94" i="17"/>
  <c r="R94" i="17"/>
  <c r="S93" i="17"/>
  <c r="R93" i="17"/>
  <c r="S92" i="17"/>
  <c r="R92" i="17"/>
  <c r="S91" i="17"/>
  <c r="R91" i="17"/>
  <c r="S90" i="17"/>
  <c r="R90" i="17"/>
  <c r="S89" i="17"/>
  <c r="R89" i="17"/>
  <c r="S88" i="17"/>
  <c r="R88" i="17"/>
  <c r="S87" i="17"/>
  <c r="R87" i="17"/>
  <c r="S86" i="17"/>
  <c r="R86" i="17"/>
  <c r="S85" i="17"/>
  <c r="R85" i="17"/>
  <c r="S84" i="17"/>
  <c r="R84" i="17"/>
  <c r="S83" i="17"/>
  <c r="R83" i="17"/>
  <c r="S82" i="17"/>
  <c r="R82" i="17"/>
  <c r="S81" i="17"/>
  <c r="R81" i="17"/>
  <c r="S80" i="17"/>
  <c r="R80" i="17"/>
  <c r="S79" i="17"/>
  <c r="R79" i="17"/>
  <c r="S78" i="17"/>
  <c r="R78" i="17"/>
  <c r="S77" i="17"/>
  <c r="R77" i="17"/>
  <c r="S76" i="17"/>
  <c r="R76" i="17"/>
  <c r="S75" i="17"/>
  <c r="R75" i="17"/>
  <c r="S74" i="17"/>
  <c r="R74" i="17"/>
  <c r="S73" i="17"/>
  <c r="R73" i="17"/>
  <c r="S72" i="17"/>
  <c r="R72" i="17"/>
  <c r="S71" i="17"/>
  <c r="R71" i="17"/>
  <c r="S70" i="17"/>
  <c r="R70" i="17"/>
  <c r="S69" i="17"/>
  <c r="R69" i="17"/>
  <c r="S68" i="17"/>
  <c r="R68" i="17"/>
  <c r="S67" i="17"/>
  <c r="R67" i="17"/>
  <c r="S66" i="17"/>
  <c r="R66" i="17"/>
  <c r="S65" i="17"/>
  <c r="R65" i="17"/>
  <c r="S64" i="17"/>
  <c r="R64" i="17"/>
  <c r="S63" i="17"/>
  <c r="R63" i="17"/>
  <c r="S62" i="17"/>
  <c r="R62" i="17"/>
  <c r="S61" i="17"/>
  <c r="R61" i="17"/>
  <c r="S60" i="17"/>
  <c r="R60" i="17"/>
  <c r="S59" i="17"/>
  <c r="R59" i="17"/>
  <c r="S58" i="17"/>
  <c r="R58" i="17"/>
  <c r="S57" i="17"/>
  <c r="R57" i="17"/>
  <c r="S56" i="17"/>
  <c r="R56" i="17"/>
  <c r="S55" i="17"/>
  <c r="R55" i="17"/>
  <c r="S54" i="17"/>
  <c r="R54" i="17"/>
  <c r="S53" i="17"/>
  <c r="R53" i="17"/>
  <c r="S52" i="17"/>
  <c r="R52" i="17"/>
  <c r="S51" i="17"/>
  <c r="R51" i="17"/>
  <c r="S50" i="17"/>
  <c r="R50" i="17"/>
  <c r="S49" i="17"/>
  <c r="R49" i="17"/>
  <c r="S48" i="17"/>
  <c r="R48" i="17"/>
  <c r="S47" i="17"/>
  <c r="R47" i="17"/>
  <c r="S46" i="17"/>
  <c r="R46" i="17"/>
  <c r="S45" i="17"/>
  <c r="R45" i="17"/>
  <c r="S44" i="17"/>
  <c r="R44" i="17"/>
  <c r="S43" i="17"/>
  <c r="R43" i="17"/>
  <c r="S42" i="17"/>
  <c r="R42" i="17"/>
  <c r="S41" i="17"/>
  <c r="R41" i="17"/>
  <c r="S40" i="17"/>
  <c r="R40" i="17"/>
  <c r="S39" i="17"/>
  <c r="R39" i="17"/>
  <c r="S38" i="17"/>
  <c r="R38" i="17"/>
  <c r="S37" i="17"/>
  <c r="R37" i="17"/>
  <c r="S36" i="17"/>
  <c r="R36" i="17"/>
  <c r="S35" i="17"/>
  <c r="R35" i="17"/>
  <c r="S34" i="17"/>
  <c r="R34" i="17"/>
  <c r="S33" i="17"/>
  <c r="R33" i="17"/>
  <c r="S32" i="17"/>
  <c r="R32" i="17"/>
  <c r="S31" i="17"/>
  <c r="R31" i="17"/>
  <c r="S30" i="17"/>
  <c r="R30" i="17"/>
  <c r="S29" i="17"/>
  <c r="R29" i="17"/>
  <c r="S28" i="17"/>
  <c r="R28" i="17"/>
  <c r="S27" i="17"/>
  <c r="R27" i="17"/>
  <c r="S26" i="17"/>
  <c r="R26" i="17"/>
  <c r="S25" i="17"/>
  <c r="R25" i="17"/>
  <c r="S24" i="17"/>
  <c r="R24" i="17"/>
  <c r="S23" i="17"/>
  <c r="R23" i="17"/>
  <c r="S22" i="17"/>
  <c r="R22" i="17"/>
  <c r="S21" i="17"/>
  <c r="R21" i="17"/>
  <c r="S20" i="17"/>
  <c r="R20" i="17"/>
  <c r="S19" i="17"/>
  <c r="R19" i="17"/>
  <c r="S18" i="17"/>
  <c r="R18" i="17"/>
  <c r="S17" i="17"/>
  <c r="R17" i="17"/>
  <c r="S16" i="17"/>
  <c r="R16" i="17"/>
  <c r="S15" i="17"/>
  <c r="R15" i="17"/>
  <c r="S14" i="17"/>
  <c r="R14" i="17"/>
  <c r="S13" i="17"/>
  <c r="R13" i="17"/>
  <c r="S12" i="17"/>
  <c r="R12" i="17"/>
  <c r="S11" i="17"/>
  <c r="R11" i="17"/>
  <c r="S10" i="17"/>
  <c r="R10" i="17"/>
  <c r="S9" i="17"/>
  <c r="R9" i="17"/>
  <c r="S8" i="17"/>
  <c r="R8" i="17"/>
  <c r="S7" i="17"/>
  <c r="R7" i="17"/>
  <c r="S6" i="17"/>
  <c r="R6" i="17"/>
  <c r="S5" i="17"/>
  <c r="R5" i="17"/>
  <c r="S4" i="17"/>
  <c r="R4" i="17"/>
  <c r="S3" i="17"/>
  <c r="R3" i="17"/>
  <c r="S2" i="17"/>
  <c r="R2" i="17"/>
  <c r="F160" i="7"/>
  <c r="G160" i="7"/>
  <c r="H160" i="7"/>
  <c r="I160" i="7"/>
  <c r="J160" i="7"/>
  <c r="L160" i="7"/>
  <c r="M160" i="7"/>
  <c r="O160" i="7" s="1"/>
  <c r="E160" i="7"/>
  <c r="S3" i="7"/>
  <c r="S6" i="7"/>
  <c r="R7" i="7"/>
  <c r="S8" i="7"/>
  <c r="S9" i="7"/>
  <c r="S10" i="7"/>
  <c r="S11" i="7"/>
  <c r="S14" i="7"/>
  <c r="S15" i="7"/>
  <c r="S16" i="7"/>
  <c r="S17" i="7"/>
  <c r="S18" i="7"/>
  <c r="R19" i="7"/>
  <c r="S22" i="7"/>
  <c r="S24" i="7"/>
  <c r="S25" i="7"/>
  <c r="S26" i="7"/>
  <c r="S27" i="7"/>
  <c r="S30" i="7"/>
  <c r="S32" i="7"/>
  <c r="S33" i="7"/>
  <c r="S34" i="7"/>
  <c r="S35" i="7"/>
  <c r="S38" i="7"/>
  <c r="S39" i="7"/>
  <c r="S40" i="7"/>
  <c r="S41" i="7"/>
  <c r="S42" i="7"/>
  <c r="R43" i="7"/>
  <c r="S46" i="7"/>
  <c r="S47" i="7"/>
  <c r="S48" i="7"/>
  <c r="S49" i="7"/>
  <c r="S50" i="7"/>
  <c r="S51" i="7"/>
  <c r="S54" i="7"/>
  <c r="S55" i="7"/>
  <c r="S56" i="7"/>
  <c r="S57" i="7"/>
  <c r="S58" i="7"/>
  <c r="S59" i="7"/>
  <c r="S62" i="7"/>
  <c r="R63" i="7"/>
  <c r="S64" i="7"/>
  <c r="S65" i="7"/>
  <c r="S66" i="7"/>
  <c r="R67" i="7"/>
  <c r="S70" i="7"/>
  <c r="S72" i="7"/>
  <c r="S73" i="7"/>
  <c r="S74" i="7"/>
  <c r="S75" i="7"/>
  <c r="S78" i="7"/>
  <c r="S79" i="7"/>
  <c r="S80" i="7"/>
  <c r="S81" i="7"/>
  <c r="S82" i="7"/>
  <c r="R83" i="7"/>
  <c r="S86" i="7"/>
  <c r="S87" i="7"/>
  <c r="S88" i="7"/>
  <c r="S89" i="7"/>
  <c r="S90" i="7"/>
  <c r="S91" i="7"/>
  <c r="S94" i="7"/>
  <c r="S96" i="7"/>
  <c r="S97" i="7"/>
  <c r="S98" i="7"/>
  <c r="S99" i="7"/>
  <c r="S102" i="7"/>
  <c r="S103" i="7"/>
  <c r="S104" i="7"/>
  <c r="S105" i="7"/>
  <c r="S106" i="7"/>
  <c r="R107" i="7"/>
  <c r="S110" i="7"/>
  <c r="S111" i="7"/>
  <c r="S112" i="7"/>
  <c r="S113" i="7"/>
  <c r="S114" i="7"/>
  <c r="S115" i="7"/>
  <c r="S118" i="7"/>
  <c r="S119" i="7"/>
  <c r="S120" i="7"/>
  <c r="S121" i="7"/>
  <c r="S122" i="7"/>
  <c r="S123" i="7"/>
  <c r="S124" i="7"/>
  <c r="S126" i="7"/>
  <c r="R127" i="7"/>
  <c r="S128" i="7"/>
  <c r="S129" i="7"/>
  <c r="S130" i="7"/>
  <c r="R131" i="7"/>
  <c r="S134" i="7"/>
  <c r="R135" i="7"/>
  <c r="S136" i="7"/>
  <c r="S137" i="7"/>
  <c r="S138" i="7"/>
  <c r="S139" i="7"/>
  <c r="S142" i="7"/>
  <c r="S143" i="7"/>
  <c r="S144" i="7"/>
  <c r="S145" i="7"/>
  <c r="S146" i="7"/>
  <c r="S147" i="7"/>
  <c r="S149" i="7"/>
  <c r="S150" i="7"/>
  <c r="S152" i="7"/>
  <c r="S153" i="7"/>
  <c r="S154" i="7"/>
  <c r="S155" i="7"/>
  <c r="R156" i="7"/>
  <c r="R157" i="7"/>
  <c r="S158" i="7"/>
  <c r="S159" i="7"/>
  <c r="R159" i="7"/>
  <c r="S157" i="7"/>
  <c r="S156" i="7"/>
  <c r="S151" i="7"/>
  <c r="R151" i="7"/>
  <c r="R149" i="7"/>
  <c r="S148" i="7"/>
  <c r="R148" i="7"/>
  <c r="S141" i="7"/>
  <c r="R141" i="7"/>
  <c r="S140" i="7"/>
  <c r="R140" i="7"/>
  <c r="S135" i="7"/>
  <c r="S133" i="7"/>
  <c r="R133" i="7"/>
  <c r="S132" i="7"/>
  <c r="R132" i="7"/>
  <c r="R128" i="7"/>
  <c r="S127" i="7"/>
  <c r="S125" i="7"/>
  <c r="R125" i="7"/>
  <c r="S117" i="7"/>
  <c r="R117" i="7"/>
  <c r="S116" i="7"/>
  <c r="R116" i="7"/>
  <c r="S109" i="7"/>
  <c r="R109" i="7"/>
  <c r="S108" i="7"/>
  <c r="R108" i="7"/>
  <c r="R103" i="7"/>
  <c r="S101" i="7"/>
  <c r="R101" i="7"/>
  <c r="S100" i="7"/>
  <c r="R100" i="7"/>
  <c r="S95" i="7"/>
  <c r="R95" i="7"/>
  <c r="S93" i="7"/>
  <c r="R93" i="7"/>
  <c r="S92" i="7"/>
  <c r="R92" i="7"/>
  <c r="S85" i="7"/>
  <c r="R85" i="7"/>
  <c r="S84" i="7"/>
  <c r="R84" i="7"/>
  <c r="R80" i="7"/>
  <c r="S77" i="7"/>
  <c r="R77" i="7"/>
  <c r="S76" i="7"/>
  <c r="R76" i="7"/>
  <c r="R72" i="7"/>
  <c r="S71" i="7"/>
  <c r="R71" i="7"/>
  <c r="S69" i="7"/>
  <c r="R69" i="7"/>
  <c r="S68" i="7"/>
  <c r="R68" i="7"/>
  <c r="R64" i="7"/>
  <c r="S63" i="7"/>
  <c r="S61" i="7"/>
  <c r="R61" i="7"/>
  <c r="S60" i="7"/>
  <c r="R60" i="7"/>
  <c r="S53" i="7"/>
  <c r="R53" i="7"/>
  <c r="S52" i="7"/>
  <c r="R52" i="7"/>
  <c r="S45" i="7"/>
  <c r="R45" i="7"/>
  <c r="S44" i="7"/>
  <c r="R44" i="7"/>
  <c r="R39" i="7"/>
  <c r="S37" i="7"/>
  <c r="R37" i="7"/>
  <c r="S36" i="7"/>
  <c r="R36" i="7"/>
  <c r="S31" i="7"/>
  <c r="R31" i="7"/>
  <c r="S29" i="7"/>
  <c r="R29" i="7"/>
  <c r="S28" i="7"/>
  <c r="R28" i="7"/>
  <c r="S23" i="7"/>
  <c r="R23" i="7"/>
  <c r="S21" i="7"/>
  <c r="R21" i="7"/>
  <c r="S20" i="7"/>
  <c r="R20" i="7"/>
  <c r="R16" i="7"/>
  <c r="S13" i="7"/>
  <c r="R13" i="7"/>
  <c r="S12" i="7"/>
  <c r="R12" i="7"/>
  <c r="R8" i="7"/>
  <c r="S7" i="7"/>
  <c r="S5" i="7"/>
  <c r="R5" i="7"/>
  <c r="S4" i="7"/>
  <c r="R4" i="7"/>
  <c r="S2" i="7"/>
  <c r="R2" i="7"/>
  <c r="O161" i="6"/>
  <c r="F161" i="6"/>
  <c r="G161" i="6"/>
  <c r="H161" i="6"/>
  <c r="I161" i="6"/>
  <c r="J161" i="6"/>
  <c r="L161" i="6"/>
  <c r="M161" i="6"/>
  <c r="E161" i="6"/>
  <c r="O4" i="6"/>
  <c r="R2" i="6"/>
  <c r="R5" i="6"/>
  <c r="S6" i="6"/>
  <c r="S7" i="6"/>
  <c r="R9" i="6"/>
  <c r="R10" i="6"/>
  <c r="R13" i="6"/>
  <c r="S14" i="6"/>
  <c r="S15" i="6"/>
  <c r="R17" i="6"/>
  <c r="S18" i="6"/>
  <c r="R21" i="6"/>
  <c r="R22" i="6"/>
  <c r="R25" i="6"/>
  <c r="S26" i="6"/>
  <c r="R27" i="6"/>
  <c r="S28" i="6"/>
  <c r="R29" i="6"/>
  <c r="S31" i="6"/>
  <c r="R33" i="6"/>
  <c r="S34" i="6"/>
  <c r="R35" i="6"/>
  <c r="S36" i="6"/>
  <c r="R37" i="6"/>
  <c r="R39" i="6"/>
  <c r="R41" i="6"/>
  <c r="R42" i="6"/>
  <c r="S43" i="6"/>
  <c r="S44" i="6"/>
  <c r="R45" i="6"/>
  <c r="S46" i="6"/>
  <c r="S47" i="6"/>
  <c r="R49" i="6"/>
  <c r="S50" i="6"/>
  <c r="R51" i="6"/>
  <c r="S52" i="6"/>
  <c r="R53" i="6"/>
  <c r="S54" i="6"/>
  <c r="R55" i="6"/>
  <c r="R57" i="6"/>
  <c r="S58" i="6"/>
  <c r="S59" i="6"/>
  <c r="S60" i="6"/>
  <c r="R61" i="6"/>
  <c r="R62" i="6"/>
  <c r="R65" i="6"/>
  <c r="S66" i="6"/>
  <c r="S67" i="6"/>
  <c r="S68" i="6"/>
  <c r="R69" i="6"/>
  <c r="R73" i="6"/>
  <c r="S74" i="6"/>
  <c r="R75" i="6"/>
  <c r="S76" i="6"/>
  <c r="R77" i="6"/>
  <c r="S79" i="6"/>
  <c r="R81" i="6"/>
  <c r="S82" i="6"/>
  <c r="S83" i="6"/>
  <c r="S84" i="6"/>
  <c r="R85" i="6"/>
  <c r="S87" i="6"/>
  <c r="R89" i="6"/>
  <c r="S90" i="6"/>
  <c r="S91" i="6"/>
  <c r="R92" i="6"/>
  <c r="R93" i="6"/>
  <c r="S94" i="6"/>
  <c r="R95" i="6"/>
  <c r="R97" i="6"/>
  <c r="S98" i="6"/>
  <c r="S99" i="6"/>
  <c r="S100" i="6"/>
  <c r="R101" i="6"/>
  <c r="S102" i="6"/>
  <c r="R105" i="6"/>
  <c r="S106" i="6"/>
  <c r="R107" i="6"/>
  <c r="S108" i="6"/>
  <c r="R109" i="6"/>
  <c r="R113" i="6"/>
  <c r="S114" i="6"/>
  <c r="S115" i="6"/>
  <c r="S116" i="6"/>
  <c r="R117" i="6"/>
  <c r="S119" i="6"/>
  <c r="R121" i="6"/>
  <c r="S122" i="6"/>
  <c r="S123" i="6"/>
  <c r="S124" i="6"/>
  <c r="R125" i="6"/>
  <c r="R127" i="6"/>
  <c r="R129" i="6"/>
  <c r="S130" i="6"/>
  <c r="S131" i="6"/>
  <c r="R132" i="6"/>
  <c r="R133" i="6"/>
  <c r="R135" i="6"/>
  <c r="R137" i="6"/>
  <c r="R138" i="6"/>
  <c r="S139" i="6"/>
  <c r="S140" i="6"/>
  <c r="R141" i="6"/>
  <c r="S143" i="6"/>
  <c r="R145" i="6"/>
  <c r="S146" i="6"/>
  <c r="S147" i="6"/>
  <c r="S148" i="6"/>
  <c r="R149" i="6"/>
  <c r="R150" i="6"/>
  <c r="S151" i="6"/>
  <c r="R153" i="6"/>
  <c r="S154" i="6"/>
  <c r="S155" i="6"/>
  <c r="R156" i="6"/>
  <c r="R157" i="6"/>
  <c r="S158" i="6"/>
  <c r="S159" i="6"/>
  <c r="S2" i="6"/>
  <c r="R158" i="6"/>
  <c r="S142" i="6"/>
  <c r="R142" i="6"/>
  <c r="S134" i="6"/>
  <c r="R134" i="6"/>
  <c r="S126" i="6"/>
  <c r="R126" i="6"/>
  <c r="R123" i="6"/>
  <c r="R119" i="6"/>
  <c r="S118" i="6"/>
  <c r="R118" i="6"/>
  <c r="S111" i="6"/>
  <c r="R111" i="6"/>
  <c r="S110" i="6"/>
  <c r="R110" i="6"/>
  <c r="S103" i="6"/>
  <c r="R103" i="6"/>
  <c r="R99" i="6"/>
  <c r="S95" i="6"/>
  <c r="R91" i="6"/>
  <c r="S86" i="6"/>
  <c r="R86" i="6"/>
  <c r="S78" i="6"/>
  <c r="R78" i="6"/>
  <c r="S71" i="6"/>
  <c r="R71" i="6"/>
  <c r="S70" i="6"/>
  <c r="R70" i="6"/>
  <c r="S63" i="6"/>
  <c r="R63" i="6"/>
  <c r="S62" i="6"/>
  <c r="S57" i="6"/>
  <c r="S55" i="6"/>
  <c r="R46" i="6"/>
  <c r="S38" i="6"/>
  <c r="R38" i="6"/>
  <c r="S35" i="6"/>
  <c r="R31" i="6"/>
  <c r="S30" i="6"/>
  <c r="R30" i="6"/>
  <c r="S29" i="6"/>
  <c r="S23" i="6"/>
  <c r="R23" i="6"/>
  <c r="S22" i="6"/>
  <c r="S21" i="6"/>
  <c r="S20" i="6"/>
  <c r="R20" i="6"/>
  <c r="S19" i="6"/>
  <c r="R19" i="6"/>
  <c r="S13" i="6"/>
  <c r="S12" i="6"/>
  <c r="R12" i="6"/>
  <c r="S11" i="6"/>
  <c r="R11" i="6"/>
  <c r="S4" i="6"/>
  <c r="R4" i="6"/>
  <c r="S3" i="6"/>
  <c r="R3" i="6"/>
  <c r="O162" i="5"/>
  <c r="F162" i="5"/>
  <c r="G162" i="5"/>
  <c r="H162" i="5"/>
  <c r="I162" i="5"/>
  <c r="J162" i="5"/>
  <c r="L162" i="5"/>
  <c r="M162" i="5"/>
  <c r="E162" i="5"/>
  <c r="S5" i="5"/>
  <c r="S6" i="5"/>
  <c r="S7" i="5"/>
  <c r="S8" i="5"/>
  <c r="S9" i="5"/>
  <c r="S10" i="5"/>
  <c r="S13" i="5"/>
  <c r="R14" i="5"/>
  <c r="R15" i="5"/>
  <c r="S16" i="5"/>
  <c r="S17" i="5"/>
  <c r="S18" i="5"/>
  <c r="S21" i="5"/>
  <c r="S22" i="5"/>
  <c r="S23" i="5"/>
  <c r="S24" i="5"/>
  <c r="S25" i="5"/>
  <c r="S26" i="5"/>
  <c r="S29" i="5"/>
  <c r="R30" i="5"/>
  <c r="S31" i="5"/>
  <c r="S32" i="5"/>
  <c r="S33" i="5"/>
  <c r="S34" i="5"/>
  <c r="S37" i="5"/>
  <c r="S39" i="5"/>
  <c r="S40" i="5"/>
  <c r="S41" i="5"/>
  <c r="S42" i="5"/>
  <c r="S45" i="5"/>
  <c r="S47" i="5"/>
  <c r="S48" i="5"/>
  <c r="S49" i="5"/>
  <c r="S50" i="5"/>
  <c r="S53" i="5"/>
  <c r="S55" i="5"/>
  <c r="S56" i="5"/>
  <c r="S57" i="5"/>
  <c r="S58" i="5"/>
  <c r="S61" i="5"/>
  <c r="S63" i="5"/>
  <c r="S64" i="5"/>
  <c r="S65" i="5"/>
  <c r="S66" i="5"/>
  <c r="S69" i="5"/>
  <c r="S70" i="5"/>
  <c r="S71" i="5"/>
  <c r="R72" i="5"/>
  <c r="S73" i="5"/>
  <c r="S74" i="5"/>
  <c r="S77" i="5"/>
  <c r="S78" i="5"/>
  <c r="R79" i="5"/>
  <c r="S80" i="5"/>
  <c r="S81" i="5"/>
  <c r="S82" i="5"/>
  <c r="S85" i="5"/>
  <c r="S86" i="5"/>
  <c r="S88" i="5"/>
  <c r="S89" i="5"/>
  <c r="S90" i="5"/>
  <c r="S93" i="5"/>
  <c r="R94" i="5"/>
  <c r="R96" i="5"/>
  <c r="S97" i="5"/>
  <c r="S98" i="5"/>
  <c r="S101" i="5"/>
  <c r="S102" i="5"/>
  <c r="R104" i="5"/>
  <c r="S105" i="5"/>
  <c r="S106" i="5"/>
  <c r="S109" i="5"/>
  <c r="S110" i="5"/>
  <c r="S111" i="5"/>
  <c r="R112" i="5"/>
  <c r="S113" i="5"/>
  <c r="S114" i="5"/>
  <c r="S117" i="5"/>
  <c r="S118" i="5"/>
  <c r="S119" i="5"/>
  <c r="S120" i="5"/>
  <c r="S121" i="5"/>
  <c r="S122" i="5"/>
  <c r="S125" i="5"/>
  <c r="S127" i="5"/>
  <c r="S128" i="5"/>
  <c r="S129" i="5"/>
  <c r="S130" i="5"/>
  <c r="S131" i="5"/>
  <c r="S133" i="5"/>
  <c r="S134" i="5"/>
  <c r="S135" i="5"/>
  <c r="S136" i="5"/>
  <c r="S137" i="5"/>
  <c r="S138" i="5"/>
  <c r="S141" i="5"/>
  <c r="S142" i="5"/>
  <c r="R143" i="5"/>
  <c r="S144" i="5"/>
  <c r="S145" i="5"/>
  <c r="S146" i="5"/>
  <c r="S148" i="5"/>
  <c r="S149" i="5"/>
  <c r="S150" i="5"/>
  <c r="S151" i="5"/>
  <c r="S152" i="5"/>
  <c r="S153" i="5"/>
  <c r="S154" i="5"/>
  <c r="S155" i="5"/>
  <c r="S156" i="5"/>
  <c r="S157" i="5"/>
  <c r="S158" i="5"/>
  <c r="R159" i="5"/>
  <c r="R160" i="5"/>
  <c r="R161" i="5"/>
  <c r="S2" i="5"/>
  <c r="R156" i="5"/>
  <c r="R155" i="5"/>
  <c r="R151" i="5"/>
  <c r="R148" i="5"/>
  <c r="S147" i="5"/>
  <c r="R147" i="5"/>
  <c r="S140" i="5"/>
  <c r="R140" i="5"/>
  <c r="S139" i="5"/>
  <c r="R139" i="5"/>
  <c r="R134" i="5"/>
  <c r="S132" i="5"/>
  <c r="R132" i="5"/>
  <c r="R131" i="5"/>
  <c r="S126" i="5"/>
  <c r="R126" i="5"/>
  <c r="S124" i="5"/>
  <c r="R124" i="5"/>
  <c r="S123" i="5"/>
  <c r="R123" i="5"/>
  <c r="S116" i="5"/>
  <c r="R116" i="5"/>
  <c r="S115" i="5"/>
  <c r="R115" i="5"/>
  <c r="R111" i="5"/>
  <c r="S108" i="5"/>
  <c r="R108" i="5"/>
  <c r="S107" i="5"/>
  <c r="R107" i="5"/>
  <c r="S103" i="5"/>
  <c r="R103" i="5"/>
  <c r="S100" i="5"/>
  <c r="R100" i="5"/>
  <c r="S99" i="5"/>
  <c r="R99" i="5"/>
  <c r="S95" i="5"/>
  <c r="R95" i="5"/>
  <c r="S92" i="5"/>
  <c r="R92" i="5"/>
  <c r="S91" i="5"/>
  <c r="R91" i="5"/>
  <c r="S87" i="5"/>
  <c r="R87" i="5"/>
  <c r="S84" i="5"/>
  <c r="R84" i="5"/>
  <c r="S83" i="5"/>
  <c r="R83" i="5"/>
  <c r="S76" i="5"/>
  <c r="R76" i="5"/>
  <c r="S75" i="5"/>
  <c r="R75" i="5"/>
  <c r="S68" i="5"/>
  <c r="R68" i="5"/>
  <c r="S67" i="5"/>
  <c r="R67" i="5"/>
  <c r="S62" i="5"/>
  <c r="R62" i="5"/>
  <c r="S60" i="5"/>
  <c r="R60" i="5"/>
  <c r="S59" i="5"/>
  <c r="R59" i="5"/>
  <c r="S54" i="5"/>
  <c r="R54" i="5"/>
  <c r="S52" i="5"/>
  <c r="R52" i="5"/>
  <c r="S51" i="5"/>
  <c r="R51" i="5"/>
  <c r="S46" i="5"/>
  <c r="R46" i="5"/>
  <c r="S44" i="5"/>
  <c r="R44" i="5"/>
  <c r="S43" i="5"/>
  <c r="R43" i="5"/>
  <c r="S38" i="5"/>
  <c r="R38" i="5"/>
  <c r="S36" i="5"/>
  <c r="R36" i="5"/>
  <c r="S35" i="5"/>
  <c r="R35" i="5"/>
  <c r="S30" i="5"/>
  <c r="S28" i="5"/>
  <c r="R28" i="5"/>
  <c r="S27" i="5"/>
  <c r="R27" i="5"/>
  <c r="R22" i="5"/>
  <c r="S20" i="5"/>
  <c r="R20" i="5"/>
  <c r="S19" i="5"/>
  <c r="R19" i="5"/>
  <c r="S12" i="5"/>
  <c r="R12" i="5"/>
  <c r="S11" i="5"/>
  <c r="R11" i="5"/>
  <c r="R6" i="5"/>
  <c r="S4" i="5"/>
  <c r="R4" i="5"/>
  <c r="S3" i="5"/>
  <c r="R3" i="5"/>
  <c r="O159" i="4"/>
  <c r="F159" i="4"/>
  <c r="G159" i="4"/>
  <c r="H159" i="4"/>
  <c r="I159" i="4"/>
  <c r="J159" i="4"/>
  <c r="L159" i="4"/>
  <c r="M159" i="4"/>
  <c r="E159" i="4"/>
  <c r="F146" i="1"/>
  <c r="G146" i="1"/>
  <c r="H146" i="1"/>
  <c r="I146" i="1"/>
  <c r="J146" i="1"/>
  <c r="L146" i="1"/>
  <c r="O146" i="1"/>
  <c r="E146" i="1"/>
  <c r="R5" i="4"/>
  <c r="S6" i="4"/>
  <c r="S7" i="4"/>
  <c r="S8" i="4"/>
  <c r="R9" i="4"/>
  <c r="S10" i="4"/>
  <c r="R13" i="4"/>
  <c r="S14" i="4"/>
  <c r="S15" i="4"/>
  <c r="S16" i="4"/>
  <c r="R17" i="4"/>
  <c r="S18" i="4"/>
  <c r="R21" i="4"/>
  <c r="R22" i="4"/>
  <c r="S23" i="4"/>
  <c r="S24" i="4"/>
  <c r="R25" i="4"/>
  <c r="S26" i="4"/>
  <c r="R29" i="4"/>
  <c r="S31" i="4"/>
  <c r="S32" i="4"/>
  <c r="R33" i="4"/>
  <c r="S34" i="4"/>
  <c r="R35" i="4"/>
  <c r="R37" i="4"/>
  <c r="S39" i="4"/>
  <c r="S40" i="4"/>
  <c r="R41" i="4"/>
  <c r="S42" i="4"/>
  <c r="S43" i="4"/>
  <c r="R45" i="4"/>
  <c r="S47" i="4"/>
  <c r="S48" i="4"/>
  <c r="R49" i="4"/>
  <c r="S50" i="4"/>
  <c r="S51" i="4"/>
  <c r="R53" i="4"/>
  <c r="S55" i="4"/>
  <c r="S56" i="4"/>
  <c r="R57" i="4"/>
  <c r="S58" i="4"/>
  <c r="R59" i="4"/>
  <c r="R61" i="4"/>
  <c r="S62" i="4"/>
  <c r="S63" i="4"/>
  <c r="S64" i="4"/>
  <c r="R65" i="4"/>
  <c r="S66" i="4"/>
  <c r="R67" i="4"/>
  <c r="R69" i="4"/>
  <c r="S70" i="4"/>
  <c r="S71" i="4"/>
  <c r="S72" i="4"/>
  <c r="R73" i="4"/>
  <c r="S74" i="4"/>
  <c r="R75" i="4"/>
  <c r="R77" i="4"/>
  <c r="R78" i="4"/>
  <c r="S79" i="4"/>
  <c r="S80" i="4"/>
  <c r="R81" i="4"/>
  <c r="S82" i="4"/>
  <c r="S83" i="4"/>
  <c r="R85" i="4"/>
  <c r="S87" i="4"/>
  <c r="S88" i="4"/>
  <c r="R89" i="4"/>
  <c r="S90" i="4"/>
  <c r="R91" i="4"/>
  <c r="R93" i="4"/>
  <c r="S95" i="4"/>
  <c r="S96" i="4"/>
  <c r="R97" i="4"/>
  <c r="S98" i="4"/>
  <c r="S99" i="4"/>
  <c r="R101" i="4"/>
  <c r="S103" i="4"/>
  <c r="S104" i="4"/>
  <c r="R105" i="4"/>
  <c r="S106" i="4"/>
  <c r="R107" i="4"/>
  <c r="R109" i="4"/>
  <c r="S110" i="4"/>
  <c r="S111" i="4"/>
  <c r="S112" i="4"/>
  <c r="R113" i="4"/>
  <c r="S114" i="4"/>
  <c r="R115" i="4"/>
  <c r="R117" i="4"/>
  <c r="S118" i="4"/>
  <c r="S119" i="4"/>
  <c r="S120" i="4"/>
  <c r="R121" i="4"/>
  <c r="S122" i="4"/>
  <c r="S123" i="4"/>
  <c r="R125" i="4"/>
  <c r="R126" i="4"/>
  <c r="S127" i="4"/>
  <c r="S128" i="4"/>
  <c r="R129" i="4"/>
  <c r="S130" i="4"/>
  <c r="S131" i="4"/>
  <c r="R133" i="4"/>
  <c r="S135" i="4"/>
  <c r="S136" i="4"/>
  <c r="R137" i="4"/>
  <c r="S139" i="4"/>
  <c r="R141" i="4"/>
  <c r="S143" i="4"/>
  <c r="S144" i="4"/>
  <c r="R145" i="4"/>
  <c r="S147" i="4"/>
  <c r="R149" i="4"/>
  <c r="S151" i="4"/>
  <c r="S152" i="4"/>
  <c r="R153" i="4"/>
  <c r="S155" i="4"/>
  <c r="S156" i="4"/>
  <c r="R157" i="4"/>
  <c r="R2" i="4"/>
  <c r="S158" i="4"/>
  <c r="R158" i="4"/>
  <c r="S157" i="4"/>
  <c r="R156" i="4"/>
  <c r="S150" i="4"/>
  <c r="R150" i="4"/>
  <c r="S149" i="4"/>
  <c r="S148" i="4"/>
  <c r="R148" i="4"/>
  <c r="R143" i="4"/>
  <c r="S142" i="4"/>
  <c r="R142" i="4"/>
  <c r="S141" i="4"/>
  <c r="S140" i="4"/>
  <c r="R140" i="4"/>
  <c r="R135" i="4"/>
  <c r="S134" i="4"/>
  <c r="R134" i="4"/>
  <c r="S133" i="4"/>
  <c r="S132" i="4"/>
  <c r="R132" i="4"/>
  <c r="R127" i="4"/>
  <c r="S126" i="4"/>
  <c r="S125" i="4"/>
  <c r="S124" i="4"/>
  <c r="R124" i="4"/>
  <c r="S117" i="4"/>
  <c r="S116" i="4"/>
  <c r="R116" i="4"/>
  <c r="S115" i="4"/>
  <c r="R110" i="4"/>
  <c r="S109" i="4"/>
  <c r="S108" i="4"/>
  <c r="R108" i="4"/>
  <c r="S102" i="4"/>
  <c r="R102" i="4"/>
  <c r="S101" i="4"/>
  <c r="S100" i="4"/>
  <c r="R100" i="4"/>
  <c r="S94" i="4"/>
  <c r="R94" i="4"/>
  <c r="S93" i="4"/>
  <c r="S92" i="4"/>
  <c r="R92" i="4"/>
  <c r="R87" i="4"/>
  <c r="S86" i="4"/>
  <c r="R86" i="4"/>
  <c r="S85" i="4"/>
  <c r="S84" i="4"/>
  <c r="R84" i="4"/>
  <c r="R79" i="4"/>
  <c r="S78" i="4"/>
  <c r="S77" i="4"/>
  <c r="S76" i="4"/>
  <c r="R76" i="4"/>
  <c r="R71" i="4"/>
  <c r="S69" i="4"/>
  <c r="S68" i="4"/>
  <c r="R68" i="4"/>
  <c r="S61" i="4"/>
  <c r="S60" i="4"/>
  <c r="R60" i="4"/>
  <c r="S59" i="4"/>
  <c r="S54" i="4"/>
  <c r="R54" i="4"/>
  <c r="S53" i="4"/>
  <c r="S52" i="4"/>
  <c r="R52" i="4"/>
  <c r="R51" i="4"/>
  <c r="S46" i="4"/>
  <c r="R46" i="4"/>
  <c r="S45" i="4"/>
  <c r="S44" i="4"/>
  <c r="R44" i="4"/>
  <c r="R39" i="4"/>
  <c r="S38" i="4"/>
  <c r="R38" i="4"/>
  <c r="S37" i="4"/>
  <c r="S36" i="4"/>
  <c r="R36" i="4"/>
  <c r="R31" i="4"/>
  <c r="S30" i="4"/>
  <c r="R30" i="4"/>
  <c r="S29" i="4"/>
  <c r="S28" i="4"/>
  <c r="R28" i="4"/>
  <c r="S27" i="4"/>
  <c r="R27" i="4"/>
  <c r="S25" i="4"/>
  <c r="S21" i="4"/>
  <c r="S20" i="4"/>
  <c r="R20" i="4"/>
  <c r="S19" i="4"/>
  <c r="R19" i="4"/>
  <c r="S17" i="4"/>
  <c r="S13" i="4"/>
  <c r="S12" i="4"/>
  <c r="R12" i="4"/>
  <c r="S11" i="4"/>
  <c r="R11" i="4"/>
  <c r="R6" i="4"/>
  <c r="S5" i="4"/>
  <c r="S4" i="4"/>
  <c r="R4" i="4"/>
  <c r="S3" i="4"/>
  <c r="R3" i="4"/>
  <c r="S7" i="2"/>
  <c r="R7" i="2"/>
  <c r="F163" i="2"/>
  <c r="G163" i="2"/>
  <c r="H163" i="2"/>
  <c r="I163" i="2"/>
  <c r="J163" i="2"/>
  <c r="L163" i="2"/>
  <c r="M163" i="2"/>
  <c r="E163" i="2"/>
  <c r="R153" i="2"/>
  <c r="R146" i="2"/>
  <c r="R147" i="2"/>
  <c r="S147" i="2"/>
  <c r="S148" i="2"/>
  <c r="R149" i="2"/>
  <c r="S149" i="2"/>
  <c r="R150" i="2"/>
  <c r="S150" i="2"/>
  <c r="R151" i="2"/>
  <c r="R152" i="2"/>
  <c r="S152" i="2"/>
  <c r="S153" i="2"/>
  <c r="R154" i="2"/>
  <c r="R155" i="2"/>
  <c r="S155" i="2"/>
  <c r="S156" i="2"/>
  <c r="R157" i="2"/>
  <c r="S157" i="2"/>
  <c r="R158" i="2"/>
  <c r="S158" i="2"/>
  <c r="R159" i="2"/>
  <c r="R160" i="2"/>
  <c r="S160" i="2"/>
  <c r="R161" i="2"/>
  <c r="S161" i="2"/>
  <c r="R162" i="2"/>
  <c r="S79" i="2"/>
  <c r="S32" i="2"/>
  <c r="S24" i="2"/>
  <c r="S3" i="2"/>
  <c r="S4" i="2"/>
  <c r="S5" i="2"/>
  <c r="R6" i="2"/>
  <c r="S8" i="2"/>
  <c r="S9" i="2"/>
  <c r="S10" i="2"/>
  <c r="S11" i="2"/>
  <c r="S12" i="2"/>
  <c r="S13" i="2"/>
  <c r="R14" i="2"/>
  <c r="S15" i="2"/>
  <c r="S16" i="2"/>
  <c r="S17" i="2"/>
  <c r="R18" i="2"/>
  <c r="R19" i="2"/>
  <c r="S20" i="2"/>
  <c r="S21" i="2"/>
  <c r="R22" i="2"/>
  <c r="S23" i="2"/>
  <c r="S25" i="2"/>
  <c r="R26" i="2"/>
  <c r="S27" i="2"/>
  <c r="S28" i="2"/>
  <c r="S29" i="2"/>
  <c r="S30" i="2"/>
  <c r="S31" i="2"/>
  <c r="S33" i="2"/>
  <c r="S34" i="2"/>
  <c r="R35" i="2"/>
  <c r="S36" i="2"/>
  <c r="S37" i="2"/>
  <c r="S38" i="2"/>
  <c r="S39" i="2"/>
  <c r="S40" i="2"/>
  <c r="S41" i="2"/>
  <c r="S42" i="2"/>
  <c r="S44" i="2"/>
  <c r="S45" i="2"/>
  <c r="S46" i="2"/>
  <c r="S47" i="2"/>
  <c r="S48" i="2"/>
  <c r="S49" i="2"/>
  <c r="S50" i="2"/>
  <c r="R51" i="2"/>
  <c r="S52" i="2"/>
  <c r="S53" i="2"/>
  <c r="R54" i="2"/>
  <c r="S55" i="2"/>
  <c r="S56" i="2"/>
  <c r="S57" i="2"/>
  <c r="S58" i="2"/>
  <c r="S61" i="2"/>
  <c r="S62" i="2"/>
  <c r="S63" i="2"/>
  <c r="S64" i="2"/>
  <c r="S65" i="2"/>
  <c r="S66" i="2"/>
  <c r="R67" i="2"/>
  <c r="R68" i="2"/>
  <c r="S69" i="2"/>
  <c r="R70" i="2"/>
  <c r="S71" i="2"/>
  <c r="S72" i="2"/>
  <c r="S73" i="2"/>
  <c r="S74" i="2"/>
  <c r="S75" i="2"/>
  <c r="R76" i="2"/>
  <c r="S77" i="2"/>
  <c r="R78" i="2"/>
  <c r="S80" i="2"/>
  <c r="S81" i="2"/>
  <c r="S82" i="2"/>
  <c r="S83" i="2"/>
  <c r="R84" i="2"/>
  <c r="S85" i="2"/>
  <c r="S86" i="2"/>
  <c r="R87" i="2"/>
  <c r="S88" i="2"/>
  <c r="S89" i="2"/>
  <c r="S90" i="2"/>
  <c r="S91" i="2"/>
  <c r="S93" i="2"/>
  <c r="S94" i="2"/>
  <c r="R95" i="2"/>
  <c r="S96" i="2"/>
  <c r="S97" i="2"/>
  <c r="S98" i="2"/>
  <c r="S99" i="2"/>
  <c r="S100" i="2"/>
  <c r="S101" i="2"/>
  <c r="S102" i="2"/>
  <c r="R103" i="2"/>
  <c r="S104" i="2"/>
  <c r="S105" i="2"/>
  <c r="S106" i="2"/>
  <c r="S107" i="2"/>
  <c r="R108" i="2"/>
  <c r="S109" i="2"/>
  <c r="S110" i="2"/>
  <c r="R111" i="2"/>
  <c r="S112" i="2"/>
  <c r="S113" i="2"/>
  <c r="S114" i="2"/>
  <c r="S115" i="2"/>
  <c r="S116" i="2"/>
  <c r="S117" i="2"/>
  <c r="S118" i="2"/>
  <c r="R119" i="2"/>
  <c r="S120" i="2"/>
  <c r="S121" i="2"/>
  <c r="S122" i="2"/>
  <c r="S123" i="2"/>
  <c r="R124" i="2"/>
  <c r="S125" i="2"/>
  <c r="S126" i="2"/>
  <c r="R127" i="2"/>
  <c r="S128" i="2"/>
  <c r="S129" i="2"/>
  <c r="S130" i="2"/>
  <c r="S131" i="2"/>
  <c r="R132" i="2"/>
  <c r="S133" i="2"/>
  <c r="S134" i="2"/>
  <c r="R135" i="2"/>
  <c r="S136" i="2"/>
  <c r="S137" i="2"/>
  <c r="S138" i="2"/>
  <c r="S139" i="2"/>
  <c r="R140" i="2"/>
  <c r="S141" i="2"/>
  <c r="S142" i="2"/>
  <c r="R143" i="2"/>
  <c r="S144" i="2"/>
  <c r="S145" i="2"/>
  <c r="S2" i="2"/>
  <c r="R116" i="2"/>
  <c r="S108" i="2"/>
  <c r="S92" i="2"/>
  <c r="R92" i="2"/>
  <c r="R86" i="2"/>
  <c r="R82" i="2"/>
  <c r="S67" i="2"/>
  <c r="S60" i="2"/>
  <c r="R60" i="2"/>
  <c r="S59" i="2"/>
  <c r="R59" i="2"/>
  <c r="S51" i="2"/>
  <c r="R44" i="2"/>
  <c r="S43" i="2"/>
  <c r="R43" i="2"/>
  <c r="R36" i="2"/>
  <c r="S35" i="2"/>
  <c r="R160" i="17" l="1"/>
  <c r="S160" i="17"/>
  <c r="R163" i="17"/>
  <c r="R87" i="7"/>
  <c r="R124" i="7"/>
  <c r="R143" i="7"/>
  <c r="R152" i="7"/>
  <c r="S43" i="7"/>
  <c r="S107" i="7"/>
  <c r="R56" i="7"/>
  <c r="R120" i="7"/>
  <c r="R15" i="7"/>
  <c r="R79" i="7"/>
  <c r="R51" i="7"/>
  <c r="R115" i="7"/>
  <c r="R144" i="7"/>
  <c r="R59" i="7"/>
  <c r="R123" i="7"/>
  <c r="S67" i="7"/>
  <c r="S131" i="7"/>
  <c r="R147" i="7"/>
  <c r="S19" i="7"/>
  <c r="R27" i="7"/>
  <c r="R32" i="7"/>
  <c r="R47" i="7"/>
  <c r="S83" i="7"/>
  <c r="R91" i="7"/>
  <c r="R96" i="7"/>
  <c r="R111" i="7"/>
  <c r="R35" i="7"/>
  <c r="R40" i="7"/>
  <c r="R55" i="7"/>
  <c r="R99" i="7"/>
  <c r="R104" i="7"/>
  <c r="R119" i="7"/>
  <c r="R3" i="7"/>
  <c r="R139" i="7"/>
  <c r="R11" i="7"/>
  <c r="R75" i="7"/>
  <c r="R155" i="7"/>
  <c r="R24" i="7"/>
  <c r="R88" i="7"/>
  <c r="R48" i="7"/>
  <c r="R112" i="7"/>
  <c r="R136" i="7"/>
  <c r="R6" i="7"/>
  <c r="R10" i="7"/>
  <c r="R14" i="7"/>
  <c r="R18" i="7"/>
  <c r="R22" i="7"/>
  <c r="R26" i="7"/>
  <c r="R30" i="7"/>
  <c r="R34" i="7"/>
  <c r="R38" i="7"/>
  <c r="R42" i="7"/>
  <c r="R46" i="7"/>
  <c r="R50" i="7"/>
  <c r="R54" i="7"/>
  <c r="R58" i="7"/>
  <c r="R62" i="7"/>
  <c r="R66" i="7"/>
  <c r="R70" i="7"/>
  <c r="R74" i="7"/>
  <c r="R78" i="7"/>
  <c r="R82" i="7"/>
  <c r="R86" i="7"/>
  <c r="R90" i="7"/>
  <c r="R94" i="7"/>
  <c r="R98" i="7"/>
  <c r="R102" i="7"/>
  <c r="R106" i="7"/>
  <c r="R110" i="7"/>
  <c r="R114" i="7"/>
  <c r="R118" i="7"/>
  <c r="R122" i="7"/>
  <c r="R126" i="7"/>
  <c r="R130" i="7"/>
  <c r="R134" i="7"/>
  <c r="R138" i="7"/>
  <c r="R142" i="7"/>
  <c r="R146" i="7"/>
  <c r="R150" i="7"/>
  <c r="R154" i="7"/>
  <c r="R158" i="7"/>
  <c r="R9" i="7"/>
  <c r="R17" i="7"/>
  <c r="R25" i="7"/>
  <c r="R33" i="7"/>
  <c r="R41" i="7"/>
  <c r="R49" i="7"/>
  <c r="R57" i="7"/>
  <c r="R65" i="7"/>
  <c r="R73" i="7"/>
  <c r="R81" i="7"/>
  <c r="R89" i="7"/>
  <c r="R97" i="7"/>
  <c r="R105" i="7"/>
  <c r="R113" i="7"/>
  <c r="R121" i="7"/>
  <c r="R129" i="7"/>
  <c r="R137" i="7"/>
  <c r="R145" i="7"/>
  <c r="R153" i="7"/>
  <c r="R36" i="6"/>
  <c r="S77" i="6"/>
  <c r="R44" i="6"/>
  <c r="S107" i="6"/>
  <c r="S53" i="6"/>
  <c r="R124" i="6"/>
  <c r="S156" i="6"/>
  <c r="R115" i="6"/>
  <c r="S27" i="6"/>
  <c r="S132" i="6"/>
  <c r="S5" i="6"/>
  <c r="S161" i="6" s="1"/>
  <c r="R108" i="6"/>
  <c r="R15" i="6"/>
  <c r="S51" i="6"/>
  <c r="R60" i="6"/>
  <c r="R68" i="6"/>
  <c r="S75" i="6"/>
  <c r="R84" i="6"/>
  <c r="S92" i="6"/>
  <c r="R140" i="6"/>
  <c r="S149" i="6"/>
  <c r="R28" i="6"/>
  <c r="S133" i="6"/>
  <c r="S157" i="6"/>
  <c r="S45" i="6"/>
  <c r="R100" i="6"/>
  <c r="R116" i="6"/>
  <c r="R147" i="6"/>
  <c r="S37" i="6"/>
  <c r="R59" i="6"/>
  <c r="R67" i="6"/>
  <c r="R83" i="6"/>
  <c r="S109" i="6"/>
  <c r="S125" i="6"/>
  <c r="R148" i="6"/>
  <c r="S101" i="6"/>
  <c r="S117" i="6"/>
  <c r="R139" i="6"/>
  <c r="R6" i="6"/>
  <c r="R43" i="6"/>
  <c r="R52" i="6"/>
  <c r="R76" i="6"/>
  <c r="S93" i="6"/>
  <c r="R131" i="6"/>
  <c r="R155" i="6"/>
  <c r="S9" i="6"/>
  <c r="S61" i="6"/>
  <c r="S69" i="6"/>
  <c r="S85" i="6"/>
  <c r="S141" i="6"/>
  <c r="R79" i="6"/>
  <c r="S39" i="6"/>
  <c r="R54" i="6"/>
  <c r="R87" i="6"/>
  <c r="R94" i="6"/>
  <c r="S121" i="6"/>
  <c r="S127" i="6"/>
  <c r="S135" i="6"/>
  <c r="R143" i="6"/>
  <c r="S150" i="6"/>
  <c r="S105" i="6"/>
  <c r="R7" i="6"/>
  <c r="R161" i="6" s="1"/>
  <c r="R14" i="6"/>
  <c r="S41" i="6"/>
  <c r="R47" i="6"/>
  <c r="R102" i="6"/>
  <c r="S138" i="6"/>
  <c r="R151" i="6"/>
  <c r="R159" i="6"/>
  <c r="S25" i="6"/>
  <c r="S73" i="6"/>
  <c r="S89" i="6"/>
  <c r="S145" i="6"/>
  <c r="R26" i="6"/>
  <c r="R58" i="6"/>
  <c r="R74" i="6"/>
  <c r="R90" i="6"/>
  <c r="R106" i="6"/>
  <c r="R122" i="6"/>
  <c r="S10" i="6"/>
  <c r="S42" i="6"/>
  <c r="R146" i="6"/>
  <c r="S152" i="6"/>
  <c r="R152" i="6"/>
  <c r="S136" i="6"/>
  <c r="R136" i="6"/>
  <c r="S120" i="6"/>
  <c r="R120" i="6"/>
  <c r="S112" i="6"/>
  <c r="R112" i="6"/>
  <c r="S96" i="6"/>
  <c r="R96" i="6"/>
  <c r="S72" i="6"/>
  <c r="R72" i="6"/>
  <c r="S56" i="6"/>
  <c r="R56" i="6"/>
  <c r="S40" i="6"/>
  <c r="R40" i="6"/>
  <c r="S8" i="6"/>
  <c r="R8" i="6"/>
  <c r="S17" i="6"/>
  <c r="S33" i="6"/>
  <c r="S65" i="6"/>
  <c r="S81" i="6"/>
  <c r="S113" i="6"/>
  <c r="R130" i="6"/>
  <c r="S153" i="6"/>
  <c r="R18" i="6"/>
  <c r="R34" i="6"/>
  <c r="R50" i="6"/>
  <c r="R66" i="6"/>
  <c r="R82" i="6"/>
  <c r="R98" i="6"/>
  <c r="R114" i="6"/>
  <c r="R154" i="6"/>
  <c r="S137" i="6"/>
  <c r="S160" i="6"/>
  <c r="R160" i="6"/>
  <c r="S144" i="6"/>
  <c r="R144" i="6"/>
  <c r="S128" i="6"/>
  <c r="R128" i="6"/>
  <c r="S104" i="6"/>
  <c r="R104" i="6"/>
  <c r="S88" i="6"/>
  <c r="R88" i="6"/>
  <c r="S80" i="6"/>
  <c r="R80" i="6"/>
  <c r="S64" i="6"/>
  <c r="R64" i="6"/>
  <c r="S48" i="6"/>
  <c r="R48" i="6"/>
  <c r="S32" i="6"/>
  <c r="R32" i="6"/>
  <c r="S24" i="6"/>
  <c r="R24" i="6"/>
  <c r="S16" i="6"/>
  <c r="R16" i="6"/>
  <c r="S129" i="6"/>
  <c r="S49" i="6"/>
  <c r="S97" i="6"/>
  <c r="R138" i="5"/>
  <c r="S79" i="5"/>
  <c r="R31" i="5"/>
  <c r="R39" i="5"/>
  <c r="R47" i="5"/>
  <c r="R118" i="5"/>
  <c r="S14" i="5"/>
  <c r="R23" i="5"/>
  <c r="R70" i="5"/>
  <c r="R102" i="5"/>
  <c r="R110" i="5"/>
  <c r="R10" i="5"/>
  <c r="S15" i="5"/>
  <c r="R74" i="5"/>
  <c r="S94" i="5"/>
  <c r="S143" i="5"/>
  <c r="O163" i="2"/>
  <c r="R26" i="5"/>
  <c r="R90" i="5"/>
  <c r="R42" i="5"/>
  <c r="R55" i="5"/>
  <c r="R106" i="5"/>
  <c r="R119" i="5"/>
  <c r="R50" i="5"/>
  <c r="R63" i="5"/>
  <c r="R78" i="5"/>
  <c r="R114" i="5"/>
  <c r="R127" i="5"/>
  <c r="R142" i="5"/>
  <c r="R18" i="5"/>
  <c r="R82" i="5"/>
  <c r="R146" i="5"/>
  <c r="R34" i="5"/>
  <c r="R98" i="5"/>
  <c r="R2" i="5"/>
  <c r="R7" i="5"/>
  <c r="R58" i="5"/>
  <c r="R71" i="5"/>
  <c r="R86" i="5"/>
  <c r="R122" i="5"/>
  <c r="R135" i="5"/>
  <c r="R150" i="5"/>
  <c r="R158" i="5"/>
  <c r="R66" i="5"/>
  <c r="R130" i="5"/>
  <c r="S161" i="5"/>
  <c r="R16" i="5"/>
  <c r="R24" i="5"/>
  <c r="R32" i="5"/>
  <c r="R48" i="5"/>
  <c r="R56" i="5"/>
  <c r="R80" i="5"/>
  <c r="R88" i="5"/>
  <c r="R120" i="5"/>
  <c r="R128" i="5"/>
  <c r="R136" i="5"/>
  <c r="R144" i="5"/>
  <c r="R152" i="5"/>
  <c r="S160" i="5"/>
  <c r="S72" i="5"/>
  <c r="S96" i="5"/>
  <c r="S104" i="5"/>
  <c r="S112" i="5"/>
  <c r="S159" i="5"/>
  <c r="R5" i="5"/>
  <c r="R9" i="5"/>
  <c r="R13" i="5"/>
  <c r="R17" i="5"/>
  <c r="R21" i="5"/>
  <c r="R25" i="5"/>
  <c r="R29" i="5"/>
  <c r="R33" i="5"/>
  <c r="R37" i="5"/>
  <c r="R41" i="5"/>
  <c r="R45" i="5"/>
  <c r="R49" i="5"/>
  <c r="R53" i="5"/>
  <c r="R57" i="5"/>
  <c r="R61" i="5"/>
  <c r="R65" i="5"/>
  <c r="R69" i="5"/>
  <c r="R73" i="5"/>
  <c r="R77" i="5"/>
  <c r="R81" i="5"/>
  <c r="R85" i="5"/>
  <c r="R89" i="5"/>
  <c r="R93" i="5"/>
  <c r="R97" i="5"/>
  <c r="R101" i="5"/>
  <c r="R105" i="5"/>
  <c r="R109" i="5"/>
  <c r="R113" i="5"/>
  <c r="R117" i="5"/>
  <c r="R121" i="5"/>
  <c r="R125" i="5"/>
  <c r="R129" i="5"/>
  <c r="R133" i="5"/>
  <c r="R137" i="5"/>
  <c r="R141" i="5"/>
  <c r="R145" i="5"/>
  <c r="R149" i="5"/>
  <c r="R153" i="5"/>
  <c r="R157" i="5"/>
  <c r="R154" i="5"/>
  <c r="R8" i="5"/>
  <c r="R40" i="5"/>
  <c r="R64" i="5"/>
  <c r="R43" i="4"/>
  <c r="S35" i="4"/>
  <c r="R99" i="4"/>
  <c r="S107" i="4"/>
  <c r="S91" i="4"/>
  <c r="R139" i="4"/>
  <c r="S73" i="4"/>
  <c r="R83" i="4"/>
  <c r="S65" i="4"/>
  <c r="S75" i="4"/>
  <c r="R123" i="4"/>
  <c r="S22" i="4"/>
  <c r="S67" i="4"/>
  <c r="S121" i="4"/>
  <c r="R131" i="4"/>
  <c r="R23" i="4"/>
  <c r="S33" i="4"/>
  <c r="S89" i="4"/>
  <c r="S137" i="4"/>
  <c r="R14" i="4"/>
  <c r="S49" i="4"/>
  <c r="R55" i="4"/>
  <c r="R62" i="4"/>
  <c r="S97" i="4"/>
  <c r="R103" i="4"/>
  <c r="R118" i="4"/>
  <c r="R147" i="4"/>
  <c r="R155" i="4"/>
  <c r="R26" i="4"/>
  <c r="S81" i="4"/>
  <c r="S129" i="4"/>
  <c r="R7" i="4"/>
  <c r="S57" i="4"/>
  <c r="R70" i="4"/>
  <c r="S105" i="4"/>
  <c r="R111" i="4"/>
  <c r="R122" i="4"/>
  <c r="S41" i="4"/>
  <c r="R47" i="4"/>
  <c r="R90" i="4"/>
  <c r="R95" i="4"/>
  <c r="S145" i="4"/>
  <c r="S153" i="4"/>
  <c r="S9" i="4"/>
  <c r="R15" i="4"/>
  <c r="R58" i="4"/>
  <c r="R63" i="4"/>
  <c r="S113" i="4"/>
  <c r="R119" i="4"/>
  <c r="S138" i="4"/>
  <c r="R138" i="4"/>
  <c r="R66" i="4"/>
  <c r="R42" i="4"/>
  <c r="R74" i="4"/>
  <c r="R106" i="4"/>
  <c r="R18" i="4"/>
  <c r="R50" i="4"/>
  <c r="R114" i="4"/>
  <c r="S154" i="4"/>
  <c r="R154" i="4"/>
  <c r="S146" i="4"/>
  <c r="R146" i="4"/>
  <c r="R34" i="4"/>
  <c r="R98" i="4"/>
  <c r="R130" i="4"/>
  <c r="R10" i="4"/>
  <c r="R82" i="4"/>
  <c r="R151" i="4"/>
  <c r="R16" i="4"/>
  <c r="R24" i="4"/>
  <c r="R32" i="4"/>
  <c r="R40" i="4"/>
  <c r="R48" i="4"/>
  <c r="R56" i="4"/>
  <c r="R64" i="4"/>
  <c r="R72" i="4"/>
  <c r="R80" i="4"/>
  <c r="R88" i="4"/>
  <c r="R152" i="4"/>
  <c r="R8" i="4"/>
  <c r="R96" i="4"/>
  <c r="R104" i="4"/>
  <c r="R112" i="4"/>
  <c r="R120" i="4"/>
  <c r="R128" i="4"/>
  <c r="R136" i="4"/>
  <c r="R144" i="4"/>
  <c r="S2" i="4"/>
  <c r="S162" i="2"/>
  <c r="S154" i="2"/>
  <c r="S146" i="2"/>
  <c r="R156" i="2"/>
  <c r="S159" i="2"/>
  <c r="S151" i="2"/>
  <c r="R148" i="2"/>
  <c r="R27" i="2"/>
  <c r="R46" i="2"/>
  <c r="S68" i="2"/>
  <c r="R12" i="2"/>
  <c r="S76" i="2"/>
  <c r="R30" i="2"/>
  <c r="S124" i="2"/>
  <c r="S6" i="2"/>
  <c r="R11" i="2"/>
  <c r="S84" i="2"/>
  <c r="S127" i="2"/>
  <c r="R3" i="2"/>
  <c r="R20" i="2"/>
  <c r="S54" i="2"/>
  <c r="S70" i="2"/>
  <c r="R102" i="2"/>
  <c r="S132" i="2"/>
  <c r="S19" i="2"/>
  <c r="R38" i="2"/>
  <c r="R94" i="2"/>
  <c r="R134" i="2"/>
  <c r="S95" i="2"/>
  <c r="S14" i="2"/>
  <c r="R118" i="2"/>
  <c r="S140" i="2"/>
  <c r="S22" i="2"/>
  <c r="S111" i="2"/>
  <c r="R4" i="2"/>
  <c r="R62" i="2"/>
  <c r="S78" i="2"/>
  <c r="R28" i="2"/>
  <c r="R52" i="2"/>
  <c r="R100" i="2"/>
  <c r="S87" i="2"/>
  <c r="S103" i="2"/>
  <c r="S119" i="2"/>
  <c r="S135" i="2"/>
  <c r="R110" i="2"/>
  <c r="R126" i="2"/>
  <c r="S143" i="2"/>
  <c r="R75" i="2"/>
  <c r="R83" i="2"/>
  <c r="R91" i="2"/>
  <c r="R99" i="2"/>
  <c r="R107" i="2"/>
  <c r="R115" i="2"/>
  <c r="R123" i="2"/>
  <c r="R131" i="2"/>
  <c r="R139" i="2"/>
  <c r="R79" i="2"/>
  <c r="R2" i="2"/>
  <c r="R15" i="2"/>
  <c r="R23" i="2"/>
  <c r="R142" i="2"/>
  <c r="R31" i="2"/>
  <c r="R39" i="2"/>
  <c r="R47" i="2"/>
  <c r="R55" i="2"/>
  <c r="R63" i="2"/>
  <c r="R71" i="2"/>
  <c r="S26" i="2"/>
  <c r="R34" i="2"/>
  <c r="R90" i="2"/>
  <c r="R98" i="2"/>
  <c r="R10" i="2"/>
  <c r="R42" i="2"/>
  <c r="R106" i="2"/>
  <c r="R50" i="2"/>
  <c r="R114" i="2"/>
  <c r="R58" i="2"/>
  <c r="R122" i="2"/>
  <c r="S18" i="2"/>
  <c r="R66" i="2"/>
  <c r="R130" i="2"/>
  <c r="R74" i="2"/>
  <c r="R138" i="2"/>
  <c r="R5" i="2"/>
  <c r="R9" i="2"/>
  <c r="R13" i="2"/>
  <c r="R17" i="2"/>
  <c r="R21" i="2"/>
  <c r="R25" i="2"/>
  <c r="R29" i="2"/>
  <c r="R33" i="2"/>
  <c r="R37" i="2"/>
  <c r="R41" i="2"/>
  <c r="R45" i="2"/>
  <c r="R49" i="2"/>
  <c r="R53" i="2"/>
  <c r="R57" i="2"/>
  <c r="R61" i="2"/>
  <c r="R65" i="2"/>
  <c r="R69" i="2"/>
  <c r="R73" i="2"/>
  <c r="R77" i="2"/>
  <c r="R81" i="2"/>
  <c r="R85" i="2"/>
  <c r="R89" i="2"/>
  <c r="R93" i="2"/>
  <c r="R97" i="2"/>
  <c r="R101" i="2"/>
  <c r="R105" i="2"/>
  <c r="R109" i="2"/>
  <c r="R113" i="2"/>
  <c r="R117" i="2"/>
  <c r="R121" i="2"/>
  <c r="R125" i="2"/>
  <c r="R129" i="2"/>
  <c r="R133" i="2"/>
  <c r="R137" i="2"/>
  <c r="R141" i="2"/>
  <c r="R145" i="2"/>
  <c r="R8" i="2"/>
  <c r="R16" i="2"/>
  <c r="R24" i="2"/>
  <c r="R32" i="2"/>
  <c r="R40" i="2"/>
  <c r="R48" i="2"/>
  <c r="R56" i="2"/>
  <c r="R64" i="2"/>
  <c r="R72" i="2"/>
  <c r="R80" i="2"/>
  <c r="R88" i="2"/>
  <c r="R96" i="2"/>
  <c r="R104" i="2"/>
  <c r="R112" i="2"/>
  <c r="R120" i="2"/>
  <c r="R128" i="2"/>
  <c r="R136" i="2"/>
  <c r="R144" i="2"/>
  <c r="S162" i="5" l="1"/>
  <c r="R167" i="5" s="1"/>
  <c r="R164" i="6"/>
  <c r="R166" i="6"/>
  <c r="S160" i="7"/>
  <c r="R165" i="7" s="1"/>
  <c r="R160" i="7"/>
  <c r="R165" i="17"/>
  <c r="R163" i="7"/>
  <c r="R162" i="5"/>
  <c r="R159" i="4"/>
  <c r="S159" i="4"/>
  <c r="S163" i="2"/>
  <c r="R163" i="2"/>
  <c r="R162" i="4" l="1"/>
  <c r="R164" i="4"/>
  <c r="R165" i="5"/>
  <c r="R168" i="2"/>
  <c r="R166" i="2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2" i="1"/>
  <c r="S146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2" i="1"/>
  <c r="R146" i="1" s="1"/>
  <c r="R151" i="1" l="1"/>
  <c r="R149" i="1"/>
  <c r="O5" i="2" l="1"/>
  <c r="O3" i="17" l="1"/>
  <c r="O4" i="17"/>
  <c r="O7" i="17"/>
  <c r="O11" i="17"/>
  <c r="O15" i="17"/>
  <c r="O16" i="17"/>
  <c r="O17" i="17"/>
  <c r="O18" i="17"/>
  <c r="O19" i="17"/>
  <c r="O27" i="17"/>
  <c r="O31" i="17"/>
  <c r="O32" i="17"/>
  <c r="O33" i="17"/>
  <c r="O34" i="17"/>
  <c r="O39" i="17"/>
  <c r="O43" i="17"/>
  <c r="O47" i="17"/>
  <c r="O48" i="17"/>
  <c r="O49" i="17"/>
  <c r="O58" i="17"/>
  <c r="O63" i="17"/>
  <c r="O64" i="17"/>
  <c r="O66" i="17"/>
  <c r="O67" i="17"/>
  <c r="O68" i="17"/>
  <c r="O71" i="17"/>
  <c r="O73" i="17"/>
  <c r="O75" i="17"/>
  <c r="O76" i="17"/>
  <c r="O81" i="17"/>
  <c r="O82" i="17"/>
  <c r="O83" i="17"/>
  <c r="O84" i="17"/>
  <c r="O87" i="17"/>
  <c r="O91" i="17"/>
  <c r="O92" i="17"/>
  <c r="O95" i="17"/>
  <c r="O96" i="17"/>
  <c r="O98" i="17"/>
  <c r="O104" i="17"/>
  <c r="O106" i="17"/>
  <c r="O111" i="17"/>
  <c r="O112" i="17"/>
  <c r="O113" i="17"/>
  <c r="O114" i="17"/>
  <c r="O115" i="17"/>
  <c r="O116" i="17"/>
  <c r="O121" i="17"/>
  <c r="O124" i="17"/>
  <c r="O127" i="17"/>
  <c r="O128" i="17"/>
  <c r="O129" i="17"/>
  <c r="O130" i="17"/>
  <c r="O136" i="17"/>
  <c r="O138" i="17"/>
  <c r="O143" i="17"/>
  <c r="O144" i="17"/>
  <c r="O145" i="17"/>
  <c r="O147" i="17"/>
  <c r="O148" i="17"/>
  <c r="O151" i="17"/>
  <c r="O155" i="17"/>
  <c r="O156" i="17"/>
  <c r="O159" i="17"/>
  <c r="O3" i="7"/>
  <c r="O4" i="7"/>
  <c r="O7" i="7"/>
  <c r="O11" i="7"/>
  <c r="O15" i="7"/>
  <c r="O16" i="7"/>
  <c r="O17" i="7"/>
  <c r="O18" i="7"/>
  <c r="O19" i="7"/>
  <c r="O27" i="7"/>
  <c r="O31" i="7"/>
  <c r="O32" i="7"/>
  <c r="O33" i="7"/>
  <c r="O34" i="7"/>
  <c r="O39" i="7"/>
  <c r="O43" i="7"/>
  <c r="O47" i="7"/>
  <c r="O48" i="7"/>
  <c r="O49" i="7"/>
  <c r="O57" i="7"/>
  <c r="O58" i="7"/>
  <c r="O63" i="7"/>
  <c r="O64" i="7"/>
  <c r="O66" i="7"/>
  <c r="O67" i="7"/>
  <c r="O71" i="7"/>
  <c r="O75" i="7"/>
  <c r="O79" i="7"/>
  <c r="O80" i="7"/>
  <c r="O81" i="7"/>
  <c r="O82" i="7"/>
  <c r="O95" i="7"/>
  <c r="O96" i="7"/>
  <c r="O97" i="7"/>
  <c r="O98" i="7"/>
  <c r="O103" i="7"/>
  <c r="O107" i="7"/>
  <c r="O111" i="7"/>
  <c r="O112" i="7"/>
  <c r="O113" i="7"/>
  <c r="O114" i="7"/>
  <c r="O127" i="7"/>
  <c r="O128" i="7"/>
  <c r="O130" i="7"/>
  <c r="O131" i="7"/>
  <c r="O135" i="7"/>
  <c r="O139" i="7"/>
  <c r="O143" i="7"/>
  <c r="O145" i="7"/>
  <c r="O146" i="7"/>
  <c r="O147" i="7"/>
  <c r="O151" i="7"/>
  <c r="O155" i="7"/>
  <c r="O3" i="6"/>
  <c r="O5" i="6"/>
  <c r="O7" i="6"/>
  <c r="O9" i="6"/>
  <c r="O10" i="6"/>
  <c r="O11" i="6"/>
  <c r="O15" i="6"/>
  <c r="O16" i="6"/>
  <c r="O17" i="6"/>
  <c r="O18" i="6"/>
  <c r="O19" i="6"/>
  <c r="O21" i="6"/>
  <c r="O27" i="6"/>
  <c r="O31" i="6"/>
  <c r="O32" i="6"/>
  <c r="O33" i="6"/>
  <c r="O34" i="6"/>
  <c r="O37" i="6"/>
  <c r="O39" i="6"/>
  <c r="O43" i="6"/>
  <c r="O45" i="6"/>
  <c r="O47" i="6"/>
  <c r="O48" i="6"/>
  <c r="O50" i="6"/>
  <c r="O56" i="6"/>
  <c r="O57" i="6"/>
  <c r="O58" i="6"/>
  <c r="O63" i="6"/>
  <c r="O65" i="6"/>
  <c r="O66" i="6"/>
  <c r="O67" i="6"/>
  <c r="O69" i="6"/>
  <c r="O71" i="6"/>
  <c r="O75" i="6"/>
  <c r="O77" i="6"/>
  <c r="O80" i="6"/>
  <c r="O81" i="6"/>
  <c r="O82" i="6"/>
  <c r="O95" i="6"/>
  <c r="O96" i="6"/>
  <c r="O97" i="6"/>
  <c r="O98" i="6"/>
  <c r="O99" i="6"/>
  <c r="O101" i="6"/>
  <c r="O103" i="6"/>
  <c r="O107" i="6"/>
  <c r="O109" i="6"/>
  <c r="O111" i="6"/>
  <c r="O112" i="6"/>
  <c r="O113" i="6"/>
  <c r="O114" i="6"/>
  <c r="O127" i="6"/>
  <c r="O128" i="6"/>
  <c r="O129" i="6"/>
  <c r="O131" i="6"/>
  <c r="O133" i="6"/>
  <c r="O135" i="6"/>
  <c r="O139" i="6"/>
  <c r="O141" i="6"/>
  <c r="O143" i="6"/>
  <c r="O144" i="6"/>
  <c r="O145" i="6"/>
  <c r="O146" i="6"/>
  <c r="O147" i="6"/>
  <c r="O149" i="6"/>
  <c r="O151" i="6"/>
  <c r="O155" i="6"/>
  <c r="O157" i="6"/>
  <c r="O159" i="6"/>
  <c r="O160" i="6"/>
  <c r="O3" i="5"/>
  <c r="O7" i="5"/>
  <c r="O8" i="5"/>
  <c r="O9" i="5"/>
  <c r="O11" i="5"/>
  <c r="O15" i="5"/>
  <c r="O16" i="5"/>
  <c r="O17" i="5"/>
  <c r="O18" i="5"/>
  <c r="O19" i="5"/>
  <c r="O23" i="5"/>
  <c r="O27" i="5"/>
  <c r="O31" i="5"/>
  <c r="O33" i="5"/>
  <c r="O34" i="5"/>
  <c r="O35" i="5"/>
  <c r="O39" i="5"/>
  <c r="O40" i="5"/>
  <c r="O43" i="5"/>
  <c r="O47" i="5"/>
  <c r="O48" i="5"/>
  <c r="O49" i="5"/>
  <c r="O63" i="5"/>
  <c r="O64" i="5"/>
  <c r="O65" i="5"/>
  <c r="O66" i="5"/>
  <c r="O67" i="5"/>
  <c r="O71" i="5"/>
  <c r="O72" i="5"/>
  <c r="O73" i="5"/>
  <c r="O75" i="5"/>
  <c r="O79" i="5"/>
  <c r="O80" i="5"/>
  <c r="O82" i="5"/>
  <c r="O95" i="5"/>
  <c r="O96" i="5"/>
  <c r="O97" i="5"/>
  <c r="O98" i="5"/>
  <c r="O99" i="5"/>
  <c r="O103" i="5"/>
  <c r="O104" i="5"/>
  <c r="O105" i="5"/>
  <c r="O107" i="5"/>
  <c r="O113" i="5"/>
  <c r="O114" i="5"/>
  <c r="O119" i="5"/>
  <c r="O127" i="5"/>
  <c r="O128" i="5"/>
  <c r="O129" i="5"/>
  <c r="O130" i="5"/>
  <c r="O138" i="5"/>
  <c r="O143" i="5"/>
  <c r="O144" i="5"/>
  <c r="O145" i="5"/>
  <c r="O146" i="5"/>
  <c r="O147" i="5"/>
  <c r="O151" i="5"/>
  <c r="O152" i="5"/>
  <c r="O153" i="5"/>
  <c r="O155" i="5"/>
  <c r="O159" i="5"/>
  <c r="O160" i="5"/>
  <c r="O161" i="5"/>
  <c r="O64" i="4"/>
  <c r="O65" i="4"/>
  <c r="O74" i="4"/>
  <c r="O75" i="4"/>
  <c r="O80" i="4"/>
  <c r="O81" i="4"/>
  <c r="O90" i="4"/>
  <c r="O95" i="4"/>
  <c r="O97" i="4"/>
  <c r="O98" i="4"/>
  <c r="O103" i="4"/>
  <c r="O106" i="4"/>
  <c r="O144" i="4"/>
  <c r="O145" i="4"/>
  <c r="O155" i="4"/>
  <c r="O90" i="17" l="1"/>
  <c r="O41" i="17"/>
  <c r="O10" i="17"/>
  <c r="O122" i="17"/>
  <c r="O154" i="17"/>
  <c r="O153" i="17"/>
  <c r="O152" i="17"/>
  <c r="O139" i="17"/>
  <c r="O137" i="17"/>
  <c r="O135" i="17"/>
  <c r="O131" i="17"/>
  <c r="O108" i="17"/>
  <c r="O107" i="17"/>
  <c r="O100" i="17"/>
  <c r="O74" i="17"/>
  <c r="O59" i="17"/>
  <c r="O51" i="17"/>
  <c r="O88" i="17"/>
  <c r="O42" i="17"/>
  <c r="O9" i="17"/>
  <c r="O120" i="17"/>
  <c r="O8" i="17"/>
  <c r="O26" i="17"/>
  <c r="O101" i="17"/>
  <c r="O85" i="17"/>
  <c r="O54" i="17"/>
  <c r="O52" i="17"/>
  <c r="O20" i="17"/>
  <c r="O6" i="17"/>
  <c r="O149" i="17"/>
  <c r="O133" i="17"/>
  <c r="O118" i="17"/>
  <c r="O102" i="17"/>
  <c r="O86" i="17"/>
  <c r="O53" i="17"/>
  <c r="O36" i="17"/>
  <c r="O5" i="17"/>
  <c r="O150" i="17"/>
  <c r="O134" i="17"/>
  <c r="O117" i="17"/>
  <c r="O69" i="17"/>
  <c r="O22" i="17"/>
  <c r="O158" i="17"/>
  <c r="O142" i="17"/>
  <c r="O141" i="17"/>
  <c r="O126" i="17"/>
  <c r="O125" i="17"/>
  <c r="O110" i="17"/>
  <c r="O109" i="17"/>
  <c r="O94" i="17"/>
  <c r="O93" i="17"/>
  <c r="O78" i="17"/>
  <c r="O77" i="17"/>
  <c r="O62" i="17"/>
  <c r="O61" i="17"/>
  <c r="O60" i="17"/>
  <c r="O45" i="17"/>
  <c r="O44" i="17"/>
  <c r="O29" i="17"/>
  <c r="O28" i="17"/>
  <c r="O14" i="17"/>
  <c r="O12" i="17"/>
  <c r="O90" i="7"/>
  <c r="O152" i="7"/>
  <c r="O106" i="7"/>
  <c r="O105" i="7"/>
  <c r="O104" i="7"/>
  <c r="O74" i="7"/>
  <c r="O73" i="7"/>
  <c r="O72" i="7"/>
  <c r="O59" i="7"/>
  <c r="O55" i="7"/>
  <c r="O51" i="7"/>
  <c r="O120" i="7"/>
  <c r="O88" i="7"/>
  <c r="O153" i="7"/>
  <c r="O42" i="7"/>
  <c r="O10" i="7"/>
  <c r="O8" i="7"/>
  <c r="O138" i="7"/>
  <c r="O137" i="7"/>
  <c r="O136" i="7"/>
  <c r="O119" i="7"/>
  <c r="O115" i="7"/>
  <c r="O91" i="7"/>
  <c r="O83" i="7"/>
  <c r="O121" i="7"/>
  <c r="O89" i="7"/>
  <c r="O154" i="7"/>
  <c r="O41" i="7"/>
  <c r="O9" i="7"/>
  <c r="O26" i="7"/>
  <c r="O148" i="7"/>
  <c r="O118" i="7"/>
  <c r="O117" i="7"/>
  <c r="O100" i="7"/>
  <c r="O86" i="7"/>
  <c r="O84" i="7"/>
  <c r="O70" i="7"/>
  <c r="O68" i="7"/>
  <c r="O52" i="7"/>
  <c r="O36" i="7"/>
  <c r="O20" i="7"/>
  <c r="O5" i="7"/>
  <c r="O149" i="7"/>
  <c r="O134" i="7"/>
  <c r="O102" i="7"/>
  <c r="O85" i="7"/>
  <c r="O69" i="7"/>
  <c r="O54" i="7"/>
  <c r="O22" i="7"/>
  <c r="O6" i="7"/>
  <c r="O150" i="7"/>
  <c r="O101" i="7"/>
  <c r="O53" i="7"/>
  <c r="O21" i="7"/>
  <c r="O157" i="7"/>
  <c r="O156" i="7"/>
  <c r="O142" i="7"/>
  <c r="O141" i="7"/>
  <c r="O140" i="7"/>
  <c r="O126" i="7"/>
  <c r="O125" i="7"/>
  <c r="O124" i="7"/>
  <c r="O110" i="7"/>
  <c r="O109" i="7"/>
  <c r="O108" i="7"/>
  <c r="O94" i="7"/>
  <c r="O93" i="7"/>
  <c r="O92" i="7"/>
  <c r="O78" i="7"/>
  <c r="O62" i="7"/>
  <c r="O61" i="7"/>
  <c r="O60" i="7"/>
  <c r="O46" i="7"/>
  <c r="O45" i="7"/>
  <c r="O44" i="7"/>
  <c r="O29" i="7"/>
  <c r="O28" i="7"/>
  <c r="O14" i="7"/>
  <c r="O12" i="7"/>
  <c r="O89" i="6"/>
  <c r="O153" i="6"/>
  <c r="O152" i="6"/>
  <c r="O41" i="6"/>
  <c r="O8" i="6"/>
  <c r="O74" i="6"/>
  <c r="O73" i="6"/>
  <c r="O72" i="6"/>
  <c r="O61" i="6"/>
  <c r="O59" i="6"/>
  <c r="O55" i="6"/>
  <c r="O53" i="6"/>
  <c r="O51" i="6"/>
  <c r="O90" i="6"/>
  <c r="O106" i="6"/>
  <c r="O105" i="6"/>
  <c r="O104" i="6"/>
  <c r="O122" i="6"/>
  <c r="O88" i="6"/>
  <c r="O154" i="6"/>
  <c r="O42" i="6"/>
  <c r="O138" i="6"/>
  <c r="O137" i="6"/>
  <c r="O136" i="6"/>
  <c r="O125" i="6"/>
  <c r="O123" i="6"/>
  <c r="O115" i="6"/>
  <c r="O93" i="6"/>
  <c r="O91" i="6"/>
  <c r="O87" i="6"/>
  <c r="O85" i="6"/>
  <c r="O83" i="6"/>
  <c r="O26" i="6"/>
  <c r="O150" i="6"/>
  <c r="O132" i="6"/>
  <c r="O100" i="6"/>
  <c r="O70" i="6"/>
  <c r="O68" i="6"/>
  <c r="O54" i="6"/>
  <c r="O52" i="6"/>
  <c r="O36" i="6"/>
  <c r="O22" i="6"/>
  <c r="O20" i="6"/>
  <c r="O6" i="6"/>
  <c r="O116" i="6"/>
  <c r="O134" i="6"/>
  <c r="O118" i="6"/>
  <c r="O86" i="6"/>
  <c r="O148" i="6"/>
  <c r="O102" i="6"/>
  <c r="O84" i="6"/>
  <c r="O158" i="6"/>
  <c r="O156" i="6"/>
  <c r="O142" i="6"/>
  <c r="O140" i="6"/>
  <c r="O126" i="6"/>
  <c r="O124" i="6"/>
  <c r="O108" i="6"/>
  <c r="O94" i="6"/>
  <c r="O92" i="6"/>
  <c r="O78" i="6"/>
  <c r="O76" i="6"/>
  <c r="O62" i="6"/>
  <c r="O60" i="6"/>
  <c r="O46" i="6"/>
  <c r="O44" i="6"/>
  <c r="O28" i="6"/>
  <c r="O14" i="6"/>
  <c r="O12" i="6"/>
  <c r="O90" i="5"/>
  <c r="O154" i="5"/>
  <c r="O136" i="5"/>
  <c r="O131" i="5"/>
  <c r="O58" i="5"/>
  <c r="O10" i="5"/>
  <c r="O139" i="5"/>
  <c r="O137" i="5"/>
  <c r="O135" i="5"/>
  <c r="O59" i="5"/>
  <c r="O57" i="5"/>
  <c r="O56" i="5"/>
  <c r="O55" i="5"/>
  <c r="O51" i="5"/>
  <c r="O91" i="5"/>
  <c r="O89" i="5"/>
  <c r="O88" i="5"/>
  <c r="O87" i="5"/>
  <c r="O83" i="5"/>
  <c r="O148" i="5"/>
  <c r="O134" i="5"/>
  <c r="O102" i="5"/>
  <c r="O100" i="5"/>
  <c r="O86" i="5"/>
  <c r="O70" i="5"/>
  <c r="O37" i="5"/>
  <c r="O22" i="5"/>
  <c r="O21" i="5"/>
  <c r="O5" i="5"/>
  <c r="O150" i="5"/>
  <c r="O117" i="5"/>
  <c r="O101" i="5"/>
  <c r="O85" i="5"/>
  <c r="O68" i="5"/>
  <c r="O54" i="5"/>
  <c r="O38" i="5"/>
  <c r="O20" i="5"/>
  <c r="O4" i="5"/>
  <c r="O149" i="5"/>
  <c r="O133" i="5"/>
  <c r="O118" i="5"/>
  <c r="O116" i="5"/>
  <c r="O84" i="5"/>
  <c r="O69" i="5"/>
  <c r="O53" i="5"/>
  <c r="O6" i="5"/>
  <c r="O158" i="5"/>
  <c r="O157" i="5"/>
  <c r="O156" i="5"/>
  <c r="O142" i="5"/>
  <c r="O141" i="5"/>
  <c r="O140" i="5"/>
  <c r="O124" i="5"/>
  <c r="O110" i="5"/>
  <c r="O109" i="5"/>
  <c r="O108" i="5"/>
  <c r="O94" i="5"/>
  <c r="O93" i="5"/>
  <c r="O92" i="5"/>
  <c r="O78" i="5"/>
  <c r="O77" i="5"/>
  <c r="O76" i="5"/>
  <c r="O61" i="5"/>
  <c r="O60" i="5"/>
  <c r="O46" i="5"/>
  <c r="O45" i="5"/>
  <c r="O44" i="5"/>
  <c r="O30" i="5"/>
  <c r="O29" i="5"/>
  <c r="O28" i="5"/>
  <c r="O14" i="5"/>
  <c r="O13" i="5"/>
  <c r="O12" i="5"/>
  <c r="O71" i="4"/>
  <c r="O66" i="4"/>
  <c r="O112" i="4"/>
  <c r="O33" i="4"/>
  <c r="O31" i="4"/>
  <c r="O143" i="4"/>
  <c r="O138" i="4"/>
  <c r="O58" i="4"/>
  <c r="O48" i="4"/>
  <c r="O47" i="4"/>
  <c r="O43" i="4"/>
  <c r="O39" i="4"/>
  <c r="O34" i="4"/>
  <c r="O26" i="4"/>
  <c r="O17" i="4"/>
  <c r="O128" i="4"/>
  <c r="O127" i="4"/>
  <c r="O122" i="4"/>
  <c r="O113" i="4"/>
  <c r="O27" i="4"/>
  <c r="O137" i="4"/>
  <c r="O136" i="4"/>
  <c r="O129" i="4"/>
  <c r="O96" i="4"/>
  <c r="O139" i="4"/>
  <c r="O107" i="4"/>
  <c r="O63" i="4"/>
  <c r="O57" i="4"/>
  <c r="O56" i="4"/>
  <c r="O49" i="4"/>
  <c r="O16" i="4"/>
  <c r="O15" i="4"/>
  <c r="O10" i="4"/>
  <c r="O152" i="4"/>
  <c r="O9" i="4"/>
  <c r="O154" i="4"/>
  <c r="O40" i="4"/>
  <c r="O23" i="4"/>
  <c r="O18" i="4"/>
  <c r="O88" i="4"/>
  <c r="O153" i="4"/>
  <c r="O120" i="4"/>
  <c r="O8" i="4"/>
  <c r="O135" i="4"/>
  <c r="O130" i="4"/>
  <c r="O73" i="4"/>
  <c r="O59" i="4"/>
  <c r="O89" i="4"/>
  <c r="O105" i="4"/>
  <c r="O104" i="4"/>
  <c r="O91" i="4"/>
  <c r="O55" i="4"/>
  <c r="O123" i="4"/>
  <c r="O87" i="4"/>
  <c r="O82" i="4"/>
  <c r="O11" i="4"/>
  <c r="O151" i="4"/>
  <c r="O146" i="4"/>
  <c r="O119" i="4"/>
  <c r="O7" i="4"/>
  <c r="O150" i="4"/>
  <c r="O149" i="4"/>
  <c r="O133" i="4"/>
  <c r="O116" i="4"/>
  <c r="O100" i="4"/>
  <c r="O84" i="4"/>
  <c r="O69" i="4"/>
  <c r="O54" i="4"/>
  <c r="O52" i="4"/>
  <c r="O38" i="4"/>
  <c r="O21" i="4"/>
  <c r="O20" i="4"/>
  <c r="O4" i="4"/>
  <c r="O134" i="4"/>
  <c r="O132" i="4"/>
  <c r="O117" i="4"/>
  <c r="O85" i="4"/>
  <c r="O37" i="4"/>
  <c r="O36" i="4"/>
  <c r="O22" i="4"/>
  <c r="O5" i="4"/>
  <c r="O142" i="4"/>
  <c r="O141" i="4"/>
  <c r="O140" i="4"/>
  <c r="O126" i="4"/>
  <c r="O124" i="4"/>
  <c r="O110" i="4"/>
  <c r="O109" i="4"/>
  <c r="O108" i="4"/>
  <c r="O94" i="4"/>
  <c r="O93" i="4"/>
  <c r="O92" i="4"/>
  <c r="O78" i="4"/>
  <c r="O77" i="4"/>
  <c r="O76" i="4"/>
  <c r="O62" i="4"/>
  <c r="O61" i="4"/>
  <c r="O60" i="4"/>
  <c r="O46" i="4"/>
  <c r="O45" i="4"/>
  <c r="O44" i="4"/>
  <c r="O30" i="4"/>
  <c r="O29" i="4"/>
  <c r="O28" i="4"/>
  <c r="O14" i="4"/>
  <c r="O13" i="4"/>
  <c r="O12" i="4"/>
  <c r="O102" i="4"/>
  <c r="O86" i="4"/>
  <c r="O70" i="4"/>
  <c r="O68" i="4"/>
  <c r="O53" i="4"/>
  <c r="O6" i="4"/>
  <c r="O158" i="4"/>
  <c r="O157" i="4"/>
  <c r="O156" i="4"/>
  <c r="O147" i="4"/>
  <c r="O115" i="4"/>
  <c r="O99" i="4"/>
  <c r="O83" i="4"/>
  <c r="O67" i="4"/>
  <c r="O51" i="4"/>
  <c r="O35" i="4"/>
  <c r="O19" i="4"/>
  <c r="O3" i="4"/>
  <c r="O9" i="2" l="1"/>
  <c r="O10" i="2"/>
  <c r="O17" i="2"/>
  <c r="O18" i="2"/>
  <c r="O26" i="2"/>
  <c r="O33" i="2"/>
  <c r="O34" i="2"/>
  <c r="O41" i="2"/>
  <c r="O49" i="2"/>
  <c r="O57" i="2"/>
  <c r="O58" i="2"/>
  <c r="O65" i="2"/>
  <c r="O66" i="2"/>
  <c r="O73" i="2"/>
  <c r="O74" i="2"/>
  <c r="O81" i="2"/>
  <c r="O82" i="2"/>
  <c r="O89" i="2"/>
  <c r="O90" i="2"/>
  <c r="O97" i="2"/>
  <c r="O98" i="2"/>
  <c r="O105" i="2"/>
  <c r="O106" i="2"/>
  <c r="O113" i="2"/>
  <c r="O114" i="2"/>
  <c r="O121" i="2"/>
  <c r="O122" i="2"/>
  <c r="O129" i="2"/>
  <c r="O130" i="2"/>
  <c r="O137" i="2"/>
  <c r="O138" i="2"/>
  <c r="O145" i="2"/>
  <c r="O146" i="2"/>
  <c r="O153" i="2"/>
  <c r="O154" i="2"/>
  <c r="O161" i="2"/>
  <c r="O162" i="2"/>
  <c r="O159" i="2" l="1"/>
  <c r="O152" i="2"/>
  <c r="O144" i="2"/>
  <c r="O143" i="2"/>
  <c r="O136" i="2"/>
  <c r="O127" i="2"/>
  <c r="O80" i="2"/>
  <c r="O78" i="2"/>
  <c r="O70" i="2"/>
  <c r="O63" i="2"/>
  <c r="O56" i="2"/>
  <c r="O54" i="2"/>
  <c r="O48" i="2"/>
  <c r="O46" i="2"/>
  <c r="O39" i="2"/>
  <c r="O38" i="2"/>
  <c r="O22" i="2"/>
  <c r="O16" i="2"/>
  <c r="O14" i="2"/>
  <c r="O8" i="2"/>
  <c r="O151" i="2"/>
  <c r="O135" i="2"/>
  <c r="O103" i="2"/>
  <c r="O96" i="2"/>
  <c r="O95" i="2"/>
  <c r="O86" i="2"/>
  <c r="O62" i="2"/>
  <c r="O55" i="2"/>
  <c r="O47" i="2"/>
  <c r="O30" i="2"/>
  <c r="O7" i="2"/>
  <c r="O158" i="2"/>
  <c r="O157" i="2"/>
  <c r="O156" i="2"/>
  <c r="O155" i="2"/>
  <c r="O150" i="2"/>
  <c r="O149" i="2"/>
  <c r="O148" i="2"/>
  <c r="O147" i="2"/>
  <c r="O142" i="2"/>
  <c r="O141" i="2"/>
  <c r="O140" i="2"/>
  <c r="O139" i="2"/>
  <c r="O134" i="2"/>
  <c r="O133" i="2"/>
  <c r="O132" i="2"/>
  <c r="O131" i="2"/>
  <c r="O126" i="2"/>
  <c r="O125" i="2"/>
  <c r="O124" i="2"/>
  <c r="O123" i="2"/>
  <c r="O118" i="2"/>
  <c r="O117" i="2"/>
  <c r="O116" i="2"/>
  <c r="O115" i="2"/>
  <c r="O110" i="2"/>
  <c r="O109" i="2"/>
  <c r="O108" i="2"/>
  <c r="O107" i="2"/>
  <c r="O102" i="2"/>
  <c r="O101" i="2"/>
  <c r="O100" i="2"/>
  <c r="O99" i="2"/>
  <c r="O93" i="2"/>
  <c r="O91" i="2"/>
  <c r="O85" i="2"/>
  <c r="O84" i="2"/>
  <c r="O83" i="2"/>
  <c r="O77" i="2"/>
  <c r="O76" i="2"/>
  <c r="O75" i="2"/>
  <c r="O69" i="2"/>
  <c r="O68" i="2"/>
  <c r="O67" i="2"/>
  <c r="O61" i="2"/>
  <c r="O60" i="2"/>
  <c r="O59" i="2"/>
  <c r="O53" i="2"/>
  <c r="O52" i="2"/>
  <c r="O51" i="2"/>
  <c r="O45" i="2"/>
  <c r="O44" i="2"/>
  <c r="O43" i="2"/>
  <c r="O37" i="2"/>
  <c r="O36" i="2"/>
  <c r="O35" i="2"/>
  <c r="O29" i="2"/>
  <c r="O28" i="2"/>
  <c r="O27" i="2"/>
  <c r="O21" i="2"/>
  <c r="O20" i="2"/>
  <c r="O19" i="2"/>
  <c r="O13" i="2"/>
  <c r="O12" i="2"/>
  <c r="O11" i="2"/>
  <c r="O4" i="2"/>
  <c r="O3" i="2"/>
  <c r="O160" i="2"/>
  <c r="O120" i="2"/>
  <c r="O119" i="2"/>
  <c r="O111" i="2"/>
  <c r="O104" i="2"/>
  <c r="O94" i="2"/>
  <c r="O88" i="2"/>
  <c r="O72" i="2"/>
  <c r="O64" i="2"/>
  <c r="O40" i="2"/>
  <c r="O31" i="2"/>
  <c r="O23" i="2"/>
  <c r="O15" i="2"/>
  <c r="O6" i="2"/>
  <c r="O9" i="1"/>
  <c r="O17" i="1"/>
  <c r="O25" i="1"/>
  <c r="O33" i="1"/>
  <c r="O41" i="1"/>
  <c r="O49" i="1"/>
  <c r="O57" i="1"/>
  <c r="O65" i="1"/>
  <c r="O73" i="1"/>
  <c r="O86" i="1"/>
  <c r="O94" i="1"/>
  <c r="O102" i="1"/>
  <c r="O110" i="1"/>
  <c r="O118" i="1"/>
  <c r="O126" i="1"/>
  <c r="O134" i="1"/>
  <c r="O141" i="1"/>
  <c r="O135" i="1" l="1"/>
  <c r="O127" i="1"/>
  <c r="O111" i="1"/>
  <c r="O95" i="1"/>
  <c r="O112" i="1"/>
  <c r="O105" i="1"/>
  <c r="O138" i="1"/>
  <c r="O130" i="1"/>
  <c r="O122" i="1"/>
  <c r="O114" i="1"/>
  <c r="O106" i="1"/>
  <c r="O98" i="1"/>
  <c r="O90" i="1"/>
  <c r="O144" i="1"/>
  <c r="O121" i="1"/>
  <c r="O113" i="1"/>
  <c r="O131" i="1"/>
  <c r="O107" i="1"/>
  <c r="O99" i="1"/>
  <c r="O91" i="1"/>
  <c r="O142" i="1"/>
  <c r="O103" i="1"/>
  <c r="O42" i="1"/>
  <c r="O143" i="1"/>
  <c r="O104" i="1"/>
  <c r="O96" i="1"/>
  <c r="O88" i="1"/>
  <c r="O137" i="1"/>
  <c r="O129" i="1"/>
  <c r="O97" i="1"/>
  <c r="O2" i="1"/>
  <c r="O139" i="1"/>
  <c r="O123" i="1"/>
  <c r="O115" i="1"/>
  <c r="O132" i="1"/>
  <c r="O124" i="1"/>
  <c r="O116" i="1"/>
  <c r="O108" i="1"/>
  <c r="O100" i="1"/>
  <c r="O92" i="1"/>
  <c r="O87" i="1"/>
  <c r="O136" i="1"/>
  <c r="O128" i="1"/>
  <c r="O133" i="1"/>
  <c r="O125" i="1"/>
  <c r="O117" i="1"/>
  <c r="O109" i="1"/>
  <c r="O101" i="1"/>
  <c r="O93" i="1"/>
  <c r="O50" i="1"/>
  <c r="O34" i="1"/>
  <c r="O26" i="1"/>
  <c r="O83" i="1"/>
  <c r="O59" i="1"/>
  <c r="O43" i="1"/>
  <c r="O35" i="1"/>
  <c r="O11" i="1"/>
  <c r="O3" i="1"/>
  <c r="O84" i="1"/>
  <c r="O68" i="1"/>
  <c r="O52" i="1"/>
  <c r="O20" i="1"/>
  <c r="O69" i="1"/>
  <c r="O61" i="1"/>
  <c r="O29" i="1"/>
  <c r="O5" i="1"/>
  <c r="O78" i="1"/>
  <c r="O62" i="1"/>
  <c r="O38" i="1"/>
  <c r="O22" i="1"/>
  <c r="O14" i="1"/>
  <c r="O6" i="1"/>
  <c r="O79" i="1"/>
  <c r="O71" i="1"/>
  <c r="O63" i="1"/>
  <c r="O55" i="1"/>
  <c r="O47" i="1"/>
  <c r="O39" i="1"/>
  <c r="O31" i="1"/>
  <c r="O15" i="1"/>
  <c r="O7" i="1"/>
  <c r="O82" i="1"/>
  <c r="O74" i="1"/>
  <c r="O66" i="1"/>
  <c r="O58" i="1"/>
  <c r="O18" i="1"/>
  <c r="O10" i="1"/>
  <c r="O145" i="1"/>
  <c r="O51" i="1"/>
  <c r="O27" i="1"/>
  <c r="O19" i="1"/>
  <c r="O76" i="1"/>
  <c r="O60" i="1"/>
  <c r="O44" i="1"/>
  <c r="O36" i="1"/>
  <c r="O28" i="1"/>
  <c r="O12" i="1"/>
  <c r="O4" i="1"/>
  <c r="O85" i="1"/>
  <c r="O77" i="1"/>
  <c r="O53" i="1"/>
  <c r="O45" i="1"/>
  <c r="O21" i="1"/>
  <c r="O13" i="1"/>
  <c r="O70" i="1"/>
  <c r="O54" i="1"/>
  <c r="O80" i="1"/>
  <c r="O72" i="1"/>
  <c r="O64" i="1"/>
  <c r="O56" i="1"/>
  <c r="O48" i="1"/>
  <c r="O32" i="1"/>
  <c r="O16" i="1"/>
  <c r="O8" i="1"/>
  <c r="O140" i="1"/>
</calcChain>
</file>

<file path=xl/sharedStrings.xml><?xml version="1.0" encoding="utf-8"?>
<sst xmlns="http://schemas.openxmlformats.org/spreadsheetml/2006/main" count="3944" uniqueCount="222">
  <si>
    <t>Karton FH</t>
  </si>
  <si>
    <t>Karton FI</t>
  </si>
  <si>
    <t>Karton FJ</t>
  </si>
  <si>
    <t>Karton FK</t>
  </si>
  <si>
    <t>Karton FL</t>
  </si>
  <si>
    <t>Karton FM</t>
  </si>
  <si>
    <t>Karton FN</t>
  </si>
  <si>
    <t>Karton FO</t>
  </si>
  <si>
    <t>Karton FP</t>
  </si>
  <si>
    <t>Karton FQ</t>
  </si>
  <si>
    <t>Karton FR</t>
  </si>
  <si>
    <t>Karton FS</t>
  </si>
  <si>
    <t>Karton FT</t>
  </si>
  <si>
    <t>Karton FU</t>
  </si>
  <si>
    <t>Karton FV</t>
  </si>
  <si>
    <t>Karton FW</t>
  </si>
  <si>
    <t>B2B</t>
  </si>
  <si>
    <t>Non B2B</t>
  </si>
  <si>
    <t>GRAND TOTAL</t>
  </si>
  <si>
    <t>PCS</t>
  </si>
  <si>
    <t>Karton A</t>
  </si>
  <si>
    <t>Karton B</t>
  </si>
  <si>
    <t>Karton C</t>
  </si>
  <si>
    <t>Karton D</t>
  </si>
  <si>
    <t>Karton E</t>
  </si>
  <si>
    <t>Karton F</t>
  </si>
  <si>
    <t>Karton G</t>
  </si>
  <si>
    <t>Karton H</t>
  </si>
  <si>
    <t>Karton I</t>
  </si>
  <si>
    <t>Karton J</t>
  </si>
  <si>
    <t>Karton K</t>
  </si>
  <si>
    <t>Karton L</t>
  </si>
  <si>
    <t>Karton M</t>
  </si>
  <si>
    <t>Karton N</t>
  </si>
  <si>
    <t>Karton O</t>
  </si>
  <si>
    <t>Karton P</t>
  </si>
  <si>
    <t>Karton Q</t>
  </si>
  <si>
    <t>Karton R</t>
  </si>
  <si>
    <t>Karton S</t>
  </si>
  <si>
    <t>Karton T</t>
  </si>
  <si>
    <t>Karton U</t>
  </si>
  <si>
    <t>Karton V</t>
  </si>
  <si>
    <t>Karton W</t>
  </si>
  <si>
    <t>Karton X</t>
  </si>
  <si>
    <t>Karton Y</t>
  </si>
  <si>
    <t>Karton Z</t>
  </si>
  <si>
    <t>Karton AA</t>
  </si>
  <si>
    <t>Karton AB</t>
  </si>
  <si>
    <t>Karton AC</t>
  </si>
  <si>
    <t>Karton AD</t>
  </si>
  <si>
    <t>Karton AE</t>
  </si>
  <si>
    <t>Karton AF</t>
  </si>
  <si>
    <t>Karton AG</t>
  </si>
  <si>
    <t>Karton AH</t>
  </si>
  <si>
    <t>Karton AI</t>
  </si>
  <si>
    <t>Karton AJ</t>
  </si>
  <si>
    <t>Karton AK</t>
  </si>
  <si>
    <t>Karton AL</t>
  </si>
  <si>
    <t>Karton AM</t>
  </si>
  <si>
    <t>Karton AN</t>
  </si>
  <si>
    <t>Karton AO</t>
  </si>
  <si>
    <t>Karton AP</t>
  </si>
  <si>
    <t>Karton AQ</t>
  </si>
  <si>
    <t>Karton AR</t>
  </si>
  <si>
    <t>Karton AS</t>
  </si>
  <si>
    <t>Karton AT</t>
  </si>
  <si>
    <t>Karton AU</t>
  </si>
  <si>
    <t>Karton AV</t>
  </si>
  <si>
    <t>Karton AW</t>
  </si>
  <si>
    <t>Karton AX</t>
  </si>
  <si>
    <t>Karton AY</t>
  </si>
  <si>
    <t>Karton AZ</t>
  </si>
  <si>
    <t>Karton BA</t>
  </si>
  <si>
    <t>Karton BB</t>
  </si>
  <si>
    <t>Karton BC</t>
  </si>
  <si>
    <t>Karton BD</t>
  </si>
  <si>
    <t>Karton BE</t>
  </si>
  <si>
    <t>Karton BF</t>
  </si>
  <si>
    <t>Karton BG</t>
  </si>
  <si>
    <t>Karton BH</t>
  </si>
  <si>
    <t>Karton BI</t>
  </si>
  <si>
    <t>Karton BJ</t>
  </si>
  <si>
    <t>Karton BK</t>
  </si>
  <si>
    <t>Karton BL</t>
  </si>
  <si>
    <t>Karton BM</t>
  </si>
  <si>
    <t>Karton BN</t>
  </si>
  <si>
    <t>Karton BO</t>
  </si>
  <si>
    <t>Karton BP</t>
  </si>
  <si>
    <t>Karton BQ</t>
  </si>
  <si>
    <t>Karton BR</t>
  </si>
  <si>
    <t>Karton BS</t>
  </si>
  <si>
    <t>Karton BT</t>
  </si>
  <si>
    <t>Karton BU</t>
  </si>
  <si>
    <t>Karton BV</t>
  </si>
  <si>
    <t>Karton BW</t>
  </si>
  <si>
    <t>Karton BX</t>
  </si>
  <si>
    <t>Karton BY</t>
  </si>
  <si>
    <t>Karton BZ</t>
  </si>
  <si>
    <t>Karton CA</t>
  </si>
  <si>
    <t>Karton CB</t>
  </si>
  <si>
    <t>Karton CC</t>
  </si>
  <si>
    <t>Karton CD</t>
  </si>
  <si>
    <t>Karton CE</t>
  </si>
  <si>
    <t>Karton CF</t>
  </si>
  <si>
    <t>Karton CG</t>
  </si>
  <si>
    <t>Karton CH</t>
  </si>
  <si>
    <t>Karton CI</t>
  </si>
  <si>
    <t>Karton CJ</t>
  </si>
  <si>
    <t>Karton CK</t>
  </si>
  <si>
    <t>Karton CL</t>
  </si>
  <si>
    <t>Karton CM</t>
  </si>
  <si>
    <t>Karton CN</t>
  </si>
  <si>
    <t>Karton CO</t>
  </si>
  <si>
    <t>Karton CP</t>
  </si>
  <si>
    <t>Karton CQ</t>
  </si>
  <si>
    <t>Karton CR</t>
  </si>
  <si>
    <t>Karton CS</t>
  </si>
  <si>
    <t>Karton CT</t>
  </si>
  <si>
    <t>Karton CU</t>
  </si>
  <si>
    <t>Karton CV</t>
  </si>
  <si>
    <t>Karton CW</t>
  </si>
  <si>
    <t>Karton CX</t>
  </si>
  <si>
    <t>Karton CY</t>
  </si>
  <si>
    <t>Karton CZ</t>
  </si>
  <si>
    <t>Karton DA</t>
  </si>
  <si>
    <t>Karton DB</t>
  </si>
  <si>
    <t>Karton DC</t>
  </si>
  <si>
    <t>Karton DD</t>
  </si>
  <si>
    <t>Karton DE</t>
  </si>
  <si>
    <t>Karton DF</t>
  </si>
  <si>
    <t>Karton DG</t>
  </si>
  <si>
    <t>Karton DH</t>
  </si>
  <si>
    <t>Karton DI</t>
  </si>
  <si>
    <t>Karton DJ</t>
  </si>
  <si>
    <t>Karton DK</t>
  </si>
  <si>
    <t>Karton DL</t>
  </si>
  <si>
    <t>Karton DM</t>
  </si>
  <si>
    <t>Karton DN</t>
  </si>
  <si>
    <t>Karton DO</t>
  </si>
  <si>
    <t>Karton DP</t>
  </si>
  <si>
    <t>Karton DQ</t>
  </si>
  <si>
    <t>Karton DR</t>
  </si>
  <si>
    <t>Karton DS</t>
  </si>
  <si>
    <t>Karton DT</t>
  </si>
  <si>
    <t>Karton DU</t>
  </si>
  <si>
    <t>Karton DV</t>
  </si>
  <si>
    <t>Karton DW</t>
  </si>
  <si>
    <t>Karton DX</t>
  </si>
  <si>
    <t>Karton DY</t>
  </si>
  <si>
    <t>Karton DZ</t>
  </si>
  <si>
    <t>Karton EA</t>
  </si>
  <si>
    <t>Karton EB</t>
  </si>
  <si>
    <t>Karton EC</t>
  </si>
  <si>
    <t>Karton ED</t>
  </si>
  <si>
    <t>Karton EE</t>
  </si>
  <si>
    <t>Karton EF</t>
  </si>
  <si>
    <t>Karton EG</t>
  </si>
  <si>
    <t>Karton EH</t>
  </si>
  <si>
    <t>Karton EI</t>
  </si>
  <si>
    <t>Karton EJ</t>
  </si>
  <si>
    <t>Karton EK</t>
  </si>
  <si>
    <t>Karton EL</t>
  </si>
  <si>
    <t>Karton EM</t>
  </si>
  <si>
    <t>Karton EN</t>
  </si>
  <si>
    <t>Karton EO</t>
  </si>
  <si>
    <t>Karton EP</t>
  </si>
  <si>
    <t>Karton EQ</t>
  </si>
  <si>
    <t>Karton ER</t>
  </si>
  <si>
    <t>Karton ES</t>
  </si>
  <si>
    <t>Karton ET</t>
  </si>
  <si>
    <t>Karton EU</t>
  </si>
  <si>
    <t>Karton EV</t>
  </si>
  <si>
    <t>Karton EW</t>
  </si>
  <si>
    <t>Karton EX</t>
  </si>
  <si>
    <t>Karton EY</t>
  </si>
  <si>
    <t>Karton EZ</t>
  </si>
  <si>
    <t>Karton FA</t>
  </si>
  <si>
    <t>Karton FB</t>
  </si>
  <si>
    <t>Karton FC</t>
  </si>
  <si>
    <t>Karton FD</t>
  </si>
  <si>
    <t>Karton FE</t>
  </si>
  <si>
    <t>Karton FF</t>
  </si>
  <si>
    <t>Karton FG</t>
  </si>
  <si>
    <t>HARGA</t>
  </si>
  <si>
    <t>KELUAR</t>
  </si>
  <si>
    <t>RATA-RATA</t>
  </si>
  <si>
    <t>BI RATE</t>
  </si>
  <si>
    <t>Ratio CC</t>
  </si>
  <si>
    <t>Target Ratio CC</t>
  </si>
  <si>
    <t>KATEGORI</t>
  </si>
  <si>
    <t>ITEM</t>
  </si>
  <si>
    <t>UOM</t>
  </si>
  <si>
    <t>SALDO AWAL</t>
  </si>
  <si>
    <t>MASUK 1</t>
  </si>
  <si>
    <t>MASUK 2</t>
  </si>
  <si>
    <t>KOREKSI</t>
  </si>
  <si>
    <t>KELUAR 1</t>
  </si>
  <si>
    <t>KELUAR 2</t>
  </si>
  <si>
    <t>SALDO AKHIR</t>
  </si>
  <si>
    <t>SALDO RATA-RATA</t>
  </si>
  <si>
    <t>HARI KERJA</t>
  </si>
  <si>
    <t>DOI</t>
  </si>
  <si>
    <t>DOI (hari)</t>
  </si>
  <si>
    <t>LEAD TIME (HARI)</t>
  </si>
  <si>
    <t>Month</t>
  </si>
  <si>
    <t>Waste / Reject Operational</t>
  </si>
  <si>
    <t>Average</t>
  </si>
  <si>
    <t>Saldo rata-rata</t>
  </si>
  <si>
    <t>Persentase</t>
  </si>
  <si>
    <t>Karton FX</t>
  </si>
  <si>
    <t>Karton FY</t>
  </si>
  <si>
    <t>Karton FZ</t>
  </si>
  <si>
    <t>Karton GA</t>
  </si>
  <si>
    <t>Karton GB</t>
  </si>
  <si>
    <t>Karton GC</t>
  </si>
  <si>
    <t>Karton GD</t>
  </si>
  <si>
    <t>Karton GE</t>
  </si>
  <si>
    <t>Karton GF</t>
  </si>
  <si>
    <t>Karton GG</t>
  </si>
  <si>
    <t>Karton GH</t>
  </si>
  <si>
    <t>Karton GI</t>
  </si>
  <si>
    <t>TOTAL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</si>
</sst>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Rp&quot;* #,##0_);_(&quot;Rp&quot;* \(#,##0\);_(&quot;Rp&quot;* &quot;-&quot;_);_(@_)"/>
    <numFmt numFmtId="166" formatCode="_(* #,##0_);_(* \(#,##0\);_(* &quot;-&quot;_);_(@_)"/>
    <numFmt numFmtId="167" formatCode="_-&quot;Rp&quot;* #,##0_-;\-&quot;Rp&quot;* #,##0_-;_-&quot;Rp&quot;* &quot;-&quot;??_-;_-@_-"/>
    <numFmt numFmtId="168" formatCode="0.000%"/>
    <numFmt numFmtId="169" formatCode="_-* #,##0_-;\-* #,##0_-;_-* &quot;-&quot;??_-;_-@_-"/>
    <numFmt numFmtId="170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u val="singleAccounting"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164" fontId="5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2" borderId="1" xfId="1" applyFont="1" applyFill="1" applyBorder="1" applyAlignment="1">
      <alignment horizontal="center" vertical="center" wrapText="1"/>
    </xf>
    <xf numFmtId="167" fontId="2" fillId="0" borderId="0" xfId="5" applyNumberFormat="1" applyFont="1" applyAlignment="1">
      <alignment horizontal="center"/>
    </xf>
    <xf numFmtId="0" fontId="1" fillId="0" borderId="0" xfId="0" applyFont="1" applyAlignment="1">
      <alignment horizontal="left"/>
    </xf>
    <xf numFmtId="10" fontId="1" fillId="0" borderId="0" xfId="6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/>
    </xf>
    <xf numFmtId="168" fontId="1" fillId="0" borderId="0" xfId="6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2" xfId="1" applyFont="1" applyFill="1" applyBorder="1" applyAlignment="1">
      <alignment horizontal="center" vertical="center" wrapText="1"/>
    </xf>
    <xf numFmtId="169" fontId="1" fillId="2" borderId="2" xfId="4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0" fontId="0" fillId="0" borderId="0" xfId="6" applyNumberFormat="1" applyFont="1" applyAlignment="1">
      <alignment horizontal="center"/>
    </xf>
    <xf numFmtId="169" fontId="0" fillId="0" borderId="0" xfId="4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0" fontId="7" fillId="0" borderId="0" xfId="6" applyNumberFormat="1" applyFont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170" fontId="11" fillId="0" borderId="0" xfId="2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</cellXfs>
  <cellStyles count="10">
    <cellStyle name="Comma" xfId="4" builtinId="3"/>
    <cellStyle name="Comma [0] 2" xfId="9" xr:uid="{415C000D-A784-4D24-B926-D15BEBA93673}"/>
    <cellStyle name="Comma 2" xfId="2" xr:uid="{996B7557-3DD4-4A07-8CB4-9916D8CB38F1}"/>
    <cellStyle name="Currency" xfId="5" builtinId="4"/>
    <cellStyle name="Currency [0] 2 3" xfId="8" xr:uid="{E374E5E2-089B-4DB8-B66B-1A59DEE8B04E}"/>
    <cellStyle name="Normal" xfId="0" builtinId="0"/>
    <cellStyle name="Normal 2" xfId="3" xr:uid="{6FF2F901-D70B-4485-8116-B7C9283963F6}"/>
    <cellStyle name="Normal 2 2" xfId="1" xr:uid="{F5A28951-5833-4022-843E-55CF04489305}"/>
    <cellStyle name="Normal 3 2" xfId="7" xr:uid="{92E333E3-06E8-4F3E-9BE1-34601EB5B018}"/>
    <cellStyle name="Percent" xfId="6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5484-2DE6-4ABD-96BB-67A392464BFF}">
  <dimension ref="A1:T151"/>
  <sheetViews>
    <sheetView topLeftCell="F1" workbookViewId="0">
      <pane ySplit="1" topLeftCell="A139" activePane="bottomLeft" state="frozen"/>
      <selection pane="bottomLeft" activeCell="S149" sqref="S149"/>
    </sheetView>
  </sheetViews>
  <sheetFormatPr defaultRowHeight="15" x14ac:dyDescent="0.25"/>
  <cols>
    <col min="1" max="1" width="15.140625" style="2" customWidth="1"/>
    <col min="2" max="2" width="13" style="6" bestFit="1" customWidth="1"/>
    <col min="3" max="3" width="7.5703125" style="6" customWidth="1"/>
    <col min="4" max="4" width="11.42578125" style="6" customWidth="1"/>
    <col min="5" max="5" width="10.42578125" style="6" customWidth="1"/>
    <col min="6" max="11" width="9.7109375" style="6" customWidth="1"/>
    <col min="12" max="12" width="11.42578125" style="6" customWidth="1"/>
    <col min="13" max="13" width="12.140625" style="6" customWidth="1"/>
    <col min="14" max="14" width="9.7109375" style="6" customWidth="1"/>
    <col min="15" max="15" width="8.5703125" style="6" customWidth="1"/>
    <col min="16" max="16" width="6.42578125" style="6" customWidth="1"/>
    <col min="17" max="17" width="15" style="6" customWidth="1"/>
    <col min="18" max="19" width="19.140625" style="6" customWidth="1"/>
    <col min="20" max="20" width="16.5703125" style="6" bestFit="1" customWidth="1"/>
    <col min="21" max="16384" width="9.140625" style="6"/>
  </cols>
  <sheetData>
    <row r="1" spans="1:19" s="16" customFormat="1" ht="36" customHeight="1" thickBot="1" x14ac:dyDescent="0.3">
      <c r="A1" s="9" t="s">
        <v>190</v>
      </c>
      <c r="B1" s="9" t="s">
        <v>189</v>
      </c>
      <c r="C1" s="9" t="s">
        <v>191</v>
      </c>
      <c r="D1" s="9" t="s">
        <v>203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221</v>
      </c>
      <c r="L1" s="9" t="s">
        <v>198</v>
      </c>
      <c r="M1" s="9" t="s">
        <v>199</v>
      </c>
      <c r="N1" s="9" t="s">
        <v>200</v>
      </c>
      <c r="O1" s="9" t="s">
        <v>201</v>
      </c>
      <c r="Q1" s="9" t="s">
        <v>183</v>
      </c>
      <c r="R1" s="9" t="s">
        <v>184</v>
      </c>
      <c r="S1" s="9" t="s">
        <v>185</v>
      </c>
    </row>
    <row r="2" spans="1:19" x14ac:dyDescent="0.25">
      <c r="A2" s="2" t="s">
        <v>20</v>
      </c>
      <c r="B2" s="6" t="s">
        <v>17</v>
      </c>
      <c r="C2" s="6" t="s">
        <v>19</v>
      </c>
      <c r="D2" s="6">
        <v>10</v>
      </c>
      <c r="E2" s="6">
        <v>35400</v>
      </c>
      <c r="F2" s="6">
        <v>136120</v>
      </c>
      <c r="G2" s="6">
        <v>0</v>
      </c>
      <c r="H2" s="6">
        <v>0</v>
      </c>
      <c r="I2" s="6">
        <v>169060</v>
      </c>
      <c r="J2" s="6">
        <v>50</v>
      </c>
      <c r="K2" s="6">
        <f>I2+J2</f>
        <v>169110</v>
      </c>
      <c r="L2" s="6">
        <v>2410</v>
      </c>
      <c r="M2" s="6">
        <v>31855.714285714297</v>
      </c>
      <c r="N2" s="6">
        <v>26</v>
      </c>
      <c r="O2" s="8">
        <f>(M2/(I2+J2))*N2</f>
        <v>4.8976912744874443</v>
      </c>
      <c r="Q2" s="10">
        <v>2129</v>
      </c>
      <c r="R2" s="10">
        <f>Q2*(I2+J2)</f>
        <v>360035190</v>
      </c>
      <c r="S2" s="10">
        <f>Q2*M2</f>
        <v>67820815.714285731</v>
      </c>
    </row>
    <row r="3" spans="1:19" x14ac:dyDescent="0.25">
      <c r="A3" s="2" t="s">
        <v>21</v>
      </c>
      <c r="B3" s="6" t="s">
        <v>16</v>
      </c>
      <c r="C3" s="6" t="s">
        <v>19</v>
      </c>
      <c r="D3" s="6">
        <v>10</v>
      </c>
      <c r="E3" s="6">
        <v>0</v>
      </c>
      <c r="F3" s="6">
        <v>294700</v>
      </c>
      <c r="G3" s="6">
        <v>0</v>
      </c>
      <c r="H3" s="6">
        <v>0</v>
      </c>
      <c r="I3" s="6">
        <v>254665</v>
      </c>
      <c r="J3" s="6">
        <v>962</v>
      </c>
      <c r="K3" s="6">
        <f t="shared" ref="K3:K66" si="0">I3+J3</f>
        <v>255627</v>
      </c>
      <c r="L3" s="6">
        <v>39073</v>
      </c>
      <c r="M3" s="6">
        <v>44052.411764705903</v>
      </c>
      <c r="N3" s="6">
        <v>26</v>
      </c>
      <c r="O3" s="8">
        <f t="shared" ref="O3:O66" si="1">(M3/(I3+J3))*N3</f>
        <v>4.4806014461788211</v>
      </c>
      <c r="Q3" s="10">
        <v>2129</v>
      </c>
      <c r="R3" s="10">
        <f t="shared" ref="R3:R66" si="2">Q3*(I3+J3)</f>
        <v>544229883</v>
      </c>
      <c r="S3" s="10">
        <f t="shared" ref="S3:S66" si="3">Q3*M3</f>
        <v>93787584.647058874</v>
      </c>
    </row>
    <row r="4" spans="1:19" x14ac:dyDescent="0.25">
      <c r="A4" s="2" t="s">
        <v>22</v>
      </c>
      <c r="B4" s="6" t="s">
        <v>17</v>
      </c>
      <c r="C4" s="6" t="s">
        <v>19</v>
      </c>
      <c r="D4" s="6">
        <v>10</v>
      </c>
      <c r="E4" s="6">
        <v>1525</v>
      </c>
      <c r="F4" s="6">
        <v>20375</v>
      </c>
      <c r="G4" s="6">
        <v>0</v>
      </c>
      <c r="H4" s="6">
        <v>0</v>
      </c>
      <c r="I4" s="6">
        <v>16300</v>
      </c>
      <c r="J4" s="6">
        <v>0</v>
      </c>
      <c r="K4" s="6">
        <f t="shared" si="0"/>
        <v>16300</v>
      </c>
      <c r="L4" s="6">
        <v>5600</v>
      </c>
      <c r="M4" s="6">
        <v>6396.1538461538494</v>
      </c>
      <c r="N4" s="6">
        <v>26</v>
      </c>
      <c r="O4" s="8">
        <f t="shared" si="1"/>
        <v>10.202453987730065</v>
      </c>
      <c r="Q4" s="10">
        <v>2129</v>
      </c>
      <c r="R4" s="10">
        <f t="shared" si="2"/>
        <v>34702700</v>
      </c>
      <c r="S4" s="10">
        <f t="shared" si="3"/>
        <v>13617411.538461545</v>
      </c>
    </row>
    <row r="5" spans="1:19" x14ac:dyDescent="0.25">
      <c r="A5" s="2" t="s">
        <v>23</v>
      </c>
      <c r="B5" s="6" t="s">
        <v>17</v>
      </c>
      <c r="C5" s="6" t="s">
        <v>19</v>
      </c>
      <c r="D5" s="6">
        <v>10</v>
      </c>
      <c r="E5" s="6">
        <v>1625</v>
      </c>
      <c r="F5" s="6">
        <v>0</v>
      </c>
      <c r="G5" s="6">
        <v>0</v>
      </c>
      <c r="H5" s="6">
        <v>0</v>
      </c>
      <c r="I5" s="6">
        <v>1050</v>
      </c>
      <c r="J5" s="6">
        <v>0</v>
      </c>
      <c r="K5" s="6">
        <f t="shared" si="0"/>
        <v>1050</v>
      </c>
      <c r="L5" s="6">
        <v>575</v>
      </c>
      <c r="M5" s="6">
        <v>1183.3333333333301</v>
      </c>
      <c r="N5" s="6">
        <v>26</v>
      </c>
      <c r="O5" s="8">
        <f t="shared" si="1"/>
        <v>29.301587301587219</v>
      </c>
      <c r="Q5" s="10">
        <v>2131</v>
      </c>
      <c r="R5" s="10">
        <f t="shared" si="2"/>
        <v>2237550</v>
      </c>
      <c r="S5" s="10">
        <f t="shared" si="3"/>
        <v>2521683.3333333265</v>
      </c>
    </row>
    <row r="6" spans="1:19" x14ac:dyDescent="0.25">
      <c r="A6" s="2" t="s">
        <v>24</v>
      </c>
      <c r="B6" s="6" t="s">
        <v>17</v>
      </c>
      <c r="C6" s="6" t="s">
        <v>19</v>
      </c>
      <c r="D6" s="6">
        <v>10</v>
      </c>
      <c r="E6" s="6">
        <v>16982</v>
      </c>
      <c r="F6" s="6">
        <v>0</v>
      </c>
      <c r="G6" s="6">
        <v>0</v>
      </c>
      <c r="H6" s="6">
        <v>0</v>
      </c>
      <c r="I6" s="6">
        <v>3625</v>
      </c>
      <c r="J6" s="6">
        <v>0</v>
      </c>
      <c r="K6" s="6">
        <f t="shared" si="0"/>
        <v>3625</v>
      </c>
      <c r="L6" s="6">
        <v>13357</v>
      </c>
      <c r="M6" s="6">
        <v>14523.666666666701</v>
      </c>
      <c r="N6" s="6">
        <v>26</v>
      </c>
      <c r="O6" s="8">
        <f t="shared" si="1"/>
        <v>104.16974712643703</v>
      </c>
      <c r="Q6" s="10">
        <v>2131</v>
      </c>
      <c r="R6" s="10">
        <f t="shared" si="2"/>
        <v>7724875</v>
      </c>
      <c r="S6" s="10">
        <f t="shared" si="3"/>
        <v>30949933.666666739</v>
      </c>
    </row>
    <row r="7" spans="1:19" x14ac:dyDescent="0.25">
      <c r="A7" s="2" t="s">
        <v>25</v>
      </c>
      <c r="B7" s="6" t="s">
        <v>16</v>
      </c>
      <c r="C7" s="6" t="s">
        <v>19</v>
      </c>
      <c r="D7" s="6">
        <v>10</v>
      </c>
      <c r="E7" s="6">
        <v>117751</v>
      </c>
      <c r="F7" s="6">
        <v>452861</v>
      </c>
      <c r="G7" s="6">
        <v>0</v>
      </c>
      <c r="H7" s="6">
        <v>0</v>
      </c>
      <c r="I7" s="6">
        <v>494755</v>
      </c>
      <c r="J7" s="6">
        <v>4522</v>
      </c>
      <c r="K7" s="6">
        <f t="shared" si="0"/>
        <v>499277</v>
      </c>
      <c r="L7" s="6">
        <v>71335</v>
      </c>
      <c r="M7" s="6">
        <v>54571.307692307702</v>
      </c>
      <c r="N7" s="6">
        <v>26</v>
      </c>
      <c r="O7" s="8">
        <f t="shared" si="1"/>
        <v>2.8418172677691946</v>
      </c>
      <c r="Q7" s="10">
        <v>1910</v>
      </c>
      <c r="R7" s="10">
        <f t="shared" si="2"/>
        <v>953619070</v>
      </c>
      <c r="S7" s="10">
        <f t="shared" si="3"/>
        <v>104231197.69230771</v>
      </c>
    </row>
    <row r="8" spans="1:19" x14ac:dyDescent="0.25">
      <c r="A8" s="2" t="s">
        <v>26</v>
      </c>
      <c r="B8" s="6" t="s">
        <v>16</v>
      </c>
      <c r="C8" s="6" t="s">
        <v>19</v>
      </c>
      <c r="D8" s="6">
        <v>10</v>
      </c>
      <c r="E8" s="6">
        <v>6115</v>
      </c>
      <c r="F8" s="6">
        <v>57225</v>
      </c>
      <c r="G8" s="6">
        <v>0</v>
      </c>
      <c r="H8" s="6">
        <v>0</v>
      </c>
      <c r="I8" s="6">
        <v>47725</v>
      </c>
      <c r="J8" s="6">
        <v>0</v>
      </c>
      <c r="K8" s="6">
        <f t="shared" si="0"/>
        <v>47725</v>
      </c>
      <c r="L8" s="6">
        <v>15615</v>
      </c>
      <c r="M8" s="6">
        <v>18343.75</v>
      </c>
      <c r="N8" s="6">
        <v>26</v>
      </c>
      <c r="O8" s="8">
        <f t="shared" si="1"/>
        <v>9.9934520691461497</v>
      </c>
      <c r="Q8" s="10">
        <v>2217</v>
      </c>
      <c r="R8" s="10">
        <f t="shared" si="2"/>
        <v>105806325</v>
      </c>
      <c r="S8" s="10">
        <f t="shared" si="3"/>
        <v>40668093.75</v>
      </c>
    </row>
    <row r="9" spans="1:19" x14ac:dyDescent="0.25">
      <c r="A9" s="2" t="s">
        <v>27</v>
      </c>
      <c r="B9" s="6" t="s">
        <v>17</v>
      </c>
      <c r="C9" s="6" t="s">
        <v>19</v>
      </c>
      <c r="D9" s="6">
        <v>10</v>
      </c>
      <c r="E9" s="6">
        <v>13125</v>
      </c>
      <c r="F9" s="6">
        <v>6985</v>
      </c>
      <c r="G9" s="6">
        <v>0</v>
      </c>
      <c r="H9" s="6">
        <v>0</v>
      </c>
      <c r="I9" s="6">
        <v>1700</v>
      </c>
      <c r="J9" s="6">
        <v>0</v>
      </c>
      <c r="K9" s="6">
        <f t="shared" si="0"/>
        <v>1700</v>
      </c>
      <c r="L9" s="6">
        <v>18410</v>
      </c>
      <c r="M9" s="6">
        <v>18363.75</v>
      </c>
      <c r="N9" s="6">
        <v>26</v>
      </c>
      <c r="O9" s="8">
        <f t="shared" si="1"/>
        <v>280.85735294117649</v>
      </c>
      <c r="Q9" s="10">
        <v>2131</v>
      </c>
      <c r="R9" s="10">
        <f t="shared" si="2"/>
        <v>3622700</v>
      </c>
      <c r="S9" s="10">
        <f t="shared" si="3"/>
        <v>39133151.25</v>
      </c>
    </row>
    <row r="10" spans="1:19" x14ac:dyDescent="0.25">
      <c r="A10" s="2" t="s">
        <v>28</v>
      </c>
      <c r="B10" s="6" t="s">
        <v>17</v>
      </c>
      <c r="C10" s="6" t="s">
        <v>19</v>
      </c>
      <c r="D10" s="6">
        <v>10</v>
      </c>
      <c r="E10" s="6">
        <v>5524</v>
      </c>
      <c r="F10" s="6">
        <v>1050</v>
      </c>
      <c r="G10" s="6">
        <v>0</v>
      </c>
      <c r="H10" s="6">
        <v>0</v>
      </c>
      <c r="I10" s="6">
        <v>1150</v>
      </c>
      <c r="J10" s="6">
        <v>0</v>
      </c>
      <c r="K10" s="6">
        <f t="shared" si="0"/>
        <v>1150</v>
      </c>
      <c r="L10" s="6">
        <v>5424</v>
      </c>
      <c r="M10" s="6">
        <v>5674</v>
      </c>
      <c r="N10" s="6">
        <v>26</v>
      </c>
      <c r="O10" s="8">
        <f t="shared" si="1"/>
        <v>128.28173913043477</v>
      </c>
      <c r="Q10" s="10">
        <v>2131</v>
      </c>
      <c r="R10" s="10">
        <f t="shared" si="2"/>
        <v>2450650</v>
      </c>
      <c r="S10" s="10">
        <f t="shared" si="3"/>
        <v>12091294</v>
      </c>
    </row>
    <row r="11" spans="1:19" x14ac:dyDescent="0.25">
      <c r="A11" s="2" t="s">
        <v>29</v>
      </c>
      <c r="B11" s="6" t="s">
        <v>16</v>
      </c>
      <c r="C11" s="6" t="s">
        <v>19</v>
      </c>
      <c r="D11" s="6">
        <v>10</v>
      </c>
      <c r="E11" s="6">
        <v>18100</v>
      </c>
      <c r="F11" s="6">
        <v>45175</v>
      </c>
      <c r="G11" s="6">
        <v>0</v>
      </c>
      <c r="H11" s="6">
        <v>0</v>
      </c>
      <c r="I11" s="6">
        <v>48295</v>
      </c>
      <c r="J11" s="6">
        <v>305</v>
      </c>
      <c r="K11" s="6">
        <f t="shared" si="0"/>
        <v>48600</v>
      </c>
      <c r="L11" s="6">
        <v>14675</v>
      </c>
      <c r="M11" s="6">
        <v>15035</v>
      </c>
      <c r="N11" s="6">
        <v>26</v>
      </c>
      <c r="O11" s="8">
        <f t="shared" si="1"/>
        <v>8.0434156378600825</v>
      </c>
      <c r="Q11" s="10">
        <v>1691</v>
      </c>
      <c r="R11" s="10">
        <f t="shared" si="2"/>
        <v>82182600</v>
      </c>
      <c r="S11" s="10">
        <f t="shared" si="3"/>
        <v>25424185</v>
      </c>
    </row>
    <row r="12" spans="1:19" x14ac:dyDescent="0.25">
      <c r="A12" s="2" t="s">
        <v>30</v>
      </c>
      <c r="B12" s="6" t="s">
        <v>17</v>
      </c>
      <c r="C12" s="6" t="s">
        <v>19</v>
      </c>
      <c r="D12" s="6">
        <v>10</v>
      </c>
      <c r="E12" s="6">
        <v>16300</v>
      </c>
      <c r="F12" s="6">
        <v>430000</v>
      </c>
      <c r="G12" s="6">
        <v>0</v>
      </c>
      <c r="H12" s="6">
        <v>0</v>
      </c>
      <c r="I12" s="6">
        <v>407500</v>
      </c>
      <c r="J12" s="6">
        <v>0</v>
      </c>
      <c r="K12" s="6">
        <f t="shared" si="0"/>
        <v>407500</v>
      </c>
      <c r="L12" s="6">
        <v>38800</v>
      </c>
      <c r="M12" s="6">
        <v>34559.615384615405</v>
      </c>
      <c r="N12" s="6">
        <v>26</v>
      </c>
      <c r="O12" s="8">
        <f t="shared" si="1"/>
        <v>2.2050306748466268</v>
      </c>
      <c r="Q12" s="10">
        <v>1694</v>
      </c>
      <c r="R12" s="10">
        <f t="shared" si="2"/>
        <v>690305000</v>
      </c>
      <c r="S12" s="10">
        <f t="shared" si="3"/>
        <v>58543988.461538494</v>
      </c>
    </row>
    <row r="13" spans="1:19" x14ac:dyDescent="0.25">
      <c r="A13" s="2" t="s">
        <v>31</v>
      </c>
      <c r="B13" s="6" t="s">
        <v>17</v>
      </c>
      <c r="C13" s="6" t="s">
        <v>19</v>
      </c>
      <c r="D13" s="6">
        <v>10</v>
      </c>
      <c r="E13" s="6">
        <v>0</v>
      </c>
      <c r="F13" s="6">
        <v>9975</v>
      </c>
      <c r="G13" s="6">
        <v>0</v>
      </c>
      <c r="H13" s="6">
        <v>0</v>
      </c>
      <c r="I13" s="6">
        <v>9025</v>
      </c>
      <c r="J13" s="6">
        <v>0</v>
      </c>
      <c r="K13" s="6">
        <f t="shared" si="0"/>
        <v>9025</v>
      </c>
      <c r="L13" s="6">
        <v>950</v>
      </c>
      <c r="M13" s="6">
        <v>1641.6666666666702</v>
      </c>
      <c r="N13" s="6">
        <v>26</v>
      </c>
      <c r="O13" s="8">
        <f t="shared" si="1"/>
        <v>4.7294552169898525</v>
      </c>
      <c r="Q13" s="10">
        <v>1694</v>
      </c>
      <c r="R13" s="10">
        <f t="shared" si="2"/>
        <v>15288350</v>
      </c>
      <c r="S13" s="10">
        <f t="shared" si="3"/>
        <v>2780983.3333333391</v>
      </c>
    </row>
    <row r="14" spans="1:19" x14ac:dyDescent="0.25">
      <c r="A14" s="2" t="s">
        <v>32</v>
      </c>
      <c r="B14" s="6" t="s">
        <v>16</v>
      </c>
      <c r="C14" s="6" t="s">
        <v>19</v>
      </c>
      <c r="D14" s="6">
        <v>10</v>
      </c>
      <c r="E14" s="6">
        <v>35588</v>
      </c>
      <c r="F14" s="6">
        <v>48092</v>
      </c>
      <c r="G14" s="6">
        <v>0</v>
      </c>
      <c r="H14" s="6">
        <v>0</v>
      </c>
      <c r="I14" s="6">
        <v>20645</v>
      </c>
      <c r="J14" s="6">
        <v>0</v>
      </c>
      <c r="K14" s="6">
        <f t="shared" si="0"/>
        <v>20645</v>
      </c>
      <c r="L14" s="6">
        <v>63035</v>
      </c>
      <c r="M14" s="6">
        <v>66107.714285714304</v>
      </c>
      <c r="N14" s="6">
        <v>26</v>
      </c>
      <c r="O14" s="8">
        <f t="shared" si="1"/>
        <v>83.255053108673863</v>
      </c>
      <c r="Q14" s="10">
        <v>1890</v>
      </c>
      <c r="R14" s="10">
        <f t="shared" si="2"/>
        <v>39019050</v>
      </c>
      <c r="S14" s="10">
        <f t="shared" si="3"/>
        <v>124943580.00000003</v>
      </c>
    </row>
    <row r="15" spans="1:19" x14ac:dyDescent="0.25">
      <c r="A15" s="2" t="s">
        <v>33</v>
      </c>
      <c r="B15" s="6" t="s">
        <v>16</v>
      </c>
      <c r="C15" s="6" t="s">
        <v>19</v>
      </c>
      <c r="D15" s="6">
        <v>10</v>
      </c>
      <c r="E15" s="6">
        <v>73500</v>
      </c>
      <c r="F15" s="6">
        <v>333100</v>
      </c>
      <c r="G15" s="6">
        <v>0</v>
      </c>
      <c r="H15" s="6">
        <v>0</v>
      </c>
      <c r="I15" s="6">
        <v>371950</v>
      </c>
      <c r="J15" s="6">
        <v>150</v>
      </c>
      <c r="K15" s="6">
        <f t="shared" si="0"/>
        <v>372100</v>
      </c>
      <c r="L15" s="6">
        <v>34500</v>
      </c>
      <c r="M15" s="6">
        <v>46570.192307692305</v>
      </c>
      <c r="N15" s="6">
        <v>26</v>
      </c>
      <c r="O15" s="8">
        <f t="shared" si="1"/>
        <v>3.2540311744154797</v>
      </c>
      <c r="Q15" s="10">
        <v>2216</v>
      </c>
      <c r="R15" s="10">
        <f t="shared" si="2"/>
        <v>824573600</v>
      </c>
      <c r="S15" s="10">
        <f t="shared" si="3"/>
        <v>103199546.15384614</v>
      </c>
    </row>
    <row r="16" spans="1:19" x14ac:dyDescent="0.25">
      <c r="A16" s="2" t="s">
        <v>34</v>
      </c>
      <c r="B16" s="6" t="s">
        <v>17</v>
      </c>
      <c r="C16" s="6" t="s">
        <v>19</v>
      </c>
      <c r="D16" s="6">
        <v>10</v>
      </c>
      <c r="E16" s="6">
        <v>48550</v>
      </c>
      <c r="F16" s="6">
        <v>320725</v>
      </c>
      <c r="G16" s="6">
        <v>0</v>
      </c>
      <c r="H16" s="6">
        <v>0</v>
      </c>
      <c r="I16" s="6">
        <v>327115</v>
      </c>
      <c r="J16" s="6">
        <v>125</v>
      </c>
      <c r="K16" s="6">
        <f t="shared" si="0"/>
        <v>327240</v>
      </c>
      <c r="L16" s="6">
        <v>42035</v>
      </c>
      <c r="M16" s="6">
        <v>61236.730769230802</v>
      </c>
      <c r="N16" s="6">
        <v>26</v>
      </c>
      <c r="O16" s="8">
        <f t="shared" si="1"/>
        <v>4.8654045960151597</v>
      </c>
      <c r="Q16" s="10">
        <v>2846</v>
      </c>
      <c r="R16" s="10">
        <f t="shared" si="2"/>
        <v>931325040</v>
      </c>
      <c r="S16" s="10">
        <f t="shared" si="3"/>
        <v>174279735.76923087</v>
      </c>
    </row>
    <row r="17" spans="1:19" x14ac:dyDescent="0.25">
      <c r="A17" s="2" t="s">
        <v>35</v>
      </c>
      <c r="B17" s="6" t="s">
        <v>16</v>
      </c>
      <c r="C17" s="6" t="s">
        <v>19</v>
      </c>
      <c r="D17" s="6">
        <v>10</v>
      </c>
      <c r="E17" s="6">
        <v>25358</v>
      </c>
      <c r="F17" s="6">
        <v>178750</v>
      </c>
      <c r="G17" s="6">
        <v>0</v>
      </c>
      <c r="H17" s="6">
        <v>0</v>
      </c>
      <c r="I17" s="6">
        <v>188750</v>
      </c>
      <c r="J17" s="6">
        <v>0</v>
      </c>
      <c r="K17" s="6">
        <f t="shared" si="0"/>
        <v>188750</v>
      </c>
      <c r="L17" s="6">
        <v>15358</v>
      </c>
      <c r="M17" s="6">
        <v>20558</v>
      </c>
      <c r="N17" s="6">
        <v>26</v>
      </c>
      <c r="O17" s="8">
        <f t="shared" si="1"/>
        <v>2.8318304635761589</v>
      </c>
      <c r="Q17" s="10">
        <v>2129</v>
      </c>
      <c r="R17" s="10">
        <f t="shared" si="2"/>
        <v>401848750</v>
      </c>
      <c r="S17" s="10">
        <f t="shared" si="3"/>
        <v>43767982</v>
      </c>
    </row>
    <row r="18" spans="1:19" x14ac:dyDescent="0.25">
      <c r="A18" s="2" t="s">
        <v>36</v>
      </c>
      <c r="B18" s="6" t="s">
        <v>17</v>
      </c>
      <c r="C18" s="6" t="s">
        <v>19</v>
      </c>
      <c r="D18" s="6">
        <v>10</v>
      </c>
      <c r="E18" s="6">
        <v>2444</v>
      </c>
      <c r="F18" s="6">
        <v>3090</v>
      </c>
      <c r="G18" s="6">
        <v>0</v>
      </c>
      <c r="H18" s="6">
        <v>0</v>
      </c>
      <c r="I18" s="6">
        <v>4634</v>
      </c>
      <c r="J18" s="6">
        <v>0</v>
      </c>
      <c r="K18" s="6">
        <f t="shared" si="0"/>
        <v>4634</v>
      </c>
      <c r="L18" s="6">
        <v>900</v>
      </c>
      <c r="M18" s="6">
        <v>3419</v>
      </c>
      <c r="N18" s="6">
        <v>26</v>
      </c>
      <c r="O18" s="8">
        <f t="shared" si="1"/>
        <v>19.182995252481657</v>
      </c>
      <c r="Q18" s="10">
        <v>2129</v>
      </c>
      <c r="R18" s="10">
        <f t="shared" si="2"/>
        <v>9865786</v>
      </c>
      <c r="S18" s="10">
        <f t="shared" si="3"/>
        <v>7279051</v>
      </c>
    </row>
    <row r="19" spans="1:19" x14ac:dyDescent="0.25">
      <c r="A19" s="2" t="s">
        <v>37</v>
      </c>
      <c r="B19" s="6" t="s">
        <v>16</v>
      </c>
      <c r="C19" s="6" t="s">
        <v>19</v>
      </c>
      <c r="D19" s="6">
        <v>10</v>
      </c>
      <c r="E19" s="6">
        <v>21587</v>
      </c>
      <c r="F19" s="6">
        <v>111325</v>
      </c>
      <c r="G19" s="6">
        <v>0</v>
      </c>
      <c r="H19" s="6">
        <v>0</v>
      </c>
      <c r="I19" s="6">
        <v>105818</v>
      </c>
      <c r="J19" s="6">
        <v>567</v>
      </c>
      <c r="K19" s="6">
        <f t="shared" si="0"/>
        <v>106385</v>
      </c>
      <c r="L19" s="6">
        <v>26527</v>
      </c>
      <c r="M19" s="6">
        <v>20419.52</v>
      </c>
      <c r="N19" s="6">
        <v>26</v>
      </c>
      <c r="O19" s="8">
        <f t="shared" si="1"/>
        <v>4.9904358697184756</v>
      </c>
      <c r="Q19" s="10">
        <v>2263</v>
      </c>
      <c r="R19" s="10">
        <f t="shared" si="2"/>
        <v>240749255</v>
      </c>
      <c r="S19" s="10">
        <f t="shared" si="3"/>
        <v>46209373.759999998</v>
      </c>
    </row>
    <row r="20" spans="1:19" x14ac:dyDescent="0.25">
      <c r="A20" s="2" t="s">
        <v>38</v>
      </c>
      <c r="B20" s="6" t="s">
        <v>17</v>
      </c>
      <c r="C20" s="6" t="s">
        <v>19</v>
      </c>
      <c r="D20" s="6">
        <v>10</v>
      </c>
      <c r="E20" s="6">
        <v>18214</v>
      </c>
      <c r="F20" s="6">
        <v>57254</v>
      </c>
      <c r="G20" s="6">
        <v>0</v>
      </c>
      <c r="H20" s="6">
        <v>0</v>
      </c>
      <c r="I20" s="6">
        <v>46579</v>
      </c>
      <c r="J20" s="6">
        <v>0</v>
      </c>
      <c r="K20" s="6">
        <f t="shared" si="0"/>
        <v>46579</v>
      </c>
      <c r="L20" s="6">
        <v>28889</v>
      </c>
      <c r="M20" s="6">
        <v>24394.684210526299</v>
      </c>
      <c r="N20" s="6">
        <v>26</v>
      </c>
      <c r="O20" s="8">
        <f t="shared" si="1"/>
        <v>13.616904387678648</v>
      </c>
      <c r="Q20" s="10">
        <v>2263</v>
      </c>
      <c r="R20" s="10">
        <f t="shared" si="2"/>
        <v>105408277</v>
      </c>
      <c r="S20" s="10">
        <f t="shared" si="3"/>
        <v>55205170.368421011</v>
      </c>
    </row>
    <row r="21" spans="1:19" x14ac:dyDescent="0.25">
      <c r="A21" s="2" t="s">
        <v>39</v>
      </c>
      <c r="B21" s="6" t="s">
        <v>17</v>
      </c>
      <c r="C21" s="6" t="s">
        <v>19</v>
      </c>
      <c r="D21" s="6">
        <v>10</v>
      </c>
      <c r="E21" s="6">
        <v>1300</v>
      </c>
      <c r="F21" s="6">
        <v>3000</v>
      </c>
      <c r="G21" s="6">
        <v>0</v>
      </c>
      <c r="H21" s="6">
        <v>0</v>
      </c>
      <c r="I21" s="6">
        <v>2000</v>
      </c>
      <c r="J21" s="6">
        <v>0</v>
      </c>
      <c r="K21" s="6">
        <f t="shared" si="0"/>
        <v>2000</v>
      </c>
      <c r="L21" s="6">
        <v>2300</v>
      </c>
      <c r="M21" s="6">
        <v>2050</v>
      </c>
      <c r="N21" s="6">
        <v>26</v>
      </c>
      <c r="O21" s="8">
        <f t="shared" si="1"/>
        <v>26.65</v>
      </c>
      <c r="Q21" s="10">
        <v>2732</v>
      </c>
      <c r="R21" s="10">
        <f t="shared" si="2"/>
        <v>5464000</v>
      </c>
      <c r="S21" s="10">
        <f t="shared" si="3"/>
        <v>5600600</v>
      </c>
    </row>
    <row r="22" spans="1:19" x14ac:dyDescent="0.25">
      <c r="A22" s="2" t="s">
        <v>40</v>
      </c>
      <c r="B22" s="6" t="s">
        <v>17</v>
      </c>
      <c r="C22" s="6" t="s">
        <v>19</v>
      </c>
      <c r="D22" s="6">
        <v>10</v>
      </c>
      <c r="E22" s="6">
        <v>6425</v>
      </c>
      <c r="F22" s="6">
        <v>5156</v>
      </c>
      <c r="G22" s="6">
        <v>0</v>
      </c>
      <c r="H22" s="6">
        <v>0</v>
      </c>
      <c r="I22" s="6">
        <v>4762</v>
      </c>
      <c r="J22" s="6">
        <v>0</v>
      </c>
      <c r="K22" s="6">
        <f t="shared" si="0"/>
        <v>4762</v>
      </c>
      <c r="L22" s="6">
        <v>6819</v>
      </c>
      <c r="M22" s="6">
        <v>9160.3333333333303</v>
      </c>
      <c r="N22" s="6">
        <v>26</v>
      </c>
      <c r="O22" s="8">
        <f t="shared" si="1"/>
        <v>50.014419711605754</v>
      </c>
      <c r="Q22" s="10">
        <v>2962</v>
      </c>
      <c r="R22" s="10">
        <f t="shared" si="2"/>
        <v>14105044</v>
      </c>
      <c r="S22" s="10">
        <f t="shared" si="3"/>
        <v>27132907.333333325</v>
      </c>
    </row>
    <row r="23" spans="1:19" x14ac:dyDescent="0.25">
      <c r="A23" s="2" t="s">
        <v>41</v>
      </c>
      <c r="B23" s="6" t="s">
        <v>17</v>
      </c>
      <c r="C23" s="6" t="s">
        <v>19</v>
      </c>
      <c r="D23" s="6">
        <v>10</v>
      </c>
      <c r="E23" s="6">
        <v>124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f t="shared" si="0"/>
        <v>0</v>
      </c>
      <c r="L23" s="6">
        <v>124</v>
      </c>
      <c r="M23" s="6">
        <v>0</v>
      </c>
      <c r="N23" s="6">
        <v>26</v>
      </c>
      <c r="O23" s="8">
        <v>0</v>
      </c>
      <c r="Q23" s="10">
        <v>2263</v>
      </c>
      <c r="R23" s="10">
        <f t="shared" si="2"/>
        <v>0</v>
      </c>
      <c r="S23" s="10">
        <f t="shared" si="3"/>
        <v>0</v>
      </c>
    </row>
    <row r="24" spans="1:19" x14ac:dyDescent="0.25">
      <c r="A24" s="2" t="s">
        <v>42</v>
      </c>
      <c r="B24" s="6" t="s">
        <v>17</v>
      </c>
      <c r="C24" s="6" t="s">
        <v>19</v>
      </c>
      <c r="D24" s="6">
        <v>10</v>
      </c>
      <c r="E24" s="6">
        <v>770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si="0"/>
        <v>0</v>
      </c>
      <c r="L24" s="6">
        <v>770</v>
      </c>
      <c r="M24" s="6">
        <v>0</v>
      </c>
      <c r="N24" s="6">
        <v>26</v>
      </c>
      <c r="O24" s="8">
        <v>0</v>
      </c>
      <c r="Q24" s="10">
        <v>2263</v>
      </c>
      <c r="R24" s="10">
        <f t="shared" si="2"/>
        <v>0</v>
      </c>
      <c r="S24" s="10">
        <f t="shared" si="3"/>
        <v>0</v>
      </c>
    </row>
    <row r="25" spans="1:19" x14ac:dyDescent="0.25">
      <c r="A25" s="2" t="s">
        <v>43</v>
      </c>
      <c r="B25" s="6" t="s">
        <v>17</v>
      </c>
      <c r="C25" s="6" t="s">
        <v>19</v>
      </c>
      <c r="D25" s="6">
        <v>10</v>
      </c>
      <c r="E25" s="6">
        <v>41315</v>
      </c>
      <c r="F25" s="6">
        <v>83750</v>
      </c>
      <c r="G25" s="6">
        <v>0</v>
      </c>
      <c r="H25" s="6">
        <v>0</v>
      </c>
      <c r="I25" s="6">
        <v>113750</v>
      </c>
      <c r="J25" s="6">
        <v>0</v>
      </c>
      <c r="K25" s="6">
        <f t="shared" si="0"/>
        <v>113750</v>
      </c>
      <c r="L25" s="6">
        <v>11315</v>
      </c>
      <c r="M25" s="6">
        <v>17565</v>
      </c>
      <c r="N25" s="6">
        <v>26</v>
      </c>
      <c r="O25" s="8">
        <f t="shared" si="1"/>
        <v>4.0148571428571422</v>
      </c>
      <c r="Q25" s="10">
        <v>2268</v>
      </c>
      <c r="R25" s="10">
        <f t="shared" si="2"/>
        <v>257985000</v>
      </c>
      <c r="S25" s="10">
        <f t="shared" si="3"/>
        <v>39837420</v>
      </c>
    </row>
    <row r="26" spans="1:19" x14ac:dyDescent="0.25">
      <c r="A26" s="2" t="s">
        <v>44</v>
      </c>
      <c r="B26" s="6" t="s">
        <v>17</v>
      </c>
      <c r="C26" s="6" t="s">
        <v>19</v>
      </c>
      <c r="D26" s="6">
        <v>10</v>
      </c>
      <c r="E26" s="6">
        <v>10250</v>
      </c>
      <c r="F26" s="6">
        <v>8283</v>
      </c>
      <c r="G26" s="6">
        <v>0</v>
      </c>
      <c r="H26" s="6">
        <v>0</v>
      </c>
      <c r="I26" s="6">
        <v>11833</v>
      </c>
      <c r="J26" s="6">
        <v>0</v>
      </c>
      <c r="K26" s="6">
        <f t="shared" si="0"/>
        <v>11833</v>
      </c>
      <c r="L26" s="6">
        <v>6700</v>
      </c>
      <c r="M26" s="6">
        <v>10366.5714285714</v>
      </c>
      <c r="N26" s="6">
        <v>26</v>
      </c>
      <c r="O26" s="8">
        <f t="shared" si="1"/>
        <v>22.777897164105163</v>
      </c>
      <c r="Q26" s="10">
        <v>1956</v>
      </c>
      <c r="R26" s="10">
        <f t="shared" si="2"/>
        <v>23145348</v>
      </c>
      <c r="S26" s="10">
        <f t="shared" si="3"/>
        <v>20277013.714285661</v>
      </c>
    </row>
    <row r="27" spans="1:19" x14ac:dyDescent="0.25">
      <c r="A27" s="2" t="s">
        <v>45</v>
      </c>
      <c r="B27" s="6" t="s">
        <v>16</v>
      </c>
      <c r="C27" s="6" t="s">
        <v>19</v>
      </c>
      <c r="D27" s="6">
        <v>10</v>
      </c>
      <c r="E27" s="6">
        <v>56525</v>
      </c>
      <c r="F27" s="6">
        <v>253500</v>
      </c>
      <c r="G27" s="6">
        <v>0</v>
      </c>
      <c r="H27" s="6">
        <v>0</v>
      </c>
      <c r="I27" s="6">
        <v>281324</v>
      </c>
      <c r="J27" s="6">
        <v>96</v>
      </c>
      <c r="K27" s="6">
        <f t="shared" si="0"/>
        <v>281420</v>
      </c>
      <c r="L27" s="6">
        <v>28605</v>
      </c>
      <c r="M27" s="6">
        <v>41401.038461538497</v>
      </c>
      <c r="N27" s="6">
        <v>26</v>
      </c>
      <c r="O27" s="8">
        <f t="shared" si="1"/>
        <v>3.8249840096652719</v>
      </c>
      <c r="Q27" s="10">
        <v>2031</v>
      </c>
      <c r="R27" s="10">
        <f t="shared" si="2"/>
        <v>571564020</v>
      </c>
      <c r="S27" s="10">
        <f t="shared" si="3"/>
        <v>84085509.115384683</v>
      </c>
    </row>
    <row r="28" spans="1:19" x14ac:dyDescent="0.25">
      <c r="A28" s="2" t="s">
        <v>46</v>
      </c>
      <c r="B28" s="6" t="s">
        <v>17</v>
      </c>
      <c r="C28" s="6" t="s">
        <v>19</v>
      </c>
      <c r="D28" s="6">
        <v>10</v>
      </c>
      <c r="E28" s="6">
        <v>2065</v>
      </c>
      <c r="F28" s="6">
        <v>0</v>
      </c>
      <c r="G28" s="6">
        <v>0</v>
      </c>
      <c r="H28" s="6">
        <v>0</v>
      </c>
      <c r="I28" s="6">
        <v>50</v>
      </c>
      <c r="J28" s="6">
        <v>0</v>
      </c>
      <c r="K28" s="6">
        <f t="shared" si="0"/>
        <v>50</v>
      </c>
      <c r="L28" s="6">
        <v>2015</v>
      </c>
      <c r="M28" s="6">
        <v>2015</v>
      </c>
      <c r="N28" s="6">
        <v>26</v>
      </c>
      <c r="O28" s="8">
        <f t="shared" si="1"/>
        <v>1047.8</v>
      </c>
      <c r="Q28" s="10">
        <v>2179</v>
      </c>
      <c r="R28" s="10">
        <f t="shared" si="2"/>
        <v>108950</v>
      </c>
      <c r="S28" s="10">
        <f t="shared" si="3"/>
        <v>4390685</v>
      </c>
    </row>
    <row r="29" spans="1:19" x14ac:dyDescent="0.25">
      <c r="A29" s="2" t="s">
        <v>47</v>
      </c>
      <c r="B29" s="6" t="s">
        <v>17</v>
      </c>
      <c r="C29" s="6" t="s">
        <v>19</v>
      </c>
      <c r="D29" s="6">
        <v>10</v>
      </c>
      <c r="E29" s="6">
        <v>23868</v>
      </c>
      <c r="F29" s="6">
        <v>0</v>
      </c>
      <c r="G29" s="6">
        <v>0</v>
      </c>
      <c r="H29" s="6">
        <v>0</v>
      </c>
      <c r="I29" s="6">
        <v>14830</v>
      </c>
      <c r="J29" s="6">
        <v>0</v>
      </c>
      <c r="K29" s="6">
        <f t="shared" si="0"/>
        <v>14830</v>
      </c>
      <c r="L29" s="6">
        <v>9038</v>
      </c>
      <c r="M29" s="6">
        <v>14628</v>
      </c>
      <c r="N29" s="6">
        <v>26</v>
      </c>
      <c r="O29" s="8">
        <f t="shared" si="1"/>
        <v>25.645853000674311</v>
      </c>
      <c r="Q29" s="10">
        <v>2179</v>
      </c>
      <c r="R29" s="10">
        <f t="shared" si="2"/>
        <v>32314570</v>
      </c>
      <c r="S29" s="10">
        <f t="shared" si="3"/>
        <v>31874412</v>
      </c>
    </row>
    <row r="30" spans="1:19" x14ac:dyDescent="0.25">
      <c r="A30" s="2" t="s">
        <v>48</v>
      </c>
      <c r="B30" s="6" t="s">
        <v>17</v>
      </c>
      <c r="C30" s="6" t="s">
        <v>19</v>
      </c>
      <c r="D30" s="6">
        <v>10</v>
      </c>
      <c r="E30" s="6">
        <v>1495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f t="shared" si="0"/>
        <v>0</v>
      </c>
      <c r="L30" s="6">
        <v>1495</v>
      </c>
      <c r="M30" s="6">
        <v>0</v>
      </c>
      <c r="N30" s="6">
        <v>26</v>
      </c>
      <c r="O30" s="8">
        <v>0</v>
      </c>
      <c r="Q30" s="10">
        <v>2179</v>
      </c>
      <c r="R30" s="10">
        <f t="shared" si="2"/>
        <v>0</v>
      </c>
      <c r="S30" s="10">
        <f t="shared" si="3"/>
        <v>0</v>
      </c>
    </row>
    <row r="31" spans="1:19" x14ac:dyDescent="0.25">
      <c r="A31" s="2" t="s">
        <v>49</v>
      </c>
      <c r="B31" s="6" t="s">
        <v>16</v>
      </c>
      <c r="C31" s="6" t="s">
        <v>19</v>
      </c>
      <c r="D31" s="6">
        <v>10</v>
      </c>
      <c r="E31" s="6">
        <v>30650</v>
      </c>
      <c r="F31" s="6">
        <v>74310</v>
      </c>
      <c r="G31" s="6">
        <v>0</v>
      </c>
      <c r="H31" s="6">
        <v>0</v>
      </c>
      <c r="I31" s="6">
        <v>67750</v>
      </c>
      <c r="J31" s="6">
        <v>100</v>
      </c>
      <c r="K31" s="6">
        <f t="shared" si="0"/>
        <v>67850</v>
      </c>
      <c r="L31" s="6">
        <v>37110</v>
      </c>
      <c r="M31" s="6">
        <v>40269.772727272706</v>
      </c>
      <c r="N31" s="6">
        <v>26</v>
      </c>
      <c r="O31" s="8">
        <f t="shared" si="1"/>
        <v>15.431305687680034</v>
      </c>
      <c r="Q31" s="10">
        <v>2179</v>
      </c>
      <c r="R31" s="10">
        <f t="shared" si="2"/>
        <v>147845150</v>
      </c>
      <c r="S31" s="10">
        <f t="shared" si="3"/>
        <v>87747834.772727221</v>
      </c>
    </row>
    <row r="32" spans="1:19" x14ac:dyDescent="0.25">
      <c r="A32" s="2" t="s">
        <v>50</v>
      </c>
      <c r="B32" s="6" t="s">
        <v>17</v>
      </c>
      <c r="C32" s="6" t="s">
        <v>19</v>
      </c>
      <c r="D32" s="6">
        <v>10</v>
      </c>
      <c r="E32" s="6">
        <v>45487</v>
      </c>
      <c r="F32" s="6">
        <v>13669</v>
      </c>
      <c r="G32" s="6">
        <v>0</v>
      </c>
      <c r="H32" s="6">
        <v>0</v>
      </c>
      <c r="I32" s="6">
        <v>3000</v>
      </c>
      <c r="J32" s="6">
        <v>0</v>
      </c>
      <c r="K32" s="6">
        <f t="shared" si="0"/>
        <v>3000</v>
      </c>
      <c r="L32" s="6">
        <v>56156</v>
      </c>
      <c r="M32" s="6">
        <v>57656</v>
      </c>
      <c r="N32" s="6">
        <v>26</v>
      </c>
      <c r="O32" s="8">
        <f t="shared" si="1"/>
        <v>499.68533333333335</v>
      </c>
      <c r="Q32" s="10">
        <v>2179</v>
      </c>
      <c r="R32" s="10">
        <f t="shared" si="2"/>
        <v>6537000</v>
      </c>
      <c r="S32" s="10">
        <f t="shared" si="3"/>
        <v>125632424</v>
      </c>
    </row>
    <row r="33" spans="1:19" x14ac:dyDescent="0.25">
      <c r="A33" s="2" t="s">
        <v>51</v>
      </c>
      <c r="B33" s="6" t="s">
        <v>17</v>
      </c>
      <c r="C33" s="6" t="s">
        <v>19</v>
      </c>
      <c r="D33" s="6">
        <v>10</v>
      </c>
      <c r="E33" s="6">
        <v>12478</v>
      </c>
      <c r="F33" s="6">
        <v>86950</v>
      </c>
      <c r="G33" s="6">
        <v>0</v>
      </c>
      <c r="H33" s="6">
        <v>0</v>
      </c>
      <c r="I33" s="6">
        <v>89450</v>
      </c>
      <c r="J33" s="6">
        <v>0</v>
      </c>
      <c r="K33" s="6">
        <f t="shared" si="0"/>
        <v>89450</v>
      </c>
      <c r="L33" s="6">
        <v>9978</v>
      </c>
      <c r="M33" s="6">
        <v>13333.2631578947</v>
      </c>
      <c r="N33" s="6">
        <v>26</v>
      </c>
      <c r="O33" s="8">
        <f t="shared" si="1"/>
        <v>3.8755152834573754</v>
      </c>
      <c r="Q33" s="10">
        <v>2268</v>
      </c>
      <c r="R33" s="10">
        <f t="shared" si="2"/>
        <v>202872600</v>
      </c>
      <c r="S33" s="10">
        <f t="shared" si="3"/>
        <v>30239840.84210518</v>
      </c>
    </row>
    <row r="34" spans="1:19" x14ac:dyDescent="0.25">
      <c r="A34" s="2" t="s">
        <v>52</v>
      </c>
      <c r="B34" s="6" t="s">
        <v>17</v>
      </c>
      <c r="C34" s="6" t="s">
        <v>19</v>
      </c>
      <c r="D34" s="6">
        <v>10</v>
      </c>
      <c r="E34" s="6">
        <v>1099</v>
      </c>
      <c r="F34" s="6">
        <v>5097</v>
      </c>
      <c r="G34" s="6">
        <v>0</v>
      </c>
      <c r="H34" s="6">
        <v>0</v>
      </c>
      <c r="I34" s="6">
        <v>3600</v>
      </c>
      <c r="J34" s="6">
        <v>0</v>
      </c>
      <c r="K34" s="6">
        <f t="shared" si="0"/>
        <v>3600</v>
      </c>
      <c r="L34" s="6">
        <v>2596</v>
      </c>
      <c r="M34" s="6">
        <v>4527.25</v>
      </c>
      <c r="N34" s="6">
        <v>26</v>
      </c>
      <c r="O34" s="8">
        <f t="shared" si="1"/>
        <v>32.696805555555557</v>
      </c>
      <c r="Q34" s="10">
        <v>1956</v>
      </c>
      <c r="R34" s="10">
        <f t="shared" si="2"/>
        <v>7041600</v>
      </c>
      <c r="S34" s="10">
        <f t="shared" si="3"/>
        <v>8855301</v>
      </c>
    </row>
    <row r="35" spans="1:19" x14ac:dyDescent="0.25">
      <c r="A35" s="2" t="s">
        <v>53</v>
      </c>
      <c r="B35" s="6" t="s">
        <v>17</v>
      </c>
      <c r="C35" s="6" t="s">
        <v>19</v>
      </c>
      <c r="D35" s="6">
        <v>10</v>
      </c>
      <c r="E35" s="6">
        <v>12450</v>
      </c>
      <c r="F35" s="6">
        <v>9875</v>
      </c>
      <c r="G35" s="6">
        <v>0</v>
      </c>
      <c r="H35" s="6">
        <v>0</v>
      </c>
      <c r="I35" s="6">
        <v>4775</v>
      </c>
      <c r="J35" s="6">
        <v>15</v>
      </c>
      <c r="K35" s="6">
        <f t="shared" si="0"/>
        <v>4790</v>
      </c>
      <c r="L35" s="6">
        <v>17535</v>
      </c>
      <c r="M35" s="6">
        <v>18415</v>
      </c>
      <c r="N35" s="6">
        <v>26</v>
      </c>
      <c r="O35" s="8">
        <f t="shared" si="1"/>
        <v>99.956158663883087</v>
      </c>
      <c r="Q35" s="10">
        <v>2218</v>
      </c>
      <c r="R35" s="10">
        <f t="shared" si="2"/>
        <v>10624220</v>
      </c>
      <c r="S35" s="10">
        <f t="shared" si="3"/>
        <v>40844470</v>
      </c>
    </row>
    <row r="36" spans="1:19" x14ac:dyDescent="0.25">
      <c r="A36" s="2" t="s">
        <v>54</v>
      </c>
      <c r="B36" s="6" t="s">
        <v>17</v>
      </c>
      <c r="C36" s="6" t="s">
        <v>19</v>
      </c>
      <c r="D36" s="6">
        <v>10</v>
      </c>
      <c r="E36" s="6">
        <v>1588</v>
      </c>
      <c r="F36" s="6">
        <v>22850</v>
      </c>
      <c r="G36" s="6">
        <v>0</v>
      </c>
      <c r="H36" s="6">
        <v>0</v>
      </c>
      <c r="I36" s="6">
        <v>15750</v>
      </c>
      <c r="J36" s="6">
        <v>0</v>
      </c>
      <c r="K36" s="6">
        <f t="shared" si="0"/>
        <v>15750</v>
      </c>
      <c r="L36" s="6">
        <v>8688</v>
      </c>
      <c r="M36" s="6">
        <v>6410.2222222222199</v>
      </c>
      <c r="N36" s="6">
        <v>26</v>
      </c>
      <c r="O36" s="8">
        <f t="shared" si="1"/>
        <v>10.581954144620807</v>
      </c>
      <c r="Q36" s="10">
        <v>2218</v>
      </c>
      <c r="R36" s="10">
        <f t="shared" si="2"/>
        <v>34933500</v>
      </c>
      <c r="S36" s="10">
        <f t="shared" si="3"/>
        <v>14217872.888888884</v>
      </c>
    </row>
    <row r="37" spans="1:19" x14ac:dyDescent="0.25">
      <c r="A37" s="2" t="s">
        <v>55</v>
      </c>
      <c r="B37" s="6" t="s">
        <v>17</v>
      </c>
      <c r="C37" s="6" t="s">
        <v>19</v>
      </c>
      <c r="D37" s="6">
        <v>10</v>
      </c>
      <c r="E37" s="6">
        <v>150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f t="shared" si="0"/>
        <v>0</v>
      </c>
      <c r="L37" s="6">
        <v>150</v>
      </c>
      <c r="M37" s="6">
        <v>0</v>
      </c>
      <c r="N37" s="6">
        <v>26</v>
      </c>
      <c r="O37" s="8">
        <v>0</v>
      </c>
      <c r="Q37" s="10">
        <v>2245</v>
      </c>
      <c r="R37" s="10">
        <f t="shared" si="2"/>
        <v>0</v>
      </c>
      <c r="S37" s="10">
        <f t="shared" si="3"/>
        <v>0</v>
      </c>
    </row>
    <row r="38" spans="1:19" x14ac:dyDescent="0.25">
      <c r="A38" s="2" t="s">
        <v>56</v>
      </c>
      <c r="B38" s="6" t="s">
        <v>16</v>
      </c>
      <c r="C38" s="6" t="s">
        <v>19</v>
      </c>
      <c r="D38" s="6">
        <v>10</v>
      </c>
      <c r="E38" s="6">
        <v>19250</v>
      </c>
      <c r="F38" s="6">
        <v>55950</v>
      </c>
      <c r="G38" s="6">
        <v>0</v>
      </c>
      <c r="H38" s="6">
        <v>0</v>
      </c>
      <c r="I38" s="6">
        <v>65570</v>
      </c>
      <c r="J38" s="6">
        <v>200</v>
      </c>
      <c r="K38" s="6">
        <f t="shared" si="0"/>
        <v>65770</v>
      </c>
      <c r="L38" s="6">
        <v>9430</v>
      </c>
      <c r="M38" s="6">
        <v>14286.4</v>
      </c>
      <c r="N38" s="6">
        <v>26</v>
      </c>
      <c r="O38" s="8">
        <f t="shared" si="1"/>
        <v>5.647656986467994</v>
      </c>
      <c r="Q38" s="10">
        <v>2245</v>
      </c>
      <c r="R38" s="10">
        <f t="shared" si="2"/>
        <v>147653650</v>
      </c>
      <c r="S38" s="10">
        <f t="shared" si="3"/>
        <v>32072968</v>
      </c>
    </row>
    <row r="39" spans="1:19" x14ac:dyDescent="0.25">
      <c r="A39" s="2" t="s">
        <v>57</v>
      </c>
      <c r="B39" s="6" t="s">
        <v>16</v>
      </c>
      <c r="C39" s="6" t="s">
        <v>19</v>
      </c>
      <c r="D39" s="6">
        <v>10</v>
      </c>
      <c r="E39" s="6">
        <v>16007</v>
      </c>
      <c r="F39" s="6">
        <v>89959</v>
      </c>
      <c r="G39" s="6">
        <v>0</v>
      </c>
      <c r="H39" s="6">
        <v>0</v>
      </c>
      <c r="I39" s="6">
        <v>90319</v>
      </c>
      <c r="J39" s="6">
        <v>688</v>
      </c>
      <c r="K39" s="6">
        <f t="shared" si="0"/>
        <v>91007</v>
      </c>
      <c r="L39" s="6">
        <v>14959</v>
      </c>
      <c r="M39" s="6">
        <v>21175.9523809524</v>
      </c>
      <c r="N39" s="6">
        <v>26</v>
      </c>
      <c r="O39" s="8">
        <f t="shared" si="1"/>
        <v>6.0498067390943815</v>
      </c>
      <c r="Q39" s="10">
        <v>1419</v>
      </c>
      <c r="R39" s="10">
        <f t="shared" si="2"/>
        <v>129138933</v>
      </c>
      <c r="S39" s="10">
        <f t="shared" si="3"/>
        <v>30048676.428571455</v>
      </c>
    </row>
    <row r="40" spans="1:19" x14ac:dyDescent="0.25">
      <c r="A40" s="2" t="s">
        <v>58</v>
      </c>
      <c r="B40" s="6" t="s">
        <v>17</v>
      </c>
      <c r="C40" s="6" t="s">
        <v>19</v>
      </c>
      <c r="D40" s="6">
        <v>10</v>
      </c>
      <c r="E40" s="6">
        <v>1205</v>
      </c>
      <c r="F40" s="6">
        <v>4929</v>
      </c>
      <c r="G40" s="6">
        <v>0</v>
      </c>
      <c r="H40" s="6">
        <v>0</v>
      </c>
      <c r="I40" s="6">
        <v>0</v>
      </c>
      <c r="J40" s="6">
        <v>0</v>
      </c>
      <c r="K40" s="6">
        <f t="shared" si="0"/>
        <v>0</v>
      </c>
      <c r="L40" s="6">
        <v>6134</v>
      </c>
      <c r="M40" s="6">
        <v>6134</v>
      </c>
      <c r="N40" s="6">
        <v>26</v>
      </c>
      <c r="O40" s="8">
        <v>0</v>
      </c>
      <c r="Q40" s="10">
        <v>2765</v>
      </c>
      <c r="R40" s="10">
        <f t="shared" si="2"/>
        <v>0</v>
      </c>
      <c r="S40" s="10">
        <f t="shared" si="3"/>
        <v>16960510</v>
      </c>
    </row>
    <row r="41" spans="1:19" x14ac:dyDescent="0.25">
      <c r="A41" s="2" t="s">
        <v>59</v>
      </c>
      <c r="B41" s="6" t="s">
        <v>17</v>
      </c>
      <c r="C41" s="6" t="s">
        <v>19</v>
      </c>
      <c r="D41" s="6">
        <v>10</v>
      </c>
      <c r="E41" s="6">
        <v>11832</v>
      </c>
      <c r="F41" s="6">
        <v>26245</v>
      </c>
      <c r="G41" s="6">
        <v>0</v>
      </c>
      <c r="H41" s="6">
        <v>0</v>
      </c>
      <c r="I41" s="6">
        <v>9080</v>
      </c>
      <c r="J41" s="6">
        <v>0</v>
      </c>
      <c r="K41" s="6">
        <f t="shared" si="0"/>
        <v>9080</v>
      </c>
      <c r="L41" s="6">
        <v>28997</v>
      </c>
      <c r="M41" s="6">
        <v>24112.5</v>
      </c>
      <c r="N41" s="6">
        <v>26</v>
      </c>
      <c r="O41" s="8">
        <f t="shared" si="1"/>
        <v>69.044603524229075</v>
      </c>
      <c r="Q41" s="10">
        <v>4592</v>
      </c>
      <c r="R41" s="10">
        <f t="shared" si="2"/>
        <v>41695360</v>
      </c>
      <c r="S41" s="10">
        <f t="shared" si="3"/>
        <v>110724600</v>
      </c>
    </row>
    <row r="42" spans="1:19" x14ac:dyDescent="0.25">
      <c r="A42" s="2" t="s">
        <v>60</v>
      </c>
      <c r="B42" s="6" t="s">
        <v>17</v>
      </c>
      <c r="C42" s="6" t="s">
        <v>19</v>
      </c>
      <c r="D42" s="6">
        <v>10</v>
      </c>
      <c r="E42" s="6">
        <v>23086</v>
      </c>
      <c r="F42" s="6">
        <v>9925</v>
      </c>
      <c r="G42" s="6">
        <v>0</v>
      </c>
      <c r="H42" s="6">
        <v>0</v>
      </c>
      <c r="I42" s="6">
        <v>22778</v>
      </c>
      <c r="J42" s="6">
        <v>0</v>
      </c>
      <c r="K42" s="6">
        <f t="shared" si="0"/>
        <v>22778</v>
      </c>
      <c r="L42" s="6">
        <v>10233</v>
      </c>
      <c r="M42" s="6">
        <v>19296</v>
      </c>
      <c r="N42" s="6">
        <v>26</v>
      </c>
      <c r="O42" s="8">
        <f t="shared" si="1"/>
        <v>22.025463166213015</v>
      </c>
      <c r="Q42" s="10">
        <v>2297</v>
      </c>
      <c r="R42" s="10">
        <f t="shared" si="2"/>
        <v>52321066</v>
      </c>
      <c r="S42" s="10">
        <f t="shared" si="3"/>
        <v>44322912</v>
      </c>
    </row>
    <row r="43" spans="1:19" x14ac:dyDescent="0.25">
      <c r="A43" s="2" t="s">
        <v>61</v>
      </c>
      <c r="B43" s="6" t="s">
        <v>17</v>
      </c>
      <c r="C43" s="6" t="s">
        <v>19</v>
      </c>
      <c r="D43" s="6">
        <v>10</v>
      </c>
      <c r="E43" s="6">
        <v>375</v>
      </c>
      <c r="F43" s="6">
        <v>1975</v>
      </c>
      <c r="G43" s="6">
        <v>0</v>
      </c>
      <c r="H43" s="6">
        <v>0</v>
      </c>
      <c r="I43" s="6">
        <v>1350</v>
      </c>
      <c r="J43" s="6">
        <v>0</v>
      </c>
      <c r="K43" s="6">
        <f t="shared" si="0"/>
        <v>1350</v>
      </c>
      <c r="L43" s="6">
        <v>1000</v>
      </c>
      <c r="M43" s="6">
        <v>620</v>
      </c>
      <c r="N43" s="6">
        <v>26</v>
      </c>
      <c r="O43" s="8">
        <f t="shared" si="1"/>
        <v>11.94074074074074</v>
      </c>
      <c r="Q43" s="10">
        <v>2616</v>
      </c>
      <c r="R43" s="10">
        <f t="shared" si="2"/>
        <v>3531600</v>
      </c>
      <c r="S43" s="10">
        <f t="shared" si="3"/>
        <v>1621920</v>
      </c>
    </row>
    <row r="44" spans="1:19" x14ac:dyDescent="0.25">
      <c r="A44" s="2" t="s">
        <v>62</v>
      </c>
      <c r="B44" s="6" t="s">
        <v>17</v>
      </c>
      <c r="C44" s="6" t="s">
        <v>19</v>
      </c>
      <c r="D44" s="6">
        <v>10</v>
      </c>
      <c r="E44" s="6">
        <v>4500</v>
      </c>
      <c r="F44" s="6">
        <v>3900</v>
      </c>
      <c r="G44" s="6">
        <v>0</v>
      </c>
      <c r="H44" s="6">
        <v>0</v>
      </c>
      <c r="I44" s="6">
        <v>8400</v>
      </c>
      <c r="J44" s="6">
        <v>0</v>
      </c>
      <c r="K44" s="6">
        <f t="shared" si="0"/>
        <v>8400</v>
      </c>
      <c r="L44" s="6">
        <v>0</v>
      </c>
      <c r="M44" s="6">
        <v>1300</v>
      </c>
      <c r="N44" s="6">
        <v>26</v>
      </c>
      <c r="O44" s="8">
        <f t="shared" si="1"/>
        <v>4.0238095238095237</v>
      </c>
      <c r="Q44" s="10">
        <v>2616</v>
      </c>
      <c r="R44" s="10">
        <f t="shared" si="2"/>
        <v>21974400</v>
      </c>
      <c r="S44" s="10">
        <f t="shared" si="3"/>
        <v>3400800</v>
      </c>
    </row>
    <row r="45" spans="1:19" x14ac:dyDescent="0.25">
      <c r="A45" s="2" t="s">
        <v>63</v>
      </c>
      <c r="B45" s="6" t="s">
        <v>17</v>
      </c>
      <c r="C45" s="6" t="s">
        <v>19</v>
      </c>
      <c r="D45" s="6">
        <v>10</v>
      </c>
      <c r="E45" s="6">
        <v>29925</v>
      </c>
      <c r="F45" s="6">
        <v>50950</v>
      </c>
      <c r="G45" s="6">
        <v>0</v>
      </c>
      <c r="H45" s="6">
        <v>0</v>
      </c>
      <c r="I45" s="6">
        <v>70725</v>
      </c>
      <c r="J45" s="6">
        <v>0</v>
      </c>
      <c r="K45" s="6">
        <f t="shared" si="0"/>
        <v>70725</v>
      </c>
      <c r="L45" s="6">
        <v>10150</v>
      </c>
      <c r="M45" s="6">
        <v>20597.826086956498</v>
      </c>
      <c r="N45" s="6">
        <v>26</v>
      </c>
      <c r="O45" s="8">
        <f t="shared" si="1"/>
        <v>7.5721948145757363</v>
      </c>
      <c r="Q45" s="10">
        <v>1968</v>
      </c>
      <c r="R45" s="10">
        <f t="shared" si="2"/>
        <v>139186800</v>
      </c>
      <c r="S45" s="10">
        <f t="shared" si="3"/>
        <v>40536521.739130385</v>
      </c>
    </row>
    <row r="46" spans="1:19" x14ac:dyDescent="0.25">
      <c r="A46" s="2" t="s">
        <v>64</v>
      </c>
      <c r="B46" s="6" t="s">
        <v>17</v>
      </c>
      <c r="C46" s="6" t="s">
        <v>19</v>
      </c>
      <c r="D46" s="6">
        <v>10</v>
      </c>
      <c r="E46" s="6">
        <v>6420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f t="shared" si="0"/>
        <v>0</v>
      </c>
      <c r="L46" s="6">
        <v>6420</v>
      </c>
      <c r="M46" s="6">
        <v>0</v>
      </c>
      <c r="N46" s="6">
        <v>26</v>
      </c>
      <c r="O46" s="8">
        <v>0</v>
      </c>
      <c r="Q46" s="10">
        <v>2503</v>
      </c>
      <c r="R46" s="10">
        <f t="shared" si="2"/>
        <v>0</v>
      </c>
      <c r="S46" s="10">
        <f t="shared" si="3"/>
        <v>0</v>
      </c>
    </row>
    <row r="47" spans="1:19" x14ac:dyDescent="0.25">
      <c r="A47" s="2" t="s">
        <v>65</v>
      </c>
      <c r="B47" s="6" t="s">
        <v>17</v>
      </c>
      <c r="C47" s="6" t="s">
        <v>19</v>
      </c>
      <c r="D47" s="6">
        <v>10</v>
      </c>
      <c r="E47" s="6">
        <v>37500</v>
      </c>
      <c r="F47" s="6">
        <v>110000</v>
      </c>
      <c r="G47" s="6">
        <v>0</v>
      </c>
      <c r="H47" s="6">
        <v>0</v>
      </c>
      <c r="I47" s="6">
        <v>116250</v>
      </c>
      <c r="J47" s="6">
        <v>80</v>
      </c>
      <c r="K47" s="6">
        <f t="shared" si="0"/>
        <v>116330</v>
      </c>
      <c r="L47" s="6">
        <v>31170</v>
      </c>
      <c r="M47" s="6">
        <v>26842.307692307699</v>
      </c>
      <c r="N47" s="6">
        <v>26</v>
      </c>
      <c r="O47" s="8">
        <f t="shared" si="1"/>
        <v>5.9993123012120702</v>
      </c>
      <c r="Q47" s="10">
        <v>2503</v>
      </c>
      <c r="R47" s="10">
        <f t="shared" si="2"/>
        <v>291173990</v>
      </c>
      <c r="S47" s="10">
        <f t="shared" si="3"/>
        <v>67186296.153846174</v>
      </c>
    </row>
    <row r="48" spans="1:19" x14ac:dyDescent="0.25">
      <c r="A48" s="2" t="s">
        <v>66</v>
      </c>
      <c r="B48" s="6" t="s">
        <v>17</v>
      </c>
      <c r="C48" s="6" t="s">
        <v>19</v>
      </c>
      <c r="D48" s="6">
        <v>10</v>
      </c>
      <c r="E48" s="6">
        <v>29236</v>
      </c>
      <c r="F48" s="6">
        <v>0</v>
      </c>
      <c r="G48" s="6">
        <v>0</v>
      </c>
      <c r="H48" s="6">
        <v>0</v>
      </c>
      <c r="I48" s="6">
        <v>19375</v>
      </c>
      <c r="J48" s="6">
        <v>0</v>
      </c>
      <c r="K48" s="6">
        <f t="shared" si="0"/>
        <v>19375</v>
      </c>
      <c r="L48" s="6">
        <v>9861</v>
      </c>
      <c r="M48" s="6">
        <v>17631.833333333303</v>
      </c>
      <c r="N48" s="6">
        <v>26</v>
      </c>
      <c r="O48" s="8">
        <f t="shared" si="1"/>
        <v>23.660782795698886</v>
      </c>
      <c r="Q48" s="10">
        <v>2103</v>
      </c>
      <c r="R48" s="10">
        <f t="shared" si="2"/>
        <v>40745625</v>
      </c>
      <c r="S48" s="10">
        <f t="shared" si="3"/>
        <v>37079745.499999933</v>
      </c>
    </row>
    <row r="49" spans="1:19" x14ac:dyDescent="0.25">
      <c r="A49" s="2" t="s">
        <v>67</v>
      </c>
      <c r="B49" s="6" t="s">
        <v>17</v>
      </c>
      <c r="C49" s="6" t="s">
        <v>19</v>
      </c>
      <c r="D49" s="6">
        <v>10</v>
      </c>
      <c r="E49" s="6">
        <v>25104</v>
      </c>
      <c r="F49" s="6">
        <v>0</v>
      </c>
      <c r="G49" s="6">
        <v>0</v>
      </c>
      <c r="H49" s="6">
        <v>0</v>
      </c>
      <c r="I49" s="6">
        <v>19025</v>
      </c>
      <c r="J49" s="6">
        <v>0</v>
      </c>
      <c r="K49" s="6">
        <f t="shared" si="0"/>
        <v>19025</v>
      </c>
      <c r="L49" s="6">
        <v>6079</v>
      </c>
      <c r="M49" s="6">
        <v>15533.166666666701</v>
      </c>
      <c r="N49" s="6">
        <v>26</v>
      </c>
      <c r="O49" s="8">
        <f t="shared" si="1"/>
        <v>21.227980727113493</v>
      </c>
      <c r="Q49" s="10">
        <v>2802</v>
      </c>
      <c r="R49" s="10">
        <f t="shared" si="2"/>
        <v>53308050</v>
      </c>
      <c r="S49" s="10">
        <f t="shared" si="3"/>
        <v>43523933.000000097</v>
      </c>
    </row>
    <row r="50" spans="1:19" x14ac:dyDescent="0.25">
      <c r="A50" s="2" t="s">
        <v>68</v>
      </c>
      <c r="B50" s="6" t="s">
        <v>17</v>
      </c>
      <c r="C50" s="6" t="s">
        <v>19</v>
      </c>
      <c r="D50" s="6">
        <v>10</v>
      </c>
      <c r="E50" s="6">
        <v>27500</v>
      </c>
      <c r="F50" s="6">
        <v>113750</v>
      </c>
      <c r="G50" s="6">
        <v>0</v>
      </c>
      <c r="H50" s="6">
        <v>0</v>
      </c>
      <c r="I50" s="6">
        <v>113750</v>
      </c>
      <c r="J50" s="6">
        <v>0</v>
      </c>
      <c r="K50" s="6">
        <f t="shared" si="0"/>
        <v>113750</v>
      </c>
      <c r="L50" s="6">
        <v>27500</v>
      </c>
      <c r="M50" s="6">
        <v>22954.5454545455</v>
      </c>
      <c r="N50" s="6">
        <v>26</v>
      </c>
      <c r="O50" s="8">
        <f t="shared" si="1"/>
        <v>5.2467532467532569</v>
      </c>
      <c r="Q50" s="10">
        <v>2126</v>
      </c>
      <c r="R50" s="10">
        <f t="shared" si="2"/>
        <v>241832500</v>
      </c>
      <c r="S50" s="10">
        <f t="shared" si="3"/>
        <v>48801363.63636373</v>
      </c>
    </row>
    <row r="51" spans="1:19" x14ac:dyDescent="0.25">
      <c r="A51" s="2" t="s">
        <v>69</v>
      </c>
      <c r="B51" s="6" t="s">
        <v>16</v>
      </c>
      <c r="C51" s="6" t="s">
        <v>19</v>
      </c>
      <c r="D51" s="6">
        <v>10</v>
      </c>
      <c r="E51" s="6">
        <v>16800</v>
      </c>
      <c r="F51" s="6">
        <v>81900</v>
      </c>
      <c r="G51" s="6">
        <v>0</v>
      </c>
      <c r="H51" s="6">
        <v>0</v>
      </c>
      <c r="I51" s="6">
        <v>75750</v>
      </c>
      <c r="J51" s="6">
        <v>25</v>
      </c>
      <c r="K51" s="6">
        <f t="shared" si="0"/>
        <v>75775</v>
      </c>
      <c r="L51" s="6">
        <v>22925</v>
      </c>
      <c r="M51" s="6">
        <v>19192.708333333299</v>
      </c>
      <c r="N51" s="6">
        <v>26</v>
      </c>
      <c r="O51" s="8">
        <f t="shared" si="1"/>
        <v>6.5854228527438572</v>
      </c>
      <c r="Q51" s="10">
        <v>2846</v>
      </c>
      <c r="R51" s="10">
        <f t="shared" si="2"/>
        <v>215655650</v>
      </c>
      <c r="S51" s="10">
        <f t="shared" si="3"/>
        <v>54622447.916666567</v>
      </c>
    </row>
    <row r="52" spans="1:19" x14ac:dyDescent="0.25">
      <c r="A52" s="2" t="s">
        <v>70</v>
      </c>
      <c r="B52" s="6" t="s">
        <v>17</v>
      </c>
      <c r="C52" s="6" t="s">
        <v>19</v>
      </c>
      <c r="D52" s="6">
        <v>10</v>
      </c>
      <c r="E52" s="6">
        <v>9192</v>
      </c>
      <c r="F52" s="6">
        <v>19800</v>
      </c>
      <c r="G52" s="6">
        <v>0</v>
      </c>
      <c r="H52" s="6">
        <v>0</v>
      </c>
      <c r="I52" s="6">
        <v>23564</v>
      </c>
      <c r="J52" s="6">
        <v>25</v>
      </c>
      <c r="K52" s="6">
        <f t="shared" si="0"/>
        <v>23589</v>
      </c>
      <c r="L52" s="6">
        <v>5403</v>
      </c>
      <c r="M52" s="6">
        <v>6054.6666666666697</v>
      </c>
      <c r="N52" s="6">
        <v>26</v>
      </c>
      <c r="O52" s="8">
        <f t="shared" si="1"/>
        <v>6.6735060126895345</v>
      </c>
      <c r="Q52" s="10">
        <v>2514</v>
      </c>
      <c r="R52" s="10">
        <f t="shared" si="2"/>
        <v>59302746</v>
      </c>
      <c r="S52" s="10">
        <f t="shared" si="3"/>
        <v>15221432.000000007</v>
      </c>
    </row>
    <row r="53" spans="1:19" x14ac:dyDescent="0.25">
      <c r="A53" s="2" t="s">
        <v>71</v>
      </c>
      <c r="B53" s="6" t="s">
        <v>17</v>
      </c>
      <c r="C53" s="6" t="s">
        <v>19</v>
      </c>
      <c r="D53" s="6">
        <v>10</v>
      </c>
      <c r="E53" s="6">
        <v>21500</v>
      </c>
      <c r="F53" s="6">
        <v>40111</v>
      </c>
      <c r="G53" s="6">
        <v>0</v>
      </c>
      <c r="H53" s="6">
        <v>0</v>
      </c>
      <c r="I53" s="6">
        <v>37327</v>
      </c>
      <c r="J53" s="6">
        <v>0</v>
      </c>
      <c r="K53" s="6">
        <f t="shared" si="0"/>
        <v>37327</v>
      </c>
      <c r="L53" s="6">
        <v>24284</v>
      </c>
      <c r="M53" s="6">
        <v>17117.1538461538</v>
      </c>
      <c r="N53" s="6">
        <v>26</v>
      </c>
      <c r="O53" s="8">
        <f t="shared" si="1"/>
        <v>11.922897634420092</v>
      </c>
      <c r="Q53" s="10">
        <v>1956</v>
      </c>
      <c r="R53" s="10">
        <f t="shared" si="2"/>
        <v>73011612</v>
      </c>
      <c r="S53" s="10">
        <f t="shared" si="3"/>
        <v>33481152.923076835</v>
      </c>
    </row>
    <row r="54" spans="1:19" x14ac:dyDescent="0.25">
      <c r="A54" s="2" t="s">
        <v>72</v>
      </c>
      <c r="B54" s="6" t="s">
        <v>17</v>
      </c>
      <c r="C54" s="6" t="s">
        <v>19</v>
      </c>
      <c r="D54" s="6">
        <v>10</v>
      </c>
      <c r="E54" s="6">
        <v>13737</v>
      </c>
      <c r="F54" s="6">
        <v>79249</v>
      </c>
      <c r="G54" s="6">
        <v>0</v>
      </c>
      <c r="H54" s="6">
        <v>0</v>
      </c>
      <c r="I54" s="6">
        <v>27400</v>
      </c>
      <c r="J54" s="6">
        <v>25</v>
      </c>
      <c r="K54" s="6">
        <f t="shared" si="0"/>
        <v>27425</v>
      </c>
      <c r="L54" s="6">
        <v>65561</v>
      </c>
      <c r="M54" s="6">
        <v>47637.684210526299</v>
      </c>
      <c r="N54" s="6">
        <v>26</v>
      </c>
      <c r="O54" s="8">
        <f t="shared" si="1"/>
        <v>45.162435349997587</v>
      </c>
      <c r="Q54" s="10">
        <v>3391</v>
      </c>
      <c r="R54" s="10">
        <f t="shared" si="2"/>
        <v>92998175</v>
      </c>
      <c r="S54" s="10">
        <f t="shared" si="3"/>
        <v>161539387.15789467</v>
      </c>
    </row>
    <row r="55" spans="1:19" x14ac:dyDescent="0.25">
      <c r="A55" s="2" t="s">
        <v>73</v>
      </c>
      <c r="B55" s="6" t="s">
        <v>17</v>
      </c>
      <c r="C55" s="6" t="s">
        <v>19</v>
      </c>
      <c r="D55" s="6">
        <v>10</v>
      </c>
      <c r="E55" s="6">
        <v>6775</v>
      </c>
      <c r="F55" s="6">
        <v>39150</v>
      </c>
      <c r="G55" s="6">
        <v>0</v>
      </c>
      <c r="H55" s="6">
        <v>0</v>
      </c>
      <c r="I55" s="6">
        <v>33375</v>
      </c>
      <c r="J55" s="6">
        <v>0</v>
      </c>
      <c r="K55" s="6">
        <f t="shared" si="0"/>
        <v>33375</v>
      </c>
      <c r="L55" s="6">
        <v>12550</v>
      </c>
      <c r="M55" s="6">
        <v>14231.8181818182</v>
      </c>
      <c r="N55" s="6">
        <v>26</v>
      </c>
      <c r="O55" s="8">
        <f t="shared" si="1"/>
        <v>11.086959482465115</v>
      </c>
      <c r="Q55" s="10">
        <v>3549</v>
      </c>
      <c r="R55" s="10">
        <f t="shared" si="2"/>
        <v>118447875</v>
      </c>
      <c r="S55" s="10">
        <f t="shared" si="3"/>
        <v>50508722.727272794</v>
      </c>
    </row>
    <row r="56" spans="1:19" x14ac:dyDescent="0.25">
      <c r="A56" s="2" t="s">
        <v>74</v>
      </c>
      <c r="B56" s="6" t="s">
        <v>17</v>
      </c>
      <c r="C56" s="6" t="s">
        <v>19</v>
      </c>
      <c r="D56" s="6">
        <v>10</v>
      </c>
      <c r="E56" s="6">
        <v>39927</v>
      </c>
      <c r="F56" s="6">
        <v>15035</v>
      </c>
      <c r="G56" s="6">
        <v>0</v>
      </c>
      <c r="H56" s="6">
        <v>0</v>
      </c>
      <c r="I56" s="6">
        <v>34417</v>
      </c>
      <c r="J56" s="6">
        <v>0</v>
      </c>
      <c r="K56" s="6">
        <f t="shared" si="0"/>
        <v>34417</v>
      </c>
      <c r="L56" s="6">
        <v>20545</v>
      </c>
      <c r="M56" s="6">
        <v>25428.888888888898</v>
      </c>
      <c r="N56" s="6">
        <v>26</v>
      </c>
      <c r="O56" s="8">
        <f t="shared" si="1"/>
        <v>19.210015722204474</v>
      </c>
      <c r="Q56" s="10">
        <v>2129</v>
      </c>
      <c r="R56" s="10">
        <f t="shared" si="2"/>
        <v>73273793</v>
      </c>
      <c r="S56" s="10">
        <f t="shared" si="3"/>
        <v>54138104.444444463</v>
      </c>
    </row>
    <row r="57" spans="1:19" x14ac:dyDescent="0.25">
      <c r="A57" s="2" t="s">
        <v>75</v>
      </c>
      <c r="B57" s="6" t="s">
        <v>17</v>
      </c>
      <c r="C57" s="6" t="s">
        <v>19</v>
      </c>
      <c r="D57" s="6">
        <v>10</v>
      </c>
      <c r="E57" s="6">
        <v>21700</v>
      </c>
      <c r="F57" s="6">
        <v>0</v>
      </c>
      <c r="G57" s="6">
        <v>0</v>
      </c>
      <c r="H57" s="6">
        <v>0</v>
      </c>
      <c r="I57" s="6">
        <v>16174</v>
      </c>
      <c r="J57" s="6">
        <v>0</v>
      </c>
      <c r="K57" s="6">
        <f t="shared" si="0"/>
        <v>16174</v>
      </c>
      <c r="L57" s="6">
        <v>5526</v>
      </c>
      <c r="M57" s="6">
        <v>11897.666666666701</v>
      </c>
      <c r="N57" s="6">
        <v>26</v>
      </c>
      <c r="O57" s="8">
        <f t="shared" si="1"/>
        <v>19.125716169984806</v>
      </c>
      <c r="Q57" s="10">
        <v>2129</v>
      </c>
      <c r="R57" s="10">
        <f t="shared" si="2"/>
        <v>34434446</v>
      </c>
      <c r="S57" s="10">
        <f t="shared" si="3"/>
        <v>25330132.333333407</v>
      </c>
    </row>
    <row r="58" spans="1:19" x14ac:dyDescent="0.25">
      <c r="A58" s="2" t="s">
        <v>76</v>
      </c>
      <c r="B58" s="6" t="s">
        <v>17</v>
      </c>
      <c r="C58" s="6" t="s">
        <v>19</v>
      </c>
      <c r="D58" s="6">
        <v>10</v>
      </c>
      <c r="E58" s="6">
        <v>269</v>
      </c>
      <c r="F58" s="6">
        <v>1363</v>
      </c>
      <c r="G58" s="6">
        <v>0</v>
      </c>
      <c r="H58" s="6">
        <v>0</v>
      </c>
      <c r="I58" s="6">
        <v>200</v>
      </c>
      <c r="J58" s="6">
        <v>0</v>
      </c>
      <c r="K58" s="6">
        <f t="shared" si="0"/>
        <v>200</v>
      </c>
      <c r="L58" s="6">
        <v>1432</v>
      </c>
      <c r="M58" s="6">
        <v>556.66666666666708</v>
      </c>
      <c r="N58" s="6">
        <v>26</v>
      </c>
      <c r="O58" s="8">
        <f t="shared" si="1"/>
        <v>72.366666666666717</v>
      </c>
      <c r="Q58" s="10">
        <v>2131</v>
      </c>
      <c r="R58" s="10">
        <f t="shared" si="2"/>
        <v>426200</v>
      </c>
      <c r="S58" s="10">
        <f t="shared" si="3"/>
        <v>1186256.6666666674</v>
      </c>
    </row>
    <row r="59" spans="1:19" x14ac:dyDescent="0.25">
      <c r="A59" s="2" t="s">
        <v>77</v>
      </c>
      <c r="B59" s="6" t="s">
        <v>17</v>
      </c>
      <c r="C59" s="6" t="s">
        <v>19</v>
      </c>
      <c r="D59" s="6">
        <v>10</v>
      </c>
      <c r="E59" s="6">
        <v>4897</v>
      </c>
      <c r="F59" s="6">
        <v>1575</v>
      </c>
      <c r="G59" s="6">
        <v>0</v>
      </c>
      <c r="H59" s="6">
        <v>0</v>
      </c>
      <c r="I59" s="6">
        <v>3126</v>
      </c>
      <c r="J59" s="6">
        <v>0</v>
      </c>
      <c r="K59" s="6">
        <f t="shared" si="0"/>
        <v>3126</v>
      </c>
      <c r="L59" s="6">
        <v>3346</v>
      </c>
      <c r="M59" s="6">
        <v>4116.6000000000004</v>
      </c>
      <c r="N59" s="6">
        <v>26</v>
      </c>
      <c r="O59" s="8">
        <f t="shared" si="1"/>
        <v>34.239155470249521</v>
      </c>
      <c r="Q59" s="10">
        <v>2131</v>
      </c>
      <c r="R59" s="10">
        <f t="shared" si="2"/>
        <v>6661506</v>
      </c>
      <c r="S59" s="10">
        <f t="shared" si="3"/>
        <v>8772474.6000000015</v>
      </c>
    </row>
    <row r="60" spans="1:19" x14ac:dyDescent="0.25">
      <c r="A60" s="2" t="s">
        <v>78</v>
      </c>
      <c r="B60" s="6" t="s">
        <v>17</v>
      </c>
      <c r="C60" s="6" t="s">
        <v>19</v>
      </c>
      <c r="D60" s="6">
        <v>10</v>
      </c>
      <c r="E60" s="6">
        <v>23514</v>
      </c>
      <c r="F60" s="6">
        <v>40398</v>
      </c>
      <c r="G60" s="6">
        <v>0</v>
      </c>
      <c r="H60" s="6">
        <v>0</v>
      </c>
      <c r="I60" s="6">
        <v>40425</v>
      </c>
      <c r="J60" s="6">
        <v>0</v>
      </c>
      <c r="K60" s="6">
        <f t="shared" si="0"/>
        <v>40425</v>
      </c>
      <c r="L60" s="6">
        <v>23487</v>
      </c>
      <c r="M60" s="6">
        <v>26070.388888888898</v>
      </c>
      <c r="N60" s="6">
        <v>26</v>
      </c>
      <c r="O60" s="8">
        <f t="shared" si="1"/>
        <v>16.767597059025636</v>
      </c>
      <c r="Q60" s="10">
        <v>2245</v>
      </c>
      <c r="R60" s="10">
        <f t="shared" si="2"/>
        <v>90754125</v>
      </c>
      <c r="S60" s="10">
        <f t="shared" si="3"/>
        <v>58528023.055555575</v>
      </c>
    </row>
    <row r="61" spans="1:19" x14ac:dyDescent="0.25">
      <c r="A61" s="2" t="s">
        <v>79</v>
      </c>
      <c r="B61" s="6" t="s">
        <v>17</v>
      </c>
      <c r="C61" s="6" t="s">
        <v>19</v>
      </c>
      <c r="D61" s="6">
        <v>10</v>
      </c>
      <c r="E61" s="6">
        <v>22896</v>
      </c>
      <c r="F61" s="6">
        <v>43487</v>
      </c>
      <c r="G61" s="6">
        <v>0</v>
      </c>
      <c r="H61" s="6">
        <v>0</v>
      </c>
      <c r="I61" s="6">
        <v>37530</v>
      </c>
      <c r="J61" s="6">
        <v>0</v>
      </c>
      <c r="K61" s="6">
        <f t="shared" si="0"/>
        <v>37530</v>
      </c>
      <c r="L61" s="6">
        <v>28853</v>
      </c>
      <c r="M61" s="6">
        <v>25322.333333333303</v>
      </c>
      <c r="N61" s="6">
        <v>26</v>
      </c>
      <c r="O61" s="8">
        <f t="shared" si="1"/>
        <v>17.542783550937006</v>
      </c>
      <c r="Q61" s="10">
        <v>2121</v>
      </c>
      <c r="R61" s="10">
        <f t="shared" si="2"/>
        <v>79601130</v>
      </c>
      <c r="S61" s="10">
        <f t="shared" si="3"/>
        <v>53708668.999999933</v>
      </c>
    </row>
    <row r="62" spans="1:19" x14ac:dyDescent="0.25">
      <c r="A62" s="2" t="s">
        <v>80</v>
      </c>
      <c r="B62" s="6" t="s">
        <v>17</v>
      </c>
      <c r="C62" s="6" t="s">
        <v>19</v>
      </c>
      <c r="D62" s="6">
        <v>10</v>
      </c>
      <c r="E62" s="6">
        <v>4</v>
      </c>
      <c r="F62" s="6">
        <v>1470</v>
      </c>
      <c r="G62" s="6">
        <v>0</v>
      </c>
      <c r="H62" s="6">
        <v>0</v>
      </c>
      <c r="I62" s="6">
        <v>1474</v>
      </c>
      <c r="J62" s="6">
        <v>0</v>
      </c>
      <c r="K62" s="6">
        <f t="shared" si="0"/>
        <v>1474</v>
      </c>
      <c r="L62" s="6">
        <v>0</v>
      </c>
      <c r="M62" s="6">
        <v>857.66666666666708</v>
      </c>
      <c r="N62" s="6">
        <v>26</v>
      </c>
      <c r="O62" s="8">
        <f t="shared" si="1"/>
        <v>15.128448665762106</v>
      </c>
      <c r="Q62" s="10">
        <v>2131</v>
      </c>
      <c r="R62" s="10">
        <f t="shared" si="2"/>
        <v>3141094</v>
      </c>
      <c r="S62" s="10">
        <f t="shared" si="3"/>
        <v>1827687.6666666674</v>
      </c>
    </row>
    <row r="63" spans="1:19" x14ac:dyDescent="0.25">
      <c r="A63" s="2" t="s">
        <v>81</v>
      </c>
      <c r="B63" s="6" t="s">
        <v>17</v>
      </c>
      <c r="C63" s="6" t="s">
        <v>19</v>
      </c>
      <c r="D63" s="6">
        <v>10</v>
      </c>
      <c r="E63" s="6">
        <v>1241</v>
      </c>
      <c r="F63" s="6">
        <v>2000</v>
      </c>
      <c r="G63" s="6">
        <v>0</v>
      </c>
      <c r="H63" s="6">
        <v>0</v>
      </c>
      <c r="I63" s="6">
        <v>600</v>
      </c>
      <c r="J63" s="6">
        <v>0</v>
      </c>
      <c r="K63" s="6">
        <f t="shared" si="0"/>
        <v>600</v>
      </c>
      <c r="L63" s="6">
        <v>2641</v>
      </c>
      <c r="M63" s="6">
        <v>2974.3333333333298</v>
      </c>
      <c r="N63" s="6">
        <v>26</v>
      </c>
      <c r="O63" s="8">
        <f t="shared" si="1"/>
        <v>128.88777777777761</v>
      </c>
      <c r="Q63" s="10">
        <v>4592</v>
      </c>
      <c r="R63" s="10">
        <f t="shared" si="2"/>
        <v>2755200</v>
      </c>
      <c r="S63" s="10">
        <f t="shared" si="3"/>
        <v>13658138.666666651</v>
      </c>
    </row>
    <row r="64" spans="1:19" x14ac:dyDescent="0.25">
      <c r="A64" s="2" t="s">
        <v>82</v>
      </c>
      <c r="B64" s="6" t="s">
        <v>17</v>
      </c>
      <c r="C64" s="6" t="s">
        <v>19</v>
      </c>
      <c r="D64" s="6">
        <v>10</v>
      </c>
      <c r="E64" s="6">
        <v>7800</v>
      </c>
      <c r="F64" s="6">
        <v>17369</v>
      </c>
      <c r="G64" s="6">
        <v>0</v>
      </c>
      <c r="H64" s="6">
        <v>0</v>
      </c>
      <c r="I64" s="6">
        <v>7375</v>
      </c>
      <c r="J64" s="6">
        <v>0</v>
      </c>
      <c r="K64" s="6">
        <f t="shared" si="0"/>
        <v>7375</v>
      </c>
      <c r="L64" s="6">
        <v>17794</v>
      </c>
      <c r="M64" s="6">
        <v>15176.1</v>
      </c>
      <c r="N64" s="6">
        <v>26</v>
      </c>
      <c r="O64" s="8">
        <f t="shared" si="1"/>
        <v>53.502183050847464</v>
      </c>
      <c r="Q64" s="10">
        <v>2297</v>
      </c>
      <c r="R64" s="10">
        <f t="shared" si="2"/>
        <v>16940375</v>
      </c>
      <c r="S64" s="10">
        <f t="shared" si="3"/>
        <v>34859501.700000003</v>
      </c>
    </row>
    <row r="65" spans="1:19" x14ac:dyDescent="0.25">
      <c r="A65" s="2" t="s">
        <v>83</v>
      </c>
      <c r="B65" s="6" t="s">
        <v>17</v>
      </c>
      <c r="C65" s="6" t="s">
        <v>19</v>
      </c>
      <c r="D65" s="6">
        <v>10</v>
      </c>
      <c r="E65" s="6">
        <v>400</v>
      </c>
      <c r="F65" s="6">
        <v>1975</v>
      </c>
      <c r="G65" s="6">
        <v>0</v>
      </c>
      <c r="H65" s="6">
        <v>0</v>
      </c>
      <c r="I65" s="6">
        <v>675</v>
      </c>
      <c r="J65" s="6">
        <v>0</v>
      </c>
      <c r="K65" s="6">
        <f t="shared" si="0"/>
        <v>675</v>
      </c>
      <c r="L65" s="6">
        <v>1700</v>
      </c>
      <c r="M65" s="6">
        <v>733.33333333333303</v>
      </c>
      <c r="N65" s="6">
        <v>26</v>
      </c>
      <c r="O65" s="8">
        <f t="shared" si="1"/>
        <v>28.2469135802469</v>
      </c>
      <c r="Q65" s="10">
        <v>4592</v>
      </c>
      <c r="R65" s="10">
        <f t="shared" si="2"/>
        <v>3099600</v>
      </c>
      <c r="S65" s="10">
        <f t="shared" si="3"/>
        <v>3367466.6666666651</v>
      </c>
    </row>
    <row r="66" spans="1:19" x14ac:dyDescent="0.25">
      <c r="A66" s="2" t="s">
        <v>84</v>
      </c>
      <c r="B66" s="6" t="s">
        <v>16</v>
      </c>
      <c r="C66" s="6" t="s">
        <v>19</v>
      </c>
      <c r="D66" s="6">
        <v>10</v>
      </c>
      <c r="E66" s="6">
        <v>27055</v>
      </c>
      <c r="F66" s="6">
        <v>125400</v>
      </c>
      <c r="G66" s="6">
        <v>0</v>
      </c>
      <c r="H66" s="6">
        <v>0</v>
      </c>
      <c r="I66" s="6">
        <v>128485</v>
      </c>
      <c r="J66" s="6">
        <v>15</v>
      </c>
      <c r="K66" s="6">
        <f t="shared" si="0"/>
        <v>128500</v>
      </c>
      <c r="L66" s="6">
        <v>23955</v>
      </c>
      <c r="M66" s="6">
        <v>24197.142857142899</v>
      </c>
      <c r="N66" s="6">
        <v>26</v>
      </c>
      <c r="O66" s="8">
        <f t="shared" si="1"/>
        <v>4.895919955530859</v>
      </c>
      <c r="Q66" s="10">
        <v>1419</v>
      </c>
      <c r="R66" s="10">
        <f t="shared" si="2"/>
        <v>182341500</v>
      </c>
      <c r="S66" s="10">
        <f t="shared" si="3"/>
        <v>34335745.714285776</v>
      </c>
    </row>
    <row r="67" spans="1:19" x14ac:dyDescent="0.25">
      <c r="A67" s="2" t="s">
        <v>85</v>
      </c>
      <c r="B67" s="6" t="s">
        <v>17</v>
      </c>
      <c r="C67" s="6" t="s">
        <v>19</v>
      </c>
      <c r="D67" s="6">
        <v>10</v>
      </c>
      <c r="E67" s="6">
        <v>5410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f t="shared" ref="K67:K130" si="4">I67+J67</f>
        <v>0</v>
      </c>
      <c r="L67" s="6">
        <v>5410</v>
      </c>
      <c r="M67" s="6">
        <v>0</v>
      </c>
      <c r="N67" s="6">
        <v>26</v>
      </c>
      <c r="O67" s="8">
        <v>0</v>
      </c>
      <c r="Q67" s="10">
        <v>4592</v>
      </c>
      <c r="R67" s="10">
        <f t="shared" ref="R67:R130" si="5">Q67*(I67+J67)</f>
        <v>0</v>
      </c>
      <c r="S67" s="10">
        <f t="shared" ref="S67:S130" si="6">Q67*M67</f>
        <v>0</v>
      </c>
    </row>
    <row r="68" spans="1:19" x14ac:dyDescent="0.25">
      <c r="A68" s="2" t="s">
        <v>86</v>
      </c>
      <c r="B68" s="6" t="s">
        <v>17</v>
      </c>
      <c r="C68" s="6" t="s">
        <v>19</v>
      </c>
      <c r="D68" s="6">
        <v>10</v>
      </c>
      <c r="E68" s="6">
        <v>0</v>
      </c>
      <c r="F68" s="6">
        <v>6425</v>
      </c>
      <c r="G68" s="6">
        <v>0</v>
      </c>
      <c r="H68" s="6">
        <v>0</v>
      </c>
      <c r="I68" s="6">
        <v>5075</v>
      </c>
      <c r="J68" s="6">
        <v>0</v>
      </c>
      <c r="K68" s="6">
        <f t="shared" si="4"/>
        <v>5075</v>
      </c>
      <c r="L68" s="6">
        <v>1350</v>
      </c>
      <c r="M68" s="6">
        <v>2587.5</v>
      </c>
      <c r="N68" s="6">
        <v>26</v>
      </c>
      <c r="O68" s="8">
        <f t="shared" ref="O68:O130" si="7">(M68/(I68+J68))*N68</f>
        <v>13.25615763546798</v>
      </c>
      <c r="Q68" s="10">
        <v>2103</v>
      </c>
      <c r="R68" s="10">
        <f t="shared" si="5"/>
        <v>10672725</v>
      </c>
      <c r="S68" s="10">
        <f t="shared" si="6"/>
        <v>5441512.5</v>
      </c>
    </row>
    <row r="69" spans="1:19" x14ac:dyDescent="0.25">
      <c r="A69" s="2" t="s">
        <v>87</v>
      </c>
      <c r="B69" s="6" t="s">
        <v>17</v>
      </c>
      <c r="C69" s="6" t="s">
        <v>19</v>
      </c>
      <c r="D69" s="6">
        <v>10</v>
      </c>
      <c r="E69" s="6">
        <v>24000</v>
      </c>
      <c r="F69" s="6">
        <v>0</v>
      </c>
      <c r="G69" s="6">
        <v>0</v>
      </c>
      <c r="H69" s="6">
        <v>0</v>
      </c>
      <c r="I69" s="6">
        <v>7750</v>
      </c>
      <c r="J69" s="6">
        <v>0</v>
      </c>
      <c r="K69" s="6">
        <f t="shared" si="4"/>
        <v>7750</v>
      </c>
      <c r="L69" s="6">
        <v>16250</v>
      </c>
      <c r="M69" s="6">
        <v>18800</v>
      </c>
      <c r="N69" s="6">
        <v>26</v>
      </c>
      <c r="O69" s="8">
        <f t="shared" si="7"/>
        <v>63.070967741935483</v>
      </c>
      <c r="Q69" s="10">
        <v>2103</v>
      </c>
      <c r="R69" s="10">
        <f t="shared" si="5"/>
        <v>16298250</v>
      </c>
      <c r="S69" s="10">
        <f t="shared" si="6"/>
        <v>39536400</v>
      </c>
    </row>
    <row r="70" spans="1:19" x14ac:dyDescent="0.25">
      <c r="A70" s="2" t="s">
        <v>88</v>
      </c>
      <c r="B70" s="6" t="s">
        <v>17</v>
      </c>
      <c r="C70" s="6" t="s">
        <v>19</v>
      </c>
      <c r="D70" s="6">
        <v>10</v>
      </c>
      <c r="E70" s="6">
        <v>2819</v>
      </c>
      <c r="F70" s="6">
        <v>1539</v>
      </c>
      <c r="G70" s="6">
        <v>0</v>
      </c>
      <c r="H70" s="6">
        <v>0</v>
      </c>
      <c r="I70" s="6">
        <v>1704</v>
      </c>
      <c r="J70" s="6">
        <v>0</v>
      </c>
      <c r="K70" s="6">
        <f t="shared" si="4"/>
        <v>1704</v>
      </c>
      <c r="L70" s="6">
        <v>2654</v>
      </c>
      <c r="M70" s="6">
        <v>2659</v>
      </c>
      <c r="N70" s="6">
        <v>26</v>
      </c>
      <c r="O70" s="8">
        <f t="shared" si="7"/>
        <v>40.571596244131456</v>
      </c>
      <c r="Q70" s="10">
        <v>4592</v>
      </c>
      <c r="R70" s="10">
        <f t="shared" si="5"/>
        <v>7824768</v>
      </c>
      <c r="S70" s="10">
        <f t="shared" si="6"/>
        <v>12210128</v>
      </c>
    </row>
    <row r="71" spans="1:19" x14ac:dyDescent="0.25">
      <c r="A71" s="2" t="s">
        <v>89</v>
      </c>
      <c r="B71" s="6" t="s">
        <v>17</v>
      </c>
      <c r="C71" s="6" t="s">
        <v>19</v>
      </c>
      <c r="D71" s="6">
        <v>10</v>
      </c>
      <c r="E71" s="6">
        <v>2914</v>
      </c>
      <c r="F71" s="6">
        <v>1500</v>
      </c>
      <c r="G71" s="6">
        <v>0</v>
      </c>
      <c r="H71" s="6">
        <v>0</v>
      </c>
      <c r="I71" s="6">
        <v>2914</v>
      </c>
      <c r="J71" s="6">
        <v>0</v>
      </c>
      <c r="K71" s="6">
        <f t="shared" si="4"/>
        <v>2914</v>
      </c>
      <c r="L71" s="6">
        <v>1500</v>
      </c>
      <c r="M71" s="6">
        <v>1157.8</v>
      </c>
      <c r="N71" s="6">
        <v>26</v>
      </c>
      <c r="O71" s="8">
        <f t="shared" si="7"/>
        <v>10.330404941660946</v>
      </c>
      <c r="Q71" s="10">
        <v>2297</v>
      </c>
      <c r="R71" s="10">
        <f t="shared" si="5"/>
        <v>6693458</v>
      </c>
      <c r="S71" s="10">
        <f t="shared" si="6"/>
        <v>2659466.6</v>
      </c>
    </row>
    <row r="72" spans="1:19" x14ac:dyDescent="0.25">
      <c r="A72" s="2" t="s">
        <v>90</v>
      </c>
      <c r="B72" s="6" t="s">
        <v>17</v>
      </c>
      <c r="C72" s="6" t="s">
        <v>19</v>
      </c>
      <c r="D72" s="6">
        <v>10</v>
      </c>
      <c r="E72" s="6">
        <v>775</v>
      </c>
      <c r="F72" s="6">
        <v>0</v>
      </c>
      <c r="G72" s="6">
        <v>0</v>
      </c>
      <c r="H72" s="6">
        <v>0</v>
      </c>
      <c r="I72" s="6">
        <v>150</v>
      </c>
      <c r="J72" s="6">
        <v>0</v>
      </c>
      <c r="K72" s="6">
        <f t="shared" si="4"/>
        <v>150</v>
      </c>
      <c r="L72" s="6">
        <v>625</v>
      </c>
      <c r="M72" s="6">
        <v>625</v>
      </c>
      <c r="N72" s="6">
        <v>26</v>
      </c>
      <c r="O72" s="8">
        <f t="shared" si="7"/>
        <v>108.33333333333334</v>
      </c>
      <c r="Q72" s="10">
        <v>2616</v>
      </c>
      <c r="R72" s="10">
        <f t="shared" si="5"/>
        <v>392400</v>
      </c>
      <c r="S72" s="10">
        <f t="shared" si="6"/>
        <v>1635000</v>
      </c>
    </row>
    <row r="73" spans="1:19" x14ac:dyDescent="0.25">
      <c r="A73" s="2" t="s">
        <v>91</v>
      </c>
      <c r="B73" s="6" t="s">
        <v>16</v>
      </c>
      <c r="C73" s="6" t="s">
        <v>19</v>
      </c>
      <c r="D73" s="6">
        <v>10</v>
      </c>
      <c r="E73" s="6">
        <v>24025</v>
      </c>
      <c r="F73" s="6">
        <v>106420</v>
      </c>
      <c r="G73" s="6">
        <v>0</v>
      </c>
      <c r="H73" s="6">
        <v>0</v>
      </c>
      <c r="I73" s="6">
        <v>77325</v>
      </c>
      <c r="J73" s="6">
        <v>0</v>
      </c>
      <c r="K73" s="6">
        <f t="shared" si="4"/>
        <v>77325</v>
      </c>
      <c r="L73" s="6">
        <v>53120</v>
      </c>
      <c r="M73" s="6">
        <v>52321.875</v>
      </c>
      <c r="N73" s="6">
        <v>26</v>
      </c>
      <c r="O73" s="8">
        <f t="shared" si="7"/>
        <v>17.592870999030065</v>
      </c>
      <c r="Q73" s="10">
        <v>1419</v>
      </c>
      <c r="R73" s="10">
        <f t="shared" si="5"/>
        <v>109724175</v>
      </c>
      <c r="S73" s="10">
        <f t="shared" si="6"/>
        <v>74244740.625</v>
      </c>
    </row>
    <row r="74" spans="1:19" x14ac:dyDescent="0.25">
      <c r="A74" s="2" t="s">
        <v>92</v>
      </c>
      <c r="B74" s="6" t="s">
        <v>17</v>
      </c>
      <c r="C74" s="6" t="s">
        <v>19</v>
      </c>
      <c r="D74" s="6">
        <v>10</v>
      </c>
      <c r="E74" s="6">
        <v>2038</v>
      </c>
      <c r="F74" s="6">
        <v>1050</v>
      </c>
      <c r="G74" s="6">
        <v>0</v>
      </c>
      <c r="H74" s="6">
        <v>0</v>
      </c>
      <c r="I74" s="6">
        <v>300</v>
      </c>
      <c r="J74" s="6">
        <v>5</v>
      </c>
      <c r="K74" s="6">
        <f t="shared" si="4"/>
        <v>305</v>
      </c>
      <c r="L74" s="6">
        <v>2783</v>
      </c>
      <c r="M74" s="6">
        <v>2436.3333333333298</v>
      </c>
      <c r="N74" s="6">
        <v>26</v>
      </c>
      <c r="O74" s="8">
        <f t="shared" si="7"/>
        <v>207.68743169398877</v>
      </c>
      <c r="Q74" s="10">
        <v>2616</v>
      </c>
      <c r="R74" s="10">
        <f t="shared" si="5"/>
        <v>797880</v>
      </c>
      <c r="S74" s="10">
        <f t="shared" si="6"/>
        <v>6373447.9999999907</v>
      </c>
    </row>
    <row r="75" spans="1:19" x14ac:dyDescent="0.25">
      <c r="A75" s="2" t="s">
        <v>93</v>
      </c>
      <c r="B75" s="6" t="s">
        <v>17</v>
      </c>
      <c r="C75" s="6" t="s">
        <v>19</v>
      </c>
      <c r="D75" s="6">
        <v>10</v>
      </c>
      <c r="E75" s="6">
        <v>360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f t="shared" si="4"/>
        <v>0</v>
      </c>
      <c r="L75" s="6">
        <v>360</v>
      </c>
      <c r="M75" s="6">
        <v>0</v>
      </c>
      <c r="N75" s="6">
        <v>26</v>
      </c>
      <c r="O75" s="8">
        <v>0</v>
      </c>
      <c r="Q75" s="10">
        <v>7550</v>
      </c>
      <c r="R75" s="10">
        <f t="shared" si="5"/>
        <v>0</v>
      </c>
      <c r="S75" s="10">
        <f t="shared" si="6"/>
        <v>0</v>
      </c>
    </row>
    <row r="76" spans="1:19" x14ac:dyDescent="0.25">
      <c r="A76" s="2" t="s">
        <v>94</v>
      </c>
      <c r="B76" s="6" t="s">
        <v>17</v>
      </c>
      <c r="C76" s="6" t="s">
        <v>19</v>
      </c>
      <c r="D76" s="6">
        <v>10</v>
      </c>
      <c r="E76" s="6">
        <v>22910</v>
      </c>
      <c r="F76" s="6">
        <v>32760</v>
      </c>
      <c r="G76" s="6">
        <v>0</v>
      </c>
      <c r="H76" s="6">
        <v>0</v>
      </c>
      <c r="I76" s="6">
        <v>43550</v>
      </c>
      <c r="J76" s="6">
        <v>0</v>
      </c>
      <c r="K76" s="6">
        <f t="shared" si="4"/>
        <v>43550</v>
      </c>
      <c r="L76" s="6">
        <v>12120</v>
      </c>
      <c r="M76" s="6">
        <v>29909.583333333303</v>
      </c>
      <c r="N76" s="6">
        <v>26</v>
      </c>
      <c r="O76" s="8">
        <f t="shared" si="7"/>
        <v>17.856467661691525</v>
      </c>
      <c r="Q76" s="10">
        <v>7550</v>
      </c>
      <c r="R76" s="10">
        <f t="shared" si="5"/>
        <v>328802500</v>
      </c>
      <c r="S76" s="10">
        <f t="shared" si="6"/>
        <v>225817354.16666645</v>
      </c>
    </row>
    <row r="77" spans="1:19" x14ac:dyDescent="0.25">
      <c r="A77" s="2" t="s">
        <v>95</v>
      </c>
      <c r="B77" s="6" t="s">
        <v>17</v>
      </c>
      <c r="C77" s="6" t="s">
        <v>19</v>
      </c>
      <c r="D77" s="6">
        <v>10</v>
      </c>
      <c r="E77" s="6">
        <v>3310</v>
      </c>
      <c r="F77" s="6">
        <v>6094</v>
      </c>
      <c r="G77" s="6">
        <v>0</v>
      </c>
      <c r="H77" s="6">
        <v>0</v>
      </c>
      <c r="I77" s="6">
        <v>2340</v>
      </c>
      <c r="J77" s="6">
        <v>0</v>
      </c>
      <c r="K77" s="6">
        <f t="shared" si="4"/>
        <v>2340</v>
      </c>
      <c r="L77" s="6">
        <v>7064</v>
      </c>
      <c r="M77" s="6">
        <v>7130.4000000000005</v>
      </c>
      <c r="N77" s="6">
        <v>26</v>
      </c>
      <c r="O77" s="8">
        <f t="shared" si="7"/>
        <v>79.226666666666674</v>
      </c>
      <c r="Q77" s="10">
        <v>4592</v>
      </c>
      <c r="R77" s="10">
        <f t="shared" si="5"/>
        <v>10745280</v>
      </c>
      <c r="S77" s="10">
        <f t="shared" si="6"/>
        <v>32742796.800000001</v>
      </c>
    </row>
    <row r="78" spans="1:19" x14ac:dyDescent="0.25">
      <c r="A78" s="2" t="s">
        <v>96</v>
      </c>
      <c r="B78" s="6" t="s">
        <v>17</v>
      </c>
      <c r="C78" s="6" t="s">
        <v>19</v>
      </c>
      <c r="D78" s="6">
        <v>10</v>
      </c>
      <c r="E78" s="6">
        <v>3400</v>
      </c>
      <c r="F78" s="6">
        <v>12010</v>
      </c>
      <c r="G78" s="6">
        <v>0</v>
      </c>
      <c r="H78" s="6">
        <v>0</v>
      </c>
      <c r="I78" s="6">
        <v>11700</v>
      </c>
      <c r="J78" s="6">
        <v>0</v>
      </c>
      <c r="K78" s="6">
        <f t="shared" si="4"/>
        <v>11700</v>
      </c>
      <c r="L78" s="6">
        <v>3710</v>
      </c>
      <c r="M78" s="6">
        <v>2450.4545454545505</v>
      </c>
      <c r="N78" s="6">
        <v>26</v>
      </c>
      <c r="O78" s="8">
        <f t="shared" si="7"/>
        <v>5.4454545454545569</v>
      </c>
      <c r="Q78" s="10">
        <v>2297</v>
      </c>
      <c r="R78" s="10">
        <f t="shared" si="5"/>
        <v>26874900</v>
      </c>
      <c r="S78" s="10">
        <f t="shared" si="6"/>
        <v>5628694.0909091029</v>
      </c>
    </row>
    <row r="79" spans="1:19" x14ac:dyDescent="0.25">
      <c r="A79" s="2" t="s">
        <v>97</v>
      </c>
      <c r="B79" s="6" t="s">
        <v>17</v>
      </c>
      <c r="C79" s="6" t="s">
        <v>19</v>
      </c>
      <c r="D79" s="6">
        <v>10</v>
      </c>
      <c r="E79" s="6">
        <v>550</v>
      </c>
      <c r="F79" s="6">
        <v>1050</v>
      </c>
      <c r="G79" s="6">
        <v>0</v>
      </c>
      <c r="H79" s="6">
        <v>0</v>
      </c>
      <c r="I79" s="6">
        <v>850</v>
      </c>
      <c r="J79" s="6">
        <v>0</v>
      </c>
      <c r="K79" s="6">
        <f t="shared" si="4"/>
        <v>850</v>
      </c>
      <c r="L79" s="6">
        <v>750</v>
      </c>
      <c r="M79" s="6">
        <v>708.33333333333303</v>
      </c>
      <c r="N79" s="6">
        <v>26</v>
      </c>
      <c r="O79" s="8">
        <f t="shared" si="7"/>
        <v>21.666666666666657</v>
      </c>
      <c r="Q79" s="10">
        <v>2616</v>
      </c>
      <c r="R79" s="10">
        <f t="shared" si="5"/>
        <v>2223600</v>
      </c>
      <c r="S79" s="10">
        <f t="shared" si="6"/>
        <v>1852999.9999999993</v>
      </c>
    </row>
    <row r="80" spans="1:19" x14ac:dyDescent="0.25">
      <c r="A80" s="2" t="s">
        <v>98</v>
      </c>
      <c r="B80" s="6" t="s">
        <v>16</v>
      </c>
      <c r="C80" s="6" t="s">
        <v>19</v>
      </c>
      <c r="D80" s="6">
        <v>10</v>
      </c>
      <c r="E80" s="6">
        <v>12350</v>
      </c>
      <c r="F80" s="6">
        <v>63325</v>
      </c>
      <c r="G80" s="6">
        <v>0</v>
      </c>
      <c r="H80" s="6">
        <v>0</v>
      </c>
      <c r="I80" s="6">
        <v>73675</v>
      </c>
      <c r="J80" s="6">
        <v>10</v>
      </c>
      <c r="K80" s="6">
        <f t="shared" si="4"/>
        <v>73685</v>
      </c>
      <c r="L80" s="6">
        <v>1990</v>
      </c>
      <c r="M80" s="6">
        <v>13069.210526315801</v>
      </c>
      <c r="N80" s="6">
        <v>26</v>
      </c>
      <c r="O80" s="8">
        <f t="shared" si="7"/>
        <v>4.6115148766263259</v>
      </c>
      <c r="Q80" s="10">
        <v>1419</v>
      </c>
      <c r="R80" s="10">
        <f t="shared" si="5"/>
        <v>104559015</v>
      </c>
      <c r="S80" s="10">
        <f t="shared" si="6"/>
        <v>18545209.736842122</v>
      </c>
    </row>
    <row r="81" spans="1:19" x14ac:dyDescent="0.25">
      <c r="A81" s="2" t="s">
        <v>99</v>
      </c>
      <c r="B81" s="6" t="s">
        <v>17</v>
      </c>
      <c r="C81" s="6" t="s">
        <v>19</v>
      </c>
      <c r="D81" s="6">
        <v>10</v>
      </c>
      <c r="E81" s="6">
        <v>1315</v>
      </c>
      <c r="F81" s="6">
        <v>1521</v>
      </c>
      <c r="G81" s="6">
        <v>0</v>
      </c>
      <c r="H81" s="6">
        <v>0</v>
      </c>
      <c r="I81" s="6">
        <v>0</v>
      </c>
      <c r="J81" s="6">
        <v>0</v>
      </c>
      <c r="K81" s="6">
        <f t="shared" si="4"/>
        <v>0</v>
      </c>
      <c r="L81" s="6">
        <v>2836</v>
      </c>
      <c r="M81" s="6">
        <v>2836</v>
      </c>
      <c r="N81" s="6">
        <v>26</v>
      </c>
      <c r="O81" s="8">
        <v>0</v>
      </c>
      <c r="Q81" s="10">
        <v>2616</v>
      </c>
      <c r="R81" s="10">
        <f t="shared" si="5"/>
        <v>0</v>
      </c>
      <c r="S81" s="10">
        <f t="shared" si="6"/>
        <v>7418976</v>
      </c>
    </row>
    <row r="82" spans="1:19" x14ac:dyDescent="0.25">
      <c r="A82" s="2" t="s">
        <v>100</v>
      </c>
      <c r="B82" s="6" t="s">
        <v>17</v>
      </c>
      <c r="C82" s="6" t="s">
        <v>19</v>
      </c>
      <c r="D82" s="6">
        <v>10</v>
      </c>
      <c r="E82" s="6">
        <v>1627</v>
      </c>
      <c r="F82" s="6">
        <v>1030</v>
      </c>
      <c r="G82" s="6">
        <v>0</v>
      </c>
      <c r="H82" s="6">
        <v>0</v>
      </c>
      <c r="I82" s="6">
        <v>1232</v>
      </c>
      <c r="J82" s="6">
        <v>0</v>
      </c>
      <c r="K82" s="6">
        <f t="shared" si="4"/>
        <v>1232</v>
      </c>
      <c r="L82" s="6">
        <v>1425</v>
      </c>
      <c r="M82" s="6">
        <v>1126</v>
      </c>
      <c r="N82" s="6">
        <v>26</v>
      </c>
      <c r="O82" s="8">
        <f t="shared" si="7"/>
        <v>23.762987012987015</v>
      </c>
      <c r="Q82" s="10">
        <v>4592</v>
      </c>
      <c r="R82" s="10">
        <f t="shared" si="5"/>
        <v>5657344</v>
      </c>
      <c r="S82" s="10">
        <f t="shared" si="6"/>
        <v>5170592</v>
      </c>
    </row>
    <row r="83" spans="1:19" x14ac:dyDescent="0.25">
      <c r="A83" s="2" t="s">
        <v>101</v>
      </c>
      <c r="B83" s="6" t="s">
        <v>17</v>
      </c>
      <c r="C83" s="6" t="s">
        <v>19</v>
      </c>
      <c r="D83" s="6">
        <v>10</v>
      </c>
      <c r="E83" s="6">
        <v>21465</v>
      </c>
      <c r="F83" s="6">
        <v>0</v>
      </c>
      <c r="G83" s="6">
        <v>0</v>
      </c>
      <c r="H83" s="6">
        <v>0</v>
      </c>
      <c r="I83" s="6">
        <v>3300</v>
      </c>
      <c r="J83" s="6">
        <v>0</v>
      </c>
      <c r="K83" s="6">
        <f t="shared" si="4"/>
        <v>3300</v>
      </c>
      <c r="L83" s="6">
        <v>18165</v>
      </c>
      <c r="M83" s="6">
        <v>18998.333333333303</v>
      </c>
      <c r="N83" s="6">
        <v>26</v>
      </c>
      <c r="O83" s="8">
        <f t="shared" si="7"/>
        <v>149.68383838383815</v>
      </c>
      <c r="Q83" s="10">
        <v>2297</v>
      </c>
      <c r="R83" s="10">
        <f t="shared" si="5"/>
        <v>7580100</v>
      </c>
      <c r="S83" s="10">
        <f t="shared" si="6"/>
        <v>43639171.666666597</v>
      </c>
    </row>
    <row r="84" spans="1:19" x14ac:dyDescent="0.25">
      <c r="A84" s="2" t="s">
        <v>102</v>
      </c>
      <c r="B84" s="6" t="s">
        <v>17</v>
      </c>
      <c r="C84" s="6" t="s">
        <v>19</v>
      </c>
      <c r="D84" s="6">
        <v>10</v>
      </c>
      <c r="E84" s="6">
        <v>975</v>
      </c>
      <c r="F84" s="6">
        <v>1000</v>
      </c>
      <c r="G84" s="6">
        <v>0</v>
      </c>
      <c r="H84" s="6">
        <v>0</v>
      </c>
      <c r="I84" s="6">
        <v>500</v>
      </c>
      <c r="J84" s="6">
        <v>0</v>
      </c>
      <c r="K84" s="6">
        <f t="shared" si="4"/>
        <v>500</v>
      </c>
      <c r="L84" s="6">
        <v>1475</v>
      </c>
      <c r="M84" s="6">
        <v>950</v>
      </c>
      <c r="N84" s="6">
        <v>26</v>
      </c>
      <c r="O84" s="8">
        <f t="shared" si="7"/>
        <v>49.4</v>
      </c>
      <c r="Q84" s="10">
        <v>2616</v>
      </c>
      <c r="R84" s="10">
        <f t="shared" si="5"/>
        <v>1308000</v>
      </c>
      <c r="S84" s="10">
        <f t="shared" si="6"/>
        <v>2485200</v>
      </c>
    </row>
    <row r="85" spans="1:19" x14ac:dyDescent="0.25">
      <c r="A85" s="2" t="s">
        <v>103</v>
      </c>
      <c r="B85" s="6" t="s">
        <v>16</v>
      </c>
      <c r="C85" s="6" t="s">
        <v>19</v>
      </c>
      <c r="D85" s="6">
        <v>10</v>
      </c>
      <c r="E85" s="6">
        <v>20575</v>
      </c>
      <c r="F85" s="6">
        <v>76075</v>
      </c>
      <c r="G85" s="6">
        <v>0</v>
      </c>
      <c r="H85" s="6">
        <v>0</v>
      </c>
      <c r="I85" s="6">
        <v>77550</v>
      </c>
      <c r="J85" s="6">
        <v>0</v>
      </c>
      <c r="K85" s="6">
        <f t="shared" si="4"/>
        <v>77550</v>
      </c>
      <c r="L85" s="6">
        <v>19100</v>
      </c>
      <c r="M85" s="6">
        <v>26010.416666666697</v>
      </c>
      <c r="N85" s="6">
        <v>26</v>
      </c>
      <c r="O85" s="8">
        <f t="shared" si="7"/>
        <v>8.720449172576842</v>
      </c>
      <c r="Q85" s="10">
        <v>1419</v>
      </c>
      <c r="R85" s="10">
        <f t="shared" si="5"/>
        <v>110043450</v>
      </c>
      <c r="S85" s="10">
        <f t="shared" si="6"/>
        <v>36908781.250000045</v>
      </c>
    </row>
    <row r="86" spans="1:19" x14ac:dyDescent="0.25">
      <c r="A86" s="2" t="s">
        <v>104</v>
      </c>
      <c r="B86" s="6" t="s">
        <v>17</v>
      </c>
      <c r="C86" s="6" t="s">
        <v>19</v>
      </c>
      <c r="D86" s="6">
        <v>10</v>
      </c>
      <c r="E86" s="6">
        <v>1844</v>
      </c>
      <c r="F86" s="6">
        <v>0</v>
      </c>
      <c r="G86" s="6">
        <v>0</v>
      </c>
      <c r="H86" s="6">
        <v>0</v>
      </c>
      <c r="I86" s="6">
        <v>700</v>
      </c>
      <c r="J86" s="6">
        <v>5</v>
      </c>
      <c r="K86" s="6">
        <f t="shared" si="4"/>
        <v>705</v>
      </c>
      <c r="L86" s="6">
        <v>1139</v>
      </c>
      <c r="M86" s="6">
        <v>1141.5</v>
      </c>
      <c r="N86" s="6">
        <v>26</v>
      </c>
      <c r="O86" s="8">
        <f t="shared" si="7"/>
        <v>42.097872340425532</v>
      </c>
      <c r="Q86" s="10">
        <v>1419</v>
      </c>
      <c r="R86" s="10">
        <f t="shared" si="5"/>
        <v>1000395</v>
      </c>
      <c r="S86" s="10">
        <f t="shared" si="6"/>
        <v>1619788.5</v>
      </c>
    </row>
    <row r="87" spans="1:19" x14ac:dyDescent="0.25">
      <c r="A87" s="2" t="s">
        <v>105</v>
      </c>
      <c r="B87" s="6" t="s">
        <v>17</v>
      </c>
      <c r="C87" s="6" t="s">
        <v>19</v>
      </c>
      <c r="D87" s="6">
        <v>10</v>
      </c>
      <c r="E87" s="6">
        <v>8396</v>
      </c>
      <c r="F87" s="6">
        <v>29939</v>
      </c>
      <c r="G87" s="6">
        <v>0</v>
      </c>
      <c r="H87" s="6">
        <v>0</v>
      </c>
      <c r="I87" s="6">
        <v>24964</v>
      </c>
      <c r="J87" s="6">
        <v>0</v>
      </c>
      <c r="K87" s="6">
        <f t="shared" si="4"/>
        <v>24964</v>
      </c>
      <c r="L87" s="6">
        <v>13371</v>
      </c>
      <c r="M87" s="6">
        <v>12207.666666666701</v>
      </c>
      <c r="N87" s="6">
        <v>26</v>
      </c>
      <c r="O87" s="8">
        <f t="shared" si="7"/>
        <v>12.714281899268315</v>
      </c>
      <c r="Q87" s="10">
        <v>1968</v>
      </c>
      <c r="R87" s="10">
        <f t="shared" si="5"/>
        <v>49129152</v>
      </c>
      <c r="S87" s="10">
        <f t="shared" si="6"/>
        <v>24024688.000000067</v>
      </c>
    </row>
    <row r="88" spans="1:19" x14ac:dyDescent="0.25">
      <c r="A88" s="2" t="s">
        <v>106</v>
      </c>
      <c r="B88" s="6" t="s">
        <v>17</v>
      </c>
      <c r="C88" s="6" t="s">
        <v>19</v>
      </c>
      <c r="D88" s="6">
        <v>10</v>
      </c>
      <c r="E88" s="6">
        <v>2218</v>
      </c>
      <c r="F88" s="6">
        <v>220</v>
      </c>
      <c r="G88" s="6">
        <v>0</v>
      </c>
      <c r="H88" s="6">
        <v>0</v>
      </c>
      <c r="I88" s="6">
        <v>2413</v>
      </c>
      <c r="J88" s="6">
        <v>0</v>
      </c>
      <c r="K88" s="6">
        <f t="shared" si="4"/>
        <v>2413</v>
      </c>
      <c r="L88" s="6">
        <v>25</v>
      </c>
      <c r="M88" s="6">
        <v>512.75</v>
      </c>
      <c r="N88" s="6">
        <v>26</v>
      </c>
      <c r="O88" s="8">
        <f t="shared" si="7"/>
        <v>5.5248653128885206</v>
      </c>
      <c r="Q88" s="10">
        <v>2129</v>
      </c>
      <c r="R88" s="10">
        <f t="shared" si="5"/>
        <v>5137277</v>
      </c>
      <c r="S88" s="10">
        <f t="shared" si="6"/>
        <v>1091644.75</v>
      </c>
    </row>
    <row r="89" spans="1:19" x14ac:dyDescent="0.25">
      <c r="A89" s="2" t="s">
        <v>107</v>
      </c>
      <c r="B89" s="6" t="s">
        <v>17</v>
      </c>
      <c r="C89" s="6" t="s">
        <v>19</v>
      </c>
      <c r="D89" s="6">
        <v>10</v>
      </c>
      <c r="E89" s="6">
        <v>110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f t="shared" si="4"/>
        <v>0</v>
      </c>
      <c r="L89" s="6">
        <v>110</v>
      </c>
      <c r="M89" s="6">
        <v>0</v>
      </c>
      <c r="N89" s="6">
        <v>26</v>
      </c>
      <c r="O89" s="8">
        <v>0</v>
      </c>
      <c r="Q89" s="10">
        <v>2129</v>
      </c>
      <c r="R89" s="10">
        <f t="shared" si="5"/>
        <v>0</v>
      </c>
      <c r="S89" s="10">
        <f t="shared" si="6"/>
        <v>0</v>
      </c>
    </row>
    <row r="90" spans="1:19" x14ac:dyDescent="0.25">
      <c r="A90" s="2" t="s">
        <v>108</v>
      </c>
      <c r="B90" s="6" t="s">
        <v>17</v>
      </c>
      <c r="C90" s="6" t="s">
        <v>19</v>
      </c>
      <c r="D90" s="6">
        <v>10</v>
      </c>
      <c r="E90" s="6">
        <v>18833</v>
      </c>
      <c r="F90" s="6">
        <v>13005</v>
      </c>
      <c r="G90" s="6">
        <v>0</v>
      </c>
      <c r="H90" s="6">
        <v>0</v>
      </c>
      <c r="I90" s="6">
        <v>10500</v>
      </c>
      <c r="J90" s="6">
        <v>0</v>
      </c>
      <c r="K90" s="6">
        <f t="shared" si="4"/>
        <v>10500</v>
      </c>
      <c r="L90" s="6">
        <v>21338</v>
      </c>
      <c r="M90" s="6">
        <v>14139.1111111111</v>
      </c>
      <c r="N90" s="6">
        <v>26</v>
      </c>
      <c r="O90" s="8">
        <f t="shared" si="7"/>
        <v>35.011132275132255</v>
      </c>
      <c r="Q90" s="10">
        <v>1968</v>
      </c>
      <c r="R90" s="10">
        <f t="shared" si="5"/>
        <v>20664000</v>
      </c>
      <c r="S90" s="10">
        <f t="shared" si="6"/>
        <v>27825770.666666646</v>
      </c>
    </row>
    <row r="91" spans="1:19" x14ac:dyDescent="0.25">
      <c r="A91" s="2" t="s">
        <v>109</v>
      </c>
      <c r="B91" s="6" t="s">
        <v>17</v>
      </c>
      <c r="C91" s="6" t="s">
        <v>19</v>
      </c>
      <c r="D91" s="6">
        <v>10</v>
      </c>
      <c r="E91" s="6">
        <v>7287</v>
      </c>
      <c r="F91" s="6">
        <v>11159</v>
      </c>
      <c r="G91" s="6">
        <v>0</v>
      </c>
      <c r="H91" s="6">
        <v>0</v>
      </c>
      <c r="I91" s="6">
        <v>13462</v>
      </c>
      <c r="J91" s="6">
        <v>0</v>
      </c>
      <c r="K91" s="6">
        <f t="shared" si="4"/>
        <v>13462</v>
      </c>
      <c r="L91" s="6">
        <v>4984</v>
      </c>
      <c r="M91" s="6">
        <v>8059.1</v>
      </c>
      <c r="N91" s="6">
        <v>26</v>
      </c>
      <c r="O91" s="8">
        <f t="shared" si="7"/>
        <v>15.565042341405437</v>
      </c>
      <c r="Q91" s="10">
        <v>2157</v>
      </c>
      <c r="R91" s="10">
        <f t="shared" si="5"/>
        <v>29037534</v>
      </c>
      <c r="S91" s="10">
        <f t="shared" si="6"/>
        <v>17383478.699999999</v>
      </c>
    </row>
    <row r="92" spans="1:19" x14ac:dyDescent="0.25">
      <c r="A92" s="2" t="s">
        <v>110</v>
      </c>
      <c r="B92" s="6" t="s">
        <v>17</v>
      </c>
      <c r="C92" s="6" t="s">
        <v>19</v>
      </c>
      <c r="D92" s="6">
        <v>10</v>
      </c>
      <c r="E92" s="6">
        <v>9625</v>
      </c>
      <c r="F92" s="6">
        <v>16115</v>
      </c>
      <c r="G92" s="6">
        <v>0</v>
      </c>
      <c r="H92" s="6">
        <v>0</v>
      </c>
      <c r="I92" s="6">
        <v>8654</v>
      </c>
      <c r="J92" s="6">
        <v>0</v>
      </c>
      <c r="K92" s="6">
        <f t="shared" si="4"/>
        <v>8654</v>
      </c>
      <c r="L92" s="6">
        <v>17086</v>
      </c>
      <c r="M92" s="6">
        <v>14734.333333333299</v>
      </c>
      <c r="N92" s="6">
        <v>26</v>
      </c>
      <c r="O92" s="8">
        <f t="shared" si="7"/>
        <v>44.267698944611254</v>
      </c>
      <c r="Q92" s="10">
        <v>2031</v>
      </c>
      <c r="R92" s="10">
        <f t="shared" si="5"/>
        <v>17576274</v>
      </c>
      <c r="S92" s="10">
        <f t="shared" si="6"/>
        <v>29925430.999999929</v>
      </c>
    </row>
    <row r="93" spans="1:19" x14ac:dyDescent="0.25">
      <c r="A93" s="2" t="s">
        <v>111</v>
      </c>
      <c r="B93" s="6" t="s">
        <v>17</v>
      </c>
      <c r="C93" s="6" t="s">
        <v>19</v>
      </c>
      <c r="D93" s="6">
        <v>10</v>
      </c>
      <c r="E93" s="6">
        <v>7338</v>
      </c>
      <c r="F93" s="6">
        <v>20121</v>
      </c>
      <c r="G93" s="6">
        <v>0</v>
      </c>
      <c r="H93" s="6">
        <v>0</v>
      </c>
      <c r="I93" s="6">
        <v>15844</v>
      </c>
      <c r="J93" s="6">
        <v>0</v>
      </c>
      <c r="K93" s="6">
        <f t="shared" si="4"/>
        <v>15844</v>
      </c>
      <c r="L93" s="6">
        <v>11615</v>
      </c>
      <c r="M93" s="6">
        <v>13202.5</v>
      </c>
      <c r="N93" s="6">
        <v>26</v>
      </c>
      <c r="O93" s="8">
        <f t="shared" si="7"/>
        <v>21.665299166877052</v>
      </c>
      <c r="Q93" s="10">
        <v>2031</v>
      </c>
      <c r="R93" s="10">
        <f t="shared" si="5"/>
        <v>32179164</v>
      </c>
      <c r="S93" s="10">
        <f t="shared" si="6"/>
        <v>26814277.5</v>
      </c>
    </row>
    <row r="94" spans="1:19" x14ac:dyDescent="0.25">
      <c r="A94" s="2" t="s">
        <v>112</v>
      </c>
      <c r="B94" s="6" t="s">
        <v>17</v>
      </c>
      <c r="C94" s="6" t="s">
        <v>19</v>
      </c>
      <c r="D94" s="6">
        <v>10</v>
      </c>
      <c r="E94" s="6">
        <v>1050</v>
      </c>
      <c r="F94" s="6">
        <v>2075</v>
      </c>
      <c r="G94" s="6">
        <v>0</v>
      </c>
      <c r="H94" s="6">
        <v>0</v>
      </c>
      <c r="I94" s="6">
        <v>1625</v>
      </c>
      <c r="J94" s="6">
        <v>0</v>
      </c>
      <c r="K94" s="6">
        <f t="shared" si="4"/>
        <v>1625</v>
      </c>
      <c r="L94" s="6">
        <v>1500</v>
      </c>
      <c r="M94" s="6">
        <v>1787.5</v>
      </c>
      <c r="N94" s="6">
        <v>26</v>
      </c>
      <c r="O94" s="8">
        <f t="shared" si="7"/>
        <v>28.6</v>
      </c>
      <c r="Q94" s="10">
        <v>2642</v>
      </c>
      <c r="R94" s="10">
        <f t="shared" si="5"/>
        <v>4293250</v>
      </c>
      <c r="S94" s="10">
        <f t="shared" si="6"/>
        <v>4722575</v>
      </c>
    </row>
    <row r="95" spans="1:19" x14ac:dyDescent="0.25">
      <c r="A95" s="2" t="s">
        <v>113</v>
      </c>
      <c r="B95" s="6" t="s">
        <v>17</v>
      </c>
      <c r="C95" s="6" t="s">
        <v>19</v>
      </c>
      <c r="D95" s="6">
        <v>10</v>
      </c>
      <c r="E95" s="6">
        <v>2000</v>
      </c>
      <c r="F95" s="6">
        <v>4095</v>
      </c>
      <c r="G95" s="6">
        <v>0</v>
      </c>
      <c r="H95" s="6">
        <v>0</v>
      </c>
      <c r="I95" s="6">
        <v>2000</v>
      </c>
      <c r="J95" s="6">
        <v>0</v>
      </c>
      <c r="K95" s="6">
        <f t="shared" si="4"/>
        <v>2000</v>
      </c>
      <c r="L95" s="6">
        <v>4095</v>
      </c>
      <c r="M95" s="6">
        <v>1615</v>
      </c>
      <c r="N95" s="6">
        <v>26</v>
      </c>
      <c r="O95" s="8">
        <f t="shared" si="7"/>
        <v>20.995000000000001</v>
      </c>
      <c r="Q95" s="10">
        <v>2642</v>
      </c>
      <c r="R95" s="10">
        <f t="shared" si="5"/>
        <v>5284000</v>
      </c>
      <c r="S95" s="10">
        <f t="shared" si="6"/>
        <v>4266830</v>
      </c>
    </row>
    <row r="96" spans="1:19" x14ac:dyDescent="0.25">
      <c r="A96" s="2" t="s">
        <v>114</v>
      </c>
      <c r="B96" s="6" t="s">
        <v>17</v>
      </c>
      <c r="C96" s="6" t="s">
        <v>19</v>
      </c>
      <c r="D96" s="6">
        <v>10</v>
      </c>
      <c r="E96" s="6">
        <v>550</v>
      </c>
      <c r="F96" s="6">
        <v>0</v>
      </c>
      <c r="G96" s="6">
        <v>0</v>
      </c>
      <c r="H96" s="6">
        <v>0</v>
      </c>
      <c r="I96" s="6">
        <v>225</v>
      </c>
      <c r="J96" s="6">
        <v>0</v>
      </c>
      <c r="K96" s="6">
        <f t="shared" si="4"/>
        <v>225</v>
      </c>
      <c r="L96" s="6">
        <v>325</v>
      </c>
      <c r="M96" s="6">
        <v>387.5</v>
      </c>
      <c r="N96" s="6">
        <v>26</v>
      </c>
      <c r="O96" s="8">
        <f t="shared" si="7"/>
        <v>44.777777777777779</v>
      </c>
      <c r="Q96" s="10">
        <v>2488</v>
      </c>
      <c r="R96" s="10">
        <f t="shared" si="5"/>
        <v>559800</v>
      </c>
      <c r="S96" s="10">
        <f t="shared" si="6"/>
        <v>964100</v>
      </c>
    </row>
    <row r="97" spans="1:19" x14ac:dyDescent="0.25">
      <c r="A97" s="2" t="s">
        <v>115</v>
      </c>
      <c r="B97" s="6" t="s">
        <v>17</v>
      </c>
      <c r="C97" s="6" t="s">
        <v>19</v>
      </c>
      <c r="D97" s="6">
        <v>10</v>
      </c>
      <c r="E97" s="6">
        <v>0</v>
      </c>
      <c r="F97" s="6">
        <v>5700</v>
      </c>
      <c r="G97" s="6">
        <v>0</v>
      </c>
      <c r="H97" s="6">
        <v>0</v>
      </c>
      <c r="I97" s="6">
        <v>3250</v>
      </c>
      <c r="J97" s="6">
        <v>0</v>
      </c>
      <c r="K97" s="6">
        <f t="shared" si="4"/>
        <v>3250</v>
      </c>
      <c r="L97" s="6">
        <v>2450</v>
      </c>
      <c r="M97" s="6">
        <v>2590</v>
      </c>
      <c r="N97" s="6">
        <v>26</v>
      </c>
      <c r="O97" s="8">
        <f t="shared" si="7"/>
        <v>20.720000000000002</v>
      </c>
      <c r="Q97" s="10">
        <v>2431</v>
      </c>
      <c r="R97" s="10">
        <f t="shared" si="5"/>
        <v>7900750</v>
      </c>
      <c r="S97" s="10">
        <f t="shared" si="6"/>
        <v>6296290</v>
      </c>
    </row>
    <row r="98" spans="1:19" x14ac:dyDescent="0.25">
      <c r="A98" s="2" t="s">
        <v>116</v>
      </c>
      <c r="B98" s="6" t="s">
        <v>17</v>
      </c>
      <c r="C98" s="6" t="s">
        <v>19</v>
      </c>
      <c r="D98" s="6">
        <v>10</v>
      </c>
      <c r="E98" s="6">
        <v>2920</v>
      </c>
      <c r="F98" s="6">
        <v>3096</v>
      </c>
      <c r="G98" s="6">
        <v>0</v>
      </c>
      <c r="H98" s="6">
        <v>0</v>
      </c>
      <c r="I98" s="6">
        <v>2976</v>
      </c>
      <c r="J98" s="6">
        <v>0</v>
      </c>
      <c r="K98" s="6">
        <f t="shared" si="4"/>
        <v>2976</v>
      </c>
      <c r="L98" s="6">
        <v>3040</v>
      </c>
      <c r="M98" s="6">
        <v>2998.4</v>
      </c>
      <c r="N98" s="6">
        <v>26</v>
      </c>
      <c r="O98" s="8">
        <f t="shared" si="7"/>
        <v>26.195698924731182</v>
      </c>
      <c r="Q98" s="10">
        <v>4592</v>
      </c>
      <c r="R98" s="10">
        <f t="shared" si="5"/>
        <v>13665792</v>
      </c>
      <c r="S98" s="10">
        <f t="shared" si="6"/>
        <v>13768652.800000001</v>
      </c>
    </row>
    <row r="99" spans="1:19" x14ac:dyDescent="0.25">
      <c r="A99" s="2" t="s">
        <v>117</v>
      </c>
      <c r="B99" s="6" t="s">
        <v>17</v>
      </c>
      <c r="C99" s="6" t="s">
        <v>19</v>
      </c>
      <c r="D99" s="6">
        <v>10</v>
      </c>
      <c r="E99" s="6">
        <v>2850</v>
      </c>
      <c r="F99" s="6">
        <v>1000</v>
      </c>
      <c r="G99" s="6">
        <v>0</v>
      </c>
      <c r="H99" s="6">
        <v>0</v>
      </c>
      <c r="I99" s="6">
        <v>1700</v>
      </c>
      <c r="J99" s="6">
        <v>0</v>
      </c>
      <c r="K99" s="6">
        <f t="shared" si="4"/>
        <v>1700</v>
      </c>
      <c r="L99" s="6">
        <v>2150</v>
      </c>
      <c r="M99" s="6">
        <v>1765</v>
      </c>
      <c r="N99" s="6">
        <v>26</v>
      </c>
      <c r="O99" s="8">
        <f t="shared" si="7"/>
        <v>26.994117647058825</v>
      </c>
      <c r="Q99" s="10">
        <v>2297</v>
      </c>
      <c r="R99" s="10">
        <f t="shared" si="5"/>
        <v>3904900</v>
      </c>
      <c r="S99" s="10">
        <f t="shared" si="6"/>
        <v>4054205</v>
      </c>
    </row>
    <row r="100" spans="1:19" x14ac:dyDescent="0.25">
      <c r="A100" s="2" t="s">
        <v>118</v>
      </c>
      <c r="B100" s="6" t="s">
        <v>17</v>
      </c>
      <c r="C100" s="6" t="s">
        <v>19</v>
      </c>
      <c r="D100" s="6">
        <v>10</v>
      </c>
      <c r="E100" s="6">
        <v>1375</v>
      </c>
      <c r="F100" s="6">
        <v>0</v>
      </c>
      <c r="G100" s="6">
        <v>0</v>
      </c>
      <c r="H100" s="6">
        <v>0</v>
      </c>
      <c r="I100" s="6">
        <v>425</v>
      </c>
      <c r="J100" s="6">
        <v>0</v>
      </c>
      <c r="K100" s="6">
        <f t="shared" si="4"/>
        <v>425</v>
      </c>
      <c r="L100" s="6">
        <v>950</v>
      </c>
      <c r="M100" s="6">
        <v>1141.6666666666702</v>
      </c>
      <c r="N100" s="6">
        <v>26</v>
      </c>
      <c r="O100" s="8">
        <f t="shared" si="7"/>
        <v>69.843137254902175</v>
      </c>
      <c r="Q100" s="10">
        <v>2616</v>
      </c>
      <c r="R100" s="10">
        <f t="shared" si="5"/>
        <v>1111800</v>
      </c>
      <c r="S100" s="10">
        <f t="shared" si="6"/>
        <v>2986600.0000000093</v>
      </c>
    </row>
    <row r="101" spans="1:19" x14ac:dyDescent="0.25">
      <c r="A101" s="2" t="s">
        <v>119</v>
      </c>
      <c r="B101" s="6" t="s">
        <v>17</v>
      </c>
      <c r="C101" s="6" t="s">
        <v>19</v>
      </c>
      <c r="D101" s="6">
        <v>10</v>
      </c>
      <c r="E101" s="6">
        <v>3895</v>
      </c>
      <c r="F101" s="6">
        <v>20190</v>
      </c>
      <c r="G101" s="6">
        <v>0</v>
      </c>
      <c r="H101" s="6">
        <v>0</v>
      </c>
      <c r="I101" s="6">
        <v>16040</v>
      </c>
      <c r="J101" s="6">
        <v>0</v>
      </c>
      <c r="K101" s="6">
        <f t="shared" si="4"/>
        <v>16040</v>
      </c>
      <c r="L101" s="6">
        <v>8045</v>
      </c>
      <c r="M101" s="6">
        <v>6438.9285714285697</v>
      </c>
      <c r="N101" s="6">
        <v>26</v>
      </c>
      <c r="O101" s="8">
        <f t="shared" si="7"/>
        <v>10.437166013537581</v>
      </c>
      <c r="Q101" s="10">
        <v>1419</v>
      </c>
      <c r="R101" s="10">
        <f t="shared" si="5"/>
        <v>22760760</v>
      </c>
      <c r="S101" s="10">
        <f t="shared" si="6"/>
        <v>9136839.6428571399</v>
      </c>
    </row>
    <row r="102" spans="1:19" x14ac:dyDescent="0.25">
      <c r="A102" s="2" t="s">
        <v>120</v>
      </c>
      <c r="B102" s="6" t="s">
        <v>17</v>
      </c>
      <c r="C102" s="6" t="s">
        <v>19</v>
      </c>
      <c r="D102" s="6">
        <v>10</v>
      </c>
      <c r="E102" s="6">
        <v>1375</v>
      </c>
      <c r="F102" s="6">
        <v>0</v>
      </c>
      <c r="G102" s="6">
        <v>0</v>
      </c>
      <c r="H102" s="6">
        <v>0</v>
      </c>
      <c r="I102" s="6">
        <v>400</v>
      </c>
      <c r="J102" s="6">
        <v>0</v>
      </c>
      <c r="K102" s="6">
        <f t="shared" si="4"/>
        <v>400</v>
      </c>
      <c r="L102" s="6">
        <v>975</v>
      </c>
      <c r="M102" s="6">
        <v>1125</v>
      </c>
      <c r="N102" s="6">
        <v>26</v>
      </c>
      <c r="O102" s="8">
        <f t="shared" si="7"/>
        <v>73.125</v>
      </c>
      <c r="Q102" s="10">
        <v>2616</v>
      </c>
      <c r="R102" s="10">
        <f t="shared" si="5"/>
        <v>1046400</v>
      </c>
      <c r="S102" s="10">
        <f t="shared" si="6"/>
        <v>2943000</v>
      </c>
    </row>
    <row r="103" spans="1:19" x14ac:dyDescent="0.25">
      <c r="A103" s="2" t="s">
        <v>121</v>
      </c>
      <c r="B103" s="6" t="s">
        <v>17</v>
      </c>
      <c r="C103" s="6" t="s">
        <v>19</v>
      </c>
      <c r="D103" s="6">
        <v>10</v>
      </c>
      <c r="E103" s="6">
        <v>5227</v>
      </c>
      <c r="F103" s="6">
        <v>5857</v>
      </c>
      <c r="G103" s="6">
        <v>0</v>
      </c>
      <c r="H103" s="6">
        <v>0</v>
      </c>
      <c r="I103" s="6">
        <v>8434</v>
      </c>
      <c r="J103" s="6">
        <v>0</v>
      </c>
      <c r="K103" s="6">
        <f t="shared" si="4"/>
        <v>8434</v>
      </c>
      <c r="L103" s="6">
        <v>2650</v>
      </c>
      <c r="M103" s="6">
        <v>4211.3333333333303</v>
      </c>
      <c r="N103" s="6">
        <v>26</v>
      </c>
      <c r="O103" s="8">
        <f t="shared" si="7"/>
        <v>12.982531025215389</v>
      </c>
      <c r="Q103" s="10">
        <v>2246</v>
      </c>
      <c r="R103" s="10">
        <f t="shared" si="5"/>
        <v>18942764</v>
      </c>
      <c r="S103" s="10">
        <f t="shared" si="6"/>
        <v>9458654.6666666605</v>
      </c>
    </row>
    <row r="104" spans="1:19" x14ac:dyDescent="0.25">
      <c r="A104" s="2" t="s">
        <v>122</v>
      </c>
      <c r="B104" s="6" t="s">
        <v>17</v>
      </c>
      <c r="C104" s="6" t="s">
        <v>19</v>
      </c>
      <c r="D104" s="6">
        <v>10</v>
      </c>
      <c r="E104" s="6">
        <v>7899</v>
      </c>
      <c r="F104" s="6">
        <v>2566</v>
      </c>
      <c r="G104" s="6">
        <v>0</v>
      </c>
      <c r="H104" s="6">
        <v>0</v>
      </c>
      <c r="I104" s="6">
        <v>5974</v>
      </c>
      <c r="J104" s="6">
        <v>0</v>
      </c>
      <c r="K104" s="6">
        <f t="shared" si="4"/>
        <v>5974</v>
      </c>
      <c r="L104" s="6">
        <v>4491</v>
      </c>
      <c r="M104" s="6">
        <v>6657.2</v>
      </c>
      <c r="N104" s="6">
        <v>26</v>
      </c>
      <c r="O104" s="8">
        <f t="shared" si="7"/>
        <v>28.973418145296286</v>
      </c>
      <c r="Q104" s="10">
        <v>2355</v>
      </c>
      <c r="R104" s="10">
        <f t="shared" si="5"/>
        <v>14068770</v>
      </c>
      <c r="S104" s="10">
        <f t="shared" si="6"/>
        <v>15677706</v>
      </c>
    </row>
    <row r="105" spans="1:19" x14ac:dyDescent="0.25">
      <c r="A105" s="2" t="s">
        <v>123</v>
      </c>
      <c r="B105" s="6" t="s">
        <v>17</v>
      </c>
      <c r="C105" s="6" t="s">
        <v>19</v>
      </c>
      <c r="D105" s="6">
        <v>10</v>
      </c>
      <c r="E105" s="6">
        <v>1575</v>
      </c>
      <c r="F105" s="6">
        <v>10174</v>
      </c>
      <c r="G105" s="6">
        <v>0</v>
      </c>
      <c r="H105" s="6">
        <v>0</v>
      </c>
      <c r="I105" s="6">
        <v>10474</v>
      </c>
      <c r="J105" s="6">
        <v>0</v>
      </c>
      <c r="K105" s="6">
        <f t="shared" si="4"/>
        <v>10474</v>
      </c>
      <c r="L105" s="6">
        <v>1275</v>
      </c>
      <c r="M105" s="6">
        <v>3995.5</v>
      </c>
      <c r="N105" s="6">
        <v>26</v>
      </c>
      <c r="O105" s="8">
        <f t="shared" si="7"/>
        <v>9.9181783463815165</v>
      </c>
      <c r="Q105" s="10">
        <v>2031</v>
      </c>
      <c r="R105" s="10">
        <f t="shared" si="5"/>
        <v>21272694</v>
      </c>
      <c r="S105" s="10">
        <f t="shared" si="6"/>
        <v>8114860.5</v>
      </c>
    </row>
    <row r="106" spans="1:19" x14ac:dyDescent="0.25">
      <c r="A106" s="2" t="s">
        <v>124</v>
      </c>
      <c r="B106" s="6" t="s">
        <v>17</v>
      </c>
      <c r="C106" s="6" t="s">
        <v>19</v>
      </c>
      <c r="D106" s="6">
        <v>10</v>
      </c>
      <c r="E106" s="6">
        <v>0</v>
      </c>
      <c r="F106" s="6">
        <v>6750</v>
      </c>
      <c r="G106" s="6">
        <v>0</v>
      </c>
      <c r="H106" s="6">
        <v>0</v>
      </c>
      <c r="I106" s="6">
        <v>3500</v>
      </c>
      <c r="J106" s="6">
        <v>0</v>
      </c>
      <c r="K106" s="6">
        <f t="shared" si="4"/>
        <v>3500</v>
      </c>
      <c r="L106" s="6">
        <v>3250</v>
      </c>
      <c r="M106" s="6">
        <v>3125</v>
      </c>
      <c r="N106" s="6">
        <v>26</v>
      </c>
      <c r="O106" s="8">
        <f t="shared" si="7"/>
        <v>23.214285714285715</v>
      </c>
      <c r="Q106" s="10">
        <v>2108</v>
      </c>
      <c r="R106" s="10">
        <f t="shared" si="5"/>
        <v>7378000</v>
      </c>
      <c r="S106" s="10">
        <f t="shared" si="6"/>
        <v>6587500</v>
      </c>
    </row>
    <row r="107" spans="1:19" x14ac:dyDescent="0.25">
      <c r="A107" s="2" t="s">
        <v>125</v>
      </c>
      <c r="B107" s="6" t="s">
        <v>17</v>
      </c>
      <c r="C107" s="6" t="s">
        <v>19</v>
      </c>
      <c r="D107" s="6">
        <v>10</v>
      </c>
      <c r="E107" s="6">
        <v>1000</v>
      </c>
      <c r="F107" s="6">
        <v>975</v>
      </c>
      <c r="G107" s="6">
        <v>0</v>
      </c>
      <c r="H107" s="6">
        <v>0</v>
      </c>
      <c r="I107" s="6">
        <v>1450</v>
      </c>
      <c r="J107" s="6">
        <v>0</v>
      </c>
      <c r="K107" s="6">
        <f t="shared" si="4"/>
        <v>1450</v>
      </c>
      <c r="L107" s="6">
        <v>525</v>
      </c>
      <c r="M107" s="6">
        <v>790</v>
      </c>
      <c r="N107" s="6">
        <v>26</v>
      </c>
      <c r="O107" s="8">
        <f t="shared" si="7"/>
        <v>14.165517241379309</v>
      </c>
      <c r="Q107" s="10">
        <v>2173</v>
      </c>
      <c r="R107" s="10">
        <f t="shared" si="5"/>
        <v>3150850</v>
      </c>
      <c r="S107" s="10">
        <f t="shared" si="6"/>
        <v>1716670</v>
      </c>
    </row>
    <row r="108" spans="1:19" x14ac:dyDescent="0.25">
      <c r="A108" s="2" t="s">
        <v>126</v>
      </c>
      <c r="B108" s="6" t="s">
        <v>17</v>
      </c>
      <c r="C108" s="6" t="s">
        <v>19</v>
      </c>
      <c r="D108" s="6">
        <v>10</v>
      </c>
      <c r="E108" s="6">
        <v>1500</v>
      </c>
      <c r="F108" s="6">
        <v>5150</v>
      </c>
      <c r="G108" s="6">
        <v>0</v>
      </c>
      <c r="H108" s="6">
        <v>0</v>
      </c>
      <c r="I108" s="6">
        <v>5300</v>
      </c>
      <c r="J108" s="6">
        <v>0</v>
      </c>
      <c r="K108" s="6">
        <f t="shared" si="4"/>
        <v>5300</v>
      </c>
      <c r="L108" s="6">
        <v>1350</v>
      </c>
      <c r="M108" s="6">
        <v>3800</v>
      </c>
      <c r="N108" s="6">
        <v>26</v>
      </c>
      <c r="O108" s="8">
        <f t="shared" si="7"/>
        <v>18.641509433962263</v>
      </c>
      <c r="Q108" s="10">
        <v>2356</v>
      </c>
      <c r="R108" s="10">
        <f t="shared" si="5"/>
        <v>12486800</v>
      </c>
      <c r="S108" s="10">
        <f t="shared" si="6"/>
        <v>8952800</v>
      </c>
    </row>
    <row r="109" spans="1:19" x14ac:dyDescent="0.25">
      <c r="A109" s="2" t="s">
        <v>127</v>
      </c>
      <c r="B109" s="6" t="s">
        <v>17</v>
      </c>
      <c r="C109" s="6" t="s">
        <v>19</v>
      </c>
      <c r="D109" s="6">
        <v>10</v>
      </c>
      <c r="E109" s="6">
        <v>750</v>
      </c>
      <c r="F109" s="6">
        <v>0</v>
      </c>
      <c r="G109" s="6">
        <v>0</v>
      </c>
      <c r="H109" s="6">
        <v>0</v>
      </c>
      <c r="I109" s="6">
        <v>250</v>
      </c>
      <c r="J109" s="6">
        <v>0</v>
      </c>
      <c r="K109" s="6">
        <f t="shared" si="4"/>
        <v>250</v>
      </c>
      <c r="L109" s="6">
        <v>500</v>
      </c>
      <c r="M109" s="6">
        <v>575</v>
      </c>
      <c r="N109" s="6">
        <v>26</v>
      </c>
      <c r="O109" s="8">
        <f t="shared" si="7"/>
        <v>59.8</v>
      </c>
      <c r="Q109" s="10">
        <v>1993</v>
      </c>
      <c r="R109" s="10">
        <f t="shared" si="5"/>
        <v>498250</v>
      </c>
      <c r="S109" s="10">
        <f t="shared" si="6"/>
        <v>1145975</v>
      </c>
    </row>
    <row r="110" spans="1:19" x14ac:dyDescent="0.25">
      <c r="A110" s="2" t="s">
        <v>128</v>
      </c>
      <c r="B110" s="6" t="s">
        <v>17</v>
      </c>
      <c r="C110" s="6" t="s">
        <v>19</v>
      </c>
      <c r="D110" s="6">
        <v>10</v>
      </c>
      <c r="E110" s="6">
        <v>935</v>
      </c>
      <c r="F110" s="6">
        <v>1050</v>
      </c>
      <c r="G110" s="6">
        <v>0</v>
      </c>
      <c r="H110" s="6">
        <v>0</v>
      </c>
      <c r="I110" s="6">
        <v>900</v>
      </c>
      <c r="J110" s="6">
        <v>0</v>
      </c>
      <c r="K110" s="6">
        <f t="shared" si="4"/>
        <v>900</v>
      </c>
      <c r="L110" s="6">
        <v>1085</v>
      </c>
      <c r="M110" s="6">
        <v>799.66666666666708</v>
      </c>
      <c r="N110" s="6">
        <v>26</v>
      </c>
      <c r="O110" s="8">
        <f t="shared" si="7"/>
        <v>23.101481481481493</v>
      </c>
      <c r="Q110" s="10">
        <v>2205</v>
      </c>
      <c r="R110" s="10">
        <f t="shared" si="5"/>
        <v>1984500</v>
      </c>
      <c r="S110" s="10">
        <f t="shared" si="6"/>
        <v>1763265.0000000009</v>
      </c>
    </row>
    <row r="111" spans="1:19" x14ac:dyDescent="0.25">
      <c r="A111" s="2" t="s">
        <v>129</v>
      </c>
      <c r="B111" s="6" t="s">
        <v>17</v>
      </c>
      <c r="C111" s="6" t="s">
        <v>19</v>
      </c>
      <c r="D111" s="6">
        <v>10</v>
      </c>
      <c r="E111" s="6">
        <v>2304</v>
      </c>
      <c r="F111" s="6">
        <v>5704</v>
      </c>
      <c r="G111" s="6">
        <v>0</v>
      </c>
      <c r="H111" s="6">
        <v>0</v>
      </c>
      <c r="I111" s="6">
        <v>4192</v>
      </c>
      <c r="J111" s="6">
        <v>0</v>
      </c>
      <c r="K111" s="6">
        <f t="shared" si="4"/>
        <v>4192</v>
      </c>
      <c r="L111" s="6">
        <v>3816</v>
      </c>
      <c r="M111" s="6">
        <v>3063.2000000000003</v>
      </c>
      <c r="N111" s="6">
        <v>26</v>
      </c>
      <c r="O111" s="8">
        <f t="shared" si="7"/>
        <v>18.998854961832063</v>
      </c>
      <c r="Q111" s="10">
        <v>2503</v>
      </c>
      <c r="R111" s="10">
        <f t="shared" si="5"/>
        <v>10492576</v>
      </c>
      <c r="S111" s="10">
        <f t="shared" si="6"/>
        <v>7667189.6000000006</v>
      </c>
    </row>
    <row r="112" spans="1:19" x14ac:dyDescent="0.25">
      <c r="A112" s="2" t="s">
        <v>130</v>
      </c>
      <c r="B112" s="6" t="s">
        <v>17</v>
      </c>
      <c r="C112" s="6" t="s">
        <v>19</v>
      </c>
      <c r="D112" s="6">
        <v>10</v>
      </c>
      <c r="E112" s="6">
        <v>1125</v>
      </c>
      <c r="F112" s="6">
        <v>6300</v>
      </c>
      <c r="G112" s="6">
        <v>0</v>
      </c>
      <c r="H112" s="6">
        <v>0</v>
      </c>
      <c r="I112" s="6">
        <v>4800</v>
      </c>
      <c r="J112" s="6">
        <v>0</v>
      </c>
      <c r="K112" s="6">
        <f t="shared" si="4"/>
        <v>4800</v>
      </c>
      <c r="L112" s="6">
        <v>2625</v>
      </c>
      <c r="M112" s="6">
        <v>2435</v>
      </c>
      <c r="N112" s="6">
        <v>26</v>
      </c>
      <c r="O112" s="8">
        <f t="shared" si="7"/>
        <v>13.189583333333335</v>
      </c>
      <c r="Q112" s="10">
        <v>2355</v>
      </c>
      <c r="R112" s="10">
        <f t="shared" si="5"/>
        <v>11304000</v>
      </c>
      <c r="S112" s="10">
        <f t="shared" si="6"/>
        <v>5734425</v>
      </c>
    </row>
    <row r="113" spans="1:19" x14ac:dyDescent="0.25">
      <c r="A113" s="2" t="s">
        <v>131</v>
      </c>
      <c r="B113" s="6" t="s">
        <v>17</v>
      </c>
      <c r="C113" s="6" t="s">
        <v>19</v>
      </c>
      <c r="D113" s="6">
        <v>10</v>
      </c>
      <c r="E113" s="6">
        <v>2105</v>
      </c>
      <c r="F113" s="6">
        <v>4075</v>
      </c>
      <c r="G113" s="6">
        <v>0</v>
      </c>
      <c r="H113" s="6">
        <v>0</v>
      </c>
      <c r="I113" s="6">
        <v>3615</v>
      </c>
      <c r="J113" s="6">
        <v>0</v>
      </c>
      <c r="K113" s="6">
        <f t="shared" si="4"/>
        <v>3615</v>
      </c>
      <c r="L113" s="6">
        <v>2565</v>
      </c>
      <c r="M113" s="6">
        <v>2333.75</v>
      </c>
      <c r="N113" s="6">
        <v>26</v>
      </c>
      <c r="O113" s="8">
        <f t="shared" si="7"/>
        <v>16.784923928077458</v>
      </c>
      <c r="Q113" s="10">
        <v>2216</v>
      </c>
      <c r="R113" s="10">
        <f t="shared" si="5"/>
        <v>8010840</v>
      </c>
      <c r="S113" s="10">
        <f t="shared" si="6"/>
        <v>5171590</v>
      </c>
    </row>
    <row r="114" spans="1:19" x14ac:dyDescent="0.25">
      <c r="A114" s="2" t="s">
        <v>132</v>
      </c>
      <c r="B114" s="6" t="s">
        <v>17</v>
      </c>
      <c r="C114" s="6" t="s">
        <v>19</v>
      </c>
      <c r="D114" s="6">
        <v>10</v>
      </c>
      <c r="E114" s="6">
        <v>4093</v>
      </c>
      <c r="F114" s="6">
        <v>0</v>
      </c>
      <c r="G114" s="6">
        <v>0</v>
      </c>
      <c r="H114" s="6">
        <v>0</v>
      </c>
      <c r="I114" s="6">
        <v>900</v>
      </c>
      <c r="J114" s="6">
        <v>0</v>
      </c>
      <c r="K114" s="6">
        <f t="shared" si="4"/>
        <v>900</v>
      </c>
      <c r="L114" s="6">
        <v>3193</v>
      </c>
      <c r="M114" s="6">
        <v>3193</v>
      </c>
      <c r="N114" s="6">
        <v>26</v>
      </c>
      <c r="O114" s="8">
        <f t="shared" si="7"/>
        <v>92.242222222222225</v>
      </c>
      <c r="Q114" s="10">
        <v>1968</v>
      </c>
      <c r="R114" s="10">
        <f t="shared" si="5"/>
        <v>1771200</v>
      </c>
      <c r="S114" s="10">
        <f t="shared" si="6"/>
        <v>6283824</v>
      </c>
    </row>
    <row r="115" spans="1:19" x14ac:dyDescent="0.25">
      <c r="A115" s="2" t="s">
        <v>133</v>
      </c>
      <c r="B115" s="6" t="s">
        <v>17</v>
      </c>
      <c r="C115" s="6" t="s">
        <v>19</v>
      </c>
      <c r="D115" s="6">
        <v>10</v>
      </c>
      <c r="E115" s="6">
        <v>3950</v>
      </c>
      <c r="F115" s="6">
        <v>0</v>
      </c>
      <c r="G115" s="6">
        <v>0</v>
      </c>
      <c r="H115" s="6">
        <v>0</v>
      </c>
      <c r="I115" s="6">
        <v>950</v>
      </c>
      <c r="J115" s="6">
        <v>0</v>
      </c>
      <c r="K115" s="6">
        <f t="shared" si="4"/>
        <v>950</v>
      </c>
      <c r="L115" s="6">
        <v>3000</v>
      </c>
      <c r="M115" s="6">
        <v>3275</v>
      </c>
      <c r="N115" s="6">
        <v>26</v>
      </c>
      <c r="O115" s="8">
        <f t="shared" si="7"/>
        <v>89.631578947368411</v>
      </c>
      <c r="Q115" s="10">
        <v>2297</v>
      </c>
      <c r="R115" s="10">
        <f t="shared" si="5"/>
        <v>2182150</v>
      </c>
      <c r="S115" s="10">
        <f t="shared" si="6"/>
        <v>7522675</v>
      </c>
    </row>
    <row r="116" spans="1:19" x14ac:dyDescent="0.25">
      <c r="A116" s="2" t="s">
        <v>134</v>
      </c>
      <c r="B116" s="6" t="s">
        <v>17</v>
      </c>
      <c r="C116" s="6" t="s">
        <v>19</v>
      </c>
      <c r="D116" s="6">
        <v>10</v>
      </c>
      <c r="E116" s="6">
        <v>325</v>
      </c>
      <c r="F116" s="6">
        <v>0</v>
      </c>
      <c r="G116" s="6">
        <v>0</v>
      </c>
      <c r="H116" s="6">
        <v>0</v>
      </c>
      <c r="I116" s="6">
        <v>150</v>
      </c>
      <c r="J116" s="6">
        <v>0</v>
      </c>
      <c r="K116" s="6">
        <f t="shared" si="4"/>
        <v>150</v>
      </c>
      <c r="L116" s="6">
        <v>175</v>
      </c>
      <c r="M116" s="6">
        <v>212.5</v>
      </c>
      <c r="N116" s="6">
        <v>26</v>
      </c>
      <c r="O116" s="8">
        <f t="shared" si="7"/>
        <v>36.833333333333336</v>
      </c>
      <c r="Q116" s="10">
        <v>2616</v>
      </c>
      <c r="R116" s="10">
        <f t="shared" si="5"/>
        <v>392400</v>
      </c>
      <c r="S116" s="10">
        <f t="shared" si="6"/>
        <v>555900</v>
      </c>
    </row>
    <row r="117" spans="1:19" x14ac:dyDescent="0.25">
      <c r="A117" s="2" t="s">
        <v>135</v>
      </c>
      <c r="B117" s="6" t="s">
        <v>17</v>
      </c>
      <c r="C117" s="6" t="s">
        <v>19</v>
      </c>
      <c r="D117" s="6">
        <v>10</v>
      </c>
      <c r="E117" s="6">
        <v>1325</v>
      </c>
      <c r="F117" s="6">
        <v>5900</v>
      </c>
      <c r="G117" s="6">
        <v>0</v>
      </c>
      <c r="H117" s="6">
        <v>0</v>
      </c>
      <c r="I117" s="6">
        <v>4325</v>
      </c>
      <c r="J117" s="6">
        <v>0</v>
      </c>
      <c r="K117" s="6">
        <f t="shared" si="4"/>
        <v>4325</v>
      </c>
      <c r="L117" s="6">
        <v>2900</v>
      </c>
      <c r="M117" s="6">
        <v>3540</v>
      </c>
      <c r="N117" s="6">
        <v>26</v>
      </c>
      <c r="O117" s="8">
        <f t="shared" si="7"/>
        <v>21.280924855491332</v>
      </c>
      <c r="Q117" s="10">
        <v>1419</v>
      </c>
      <c r="R117" s="10">
        <f t="shared" si="5"/>
        <v>6137175</v>
      </c>
      <c r="S117" s="10">
        <f t="shared" si="6"/>
        <v>5023260</v>
      </c>
    </row>
    <row r="118" spans="1:19" x14ac:dyDescent="0.25">
      <c r="A118" s="2" t="s">
        <v>136</v>
      </c>
      <c r="B118" s="6" t="s">
        <v>17</v>
      </c>
      <c r="C118" s="6" t="s">
        <v>19</v>
      </c>
      <c r="D118" s="6">
        <v>10</v>
      </c>
      <c r="E118" s="6">
        <v>800</v>
      </c>
      <c r="F118" s="6">
        <v>1571</v>
      </c>
      <c r="G118" s="6">
        <v>0</v>
      </c>
      <c r="H118" s="6">
        <v>0</v>
      </c>
      <c r="I118" s="6">
        <v>1575</v>
      </c>
      <c r="J118" s="6">
        <v>0</v>
      </c>
      <c r="K118" s="6">
        <f t="shared" si="4"/>
        <v>1575</v>
      </c>
      <c r="L118" s="6">
        <v>796</v>
      </c>
      <c r="M118" s="6">
        <v>10.5</v>
      </c>
      <c r="N118" s="6">
        <v>26</v>
      </c>
      <c r="O118" s="8">
        <f t="shared" si="7"/>
        <v>0.17333333333333334</v>
      </c>
      <c r="Q118" s="10">
        <v>2355</v>
      </c>
      <c r="R118" s="10">
        <f t="shared" si="5"/>
        <v>3709125</v>
      </c>
      <c r="S118" s="10">
        <f t="shared" si="6"/>
        <v>24727.5</v>
      </c>
    </row>
    <row r="119" spans="1:19" x14ac:dyDescent="0.25">
      <c r="A119" s="2" t="s">
        <v>137</v>
      </c>
      <c r="B119" s="6" t="s">
        <v>17</v>
      </c>
      <c r="C119" s="6" t="s">
        <v>19</v>
      </c>
      <c r="D119" s="6">
        <v>10</v>
      </c>
      <c r="E119" s="6">
        <v>1150</v>
      </c>
      <c r="F119" s="6">
        <v>1750</v>
      </c>
      <c r="G119" s="6">
        <v>0</v>
      </c>
      <c r="H119" s="6">
        <v>0</v>
      </c>
      <c r="I119" s="6">
        <v>0</v>
      </c>
      <c r="J119" s="6">
        <v>0</v>
      </c>
      <c r="K119" s="6">
        <f t="shared" si="4"/>
        <v>0</v>
      </c>
      <c r="L119" s="6">
        <v>2900</v>
      </c>
      <c r="M119" s="6">
        <v>2900</v>
      </c>
      <c r="N119" s="6">
        <v>26</v>
      </c>
      <c r="O119" s="8">
        <v>0</v>
      </c>
      <c r="Q119" s="10">
        <v>2372</v>
      </c>
      <c r="R119" s="10">
        <f t="shared" si="5"/>
        <v>0</v>
      </c>
      <c r="S119" s="10">
        <f t="shared" si="6"/>
        <v>6878800</v>
      </c>
    </row>
    <row r="120" spans="1:19" x14ac:dyDescent="0.25">
      <c r="A120" s="2" t="s">
        <v>138</v>
      </c>
      <c r="B120" s="6" t="s">
        <v>17</v>
      </c>
      <c r="C120" s="6" t="s">
        <v>19</v>
      </c>
      <c r="D120" s="6">
        <v>10</v>
      </c>
      <c r="E120" s="6">
        <v>750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f t="shared" si="4"/>
        <v>0</v>
      </c>
      <c r="L120" s="6">
        <v>750</v>
      </c>
      <c r="M120" s="6">
        <v>0</v>
      </c>
      <c r="N120" s="6">
        <v>26</v>
      </c>
      <c r="O120" s="8">
        <v>0</v>
      </c>
      <c r="Q120" s="10">
        <v>3482</v>
      </c>
      <c r="R120" s="10">
        <f t="shared" si="5"/>
        <v>0</v>
      </c>
      <c r="S120" s="10">
        <f t="shared" si="6"/>
        <v>0</v>
      </c>
    </row>
    <row r="121" spans="1:19" x14ac:dyDescent="0.25">
      <c r="A121" s="2" t="s">
        <v>139</v>
      </c>
      <c r="B121" s="6" t="s">
        <v>17</v>
      </c>
      <c r="C121" s="6" t="s">
        <v>19</v>
      </c>
      <c r="D121" s="6">
        <v>10</v>
      </c>
      <c r="E121" s="6">
        <v>700</v>
      </c>
      <c r="F121" s="6">
        <v>1050</v>
      </c>
      <c r="G121" s="6">
        <v>0</v>
      </c>
      <c r="H121" s="6">
        <v>0</v>
      </c>
      <c r="I121" s="6">
        <v>625</v>
      </c>
      <c r="J121" s="6">
        <v>0</v>
      </c>
      <c r="K121" s="6">
        <f t="shared" si="4"/>
        <v>625</v>
      </c>
      <c r="L121" s="6">
        <v>1125</v>
      </c>
      <c r="M121" s="6">
        <v>1375</v>
      </c>
      <c r="N121" s="6">
        <v>26</v>
      </c>
      <c r="O121" s="8">
        <f t="shared" si="7"/>
        <v>57.2</v>
      </c>
      <c r="Q121" s="10">
        <v>2555</v>
      </c>
      <c r="R121" s="10">
        <f t="shared" si="5"/>
        <v>1596875</v>
      </c>
      <c r="S121" s="10">
        <f t="shared" si="6"/>
        <v>3513125</v>
      </c>
    </row>
    <row r="122" spans="1:19" x14ac:dyDescent="0.25">
      <c r="A122" s="2" t="s">
        <v>140</v>
      </c>
      <c r="B122" s="6" t="s">
        <v>17</v>
      </c>
      <c r="C122" s="6" t="s">
        <v>19</v>
      </c>
      <c r="D122" s="6">
        <v>10</v>
      </c>
      <c r="E122" s="6">
        <v>1250</v>
      </c>
      <c r="F122" s="6">
        <v>1050</v>
      </c>
      <c r="G122" s="6">
        <v>0</v>
      </c>
      <c r="H122" s="6">
        <v>0</v>
      </c>
      <c r="I122" s="6">
        <v>1250</v>
      </c>
      <c r="J122" s="6">
        <v>0</v>
      </c>
      <c r="K122" s="6">
        <f t="shared" si="4"/>
        <v>1250</v>
      </c>
      <c r="L122" s="6">
        <v>1050</v>
      </c>
      <c r="M122" s="6">
        <v>1012.5</v>
      </c>
      <c r="N122" s="6">
        <v>26</v>
      </c>
      <c r="O122" s="8">
        <f t="shared" si="7"/>
        <v>21.060000000000002</v>
      </c>
      <c r="Q122" s="10">
        <v>3665</v>
      </c>
      <c r="R122" s="10">
        <f t="shared" si="5"/>
        <v>4581250</v>
      </c>
      <c r="S122" s="10">
        <f t="shared" si="6"/>
        <v>3710812.5</v>
      </c>
    </row>
    <row r="123" spans="1:19" x14ac:dyDescent="0.25">
      <c r="A123" s="2" t="s">
        <v>141</v>
      </c>
      <c r="B123" s="6" t="s">
        <v>17</v>
      </c>
      <c r="C123" s="6" t="s">
        <v>19</v>
      </c>
      <c r="D123" s="6">
        <v>10</v>
      </c>
      <c r="E123" s="6">
        <v>0</v>
      </c>
      <c r="F123" s="6">
        <v>3064</v>
      </c>
      <c r="G123" s="6">
        <v>0</v>
      </c>
      <c r="H123" s="6">
        <v>0</v>
      </c>
      <c r="I123" s="6">
        <v>1389</v>
      </c>
      <c r="J123" s="6">
        <v>0</v>
      </c>
      <c r="K123" s="6">
        <f t="shared" si="4"/>
        <v>1389</v>
      </c>
      <c r="L123" s="6">
        <v>1675</v>
      </c>
      <c r="M123" s="6">
        <v>1781.2</v>
      </c>
      <c r="N123" s="6">
        <v>26</v>
      </c>
      <c r="O123" s="8">
        <f t="shared" si="7"/>
        <v>33.341396688264943</v>
      </c>
      <c r="Q123" s="10">
        <v>1904</v>
      </c>
      <c r="R123" s="10">
        <f t="shared" si="5"/>
        <v>2644656</v>
      </c>
      <c r="S123" s="10">
        <f t="shared" si="6"/>
        <v>3391404.8000000003</v>
      </c>
    </row>
    <row r="124" spans="1:19" x14ac:dyDescent="0.25">
      <c r="A124" s="2" t="s">
        <v>142</v>
      </c>
      <c r="B124" s="6" t="s">
        <v>17</v>
      </c>
      <c r="C124" s="6" t="s">
        <v>19</v>
      </c>
      <c r="D124" s="6">
        <v>10</v>
      </c>
      <c r="E124" s="6">
        <v>1000</v>
      </c>
      <c r="F124" s="6">
        <v>2275</v>
      </c>
      <c r="G124" s="6">
        <v>0</v>
      </c>
      <c r="H124" s="6">
        <v>0</v>
      </c>
      <c r="I124" s="6">
        <v>2375</v>
      </c>
      <c r="J124" s="6">
        <v>0</v>
      </c>
      <c r="K124" s="6">
        <f t="shared" si="4"/>
        <v>2375</v>
      </c>
      <c r="L124" s="6">
        <v>900</v>
      </c>
      <c r="M124" s="6">
        <v>1543.75</v>
      </c>
      <c r="N124" s="6">
        <v>26</v>
      </c>
      <c r="O124" s="8">
        <f t="shared" si="7"/>
        <v>16.900000000000002</v>
      </c>
      <c r="Q124" s="10">
        <v>994</v>
      </c>
      <c r="R124" s="10">
        <f t="shared" si="5"/>
        <v>2360750</v>
      </c>
      <c r="S124" s="10">
        <f t="shared" si="6"/>
        <v>1534487.5</v>
      </c>
    </row>
    <row r="125" spans="1:19" x14ac:dyDescent="0.25">
      <c r="A125" s="2" t="s">
        <v>143</v>
      </c>
      <c r="B125" s="6" t="s">
        <v>17</v>
      </c>
      <c r="C125" s="6" t="s">
        <v>19</v>
      </c>
      <c r="D125" s="6">
        <v>10</v>
      </c>
      <c r="E125" s="6">
        <v>1925</v>
      </c>
      <c r="F125" s="6">
        <v>3075</v>
      </c>
      <c r="G125" s="6">
        <v>0</v>
      </c>
      <c r="H125" s="6">
        <v>0</v>
      </c>
      <c r="I125" s="6">
        <v>3500</v>
      </c>
      <c r="J125" s="6">
        <v>0</v>
      </c>
      <c r="K125" s="6">
        <f t="shared" si="4"/>
        <v>3500</v>
      </c>
      <c r="L125" s="6">
        <v>1500</v>
      </c>
      <c r="M125" s="6">
        <v>1955</v>
      </c>
      <c r="N125" s="6">
        <v>26</v>
      </c>
      <c r="O125" s="8">
        <f t="shared" si="7"/>
        <v>14.522857142857143</v>
      </c>
      <c r="Q125" s="10">
        <v>994</v>
      </c>
      <c r="R125" s="10">
        <f t="shared" si="5"/>
        <v>3479000</v>
      </c>
      <c r="S125" s="10">
        <f t="shared" si="6"/>
        <v>1943270</v>
      </c>
    </row>
    <row r="126" spans="1:19" x14ac:dyDescent="0.25">
      <c r="A126" s="2" t="s">
        <v>144</v>
      </c>
      <c r="B126" s="6" t="s">
        <v>17</v>
      </c>
      <c r="C126" s="6" t="s">
        <v>19</v>
      </c>
      <c r="D126" s="6">
        <v>10</v>
      </c>
      <c r="E126" s="6">
        <v>1420</v>
      </c>
      <c r="F126" s="6">
        <v>1020</v>
      </c>
      <c r="G126" s="6">
        <v>0</v>
      </c>
      <c r="H126" s="6">
        <v>0</v>
      </c>
      <c r="I126" s="6">
        <v>400</v>
      </c>
      <c r="J126" s="6">
        <v>0</v>
      </c>
      <c r="K126" s="6">
        <f t="shared" si="4"/>
        <v>400</v>
      </c>
      <c r="L126" s="6">
        <v>2040</v>
      </c>
      <c r="M126" s="6">
        <v>1530</v>
      </c>
      <c r="N126" s="6">
        <v>26</v>
      </c>
      <c r="O126" s="8">
        <f t="shared" si="7"/>
        <v>99.45</v>
      </c>
      <c r="Q126" s="10">
        <v>3489</v>
      </c>
      <c r="R126" s="10">
        <f t="shared" si="5"/>
        <v>1395600</v>
      </c>
      <c r="S126" s="10">
        <f t="shared" si="6"/>
        <v>5338170</v>
      </c>
    </row>
    <row r="127" spans="1:19" x14ac:dyDescent="0.25">
      <c r="A127" s="2" t="s">
        <v>145</v>
      </c>
      <c r="B127" s="6" t="s">
        <v>17</v>
      </c>
      <c r="C127" s="6" t="s">
        <v>19</v>
      </c>
      <c r="D127" s="6">
        <v>10</v>
      </c>
      <c r="E127" s="6">
        <v>3650</v>
      </c>
      <c r="F127" s="6">
        <v>1031</v>
      </c>
      <c r="G127" s="6">
        <v>0</v>
      </c>
      <c r="H127" s="6">
        <v>0</v>
      </c>
      <c r="I127" s="6">
        <v>4681</v>
      </c>
      <c r="J127" s="6">
        <v>0</v>
      </c>
      <c r="K127" s="6">
        <f t="shared" si="4"/>
        <v>4681</v>
      </c>
      <c r="L127" s="6">
        <v>0</v>
      </c>
      <c r="M127" s="6">
        <v>2024.42857142857</v>
      </c>
      <c r="N127" s="6">
        <v>26</v>
      </c>
      <c r="O127" s="8">
        <f t="shared" si="7"/>
        <v>11.244422742393255</v>
      </c>
      <c r="Q127" s="10">
        <v>6112</v>
      </c>
      <c r="R127" s="10">
        <f t="shared" si="5"/>
        <v>28610272</v>
      </c>
      <c r="S127" s="10">
        <f t="shared" si="6"/>
        <v>12373307.42857142</v>
      </c>
    </row>
    <row r="128" spans="1:19" x14ac:dyDescent="0.25">
      <c r="A128" s="2" t="s">
        <v>146</v>
      </c>
      <c r="B128" s="6" t="s">
        <v>17</v>
      </c>
      <c r="C128" s="6" t="s">
        <v>19</v>
      </c>
      <c r="D128" s="6">
        <v>10</v>
      </c>
      <c r="E128" s="6">
        <v>0</v>
      </c>
      <c r="F128" s="6">
        <v>7539</v>
      </c>
      <c r="G128" s="6">
        <v>0</v>
      </c>
      <c r="H128" s="6">
        <v>0</v>
      </c>
      <c r="I128" s="6">
        <v>6714</v>
      </c>
      <c r="J128" s="6">
        <v>0</v>
      </c>
      <c r="K128" s="6">
        <f t="shared" si="4"/>
        <v>6714</v>
      </c>
      <c r="L128" s="6">
        <v>825</v>
      </c>
      <c r="M128" s="6">
        <v>4691</v>
      </c>
      <c r="N128" s="6">
        <v>26</v>
      </c>
      <c r="O128" s="8">
        <f t="shared" si="7"/>
        <v>18.165921954125707</v>
      </c>
      <c r="Q128" s="10">
        <v>6112</v>
      </c>
      <c r="R128" s="10">
        <f t="shared" si="5"/>
        <v>41035968</v>
      </c>
      <c r="S128" s="10">
        <f t="shared" si="6"/>
        <v>28671392</v>
      </c>
    </row>
    <row r="129" spans="1:19" x14ac:dyDescent="0.25">
      <c r="A129" s="2" t="s">
        <v>147</v>
      </c>
      <c r="B129" s="6" t="s">
        <v>17</v>
      </c>
      <c r="C129" s="6" t="s">
        <v>19</v>
      </c>
      <c r="D129" s="6">
        <v>10</v>
      </c>
      <c r="E129" s="6">
        <v>1522</v>
      </c>
      <c r="F129" s="6">
        <v>1000</v>
      </c>
      <c r="G129" s="6">
        <v>0</v>
      </c>
      <c r="H129" s="6">
        <v>0</v>
      </c>
      <c r="I129" s="6">
        <v>325</v>
      </c>
      <c r="J129" s="6">
        <v>0</v>
      </c>
      <c r="K129" s="6">
        <f t="shared" si="4"/>
        <v>325</v>
      </c>
      <c r="L129" s="6">
        <v>2197</v>
      </c>
      <c r="M129" s="6">
        <v>2187</v>
      </c>
      <c r="N129" s="6">
        <v>26</v>
      </c>
      <c r="O129" s="8">
        <f t="shared" si="7"/>
        <v>174.96</v>
      </c>
      <c r="Q129" s="10">
        <v>2392</v>
      </c>
      <c r="R129" s="10">
        <f t="shared" si="5"/>
        <v>777400</v>
      </c>
      <c r="S129" s="10">
        <f t="shared" si="6"/>
        <v>5231304</v>
      </c>
    </row>
    <row r="130" spans="1:19" x14ac:dyDescent="0.25">
      <c r="A130" s="2" t="s">
        <v>148</v>
      </c>
      <c r="B130" s="6" t="s">
        <v>17</v>
      </c>
      <c r="C130" s="6" t="s">
        <v>19</v>
      </c>
      <c r="D130" s="6">
        <v>10</v>
      </c>
      <c r="E130" s="6">
        <v>320</v>
      </c>
      <c r="F130" s="6">
        <v>1024</v>
      </c>
      <c r="G130" s="6">
        <v>0</v>
      </c>
      <c r="H130" s="6">
        <v>0</v>
      </c>
      <c r="I130" s="6">
        <v>545</v>
      </c>
      <c r="J130" s="6">
        <v>0</v>
      </c>
      <c r="K130" s="6">
        <f t="shared" si="4"/>
        <v>545</v>
      </c>
      <c r="L130" s="6">
        <v>799</v>
      </c>
      <c r="M130" s="6">
        <v>1022.75</v>
      </c>
      <c r="N130" s="6">
        <v>26</v>
      </c>
      <c r="O130" s="8">
        <f t="shared" si="7"/>
        <v>48.791743119266052</v>
      </c>
      <c r="Q130" s="10">
        <v>2651</v>
      </c>
      <c r="R130" s="10">
        <f t="shared" si="5"/>
        <v>1444795</v>
      </c>
      <c r="S130" s="10">
        <f t="shared" si="6"/>
        <v>2711310.25</v>
      </c>
    </row>
    <row r="131" spans="1:19" x14ac:dyDescent="0.25">
      <c r="A131" s="2" t="s">
        <v>149</v>
      </c>
      <c r="B131" s="6" t="s">
        <v>17</v>
      </c>
      <c r="C131" s="6" t="s">
        <v>19</v>
      </c>
      <c r="D131" s="6">
        <v>10</v>
      </c>
      <c r="E131" s="6">
        <v>1946</v>
      </c>
      <c r="F131" s="6">
        <v>0</v>
      </c>
      <c r="G131" s="6">
        <v>0</v>
      </c>
      <c r="H131" s="6">
        <v>0</v>
      </c>
      <c r="I131" s="6">
        <v>380</v>
      </c>
      <c r="J131" s="6">
        <v>0</v>
      </c>
      <c r="K131" s="6">
        <f t="shared" ref="K131:K145" si="8">I131+J131</f>
        <v>380</v>
      </c>
      <c r="L131" s="6">
        <v>1566</v>
      </c>
      <c r="M131" s="6">
        <v>1719.3333333333301</v>
      </c>
      <c r="N131" s="6">
        <v>26</v>
      </c>
      <c r="O131" s="8">
        <f t="shared" ref="O131:O144" si="9">(M131/(I131+J131))*N131</f>
        <v>117.63859649122786</v>
      </c>
      <c r="Q131" s="10">
        <v>4343</v>
      </c>
      <c r="R131" s="10">
        <f t="shared" ref="R131:R145" si="10">Q131*(I131+J131)</f>
        <v>1650340</v>
      </c>
      <c r="S131" s="10">
        <f t="shared" ref="S131:S145" si="11">Q131*M131</f>
        <v>7467064.6666666521</v>
      </c>
    </row>
    <row r="132" spans="1:19" x14ac:dyDescent="0.25">
      <c r="A132" s="2" t="s">
        <v>150</v>
      </c>
      <c r="B132" s="6" t="s">
        <v>17</v>
      </c>
      <c r="C132" s="6" t="s">
        <v>19</v>
      </c>
      <c r="D132" s="6">
        <v>10</v>
      </c>
      <c r="E132" s="6">
        <v>1500</v>
      </c>
      <c r="F132" s="6">
        <v>1021</v>
      </c>
      <c r="G132" s="6">
        <v>0</v>
      </c>
      <c r="H132" s="6">
        <v>0</v>
      </c>
      <c r="I132" s="6">
        <v>734</v>
      </c>
      <c r="J132" s="6">
        <v>0</v>
      </c>
      <c r="K132" s="6">
        <f t="shared" si="8"/>
        <v>734</v>
      </c>
      <c r="L132" s="6">
        <v>1787</v>
      </c>
      <c r="M132" s="6">
        <v>1188.8</v>
      </c>
      <c r="N132" s="6">
        <v>26</v>
      </c>
      <c r="O132" s="8">
        <f t="shared" si="9"/>
        <v>42.110081743869209</v>
      </c>
      <c r="Q132" s="10">
        <v>2970</v>
      </c>
      <c r="R132" s="10">
        <f t="shared" si="10"/>
        <v>2179980</v>
      </c>
      <c r="S132" s="10">
        <f t="shared" si="11"/>
        <v>3530736</v>
      </c>
    </row>
    <row r="133" spans="1:19" x14ac:dyDescent="0.25">
      <c r="A133" s="2" t="s">
        <v>151</v>
      </c>
      <c r="B133" s="6" t="s">
        <v>17</v>
      </c>
      <c r="C133" s="6" t="s">
        <v>19</v>
      </c>
      <c r="D133" s="6">
        <v>10</v>
      </c>
      <c r="E133" s="6">
        <v>2950</v>
      </c>
      <c r="F133" s="6">
        <v>0</v>
      </c>
      <c r="G133" s="6">
        <v>0</v>
      </c>
      <c r="H133" s="6">
        <v>0</v>
      </c>
      <c r="I133" s="6">
        <v>1116</v>
      </c>
      <c r="J133" s="6">
        <v>0</v>
      </c>
      <c r="K133" s="6">
        <f t="shared" si="8"/>
        <v>1116</v>
      </c>
      <c r="L133" s="6">
        <v>1834</v>
      </c>
      <c r="M133" s="6">
        <v>2331.1428571428601</v>
      </c>
      <c r="N133" s="6">
        <v>26</v>
      </c>
      <c r="O133" s="8">
        <f t="shared" si="9"/>
        <v>54.309779825908926</v>
      </c>
      <c r="Q133" s="10">
        <v>2970</v>
      </c>
      <c r="R133" s="10">
        <f t="shared" si="10"/>
        <v>3314520</v>
      </c>
      <c r="S133" s="10">
        <f t="shared" si="11"/>
        <v>6923494.2857142948</v>
      </c>
    </row>
    <row r="134" spans="1:19" x14ac:dyDescent="0.25">
      <c r="A134" s="2" t="s">
        <v>152</v>
      </c>
      <c r="B134" s="6" t="s">
        <v>17</v>
      </c>
      <c r="C134" s="6" t="s">
        <v>19</v>
      </c>
      <c r="D134" s="6">
        <v>10</v>
      </c>
      <c r="E134" s="6">
        <v>1300</v>
      </c>
      <c r="F134" s="6">
        <v>0</v>
      </c>
      <c r="G134" s="6">
        <v>0</v>
      </c>
      <c r="H134" s="6">
        <v>0</v>
      </c>
      <c r="I134" s="6">
        <v>70</v>
      </c>
      <c r="J134" s="6">
        <v>0</v>
      </c>
      <c r="K134" s="6">
        <f t="shared" si="8"/>
        <v>70</v>
      </c>
      <c r="L134" s="6">
        <v>1230</v>
      </c>
      <c r="M134" s="6">
        <v>1230</v>
      </c>
      <c r="N134" s="6">
        <v>26</v>
      </c>
      <c r="O134" s="8">
        <f t="shared" si="9"/>
        <v>456.85714285714289</v>
      </c>
      <c r="Q134" s="10">
        <v>2607</v>
      </c>
      <c r="R134" s="10">
        <f t="shared" si="10"/>
        <v>182490</v>
      </c>
      <c r="S134" s="10">
        <f t="shared" si="11"/>
        <v>3206610</v>
      </c>
    </row>
    <row r="135" spans="1:19" x14ac:dyDescent="0.25">
      <c r="A135" s="2" t="s">
        <v>153</v>
      </c>
      <c r="B135" s="6" t="s">
        <v>17</v>
      </c>
      <c r="C135" s="6" t="s">
        <v>19</v>
      </c>
      <c r="D135" s="6">
        <v>10</v>
      </c>
      <c r="E135" s="6">
        <v>1225</v>
      </c>
      <c r="F135" s="6">
        <v>4250</v>
      </c>
      <c r="G135" s="6">
        <v>0</v>
      </c>
      <c r="H135" s="6">
        <v>0</v>
      </c>
      <c r="I135" s="6">
        <v>1925</v>
      </c>
      <c r="J135" s="6">
        <v>0</v>
      </c>
      <c r="K135" s="6">
        <f t="shared" si="8"/>
        <v>1925</v>
      </c>
      <c r="L135" s="6">
        <v>3550</v>
      </c>
      <c r="M135" s="6">
        <v>1367.8571428571402</v>
      </c>
      <c r="N135" s="6">
        <v>26</v>
      </c>
      <c r="O135" s="8">
        <f t="shared" si="9"/>
        <v>18.474953617810726</v>
      </c>
      <c r="Q135" s="10">
        <v>1928</v>
      </c>
      <c r="R135" s="10">
        <f t="shared" si="10"/>
        <v>3711400</v>
      </c>
      <c r="S135" s="10">
        <f t="shared" si="11"/>
        <v>2637228.5714285662</v>
      </c>
    </row>
    <row r="136" spans="1:19" x14ac:dyDescent="0.25">
      <c r="A136" s="2" t="s">
        <v>154</v>
      </c>
      <c r="B136" s="6" t="s">
        <v>17</v>
      </c>
      <c r="C136" s="6" t="s">
        <v>19</v>
      </c>
      <c r="D136" s="6">
        <v>10</v>
      </c>
      <c r="E136" s="6">
        <v>0</v>
      </c>
      <c r="F136" s="6">
        <v>15000</v>
      </c>
      <c r="G136" s="6">
        <v>0</v>
      </c>
      <c r="H136" s="6">
        <v>0</v>
      </c>
      <c r="I136" s="6">
        <v>8750</v>
      </c>
      <c r="J136" s="6">
        <v>75</v>
      </c>
      <c r="K136" s="6">
        <f t="shared" si="8"/>
        <v>8825</v>
      </c>
      <c r="L136" s="6">
        <v>6175</v>
      </c>
      <c r="M136" s="6">
        <v>10579.166666666701</v>
      </c>
      <c r="N136" s="6">
        <v>26</v>
      </c>
      <c r="O136" s="8">
        <f t="shared" si="9"/>
        <v>31.168083097261668</v>
      </c>
      <c r="Q136" s="10">
        <v>2129</v>
      </c>
      <c r="R136" s="10">
        <f t="shared" si="10"/>
        <v>18788425</v>
      </c>
      <c r="S136" s="10">
        <f t="shared" si="11"/>
        <v>22523045.833333407</v>
      </c>
    </row>
    <row r="137" spans="1:19" x14ac:dyDescent="0.25">
      <c r="A137" s="2" t="s">
        <v>155</v>
      </c>
      <c r="B137" s="6" t="s">
        <v>17</v>
      </c>
      <c r="C137" s="6" t="s">
        <v>19</v>
      </c>
      <c r="D137" s="6">
        <v>10</v>
      </c>
      <c r="E137" s="6">
        <v>24132</v>
      </c>
      <c r="F137" s="6">
        <v>29325</v>
      </c>
      <c r="G137" s="6">
        <v>0</v>
      </c>
      <c r="H137" s="6">
        <v>0</v>
      </c>
      <c r="I137" s="6">
        <v>4075</v>
      </c>
      <c r="J137" s="6">
        <v>0</v>
      </c>
      <c r="K137" s="6">
        <f t="shared" si="8"/>
        <v>4075</v>
      </c>
      <c r="L137" s="6">
        <v>49382</v>
      </c>
      <c r="M137" s="6">
        <v>41642</v>
      </c>
      <c r="N137" s="6">
        <v>26</v>
      </c>
      <c r="O137" s="8">
        <f t="shared" si="9"/>
        <v>265.69128834355826</v>
      </c>
      <c r="Q137" s="10">
        <v>2177</v>
      </c>
      <c r="R137" s="10">
        <f t="shared" si="10"/>
        <v>8871275</v>
      </c>
      <c r="S137" s="10">
        <f t="shared" si="11"/>
        <v>90654634</v>
      </c>
    </row>
    <row r="138" spans="1:19" x14ac:dyDescent="0.25">
      <c r="A138" s="2" t="s">
        <v>156</v>
      </c>
      <c r="B138" s="6" t="s">
        <v>17</v>
      </c>
      <c r="C138" s="6" t="s">
        <v>19</v>
      </c>
      <c r="D138" s="6">
        <v>10</v>
      </c>
      <c r="E138" s="6">
        <v>1275</v>
      </c>
      <c r="F138" s="6">
        <v>26000</v>
      </c>
      <c r="G138" s="6">
        <v>0</v>
      </c>
      <c r="H138" s="6">
        <v>0</v>
      </c>
      <c r="I138" s="6">
        <v>22250</v>
      </c>
      <c r="J138" s="6">
        <v>45</v>
      </c>
      <c r="K138" s="6">
        <f t="shared" si="8"/>
        <v>22295</v>
      </c>
      <c r="L138" s="6">
        <v>4980</v>
      </c>
      <c r="M138" s="6">
        <v>6200.4545454545505</v>
      </c>
      <c r="N138" s="6">
        <v>26</v>
      </c>
      <c r="O138" s="8">
        <f t="shared" si="9"/>
        <v>7.2308507818711956</v>
      </c>
      <c r="Q138" s="10">
        <v>2177</v>
      </c>
      <c r="R138" s="10">
        <f t="shared" si="10"/>
        <v>48536215</v>
      </c>
      <c r="S138" s="10">
        <f t="shared" si="11"/>
        <v>13498389.545454556</v>
      </c>
    </row>
    <row r="139" spans="1:19" x14ac:dyDescent="0.25">
      <c r="A139" s="2" t="s">
        <v>157</v>
      </c>
      <c r="B139" s="6" t="s">
        <v>17</v>
      </c>
      <c r="C139" s="6" t="s">
        <v>19</v>
      </c>
      <c r="D139" s="6">
        <v>10</v>
      </c>
      <c r="E139" s="6">
        <v>20520</v>
      </c>
      <c r="F139" s="6">
        <v>5000</v>
      </c>
      <c r="G139" s="6">
        <v>0</v>
      </c>
      <c r="H139" s="6">
        <v>0</v>
      </c>
      <c r="I139" s="6">
        <v>14750</v>
      </c>
      <c r="J139" s="6">
        <v>0</v>
      </c>
      <c r="K139" s="6">
        <f t="shared" si="8"/>
        <v>14750</v>
      </c>
      <c r="L139" s="6">
        <v>10770</v>
      </c>
      <c r="M139" s="6">
        <v>13311.666666666701</v>
      </c>
      <c r="N139" s="6">
        <v>26</v>
      </c>
      <c r="O139" s="8">
        <f t="shared" si="9"/>
        <v>23.464632768361643</v>
      </c>
      <c r="Q139" s="10">
        <v>2177</v>
      </c>
      <c r="R139" s="10">
        <f t="shared" si="10"/>
        <v>32110750</v>
      </c>
      <c r="S139" s="10">
        <f t="shared" si="11"/>
        <v>28979498.333333407</v>
      </c>
    </row>
    <row r="140" spans="1:19" x14ac:dyDescent="0.25">
      <c r="A140" s="2" t="s">
        <v>158</v>
      </c>
      <c r="B140" s="6" t="s">
        <v>17</v>
      </c>
      <c r="C140" s="6" t="s">
        <v>19</v>
      </c>
      <c r="D140" s="6">
        <v>10</v>
      </c>
      <c r="E140" s="6">
        <v>1501</v>
      </c>
      <c r="F140" s="6">
        <v>7733</v>
      </c>
      <c r="G140" s="6">
        <v>0</v>
      </c>
      <c r="H140" s="6">
        <v>0</v>
      </c>
      <c r="I140" s="6">
        <v>8083</v>
      </c>
      <c r="J140" s="6">
        <v>280</v>
      </c>
      <c r="K140" s="6">
        <f t="shared" si="8"/>
        <v>8363</v>
      </c>
      <c r="L140" s="6">
        <v>871</v>
      </c>
      <c r="M140" s="6">
        <v>3706.25</v>
      </c>
      <c r="N140" s="6">
        <v>26</v>
      </c>
      <c r="O140" s="8">
        <f t="shared" si="9"/>
        <v>11.522479971302165</v>
      </c>
      <c r="Q140" s="10">
        <v>1948</v>
      </c>
      <c r="R140" s="10">
        <f t="shared" si="10"/>
        <v>16291124</v>
      </c>
      <c r="S140" s="10">
        <f t="shared" si="11"/>
        <v>7219775</v>
      </c>
    </row>
    <row r="141" spans="1:19" x14ac:dyDescent="0.25">
      <c r="A141" s="2" t="s">
        <v>159</v>
      </c>
      <c r="B141" s="6" t="s">
        <v>17</v>
      </c>
      <c r="C141" s="6" t="s">
        <v>19</v>
      </c>
      <c r="D141" s="6">
        <v>10</v>
      </c>
      <c r="E141" s="6">
        <v>3000</v>
      </c>
      <c r="F141" s="6">
        <v>4075</v>
      </c>
      <c r="G141" s="6">
        <v>0</v>
      </c>
      <c r="H141" s="6">
        <v>0</v>
      </c>
      <c r="I141" s="6">
        <v>5575</v>
      </c>
      <c r="J141" s="6">
        <v>0</v>
      </c>
      <c r="K141" s="6">
        <f t="shared" si="8"/>
        <v>5575</v>
      </c>
      <c r="L141" s="6">
        <v>1500</v>
      </c>
      <c r="M141" s="6">
        <v>4440</v>
      </c>
      <c r="N141" s="6">
        <v>26</v>
      </c>
      <c r="O141" s="8">
        <f t="shared" si="9"/>
        <v>20.706726457399103</v>
      </c>
      <c r="Q141" s="10">
        <v>1989</v>
      </c>
      <c r="R141" s="10">
        <f t="shared" si="10"/>
        <v>11088675</v>
      </c>
      <c r="S141" s="10">
        <f t="shared" si="11"/>
        <v>8831160</v>
      </c>
    </row>
    <row r="142" spans="1:19" x14ac:dyDescent="0.25">
      <c r="A142" s="2" t="s">
        <v>160</v>
      </c>
      <c r="B142" s="6" t="s">
        <v>17</v>
      </c>
      <c r="C142" s="6" t="s">
        <v>19</v>
      </c>
      <c r="D142" s="6">
        <v>10</v>
      </c>
      <c r="E142" s="6">
        <v>17200</v>
      </c>
      <c r="F142" s="6">
        <v>15000</v>
      </c>
      <c r="G142" s="6">
        <v>0</v>
      </c>
      <c r="H142" s="6">
        <v>0</v>
      </c>
      <c r="I142" s="6">
        <v>19425</v>
      </c>
      <c r="J142" s="6">
        <v>0</v>
      </c>
      <c r="K142" s="6">
        <f t="shared" si="8"/>
        <v>19425</v>
      </c>
      <c r="L142" s="6">
        <v>12775</v>
      </c>
      <c r="M142" s="6">
        <v>12127.083333333299</v>
      </c>
      <c r="N142" s="6">
        <v>26</v>
      </c>
      <c r="O142" s="8">
        <f t="shared" si="9"/>
        <v>16.231874731874687</v>
      </c>
      <c r="Q142" s="10">
        <v>2181</v>
      </c>
      <c r="R142" s="10">
        <f t="shared" si="10"/>
        <v>42365925</v>
      </c>
      <c r="S142" s="10">
        <f t="shared" si="11"/>
        <v>26449168.749999925</v>
      </c>
    </row>
    <row r="143" spans="1:19" x14ac:dyDescent="0.25">
      <c r="A143" s="2" t="s">
        <v>161</v>
      </c>
      <c r="B143" s="6" t="s">
        <v>17</v>
      </c>
      <c r="C143" s="6" t="s">
        <v>19</v>
      </c>
      <c r="D143" s="6">
        <v>10</v>
      </c>
      <c r="E143" s="6">
        <v>29700</v>
      </c>
      <c r="F143" s="6">
        <v>172150</v>
      </c>
      <c r="G143" s="6">
        <v>0</v>
      </c>
      <c r="H143" s="6">
        <v>0</v>
      </c>
      <c r="I143" s="6">
        <v>186715</v>
      </c>
      <c r="J143" s="6">
        <v>1505</v>
      </c>
      <c r="K143" s="6">
        <f t="shared" si="8"/>
        <v>188220</v>
      </c>
      <c r="L143" s="6">
        <v>13630</v>
      </c>
      <c r="M143" s="6">
        <v>26353.200000000001</v>
      </c>
      <c r="N143" s="6">
        <v>26</v>
      </c>
      <c r="O143" s="8">
        <f t="shared" si="9"/>
        <v>3.6403315269365635</v>
      </c>
      <c r="Q143" s="10">
        <v>2208</v>
      </c>
      <c r="R143" s="10">
        <f t="shared" si="10"/>
        <v>415589760</v>
      </c>
      <c r="S143" s="10">
        <f t="shared" si="11"/>
        <v>58187865.600000001</v>
      </c>
    </row>
    <row r="144" spans="1:19" x14ac:dyDescent="0.25">
      <c r="A144" s="2" t="s">
        <v>162</v>
      </c>
      <c r="B144" s="6" t="s">
        <v>17</v>
      </c>
      <c r="C144" s="6" t="s">
        <v>19</v>
      </c>
      <c r="D144" s="6">
        <v>10</v>
      </c>
      <c r="E144" s="6">
        <v>11379</v>
      </c>
      <c r="F144" s="6">
        <v>19158</v>
      </c>
      <c r="G144" s="6">
        <v>0</v>
      </c>
      <c r="H144" s="6">
        <v>0</v>
      </c>
      <c r="I144" s="6">
        <v>29059</v>
      </c>
      <c r="J144" s="6">
        <v>0</v>
      </c>
      <c r="K144" s="6">
        <f t="shared" si="8"/>
        <v>29059</v>
      </c>
      <c r="L144" s="6">
        <v>1478</v>
      </c>
      <c r="M144" s="6">
        <v>3490.1538461538503</v>
      </c>
      <c r="N144" s="6">
        <v>26</v>
      </c>
      <c r="O144" s="8">
        <f t="shared" si="9"/>
        <v>3.1227502666987887</v>
      </c>
      <c r="Q144" s="10">
        <v>2245</v>
      </c>
      <c r="R144" s="10">
        <f t="shared" si="10"/>
        <v>65237455</v>
      </c>
      <c r="S144" s="10">
        <f t="shared" si="11"/>
        <v>7835395.3846153943</v>
      </c>
    </row>
    <row r="145" spans="1:20" x14ac:dyDescent="0.25">
      <c r="A145" s="2" t="s">
        <v>163</v>
      </c>
      <c r="B145" s="6" t="s">
        <v>17</v>
      </c>
      <c r="C145" s="6" t="s">
        <v>19</v>
      </c>
      <c r="D145" s="6">
        <v>10</v>
      </c>
      <c r="E145" s="6">
        <v>23188</v>
      </c>
      <c r="F145" s="6">
        <v>36250</v>
      </c>
      <c r="G145" s="6">
        <v>0</v>
      </c>
      <c r="H145" s="6">
        <v>0</v>
      </c>
      <c r="I145" s="6">
        <v>43675</v>
      </c>
      <c r="J145" s="6">
        <v>25</v>
      </c>
      <c r="K145" s="6">
        <f t="shared" si="8"/>
        <v>43700</v>
      </c>
      <c r="L145" s="6">
        <v>15738</v>
      </c>
      <c r="M145" s="6">
        <v>11051</v>
      </c>
      <c r="N145" s="6">
        <v>26</v>
      </c>
      <c r="O145" s="8">
        <f t="shared" ref="O145" si="12">(M145/(I145+J145))*N145</f>
        <v>6.574965675057209</v>
      </c>
      <c r="Q145" s="10">
        <v>2355</v>
      </c>
      <c r="R145" s="10">
        <f t="shared" si="10"/>
        <v>102913500</v>
      </c>
      <c r="S145" s="10">
        <f t="shared" si="11"/>
        <v>26025105</v>
      </c>
    </row>
    <row r="146" spans="1:20" ht="17.25" x14ac:dyDescent="0.4">
      <c r="A146" s="17" t="s">
        <v>18</v>
      </c>
      <c r="B146" s="17"/>
      <c r="C146" s="17"/>
      <c r="D146" s="17"/>
      <c r="E146" s="18">
        <f>SUM(E2:E145)</f>
        <v>1567274</v>
      </c>
      <c r="F146" s="18">
        <f t="shared" ref="F146:L146" si="13">SUM(F2:F145)</f>
        <v>4904533</v>
      </c>
      <c r="G146" s="18">
        <f t="shared" si="13"/>
        <v>0</v>
      </c>
      <c r="H146" s="18">
        <f t="shared" si="13"/>
        <v>0</v>
      </c>
      <c r="I146" s="18">
        <f t="shared" si="13"/>
        <v>4978002</v>
      </c>
      <c r="J146" s="18">
        <f t="shared" si="13"/>
        <v>9900</v>
      </c>
      <c r="K146" s="18"/>
      <c r="L146" s="18">
        <f t="shared" si="13"/>
        <v>1483905</v>
      </c>
      <c r="M146" s="18">
        <f>SUM(M2:M145)</f>
        <v>1631152.9294163552</v>
      </c>
      <c r="N146" s="18">
        <v>26</v>
      </c>
      <c r="O146" s="18">
        <f>(M146/(I146+J146))*N146</f>
        <v>8.5025680466106266</v>
      </c>
      <c r="R146" s="13">
        <f>SUM(R2:R145)</f>
        <v>10834932241</v>
      </c>
      <c r="S146" s="13">
        <f>SUM(S2:S145)</f>
        <v>3829358861.5137086</v>
      </c>
    </row>
    <row r="148" spans="1:20" x14ac:dyDescent="0.25">
      <c r="Q148" s="11" t="s">
        <v>186</v>
      </c>
      <c r="R148" s="12">
        <v>5.1999999999999998E-3</v>
      </c>
      <c r="T148" s="14"/>
    </row>
    <row r="149" spans="1:20" x14ac:dyDescent="0.25">
      <c r="Q149" s="11" t="s">
        <v>187</v>
      </c>
      <c r="R149" s="15">
        <f>(S146*R148)/R146</f>
        <v>1.8378210068098646E-3</v>
      </c>
    </row>
    <row r="150" spans="1:20" x14ac:dyDescent="0.25">
      <c r="Q150" s="11" t="s">
        <v>188</v>
      </c>
      <c r="R150" s="15">
        <v>1.5100000000000001E-3</v>
      </c>
    </row>
    <row r="151" spans="1:20" x14ac:dyDescent="0.25">
      <c r="Q151" s="11" t="s">
        <v>202</v>
      </c>
      <c r="R151" s="19">
        <f>(S146/R146)*N146</f>
        <v>9.1891050340493248</v>
      </c>
    </row>
  </sheetData>
  <autoFilter ref="A1:S145" xr:uid="{10D4378A-0738-4B2C-841D-7F43DD6C22A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80B5-9FD3-4976-9E44-94F20AA5271C}">
  <dimension ref="A1:S168"/>
  <sheetViews>
    <sheetView topLeftCell="C1" workbookViewId="0">
      <pane ySplit="1" topLeftCell="A156" activePane="bottomLeft" state="frozen"/>
      <selection pane="bottomLeft" activeCell="L166" sqref="L166"/>
    </sheetView>
  </sheetViews>
  <sheetFormatPr defaultRowHeight="15" x14ac:dyDescent="0.25"/>
  <cols>
    <col min="1" max="1" width="16" style="2" customWidth="1"/>
    <col min="2" max="2" width="13.140625" style="6" customWidth="1"/>
    <col min="3" max="3" width="9.140625" style="1"/>
    <col min="4" max="4" width="12.28515625" style="1" customWidth="1"/>
    <col min="5" max="5" width="14.28515625" style="1" customWidth="1"/>
    <col min="6" max="6" width="11.140625" style="1" customWidth="1"/>
    <col min="7" max="8" width="9.140625" style="1"/>
    <col min="9" max="9" width="12.140625" style="1" customWidth="1"/>
    <col min="10" max="10" width="9.140625" style="1"/>
    <col min="11" max="11" width="11.85546875" style="1" customWidth="1"/>
    <col min="12" max="12" width="11.5703125" style="1" customWidth="1"/>
    <col min="13" max="13" width="11.7109375" style="1" customWidth="1"/>
    <col min="14" max="16" width="9.140625" style="1"/>
    <col min="17" max="17" width="15" style="6" customWidth="1"/>
    <col min="18" max="19" width="19.140625" style="6" customWidth="1"/>
    <col min="20" max="16384" width="9.140625" style="1"/>
  </cols>
  <sheetData>
    <row r="1" spans="1:19" ht="30.75" thickBot="1" x14ac:dyDescent="0.3">
      <c r="A1" s="9" t="s">
        <v>190</v>
      </c>
      <c r="B1" s="9" t="s">
        <v>189</v>
      </c>
      <c r="C1" s="9" t="s">
        <v>191</v>
      </c>
      <c r="D1" s="9" t="s">
        <v>203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221</v>
      </c>
      <c r="L1" s="9" t="s">
        <v>198</v>
      </c>
      <c r="M1" s="9" t="s">
        <v>199</v>
      </c>
      <c r="N1" s="9" t="s">
        <v>200</v>
      </c>
      <c r="O1" s="9" t="s">
        <v>201</v>
      </c>
      <c r="Q1" s="9" t="s">
        <v>183</v>
      </c>
      <c r="R1" s="9" t="s">
        <v>184</v>
      </c>
      <c r="S1" s="9" t="s">
        <v>185</v>
      </c>
    </row>
    <row r="2" spans="1:19" x14ac:dyDescent="0.25">
      <c r="A2" s="2" t="s">
        <v>20</v>
      </c>
      <c r="B2" s="6" t="s">
        <v>17</v>
      </c>
      <c r="C2" s="6" t="s">
        <v>19</v>
      </c>
      <c r="D2" s="6">
        <v>10</v>
      </c>
      <c r="E2" s="6">
        <v>2410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I2+J2</f>
        <v>0</v>
      </c>
      <c r="L2" s="6">
        <v>2410</v>
      </c>
      <c r="M2" s="8">
        <v>0</v>
      </c>
      <c r="N2" s="6">
        <v>23</v>
      </c>
      <c r="O2" s="8">
        <v>0</v>
      </c>
      <c r="Q2" s="10">
        <v>2129</v>
      </c>
      <c r="R2" s="10">
        <f>Q2*(I2+J2)</f>
        <v>0</v>
      </c>
      <c r="S2" s="10">
        <f>Q2*M2</f>
        <v>0</v>
      </c>
    </row>
    <row r="3" spans="1:19" x14ac:dyDescent="0.25">
      <c r="A3" s="2" t="s">
        <v>21</v>
      </c>
      <c r="B3" s="6" t="s">
        <v>16</v>
      </c>
      <c r="C3" s="6" t="s">
        <v>19</v>
      </c>
      <c r="D3" s="6">
        <v>10</v>
      </c>
      <c r="E3" s="6">
        <v>39073</v>
      </c>
      <c r="F3" s="6">
        <v>474185</v>
      </c>
      <c r="G3" s="6">
        <v>0</v>
      </c>
      <c r="H3" s="6">
        <v>0</v>
      </c>
      <c r="I3" s="6">
        <v>468070</v>
      </c>
      <c r="J3" s="6">
        <v>30</v>
      </c>
      <c r="K3" s="6">
        <f t="shared" ref="K3:K66" si="0">I3+J3</f>
        <v>468100</v>
      </c>
      <c r="L3" s="6">
        <v>45158</v>
      </c>
      <c r="M3" s="8">
        <v>29499.956521739099</v>
      </c>
      <c r="N3" s="6">
        <v>23</v>
      </c>
      <c r="O3" s="8">
        <f t="shared" ref="O3:O66" si="1">(M3/(I3+J3))*N3</f>
        <v>1.4494744712668217</v>
      </c>
      <c r="Q3" s="10">
        <v>2129</v>
      </c>
      <c r="R3" s="10">
        <f t="shared" ref="R3:R66" si="2">Q3*(I3+J3)</f>
        <v>996584900</v>
      </c>
      <c r="S3" s="10">
        <f t="shared" ref="S3:S66" si="3">Q3*M3</f>
        <v>62805407.434782542</v>
      </c>
    </row>
    <row r="4" spans="1:19" x14ac:dyDescent="0.25">
      <c r="A4" s="2" t="s">
        <v>22</v>
      </c>
      <c r="B4" s="6" t="s">
        <v>17</v>
      </c>
      <c r="C4" s="6" t="s">
        <v>19</v>
      </c>
      <c r="D4" s="6">
        <v>10</v>
      </c>
      <c r="E4" s="6">
        <v>5600</v>
      </c>
      <c r="F4" s="6">
        <v>21379</v>
      </c>
      <c r="G4" s="6">
        <v>0</v>
      </c>
      <c r="H4" s="6">
        <v>0</v>
      </c>
      <c r="I4" s="6">
        <v>20954</v>
      </c>
      <c r="J4" s="6">
        <v>0</v>
      </c>
      <c r="K4" s="6">
        <f t="shared" si="0"/>
        <v>20954</v>
      </c>
      <c r="L4" s="6">
        <v>6025</v>
      </c>
      <c r="M4" s="8">
        <v>3035.4285714285702</v>
      </c>
      <c r="N4" s="6">
        <v>23</v>
      </c>
      <c r="O4" s="8">
        <f t="shared" si="1"/>
        <v>3.3318152688201352</v>
      </c>
      <c r="Q4" s="10">
        <v>2129</v>
      </c>
      <c r="R4" s="10">
        <f t="shared" si="2"/>
        <v>44611066</v>
      </c>
      <c r="S4" s="10">
        <f t="shared" si="3"/>
        <v>6462427.4285714263</v>
      </c>
    </row>
    <row r="5" spans="1:19" x14ac:dyDescent="0.25">
      <c r="A5" s="2" t="s">
        <v>23</v>
      </c>
      <c r="B5" s="6" t="s">
        <v>17</v>
      </c>
      <c r="C5" s="6" t="s">
        <v>19</v>
      </c>
      <c r="D5" s="6">
        <v>10</v>
      </c>
      <c r="E5" s="6">
        <v>575</v>
      </c>
      <c r="F5" s="6">
        <v>1050</v>
      </c>
      <c r="G5" s="6">
        <v>0</v>
      </c>
      <c r="H5" s="6">
        <v>0</v>
      </c>
      <c r="I5" s="6">
        <v>100</v>
      </c>
      <c r="J5" s="6">
        <v>0</v>
      </c>
      <c r="K5" s="6">
        <f t="shared" si="0"/>
        <v>100</v>
      </c>
      <c r="L5" s="6">
        <v>1525</v>
      </c>
      <c r="M5" s="8">
        <v>1575</v>
      </c>
      <c r="N5" s="6">
        <v>23</v>
      </c>
      <c r="O5" s="8">
        <f>(M5/(I5+J5))*N5</f>
        <v>362.25</v>
      </c>
      <c r="Q5" s="10">
        <v>2131</v>
      </c>
      <c r="R5" s="10">
        <f t="shared" si="2"/>
        <v>213100</v>
      </c>
      <c r="S5" s="10">
        <f t="shared" si="3"/>
        <v>3356325</v>
      </c>
    </row>
    <row r="6" spans="1:19" x14ac:dyDescent="0.25">
      <c r="A6" s="2" t="s">
        <v>24</v>
      </c>
      <c r="B6" s="6" t="s">
        <v>17</v>
      </c>
      <c r="C6" s="6" t="s">
        <v>19</v>
      </c>
      <c r="D6" s="6">
        <v>10</v>
      </c>
      <c r="E6" s="6">
        <v>13357</v>
      </c>
      <c r="F6" s="6">
        <v>5025</v>
      </c>
      <c r="G6" s="6">
        <v>0</v>
      </c>
      <c r="H6" s="6">
        <v>0</v>
      </c>
      <c r="I6" s="6">
        <v>10307</v>
      </c>
      <c r="J6" s="6">
        <v>0</v>
      </c>
      <c r="K6" s="6">
        <f t="shared" si="0"/>
        <v>10307</v>
      </c>
      <c r="L6" s="6">
        <v>8075</v>
      </c>
      <c r="M6" s="8">
        <v>12243.857142857099</v>
      </c>
      <c r="N6" s="6">
        <v>23</v>
      </c>
      <c r="O6" s="8">
        <f t="shared" si="1"/>
        <v>27.322083466160208</v>
      </c>
      <c r="Q6" s="10">
        <v>2131</v>
      </c>
      <c r="R6" s="10">
        <f t="shared" si="2"/>
        <v>21964217</v>
      </c>
      <c r="S6" s="10">
        <f t="shared" si="3"/>
        <v>26091659.571428478</v>
      </c>
    </row>
    <row r="7" spans="1:19" x14ac:dyDescent="0.25">
      <c r="A7" s="2" t="s">
        <v>25</v>
      </c>
      <c r="B7" s="6" t="s">
        <v>16</v>
      </c>
      <c r="C7" s="6" t="s">
        <v>19</v>
      </c>
      <c r="D7" s="6">
        <v>10</v>
      </c>
      <c r="E7" s="6">
        <v>71335</v>
      </c>
      <c r="F7" s="6">
        <v>940675</v>
      </c>
      <c r="G7" s="6">
        <v>0</v>
      </c>
      <c r="H7" s="6">
        <v>0</v>
      </c>
      <c r="I7" s="6">
        <v>918586</v>
      </c>
      <c r="J7" s="6">
        <v>16814</v>
      </c>
      <c r="K7" s="6">
        <f t="shared" si="0"/>
        <v>935400</v>
      </c>
      <c r="L7" s="6">
        <v>76610</v>
      </c>
      <c r="M7" s="8">
        <v>75210.0869565217</v>
      </c>
      <c r="N7" s="6">
        <v>23</v>
      </c>
      <c r="O7" s="8">
        <f t="shared" si="1"/>
        <v>1.8492965576224067</v>
      </c>
      <c r="Q7" s="10">
        <v>1910</v>
      </c>
      <c r="R7" s="10">
        <f>Q7*(I7+J7)</f>
        <v>1786614000</v>
      </c>
      <c r="S7" s="10">
        <f>Q7*M7</f>
        <v>143651266.08695644</v>
      </c>
    </row>
    <row r="8" spans="1:19" x14ac:dyDescent="0.25">
      <c r="A8" s="2" t="s">
        <v>164</v>
      </c>
      <c r="B8" s="6" t="s">
        <v>16</v>
      </c>
      <c r="C8" s="6" t="s">
        <v>19</v>
      </c>
      <c r="D8" s="6">
        <v>10</v>
      </c>
      <c r="E8" s="6">
        <v>0</v>
      </c>
      <c r="F8" s="6">
        <v>36250</v>
      </c>
      <c r="G8" s="6">
        <v>0</v>
      </c>
      <c r="H8" s="6">
        <v>0</v>
      </c>
      <c r="I8" s="6">
        <v>10000</v>
      </c>
      <c r="J8" s="6">
        <v>0</v>
      </c>
      <c r="K8" s="6">
        <f t="shared" si="0"/>
        <v>10000</v>
      </c>
      <c r="L8" s="6">
        <v>26250</v>
      </c>
      <c r="M8" s="8">
        <v>22500</v>
      </c>
      <c r="N8" s="6">
        <v>23</v>
      </c>
      <c r="O8" s="8">
        <f t="shared" si="1"/>
        <v>51.75</v>
      </c>
      <c r="Q8" s="10">
        <v>1910</v>
      </c>
      <c r="R8" s="10">
        <f t="shared" si="2"/>
        <v>19100000</v>
      </c>
      <c r="S8" s="10">
        <f t="shared" si="3"/>
        <v>42975000</v>
      </c>
    </row>
    <row r="9" spans="1:19" x14ac:dyDescent="0.25">
      <c r="A9" s="2" t="s">
        <v>26</v>
      </c>
      <c r="B9" s="6" t="s">
        <v>16</v>
      </c>
      <c r="C9" s="6" t="s">
        <v>19</v>
      </c>
      <c r="D9" s="6">
        <v>10</v>
      </c>
      <c r="E9" s="6">
        <v>15615</v>
      </c>
      <c r="F9" s="6">
        <v>46492</v>
      </c>
      <c r="G9" s="6">
        <v>0</v>
      </c>
      <c r="H9" s="6">
        <v>0</v>
      </c>
      <c r="I9" s="6">
        <v>47717</v>
      </c>
      <c r="J9" s="6">
        <v>0</v>
      </c>
      <c r="K9" s="6">
        <f t="shared" si="0"/>
        <v>47717</v>
      </c>
      <c r="L9" s="6">
        <v>14390</v>
      </c>
      <c r="M9" s="8">
        <v>9154.1176470588198</v>
      </c>
      <c r="N9" s="6">
        <v>23</v>
      </c>
      <c r="O9" s="8">
        <f t="shared" si="1"/>
        <v>4.4123625936742226</v>
      </c>
      <c r="Q9" s="10">
        <v>2217</v>
      </c>
      <c r="R9" s="10">
        <f t="shared" si="2"/>
        <v>105788589</v>
      </c>
      <c r="S9" s="10">
        <f t="shared" si="3"/>
        <v>20294678.823529404</v>
      </c>
    </row>
    <row r="10" spans="1:19" x14ac:dyDescent="0.25">
      <c r="A10" s="2" t="s">
        <v>27</v>
      </c>
      <c r="B10" s="6" t="s">
        <v>17</v>
      </c>
      <c r="C10" s="6" t="s">
        <v>19</v>
      </c>
      <c r="D10" s="6">
        <v>10</v>
      </c>
      <c r="E10" s="6">
        <v>18410</v>
      </c>
      <c r="F10" s="6">
        <v>7325</v>
      </c>
      <c r="G10" s="6">
        <v>0</v>
      </c>
      <c r="H10" s="6">
        <v>0</v>
      </c>
      <c r="I10" s="6">
        <v>15000</v>
      </c>
      <c r="J10" s="6">
        <v>0</v>
      </c>
      <c r="K10" s="6">
        <f t="shared" si="0"/>
        <v>15000</v>
      </c>
      <c r="L10" s="6">
        <v>10735</v>
      </c>
      <c r="M10" s="8">
        <v>11644.090909090901</v>
      </c>
      <c r="N10" s="6">
        <v>23</v>
      </c>
      <c r="O10" s="8">
        <f t="shared" si="1"/>
        <v>17.854272727272715</v>
      </c>
      <c r="Q10" s="10">
        <v>2131</v>
      </c>
      <c r="R10" s="10">
        <f t="shared" si="2"/>
        <v>31965000</v>
      </c>
      <c r="S10" s="10">
        <f t="shared" si="3"/>
        <v>24813557.727272708</v>
      </c>
    </row>
    <row r="11" spans="1:19" x14ac:dyDescent="0.25">
      <c r="A11" s="2" t="s">
        <v>28</v>
      </c>
      <c r="B11" s="6" t="s">
        <v>17</v>
      </c>
      <c r="C11" s="6" t="s">
        <v>19</v>
      </c>
      <c r="D11" s="6">
        <v>10</v>
      </c>
      <c r="E11" s="6">
        <v>5424</v>
      </c>
      <c r="F11" s="6">
        <v>0</v>
      </c>
      <c r="G11" s="6">
        <v>0</v>
      </c>
      <c r="H11" s="6">
        <v>0</v>
      </c>
      <c r="I11" s="6">
        <v>937</v>
      </c>
      <c r="J11" s="6">
        <v>0</v>
      </c>
      <c r="K11" s="6">
        <f t="shared" si="0"/>
        <v>937</v>
      </c>
      <c r="L11" s="6">
        <v>4487</v>
      </c>
      <c r="M11" s="8">
        <v>4854.2</v>
      </c>
      <c r="N11" s="6">
        <v>23</v>
      </c>
      <c r="O11" s="8">
        <f t="shared" si="1"/>
        <v>119.15325506937033</v>
      </c>
      <c r="Q11" s="10">
        <v>2131</v>
      </c>
      <c r="R11" s="10">
        <f t="shared" si="2"/>
        <v>1996747</v>
      </c>
      <c r="S11" s="10">
        <f t="shared" si="3"/>
        <v>10344300.199999999</v>
      </c>
    </row>
    <row r="12" spans="1:19" x14ac:dyDescent="0.25">
      <c r="A12" s="2" t="s">
        <v>29</v>
      </c>
      <c r="B12" s="6" t="s">
        <v>16</v>
      </c>
      <c r="C12" s="6" t="s">
        <v>19</v>
      </c>
      <c r="D12" s="6">
        <v>10</v>
      </c>
      <c r="E12" s="6">
        <v>14675</v>
      </c>
      <c r="F12" s="6">
        <v>34225</v>
      </c>
      <c r="G12" s="6">
        <v>0</v>
      </c>
      <c r="H12" s="6">
        <v>0</v>
      </c>
      <c r="I12" s="6">
        <v>15775</v>
      </c>
      <c r="J12" s="6">
        <v>0</v>
      </c>
      <c r="K12" s="6">
        <f t="shared" si="0"/>
        <v>15775</v>
      </c>
      <c r="L12" s="6">
        <v>33125</v>
      </c>
      <c r="M12" s="8">
        <v>34621.875</v>
      </c>
      <c r="N12" s="6">
        <v>23</v>
      </c>
      <c r="O12" s="8">
        <f t="shared" si="1"/>
        <v>50.478803486529316</v>
      </c>
      <c r="Q12" s="10">
        <v>1691</v>
      </c>
      <c r="R12" s="10">
        <f t="shared" si="2"/>
        <v>26675525</v>
      </c>
      <c r="S12" s="10">
        <f t="shared" si="3"/>
        <v>58545590.625</v>
      </c>
    </row>
    <row r="13" spans="1:19" x14ac:dyDescent="0.25">
      <c r="A13" s="2" t="s">
        <v>30</v>
      </c>
      <c r="B13" s="6" t="s">
        <v>17</v>
      </c>
      <c r="C13" s="6" t="s">
        <v>19</v>
      </c>
      <c r="D13" s="6">
        <v>10</v>
      </c>
      <c r="E13" s="6">
        <v>38800</v>
      </c>
      <c r="F13" s="6">
        <v>348750</v>
      </c>
      <c r="G13" s="6">
        <v>0</v>
      </c>
      <c r="H13" s="6">
        <v>0</v>
      </c>
      <c r="I13" s="6">
        <v>363750</v>
      </c>
      <c r="J13" s="6">
        <v>20</v>
      </c>
      <c r="K13" s="6">
        <f t="shared" si="0"/>
        <v>363770</v>
      </c>
      <c r="L13" s="6">
        <v>23780</v>
      </c>
      <c r="M13" s="8">
        <v>39410.454545454508</v>
      </c>
      <c r="N13" s="6">
        <v>23</v>
      </c>
      <c r="O13" s="8">
        <f t="shared" si="1"/>
        <v>2.4917955151481808</v>
      </c>
      <c r="Q13" s="10">
        <v>1694</v>
      </c>
      <c r="R13" s="10">
        <f t="shared" si="2"/>
        <v>616226380</v>
      </c>
      <c r="S13" s="10">
        <f t="shared" si="3"/>
        <v>66761309.999999933</v>
      </c>
    </row>
    <row r="14" spans="1:19" x14ac:dyDescent="0.25">
      <c r="A14" s="2" t="s">
        <v>31</v>
      </c>
      <c r="B14" s="6" t="s">
        <v>17</v>
      </c>
      <c r="C14" s="6" t="s">
        <v>19</v>
      </c>
      <c r="D14" s="6">
        <v>10</v>
      </c>
      <c r="E14" s="6">
        <v>950</v>
      </c>
      <c r="F14" s="6">
        <v>12226</v>
      </c>
      <c r="G14" s="6">
        <v>0</v>
      </c>
      <c r="H14" s="6">
        <v>0</v>
      </c>
      <c r="I14" s="6">
        <v>7056</v>
      </c>
      <c r="J14" s="6">
        <v>0</v>
      </c>
      <c r="K14" s="6">
        <f t="shared" si="0"/>
        <v>7056</v>
      </c>
      <c r="L14" s="6">
        <v>6120</v>
      </c>
      <c r="M14" s="8">
        <v>2259.5</v>
      </c>
      <c r="N14" s="6">
        <v>23</v>
      </c>
      <c r="O14" s="8">
        <f t="shared" si="1"/>
        <v>7.3651502267573701</v>
      </c>
      <c r="Q14" s="10">
        <v>1694</v>
      </c>
      <c r="R14" s="10">
        <f t="shared" si="2"/>
        <v>11952864</v>
      </c>
      <c r="S14" s="10">
        <f t="shared" si="3"/>
        <v>3827593</v>
      </c>
    </row>
    <row r="15" spans="1:19" x14ac:dyDescent="0.25">
      <c r="A15" s="2" t="s">
        <v>32</v>
      </c>
      <c r="B15" s="6" t="s">
        <v>16</v>
      </c>
      <c r="C15" s="6" t="s">
        <v>19</v>
      </c>
      <c r="D15" s="6">
        <v>10</v>
      </c>
      <c r="E15" s="6">
        <v>63035</v>
      </c>
      <c r="F15" s="6">
        <v>66123</v>
      </c>
      <c r="G15" s="6">
        <v>0</v>
      </c>
      <c r="H15" s="6">
        <v>0</v>
      </c>
      <c r="I15" s="6">
        <v>115061</v>
      </c>
      <c r="J15" s="6">
        <v>0</v>
      </c>
      <c r="K15" s="6">
        <f t="shared" si="0"/>
        <v>115061</v>
      </c>
      <c r="L15" s="6">
        <v>14097</v>
      </c>
      <c r="M15" s="8">
        <v>22183.850000000002</v>
      </c>
      <c r="N15" s="6">
        <v>23</v>
      </c>
      <c r="O15" s="8">
        <f t="shared" si="1"/>
        <v>4.4344178305420607</v>
      </c>
      <c r="Q15" s="10">
        <v>1890</v>
      </c>
      <c r="R15" s="10">
        <f t="shared" si="2"/>
        <v>217465290</v>
      </c>
      <c r="S15" s="10">
        <f t="shared" si="3"/>
        <v>41927476.500000007</v>
      </c>
    </row>
    <row r="16" spans="1:19" x14ac:dyDescent="0.25">
      <c r="A16" s="2" t="s">
        <v>33</v>
      </c>
      <c r="B16" s="6" t="s">
        <v>16</v>
      </c>
      <c r="C16" s="6" t="s">
        <v>19</v>
      </c>
      <c r="D16" s="6">
        <v>10</v>
      </c>
      <c r="E16" s="6">
        <v>34500</v>
      </c>
      <c r="F16" s="6">
        <v>306850</v>
      </c>
      <c r="G16" s="6">
        <v>0</v>
      </c>
      <c r="H16" s="6">
        <v>0</v>
      </c>
      <c r="I16" s="6">
        <v>316350</v>
      </c>
      <c r="J16" s="6">
        <v>50</v>
      </c>
      <c r="K16" s="6">
        <f t="shared" si="0"/>
        <v>316400</v>
      </c>
      <c r="L16" s="6">
        <v>24950</v>
      </c>
      <c r="M16" s="8">
        <v>37006.818181818198</v>
      </c>
      <c r="N16" s="6">
        <v>23</v>
      </c>
      <c r="O16" s="8">
        <f t="shared" si="1"/>
        <v>2.6901290081599827</v>
      </c>
      <c r="Q16" s="10">
        <v>2216</v>
      </c>
      <c r="R16" s="10">
        <f t="shared" si="2"/>
        <v>701142400</v>
      </c>
      <c r="S16" s="10">
        <f t="shared" si="3"/>
        <v>82007109.090909123</v>
      </c>
    </row>
    <row r="17" spans="1:19" x14ac:dyDescent="0.25">
      <c r="A17" s="2" t="s">
        <v>34</v>
      </c>
      <c r="B17" s="6" t="s">
        <v>17</v>
      </c>
      <c r="C17" s="6" t="s">
        <v>19</v>
      </c>
      <c r="D17" s="6">
        <v>10</v>
      </c>
      <c r="E17" s="6">
        <v>42035</v>
      </c>
      <c r="F17" s="6">
        <v>279675</v>
      </c>
      <c r="G17" s="6">
        <v>0</v>
      </c>
      <c r="H17" s="6">
        <v>0</v>
      </c>
      <c r="I17" s="6">
        <v>270725</v>
      </c>
      <c r="J17" s="6">
        <v>130</v>
      </c>
      <c r="K17" s="6">
        <f t="shared" si="0"/>
        <v>270855</v>
      </c>
      <c r="L17" s="6">
        <v>50855</v>
      </c>
      <c r="M17" s="8">
        <v>56168.181818181802</v>
      </c>
      <c r="N17" s="6">
        <v>23</v>
      </c>
      <c r="O17" s="8">
        <f t="shared" si="1"/>
        <v>4.7695932577142068</v>
      </c>
      <c r="Q17" s="10">
        <v>2846</v>
      </c>
      <c r="R17" s="10">
        <f t="shared" si="2"/>
        <v>770853330</v>
      </c>
      <c r="S17" s="10">
        <f t="shared" si="3"/>
        <v>159854645.45454541</v>
      </c>
    </row>
    <row r="18" spans="1:19" x14ac:dyDescent="0.25">
      <c r="A18" s="2" t="s">
        <v>35</v>
      </c>
      <c r="B18" s="6" t="s">
        <v>16</v>
      </c>
      <c r="C18" s="6" t="s">
        <v>19</v>
      </c>
      <c r="D18" s="6">
        <v>10</v>
      </c>
      <c r="E18" s="6">
        <v>15358</v>
      </c>
      <c r="F18" s="6">
        <v>186250</v>
      </c>
      <c r="G18" s="6">
        <v>0</v>
      </c>
      <c r="H18" s="6">
        <v>0</v>
      </c>
      <c r="I18" s="6">
        <v>166200</v>
      </c>
      <c r="J18" s="6">
        <v>50</v>
      </c>
      <c r="K18" s="6">
        <f t="shared" si="0"/>
        <v>166250</v>
      </c>
      <c r="L18" s="6">
        <v>35358</v>
      </c>
      <c r="M18" s="8">
        <v>23698.909090909099</v>
      </c>
      <c r="N18" s="6">
        <v>23</v>
      </c>
      <c r="O18" s="8">
        <f t="shared" si="1"/>
        <v>3.2786460697197555</v>
      </c>
      <c r="Q18" s="10">
        <v>2129</v>
      </c>
      <c r="R18" s="10">
        <f t="shared" si="2"/>
        <v>353946250</v>
      </c>
      <c r="S18" s="10">
        <f t="shared" si="3"/>
        <v>50454977.454545476</v>
      </c>
    </row>
    <row r="19" spans="1:19" x14ac:dyDescent="0.25">
      <c r="A19" s="2" t="s">
        <v>36</v>
      </c>
      <c r="B19" s="6" t="s">
        <v>17</v>
      </c>
      <c r="C19" s="6" t="s">
        <v>19</v>
      </c>
      <c r="D19" s="6">
        <v>10</v>
      </c>
      <c r="E19" s="6">
        <v>900</v>
      </c>
      <c r="F19" s="6">
        <v>3875</v>
      </c>
      <c r="G19" s="6">
        <v>0</v>
      </c>
      <c r="H19" s="6">
        <v>0</v>
      </c>
      <c r="I19" s="6">
        <v>4750</v>
      </c>
      <c r="J19" s="6">
        <v>0</v>
      </c>
      <c r="K19" s="6">
        <f t="shared" si="0"/>
        <v>4750</v>
      </c>
      <c r="L19" s="6">
        <v>25</v>
      </c>
      <c r="M19" s="8">
        <v>1525</v>
      </c>
      <c r="N19" s="6">
        <v>23</v>
      </c>
      <c r="O19" s="8">
        <f t="shared" si="1"/>
        <v>7.3842105263157896</v>
      </c>
      <c r="Q19" s="10">
        <v>2129</v>
      </c>
      <c r="R19" s="10">
        <f t="shared" si="2"/>
        <v>10112750</v>
      </c>
      <c r="S19" s="10">
        <f t="shared" si="3"/>
        <v>3246725</v>
      </c>
    </row>
    <row r="20" spans="1:19" x14ac:dyDescent="0.25">
      <c r="A20" s="2" t="s">
        <v>37</v>
      </c>
      <c r="B20" s="6" t="s">
        <v>16</v>
      </c>
      <c r="C20" s="6" t="s">
        <v>19</v>
      </c>
      <c r="D20" s="6">
        <v>10</v>
      </c>
      <c r="E20" s="6">
        <v>26527</v>
      </c>
      <c r="F20" s="6">
        <v>102385</v>
      </c>
      <c r="G20" s="6">
        <v>0</v>
      </c>
      <c r="H20" s="6">
        <v>0</v>
      </c>
      <c r="I20" s="6">
        <v>98365</v>
      </c>
      <c r="J20" s="6">
        <v>40</v>
      </c>
      <c r="K20" s="6">
        <f t="shared" si="0"/>
        <v>98405</v>
      </c>
      <c r="L20" s="6">
        <v>30507</v>
      </c>
      <c r="M20" s="8">
        <v>25525.1578947368</v>
      </c>
      <c r="N20" s="6">
        <v>23</v>
      </c>
      <c r="O20" s="8">
        <f t="shared" si="1"/>
        <v>5.9659431083679326</v>
      </c>
      <c r="Q20" s="10">
        <v>2263</v>
      </c>
      <c r="R20" s="10">
        <f t="shared" si="2"/>
        <v>222690515</v>
      </c>
      <c r="S20" s="10">
        <f t="shared" si="3"/>
        <v>57763432.315789379</v>
      </c>
    </row>
    <row r="21" spans="1:19" x14ac:dyDescent="0.25">
      <c r="A21" s="2" t="s">
        <v>38</v>
      </c>
      <c r="B21" s="6" t="s">
        <v>17</v>
      </c>
      <c r="C21" s="6" t="s">
        <v>19</v>
      </c>
      <c r="D21" s="6">
        <v>10</v>
      </c>
      <c r="E21" s="6">
        <v>28889</v>
      </c>
      <c r="F21" s="6">
        <v>39677</v>
      </c>
      <c r="G21" s="6">
        <v>0</v>
      </c>
      <c r="H21" s="6">
        <v>0</v>
      </c>
      <c r="I21" s="6">
        <v>51020</v>
      </c>
      <c r="J21" s="6">
        <v>0</v>
      </c>
      <c r="K21" s="6">
        <f t="shared" si="0"/>
        <v>51020</v>
      </c>
      <c r="L21" s="6">
        <v>17546</v>
      </c>
      <c r="M21" s="8">
        <v>23900.65</v>
      </c>
      <c r="N21" s="6">
        <v>23</v>
      </c>
      <c r="O21" s="8">
        <f t="shared" si="1"/>
        <v>10.774499215993728</v>
      </c>
      <c r="Q21" s="10">
        <v>2263</v>
      </c>
      <c r="R21" s="10">
        <f t="shared" si="2"/>
        <v>115458260</v>
      </c>
      <c r="S21" s="10">
        <f t="shared" si="3"/>
        <v>54087170.950000003</v>
      </c>
    </row>
    <row r="22" spans="1:19" x14ac:dyDescent="0.25">
      <c r="A22" s="2" t="s">
        <v>39</v>
      </c>
      <c r="B22" s="6" t="s">
        <v>17</v>
      </c>
      <c r="C22" s="6" t="s">
        <v>19</v>
      </c>
      <c r="D22" s="6">
        <v>10</v>
      </c>
      <c r="E22" s="6">
        <v>2300</v>
      </c>
      <c r="F22" s="6">
        <v>2000</v>
      </c>
      <c r="G22" s="6">
        <v>0</v>
      </c>
      <c r="H22" s="6">
        <v>0</v>
      </c>
      <c r="I22" s="6">
        <v>2000</v>
      </c>
      <c r="J22" s="6">
        <v>0</v>
      </c>
      <c r="K22" s="6">
        <f t="shared" si="0"/>
        <v>2000</v>
      </c>
      <c r="L22" s="6">
        <v>2300</v>
      </c>
      <c r="M22" s="8">
        <v>1300</v>
      </c>
      <c r="N22" s="6">
        <v>23</v>
      </c>
      <c r="O22" s="8">
        <f t="shared" si="1"/>
        <v>14.950000000000001</v>
      </c>
      <c r="Q22" s="10">
        <v>2732</v>
      </c>
      <c r="R22" s="10">
        <f t="shared" si="2"/>
        <v>5464000</v>
      </c>
      <c r="S22" s="10">
        <f t="shared" si="3"/>
        <v>3551600</v>
      </c>
    </row>
    <row r="23" spans="1:19" x14ac:dyDescent="0.25">
      <c r="A23" s="2" t="s">
        <v>40</v>
      </c>
      <c r="B23" s="6" t="s">
        <v>17</v>
      </c>
      <c r="C23" s="6" t="s">
        <v>19</v>
      </c>
      <c r="D23" s="6">
        <v>10</v>
      </c>
      <c r="E23" s="6">
        <v>6819</v>
      </c>
      <c r="F23" s="6">
        <v>23991</v>
      </c>
      <c r="G23" s="6">
        <v>0</v>
      </c>
      <c r="H23" s="6">
        <v>0</v>
      </c>
      <c r="I23" s="6">
        <v>19451</v>
      </c>
      <c r="J23" s="6">
        <v>0</v>
      </c>
      <c r="K23" s="6">
        <f t="shared" si="0"/>
        <v>19451</v>
      </c>
      <c r="L23" s="6">
        <v>11359</v>
      </c>
      <c r="M23" s="8">
        <v>10234</v>
      </c>
      <c r="N23" s="6">
        <v>23</v>
      </c>
      <c r="O23" s="8">
        <f t="shared" si="1"/>
        <v>12.10128013983857</v>
      </c>
      <c r="Q23" s="10">
        <v>2962</v>
      </c>
      <c r="R23" s="10">
        <f t="shared" si="2"/>
        <v>57613862</v>
      </c>
      <c r="S23" s="10">
        <f t="shared" si="3"/>
        <v>30313108</v>
      </c>
    </row>
    <row r="24" spans="1:19" x14ac:dyDescent="0.25">
      <c r="A24" s="2" t="s">
        <v>41</v>
      </c>
      <c r="B24" s="6" t="s">
        <v>17</v>
      </c>
      <c r="C24" s="6" t="s">
        <v>19</v>
      </c>
      <c r="D24" s="6">
        <v>10</v>
      </c>
      <c r="E24" s="6">
        <v>124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si="0"/>
        <v>0</v>
      </c>
      <c r="L24" s="6">
        <v>124</v>
      </c>
      <c r="M24" s="8">
        <v>0</v>
      </c>
      <c r="N24" s="6">
        <v>23</v>
      </c>
      <c r="O24" s="8">
        <v>0</v>
      </c>
      <c r="Q24" s="10">
        <v>2263</v>
      </c>
      <c r="R24" s="10">
        <f t="shared" si="2"/>
        <v>0</v>
      </c>
      <c r="S24" s="10">
        <f t="shared" si="3"/>
        <v>0</v>
      </c>
    </row>
    <row r="25" spans="1:19" x14ac:dyDescent="0.25">
      <c r="A25" s="2" t="s">
        <v>42</v>
      </c>
      <c r="B25" s="6" t="s">
        <v>17</v>
      </c>
      <c r="C25" s="6" t="s">
        <v>19</v>
      </c>
      <c r="D25" s="6">
        <v>10</v>
      </c>
      <c r="E25" s="6">
        <v>770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f t="shared" si="0"/>
        <v>0</v>
      </c>
      <c r="L25" s="6">
        <v>770</v>
      </c>
      <c r="M25" s="8">
        <v>0</v>
      </c>
      <c r="N25" s="6">
        <v>23</v>
      </c>
      <c r="O25" s="8">
        <v>0</v>
      </c>
      <c r="Q25" s="10">
        <v>2263</v>
      </c>
      <c r="R25" s="10">
        <f t="shared" si="2"/>
        <v>0</v>
      </c>
      <c r="S25" s="10">
        <f t="shared" si="3"/>
        <v>0</v>
      </c>
    </row>
    <row r="26" spans="1:19" x14ac:dyDescent="0.25">
      <c r="A26" s="2" t="s">
        <v>43</v>
      </c>
      <c r="B26" s="6" t="s">
        <v>17</v>
      </c>
      <c r="C26" s="6" t="s">
        <v>19</v>
      </c>
      <c r="D26" s="6">
        <v>10</v>
      </c>
      <c r="E26" s="6">
        <v>12550</v>
      </c>
      <c r="F26" s="6">
        <v>13025</v>
      </c>
      <c r="G26" s="6">
        <v>0</v>
      </c>
      <c r="H26" s="6">
        <v>0</v>
      </c>
      <c r="I26" s="6">
        <v>24275</v>
      </c>
      <c r="J26" s="6">
        <v>0</v>
      </c>
      <c r="K26" s="6">
        <f t="shared" si="0"/>
        <v>24275</v>
      </c>
      <c r="L26" s="6">
        <v>1300</v>
      </c>
      <c r="M26" s="8">
        <v>10150</v>
      </c>
      <c r="N26" s="6">
        <v>23</v>
      </c>
      <c r="O26" s="8">
        <f t="shared" si="1"/>
        <v>9.6168898043254369</v>
      </c>
      <c r="Q26" s="10">
        <v>2268</v>
      </c>
      <c r="R26" s="10">
        <f t="shared" si="2"/>
        <v>55055700</v>
      </c>
      <c r="S26" s="10">
        <f t="shared" si="3"/>
        <v>23020200</v>
      </c>
    </row>
    <row r="27" spans="1:19" x14ac:dyDescent="0.25">
      <c r="A27" s="2" t="s">
        <v>165</v>
      </c>
      <c r="B27" s="6" t="s">
        <v>16</v>
      </c>
      <c r="C27" s="6" t="s">
        <v>19</v>
      </c>
      <c r="D27" s="6">
        <v>10</v>
      </c>
      <c r="E27" s="6">
        <v>5</v>
      </c>
      <c r="F27" s="6">
        <v>60225</v>
      </c>
      <c r="G27" s="6">
        <v>0</v>
      </c>
      <c r="H27" s="6">
        <v>0</v>
      </c>
      <c r="I27" s="6">
        <v>50225</v>
      </c>
      <c r="J27" s="6">
        <v>0</v>
      </c>
      <c r="K27" s="6">
        <f t="shared" si="0"/>
        <v>50225</v>
      </c>
      <c r="L27" s="6">
        <v>10005</v>
      </c>
      <c r="M27" s="8">
        <v>12107.083333333299</v>
      </c>
      <c r="N27" s="6">
        <v>23</v>
      </c>
      <c r="O27" s="8">
        <f t="shared" si="1"/>
        <v>5.5443089430894155</v>
      </c>
      <c r="Q27" s="10">
        <v>2268</v>
      </c>
      <c r="R27" s="10">
        <f t="shared" si="2"/>
        <v>113910300</v>
      </c>
      <c r="S27" s="10">
        <f t="shared" si="3"/>
        <v>27458864.999999922</v>
      </c>
    </row>
    <row r="28" spans="1:19" x14ac:dyDescent="0.25">
      <c r="A28" s="2" t="s">
        <v>44</v>
      </c>
      <c r="B28" s="6" t="s">
        <v>17</v>
      </c>
      <c r="C28" s="6" t="s">
        <v>19</v>
      </c>
      <c r="D28" s="6">
        <v>10</v>
      </c>
      <c r="E28" s="6">
        <v>6700</v>
      </c>
      <c r="F28" s="6">
        <v>10217</v>
      </c>
      <c r="G28" s="6">
        <v>0</v>
      </c>
      <c r="H28" s="6">
        <v>0</v>
      </c>
      <c r="I28" s="6">
        <v>13450</v>
      </c>
      <c r="J28" s="6">
        <v>0</v>
      </c>
      <c r="K28" s="6">
        <f t="shared" si="0"/>
        <v>13450</v>
      </c>
      <c r="L28" s="6">
        <v>3467</v>
      </c>
      <c r="M28" s="8">
        <v>6977.25</v>
      </c>
      <c r="N28" s="6">
        <v>23</v>
      </c>
      <c r="O28" s="8">
        <f t="shared" si="1"/>
        <v>11.93135687732342</v>
      </c>
      <c r="Q28" s="10">
        <v>1956</v>
      </c>
      <c r="R28" s="10">
        <f t="shared" si="2"/>
        <v>26308200</v>
      </c>
      <c r="S28" s="10">
        <f t="shared" si="3"/>
        <v>13647501</v>
      </c>
    </row>
    <row r="29" spans="1:19" x14ac:dyDescent="0.25">
      <c r="A29" s="2" t="s">
        <v>45</v>
      </c>
      <c r="B29" s="6" t="s">
        <v>16</v>
      </c>
      <c r="C29" s="6" t="s">
        <v>19</v>
      </c>
      <c r="D29" s="6">
        <v>10</v>
      </c>
      <c r="E29" s="6">
        <v>28605</v>
      </c>
      <c r="F29" s="6">
        <v>273000</v>
      </c>
      <c r="G29" s="6">
        <v>0</v>
      </c>
      <c r="H29" s="6">
        <v>0</v>
      </c>
      <c r="I29" s="6">
        <v>295000</v>
      </c>
      <c r="J29" s="6">
        <v>631</v>
      </c>
      <c r="K29" s="6">
        <f t="shared" si="0"/>
        <v>295631</v>
      </c>
      <c r="L29" s="6">
        <v>5974</v>
      </c>
      <c r="M29" s="8">
        <v>35464.115384615405</v>
      </c>
      <c r="N29" s="6">
        <v>23</v>
      </c>
      <c r="O29" s="8">
        <f t="shared" si="1"/>
        <v>2.7590971645265694</v>
      </c>
      <c r="Q29" s="10">
        <v>2031</v>
      </c>
      <c r="R29" s="10">
        <f t="shared" si="2"/>
        <v>600426561</v>
      </c>
      <c r="S29" s="10">
        <f t="shared" si="3"/>
        <v>72027618.346153885</v>
      </c>
    </row>
    <row r="30" spans="1:19" x14ac:dyDescent="0.25">
      <c r="A30" s="2" t="s">
        <v>46</v>
      </c>
      <c r="B30" s="6" t="s">
        <v>17</v>
      </c>
      <c r="C30" s="6" t="s">
        <v>19</v>
      </c>
      <c r="D30" s="6">
        <v>10</v>
      </c>
      <c r="E30" s="6">
        <v>2015</v>
      </c>
      <c r="F30" s="6">
        <v>1050</v>
      </c>
      <c r="G30" s="6">
        <v>0</v>
      </c>
      <c r="H30" s="6">
        <v>0</v>
      </c>
      <c r="I30" s="6">
        <v>200</v>
      </c>
      <c r="J30" s="6">
        <v>0</v>
      </c>
      <c r="K30" s="6">
        <f t="shared" si="0"/>
        <v>200</v>
      </c>
      <c r="L30" s="6">
        <v>2865</v>
      </c>
      <c r="M30" s="8">
        <v>2965</v>
      </c>
      <c r="N30" s="6">
        <v>23</v>
      </c>
      <c r="O30" s="8">
        <f t="shared" si="1"/>
        <v>340.97499999999997</v>
      </c>
      <c r="Q30" s="10">
        <v>2179</v>
      </c>
      <c r="R30" s="10">
        <f t="shared" si="2"/>
        <v>435800</v>
      </c>
      <c r="S30" s="10">
        <f t="shared" si="3"/>
        <v>6460735</v>
      </c>
    </row>
    <row r="31" spans="1:19" x14ac:dyDescent="0.25">
      <c r="A31" s="2" t="s">
        <v>47</v>
      </c>
      <c r="B31" s="6" t="s">
        <v>17</v>
      </c>
      <c r="C31" s="6" t="s">
        <v>19</v>
      </c>
      <c r="D31" s="6">
        <v>10</v>
      </c>
      <c r="E31" s="6">
        <v>9038</v>
      </c>
      <c r="F31" s="6">
        <v>0</v>
      </c>
      <c r="G31" s="6">
        <v>0</v>
      </c>
      <c r="H31" s="6">
        <v>0</v>
      </c>
      <c r="I31" s="6">
        <v>3030</v>
      </c>
      <c r="J31" s="6">
        <v>0</v>
      </c>
      <c r="K31" s="6">
        <f t="shared" si="0"/>
        <v>3030</v>
      </c>
      <c r="L31" s="6">
        <v>6008</v>
      </c>
      <c r="M31" s="8">
        <v>6758</v>
      </c>
      <c r="N31" s="6">
        <v>23</v>
      </c>
      <c r="O31" s="8">
        <f t="shared" si="1"/>
        <v>51.298349834983497</v>
      </c>
      <c r="Q31" s="10">
        <v>2179</v>
      </c>
      <c r="R31" s="10">
        <f t="shared" si="2"/>
        <v>6602370</v>
      </c>
      <c r="S31" s="10">
        <f t="shared" si="3"/>
        <v>14725682</v>
      </c>
    </row>
    <row r="32" spans="1:19" x14ac:dyDescent="0.25">
      <c r="A32" s="2" t="s">
        <v>48</v>
      </c>
      <c r="B32" s="6" t="s">
        <v>17</v>
      </c>
      <c r="C32" s="6" t="s">
        <v>19</v>
      </c>
      <c r="D32" s="6">
        <v>10</v>
      </c>
      <c r="E32" s="6">
        <v>1495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f t="shared" si="0"/>
        <v>0</v>
      </c>
      <c r="L32" s="6">
        <v>1495</v>
      </c>
      <c r="M32" s="8">
        <v>0</v>
      </c>
      <c r="N32" s="6">
        <v>23</v>
      </c>
      <c r="O32" s="8">
        <v>0</v>
      </c>
      <c r="Q32" s="10">
        <v>2179</v>
      </c>
      <c r="R32" s="10">
        <f t="shared" si="2"/>
        <v>0</v>
      </c>
      <c r="S32" s="10">
        <f t="shared" si="3"/>
        <v>0</v>
      </c>
    </row>
    <row r="33" spans="1:19" x14ac:dyDescent="0.25">
      <c r="A33" s="2" t="s">
        <v>49</v>
      </c>
      <c r="B33" s="6" t="s">
        <v>16</v>
      </c>
      <c r="C33" s="6" t="s">
        <v>19</v>
      </c>
      <c r="D33" s="6">
        <v>10</v>
      </c>
      <c r="E33" s="6">
        <v>38360</v>
      </c>
      <c r="F33" s="6">
        <v>55300</v>
      </c>
      <c r="G33" s="6">
        <v>0</v>
      </c>
      <c r="H33" s="6">
        <v>0</v>
      </c>
      <c r="I33" s="6">
        <v>75285</v>
      </c>
      <c r="J33" s="6">
        <v>0</v>
      </c>
      <c r="K33" s="6">
        <f t="shared" si="0"/>
        <v>75285</v>
      </c>
      <c r="L33" s="6">
        <v>18375</v>
      </c>
      <c r="M33" s="8">
        <v>32518.684210526299</v>
      </c>
      <c r="N33" s="6">
        <v>23</v>
      </c>
      <c r="O33" s="8">
        <f t="shared" si="1"/>
        <v>9.9346448408329007</v>
      </c>
      <c r="Q33" s="10">
        <v>2179</v>
      </c>
      <c r="R33" s="10">
        <f t="shared" si="2"/>
        <v>164046015</v>
      </c>
      <c r="S33" s="10">
        <f t="shared" si="3"/>
        <v>70858212.894736812</v>
      </c>
    </row>
    <row r="34" spans="1:19" x14ac:dyDescent="0.25">
      <c r="A34" s="2" t="s">
        <v>166</v>
      </c>
      <c r="B34" s="6" t="s">
        <v>17</v>
      </c>
      <c r="C34" s="6" t="s">
        <v>19</v>
      </c>
      <c r="D34" s="6">
        <v>10</v>
      </c>
      <c r="E34" s="6">
        <v>900</v>
      </c>
      <c r="F34" s="6">
        <v>1050</v>
      </c>
      <c r="G34" s="6">
        <v>0</v>
      </c>
      <c r="H34" s="6">
        <v>0</v>
      </c>
      <c r="I34" s="6">
        <v>700</v>
      </c>
      <c r="J34" s="6">
        <v>0</v>
      </c>
      <c r="K34" s="6">
        <f t="shared" si="0"/>
        <v>700</v>
      </c>
      <c r="L34" s="6">
        <v>1250</v>
      </c>
      <c r="M34" s="8">
        <v>725</v>
      </c>
      <c r="N34" s="6">
        <v>23</v>
      </c>
      <c r="O34" s="8">
        <f t="shared" si="1"/>
        <v>23.821428571428573</v>
      </c>
      <c r="Q34" s="10">
        <v>3145</v>
      </c>
      <c r="R34" s="10">
        <f t="shared" si="2"/>
        <v>2201500</v>
      </c>
      <c r="S34" s="10">
        <f t="shared" si="3"/>
        <v>2280125</v>
      </c>
    </row>
    <row r="35" spans="1:19" x14ac:dyDescent="0.25">
      <c r="A35" s="2" t="s">
        <v>50</v>
      </c>
      <c r="B35" s="6" t="s">
        <v>17</v>
      </c>
      <c r="C35" s="6" t="s">
        <v>19</v>
      </c>
      <c r="D35" s="6">
        <v>10</v>
      </c>
      <c r="E35" s="6">
        <v>56156</v>
      </c>
      <c r="F35" s="6">
        <v>0</v>
      </c>
      <c r="G35" s="6">
        <v>0</v>
      </c>
      <c r="H35" s="6">
        <v>0</v>
      </c>
      <c r="I35" s="6">
        <v>31744</v>
      </c>
      <c r="J35" s="6">
        <v>0</v>
      </c>
      <c r="K35" s="6">
        <f t="shared" si="0"/>
        <v>31744</v>
      </c>
      <c r="L35" s="6">
        <v>24412</v>
      </c>
      <c r="M35" s="8">
        <v>39712.181818181802</v>
      </c>
      <c r="N35" s="6">
        <v>23</v>
      </c>
      <c r="O35" s="8">
        <f t="shared" si="1"/>
        <v>28.773317219574768</v>
      </c>
      <c r="Q35" s="10">
        <v>2179</v>
      </c>
      <c r="R35" s="10">
        <f t="shared" si="2"/>
        <v>69170176</v>
      </c>
      <c r="S35" s="10">
        <f t="shared" si="3"/>
        <v>86532844.181818143</v>
      </c>
    </row>
    <row r="36" spans="1:19" x14ac:dyDescent="0.25">
      <c r="A36" s="2" t="s">
        <v>51</v>
      </c>
      <c r="B36" s="6" t="s">
        <v>17</v>
      </c>
      <c r="C36" s="6" t="s">
        <v>19</v>
      </c>
      <c r="D36" s="6">
        <v>10</v>
      </c>
      <c r="E36" s="6">
        <v>9978</v>
      </c>
      <c r="F36" s="6">
        <v>7500</v>
      </c>
      <c r="G36" s="6">
        <v>0</v>
      </c>
      <c r="H36" s="6">
        <v>0</v>
      </c>
      <c r="I36" s="6">
        <v>16750</v>
      </c>
      <c r="J36" s="6">
        <v>0</v>
      </c>
      <c r="K36" s="6">
        <f t="shared" si="0"/>
        <v>16750</v>
      </c>
      <c r="L36" s="6">
        <v>728</v>
      </c>
      <c r="M36" s="8">
        <v>9759.25</v>
      </c>
      <c r="N36" s="6">
        <v>23</v>
      </c>
      <c r="O36" s="8">
        <f t="shared" si="1"/>
        <v>13.400761194029851</v>
      </c>
      <c r="Q36" s="10">
        <v>2268</v>
      </c>
      <c r="R36" s="10">
        <f t="shared" si="2"/>
        <v>37989000</v>
      </c>
      <c r="S36" s="10">
        <f t="shared" si="3"/>
        <v>22133979</v>
      </c>
    </row>
    <row r="37" spans="1:19" x14ac:dyDescent="0.25">
      <c r="A37" s="2" t="s">
        <v>167</v>
      </c>
      <c r="B37" s="6" t="s">
        <v>17</v>
      </c>
      <c r="C37" s="6" t="s">
        <v>19</v>
      </c>
      <c r="D37" s="6">
        <v>10</v>
      </c>
      <c r="E37" s="6">
        <v>0</v>
      </c>
      <c r="F37" s="6">
        <v>20000</v>
      </c>
      <c r="G37" s="6">
        <v>0</v>
      </c>
      <c r="H37" s="6">
        <v>0</v>
      </c>
      <c r="I37" s="6">
        <v>11250</v>
      </c>
      <c r="J37" s="6">
        <v>0</v>
      </c>
      <c r="K37" s="6">
        <f t="shared" si="0"/>
        <v>11250</v>
      </c>
      <c r="L37" s="6">
        <v>8750</v>
      </c>
      <c r="M37" s="8">
        <v>9375</v>
      </c>
      <c r="N37" s="6">
        <v>23</v>
      </c>
      <c r="O37" s="8">
        <f t="shared" si="1"/>
        <v>19.166666666666668</v>
      </c>
      <c r="Q37" s="10">
        <v>2268</v>
      </c>
      <c r="R37" s="10">
        <f t="shared" si="2"/>
        <v>25515000</v>
      </c>
      <c r="S37" s="10">
        <f t="shared" si="3"/>
        <v>21262500</v>
      </c>
    </row>
    <row r="38" spans="1:19" x14ac:dyDescent="0.25">
      <c r="A38" s="2" t="s">
        <v>52</v>
      </c>
      <c r="B38" s="6" t="s">
        <v>17</v>
      </c>
      <c r="C38" s="6" t="s">
        <v>19</v>
      </c>
      <c r="D38" s="6">
        <v>10</v>
      </c>
      <c r="E38" s="6">
        <v>2621</v>
      </c>
      <c r="F38" s="6">
        <v>7159</v>
      </c>
      <c r="G38" s="6">
        <v>0</v>
      </c>
      <c r="H38" s="6">
        <v>0</v>
      </c>
      <c r="I38" s="6">
        <v>1868</v>
      </c>
      <c r="J38" s="6">
        <v>0</v>
      </c>
      <c r="K38" s="6">
        <f t="shared" si="0"/>
        <v>1868</v>
      </c>
      <c r="L38" s="6">
        <v>7912</v>
      </c>
      <c r="M38" s="8">
        <v>6858.5</v>
      </c>
      <c r="N38" s="6">
        <v>23</v>
      </c>
      <c r="O38" s="8">
        <f t="shared" si="1"/>
        <v>84.446199143468945</v>
      </c>
      <c r="Q38" s="10">
        <v>1956</v>
      </c>
      <c r="R38" s="10">
        <f t="shared" si="2"/>
        <v>3653808</v>
      </c>
      <c r="S38" s="10">
        <f t="shared" si="3"/>
        <v>13415226</v>
      </c>
    </row>
    <row r="39" spans="1:19" x14ac:dyDescent="0.25">
      <c r="A39" s="2" t="s">
        <v>53</v>
      </c>
      <c r="B39" s="6" t="s">
        <v>17</v>
      </c>
      <c r="C39" s="6" t="s">
        <v>19</v>
      </c>
      <c r="D39" s="6">
        <v>10</v>
      </c>
      <c r="E39" s="6">
        <v>17535</v>
      </c>
      <c r="F39" s="6">
        <v>0</v>
      </c>
      <c r="G39" s="6">
        <v>0</v>
      </c>
      <c r="H39" s="6">
        <v>0</v>
      </c>
      <c r="I39" s="6">
        <v>8675</v>
      </c>
      <c r="J39" s="6">
        <v>0</v>
      </c>
      <c r="K39" s="6">
        <f t="shared" si="0"/>
        <v>8675</v>
      </c>
      <c r="L39" s="6">
        <v>8860</v>
      </c>
      <c r="M39" s="8">
        <v>13093.333333333299</v>
      </c>
      <c r="N39" s="6">
        <v>23</v>
      </c>
      <c r="O39" s="8">
        <f t="shared" si="1"/>
        <v>34.714313160422577</v>
      </c>
      <c r="Q39" s="10">
        <v>2218</v>
      </c>
      <c r="R39" s="10">
        <f t="shared" si="2"/>
        <v>19241150</v>
      </c>
      <c r="S39" s="10">
        <f t="shared" si="3"/>
        <v>29041013.333333258</v>
      </c>
    </row>
    <row r="40" spans="1:19" x14ac:dyDescent="0.25">
      <c r="A40" s="2" t="s">
        <v>168</v>
      </c>
      <c r="B40" s="6" t="s">
        <v>17</v>
      </c>
      <c r="C40" s="6" t="s">
        <v>19</v>
      </c>
      <c r="D40" s="6">
        <v>10</v>
      </c>
      <c r="E40" s="6">
        <v>6000</v>
      </c>
      <c r="F40" s="6">
        <v>3000</v>
      </c>
      <c r="G40" s="6">
        <v>0</v>
      </c>
      <c r="H40" s="6">
        <v>0</v>
      </c>
      <c r="I40" s="6">
        <v>4725</v>
      </c>
      <c r="J40" s="6">
        <v>0</v>
      </c>
      <c r="K40" s="6">
        <f t="shared" si="0"/>
        <v>4725</v>
      </c>
      <c r="L40" s="6">
        <v>4275</v>
      </c>
      <c r="M40" s="8">
        <v>2775</v>
      </c>
      <c r="N40" s="6">
        <v>23</v>
      </c>
      <c r="O40" s="8">
        <f t="shared" si="1"/>
        <v>13.507936507936508</v>
      </c>
      <c r="Q40" s="10">
        <v>2218</v>
      </c>
      <c r="R40" s="10">
        <f t="shared" si="2"/>
        <v>10480050</v>
      </c>
      <c r="S40" s="10">
        <f t="shared" si="3"/>
        <v>6154950</v>
      </c>
    </row>
    <row r="41" spans="1:19" x14ac:dyDescent="0.25">
      <c r="A41" s="2" t="s">
        <v>54</v>
      </c>
      <c r="B41" s="6" t="s">
        <v>17</v>
      </c>
      <c r="C41" s="6" t="s">
        <v>19</v>
      </c>
      <c r="D41" s="6">
        <v>10</v>
      </c>
      <c r="E41" s="6">
        <v>8688</v>
      </c>
      <c r="F41" s="6">
        <v>0</v>
      </c>
      <c r="G41" s="6">
        <v>0</v>
      </c>
      <c r="H41" s="6">
        <v>0</v>
      </c>
      <c r="I41" s="6">
        <v>8587</v>
      </c>
      <c r="J41" s="6">
        <v>13</v>
      </c>
      <c r="K41" s="6">
        <f t="shared" si="0"/>
        <v>8600</v>
      </c>
      <c r="L41" s="6">
        <v>88</v>
      </c>
      <c r="M41" s="8">
        <v>3083.6666666666702</v>
      </c>
      <c r="N41" s="6">
        <v>23</v>
      </c>
      <c r="O41" s="8">
        <f t="shared" si="1"/>
        <v>8.2470155038759785</v>
      </c>
      <c r="Q41" s="10">
        <v>2218</v>
      </c>
      <c r="R41" s="10">
        <f t="shared" si="2"/>
        <v>19074800</v>
      </c>
      <c r="S41" s="10">
        <f t="shared" si="3"/>
        <v>6839572.6666666744</v>
      </c>
    </row>
    <row r="42" spans="1:19" x14ac:dyDescent="0.25">
      <c r="A42" s="2" t="s">
        <v>55</v>
      </c>
      <c r="B42" s="6" t="s">
        <v>17</v>
      </c>
      <c r="C42" s="6" t="s">
        <v>19</v>
      </c>
      <c r="D42" s="6">
        <v>10</v>
      </c>
      <c r="E42" s="6">
        <v>150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f t="shared" si="0"/>
        <v>0</v>
      </c>
      <c r="L42" s="6">
        <v>150</v>
      </c>
      <c r="M42" s="8">
        <v>0</v>
      </c>
      <c r="N42" s="6">
        <v>23</v>
      </c>
      <c r="O42" s="8">
        <v>0</v>
      </c>
      <c r="Q42" s="10">
        <v>2245</v>
      </c>
      <c r="R42" s="10">
        <f t="shared" si="2"/>
        <v>0</v>
      </c>
      <c r="S42" s="10">
        <f t="shared" si="3"/>
        <v>0</v>
      </c>
    </row>
    <row r="43" spans="1:19" x14ac:dyDescent="0.25">
      <c r="A43" s="2" t="s">
        <v>56</v>
      </c>
      <c r="B43" s="6" t="s">
        <v>16</v>
      </c>
      <c r="C43" s="6" t="s">
        <v>19</v>
      </c>
      <c r="D43" s="6">
        <v>10</v>
      </c>
      <c r="E43" s="6">
        <v>9430</v>
      </c>
      <c r="F43" s="6">
        <v>126000</v>
      </c>
      <c r="G43" s="6">
        <v>0</v>
      </c>
      <c r="H43" s="6">
        <v>0</v>
      </c>
      <c r="I43" s="6">
        <v>118930</v>
      </c>
      <c r="J43" s="6">
        <v>50</v>
      </c>
      <c r="K43" s="6">
        <f t="shared" si="0"/>
        <v>118980</v>
      </c>
      <c r="L43" s="6">
        <v>16450</v>
      </c>
      <c r="M43" s="8">
        <v>14919.545454545501</v>
      </c>
      <c r="N43" s="6">
        <v>23</v>
      </c>
      <c r="O43" s="8">
        <f t="shared" si="1"/>
        <v>2.884094347407518</v>
      </c>
      <c r="Q43" s="10">
        <v>2245</v>
      </c>
      <c r="R43" s="10">
        <f t="shared" si="2"/>
        <v>267110100</v>
      </c>
      <c r="S43" s="10">
        <f t="shared" si="3"/>
        <v>33494379.545454651</v>
      </c>
    </row>
    <row r="44" spans="1:19" x14ac:dyDescent="0.25">
      <c r="A44" s="2" t="s">
        <v>57</v>
      </c>
      <c r="B44" s="6" t="s">
        <v>16</v>
      </c>
      <c r="C44" s="6" t="s">
        <v>19</v>
      </c>
      <c r="D44" s="6">
        <v>10</v>
      </c>
      <c r="E44" s="6">
        <v>14959</v>
      </c>
      <c r="F44" s="6">
        <v>170300</v>
      </c>
      <c r="G44" s="6">
        <v>0</v>
      </c>
      <c r="H44" s="6">
        <v>0</v>
      </c>
      <c r="I44" s="6">
        <v>125787</v>
      </c>
      <c r="J44" s="6">
        <v>3402</v>
      </c>
      <c r="K44" s="6">
        <f t="shared" si="0"/>
        <v>129189</v>
      </c>
      <c r="L44" s="6">
        <v>56070</v>
      </c>
      <c r="M44" s="8">
        <v>16996.3636363636</v>
      </c>
      <c r="N44" s="6">
        <v>23</v>
      </c>
      <c r="O44" s="8">
        <f t="shared" si="1"/>
        <v>3.0259260744828338</v>
      </c>
      <c r="Q44" s="10">
        <v>1419</v>
      </c>
      <c r="R44" s="10">
        <f t="shared" si="2"/>
        <v>183319191</v>
      </c>
      <c r="S44" s="10">
        <f t="shared" si="3"/>
        <v>24117839.999999948</v>
      </c>
    </row>
    <row r="45" spans="1:19" x14ac:dyDescent="0.25">
      <c r="A45" s="2" t="s">
        <v>58</v>
      </c>
      <c r="B45" s="6" t="s">
        <v>17</v>
      </c>
      <c r="C45" s="6" t="s">
        <v>19</v>
      </c>
      <c r="D45" s="6">
        <v>10</v>
      </c>
      <c r="E45" s="6">
        <v>6134</v>
      </c>
      <c r="F45" s="6">
        <v>0</v>
      </c>
      <c r="G45" s="6">
        <v>0</v>
      </c>
      <c r="H45" s="6">
        <v>0</v>
      </c>
      <c r="I45" s="6">
        <v>3750</v>
      </c>
      <c r="J45" s="6">
        <v>0</v>
      </c>
      <c r="K45" s="6">
        <f t="shared" si="0"/>
        <v>3750</v>
      </c>
      <c r="L45" s="6">
        <v>2384</v>
      </c>
      <c r="M45" s="8">
        <v>3634</v>
      </c>
      <c r="N45" s="6">
        <v>23</v>
      </c>
      <c r="O45" s="8">
        <f t="shared" si="1"/>
        <v>22.288533333333334</v>
      </c>
      <c r="Q45" s="10">
        <v>2765</v>
      </c>
      <c r="R45" s="10">
        <f t="shared" si="2"/>
        <v>10368750</v>
      </c>
      <c r="S45" s="10">
        <f t="shared" si="3"/>
        <v>10048010</v>
      </c>
    </row>
    <row r="46" spans="1:19" x14ac:dyDescent="0.25">
      <c r="A46" s="2" t="s">
        <v>59</v>
      </c>
      <c r="B46" s="6" t="s">
        <v>17</v>
      </c>
      <c r="C46" s="6" t="s">
        <v>19</v>
      </c>
      <c r="D46" s="6">
        <v>10</v>
      </c>
      <c r="E46" s="6">
        <v>28997</v>
      </c>
      <c r="F46" s="6">
        <v>27969</v>
      </c>
      <c r="G46" s="6">
        <v>0</v>
      </c>
      <c r="H46" s="6">
        <v>0</v>
      </c>
      <c r="I46" s="6">
        <v>21179</v>
      </c>
      <c r="J46" s="6">
        <v>0</v>
      </c>
      <c r="K46" s="6">
        <f t="shared" si="0"/>
        <v>21179</v>
      </c>
      <c r="L46" s="6">
        <v>35787</v>
      </c>
      <c r="M46" s="8">
        <v>36690.375</v>
      </c>
      <c r="N46" s="6">
        <v>23</v>
      </c>
      <c r="O46" s="8">
        <f t="shared" si="1"/>
        <v>39.845064686717976</v>
      </c>
      <c r="Q46" s="10">
        <v>4592</v>
      </c>
      <c r="R46" s="10">
        <f t="shared" si="2"/>
        <v>97253968</v>
      </c>
      <c r="S46" s="10">
        <f t="shared" si="3"/>
        <v>168482202</v>
      </c>
    </row>
    <row r="47" spans="1:19" x14ac:dyDescent="0.25">
      <c r="A47" s="2" t="s">
        <v>60</v>
      </c>
      <c r="B47" s="6" t="s">
        <v>17</v>
      </c>
      <c r="C47" s="6" t="s">
        <v>19</v>
      </c>
      <c r="D47" s="6">
        <v>10</v>
      </c>
      <c r="E47" s="6">
        <v>13358</v>
      </c>
      <c r="F47" s="6">
        <v>45904</v>
      </c>
      <c r="G47" s="6">
        <v>0</v>
      </c>
      <c r="H47" s="6">
        <v>0</v>
      </c>
      <c r="I47" s="6">
        <v>37550</v>
      </c>
      <c r="J47" s="6">
        <v>0</v>
      </c>
      <c r="K47" s="6">
        <f t="shared" si="0"/>
        <v>37550</v>
      </c>
      <c r="L47" s="6">
        <v>21712</v>
      </c>
      <c r="M47" s="8">
        <v>23207.75</v>
      </c>
      <c r="N47" s="6">
        <v>23</v>
      </c>
      <c r="O47" s="8">
        <f t="shared" si="1"/>
        <v>14.215133155792277</v>
      </c>
      <c r="Q47" s="10">
        <v>2297</v>
      </c>
      <c r="R47" s="10">
        <f t="shared" si="2"/>
        <v>86252350</v>
      </c>
      <c r="S47" s="10">
        <f t="shared" si="3"/>
        <v>53308201.75</v>
      </c>
    </row>
    <row r="48" spans="1:19" x14ac:dyDescent="0.25">
      <c r="A48" s="2" t="s">
        <v>61</v>
      </c>
      <c r="B48" s="6" t="s">
        <v>17</v>
      </c>
      <c r="C48" s="6" t="s">
        <v>19</v>
      </c>
      <c r="D48" s="6">
        <v>10</v>
      </c>
      <c r="E48" s="6">
        <v>1000</v>
      </c>
      <c r="F48" s="6">
        <v>1000</v>
      </c>
      <c r="G48" s="6">
        <v>0</v>
      </c>
      <c r="H48" s="6">
        <v>0</v>
      </c>
      <c r="I48" s="6">
        <v>975</v>
      </c>
      <c r="J48" s="6">
        <v>0</v>
      </c>
      <c r="K48" s="6">
        <f t="shared" si="0"/>
        <v>975</v>
      </c>
      <c r="L48" s="6">
        <v>1025</v>
      </c>
      <c r="M48" s="8">
        <v>1025</v>
      </c>
      <c r="N48" s="6">
        <v>23</v>
      </c>
      <c r="O48" s="8">
        <f t="shared" si="1"/>
        <v>24.179487179487179</v>
      </c>
      <c r="Q48" s="10">
        <v>2616</v>
      </c>
      <c r="R48" s="10">
        <f t="shared" si="2"/>
        <v>2550600</v>
      </c>
      <c r="S48" s="10">
        <f t="shared" si="3"/>
        <v>2681400</v>
      </c>
    </row>
    <row r="49" spans="1:19" x14ac:dyDescent="0.25">
      <c r="A49" s="2" t="s">
        <v>63</v>
      </c>
      <c r="B49" s="6" t="s">
        <v>17</v>
      </c>
      <c r="C49" s="6" t="s">
        <v>19</v>
      </c>
      <c r="D49" s="6">
        <v>10</v>
      </c>
      <c r="E49" s="6">
        <v>11400</v>
      </c>
      <c r="F49" s="6">
        <v>76950</v>
      </c>
      <c r="G49" s="6">
        <v>0</v>
      </c>
      <c r="H49" s="6">
        <v>0</v>
      </c>
      <c r="I49" s="6">
        <v>67500</v>
      </c>
      <c r="J49" s="6">
        <v>0</v>
      </c>
      <c r="K49" s="6">
        <f t="shared" si="0"/>
        <v>67500</v>
      </c>
      <c r="L49" s="6">
        <v>20850</v>
      </c>
      <c r="M49" s="8">
        <v>17975</v>
      </c>
      <c r="N49" s="6">
        <v>23</v>
      </c>
      <c r="O49" s="8">
        <f t="shared" si="1"/>
        <v>6.1248148148148154</v>
      </c>
      <c r="Q49" s="10">
        <v>1968</v>
      </c>
      <c r="R49" s="10">
        <f t="shared" si="2"/>
        <v>132840000</v>
      </c>
      <c r="S49" s="10">
        <f t="shared" si="3"/>
        <v>35374800</v>
      </c>
    </row>
    <row r="50" spans="1:19" x14ac:dyDescent="0.25">
      <c r="A50" s="2" t="s">
        <v>64</v>
      </c>
      <c r="B50" s="6" t="s">
        <v>17</v>
      </c>
      <c r="C50" s="6" t="s">
        <v>19</v>
      </c>
      <c r="D50" s="6">
        <v>10</v>
      </c>
      <c r="E50" s="6">
        <v>6420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f t="shared" si="0"/>
        <v>0</v>
      </c>
      <c r="L50" s="6">
        <v>6420</v>
      </c>
      <c r="M50" s="8">
        <v>0</v>
      </c>
      <c r="N50" s="6">
        <v>23</v>
      </c>
      <c r="O50" s="8">
        <v>0</v>
      </c>
      <c r="Q50" s="10">
        <v>2503</v>
      </c>
      <c r="R50" s="10">
        <f t="shared" si="2"/>
        <v>0</v>
      </c>
      <c r="S50" s="10">
        <f t="shared" si="3"/>
        <v>0</v>
      </c>
    </row>
    <row r="51" spans="1:19" x14ac:dyDescent="0.25">
      <c r="A51" s="2" t="s">
        <v>65</v>
      </c>
      <c r="B51" s="6" t="s">
        <v>17</v>
      </c>
      <c r="C51" s="6" t="s">
        <v>19</v>
      </c>
      <c r="D51" s="6">
        <v>10</v>
      </c>
      <c r="E51" s="6">
        <v>31170</v>
      </c>
      <c r="F51" s="6">
        <v>182500</v>
      </c>
      <c r="G51" s="6">
        <v>0</v>
      </c>
      <c r="H51" s="6">
        <v>0</v>
      </c>
      <c r="I51" s="6">
        <v>168645</v>
      </c>
      <c r="J51" s="6">
        <v>135</v>
      </c>
      <c r="K51" s="6">
        <f t="shared" si="0"/>
        <v>168780</v>
      </c>
      <c r="L51" s="6">
        <v>44890</v>
      </c>
      <c r="M51" s="8">
        <v>33757.727272727301</v>
      </c>
      <c r="N51" s="6">
        <v>23</v>
      </c>
      <c r="O51" s="8">
        <f t="shared" si="1"/>
        <v>4.6002353790302637</v>
      </c>
      <c r="Q51" s="10">
        <v>2503</v>
      </c>
      <c r="R51" s="10">
        <f t="shared" si="2"/>
        <v>422456340</v>
      </c>
      <c r="S51" s="10">
        <f t="shared" si="3"/>
        <v>84495591.363636434</v>
      </c>
    </row>
    <row r="52" spans="1:19" x14ac:dyDescent="0.25">
      <c r="A52" s="2" t="s">
        <v>66</v>
      </c>
      <c r="B52" s="6" t="s">
        <v>17</v>
      </c>
      <c r="C52" s="6" t="s">
        <v>19</v>
      </c>
      <c r="D52" s="6">
        <v>10</v>
      </c>
      <c r="E52" s="6">
        <v>9861</v>
      </c>
      <c r="F52" s="6">
        <v>1387</v>
      </c>
      <c r="G52" s="6">
        <v>0</v>
      </c>
      <c r="H52" s="6">
        <v>0</v>
      </c>
      <c r="I52" s="6">
        <v>9525</v>
      </c>
      <c r="J52" s="6">
        <v>25</v>
      </c>
      <c r="K52" s="6">
        <f t="shared" si="0"/>
        <v>9550</v>
      </c>
      <c r="L52" s="6">
        <v>1698</v>
      </c>
      <c r="M52" s="8">
        <v>3940.625</v>
      </c>
      <c r="N52" s="6">
        <v>23</v>
      </c>
      <c r="O52" s="8">
        <f t="shared" si="1"/>
        <v>9.490510471204189</v>
      </c>
      <c r="Q52" s="10">
        <v>2103</v>
      </c>
      <c r="R52" s="10">
        <f t="shared" si="2"/>
        <v>20083650</v>
      </c>
      <c r="S52" s="10">
        <f t="shared" si="3"/>
        <v>8287134.375</v>
      </c>
    </row>
    <row r="53" spans="1:19" x14ac:dyDescent="0.25">
      <c r="A53" s="2" t="s">
        <v>67</v>
      </c>
      <c r="B53" s="6" t="s">
        <v>17</v>
      </c>
      <c r="C53" s="6" t="s">
        <v>19</v>
      </c>
      <c r="D53" s="6">
        <v>10</v>
      </c>
      <c r="E53" s="6">
        <v>6079</v>
      </c>
      <c r="F53" s="6">
        <v>16775</v>
      </c>
      <c r="G53" s="6">
        <v>0</v>
      </c>
      <c r="H53" s="6">
        <v>0</v>
      </c>
      <c r="I53" s="6">
        <v>10000</v>
      </c>
      <c r="J53" s="6">
        <v>0</v>
      </c>
      <c r="K53" s="6">
        <f t="shared" si="0"/>
        <v>10000</v>
      </c>
      <c r="L53" s="6">
        <v>12854</v>
      </c>
      <c r="M53" s="8">
        <v>14291.5</v>
      </c>
      <c r="N53" s="6">
        <v>23</v>
      </c>
      <c r="O53" s="8">
        <f t="shared" si="1"/>
        <v>32.870449999999998</v>
      </c>
      <c r="Q53" s="10">
        <v>2802</v>
      </c>
      <c r="R53" s="10">
        <f t="shared" si="2"/>
        <v>28020000</v>
      </c>
      <c r="S53" s="10">
        <f t="shared" si="3"/>
        <v>40044783</v>
      </c>
    </row>
    <row r="54" spans="1:19" x14ac:dyDescent="0.25">
      <c r="A54" s="2" t="s">
        <v>68</v>
      </c>
      <c r="B54" s="6" t="s">
        <v>17</v>
      </c>
      <c r="C54" s="6" t="s">
        <v>19</v>
      </c>
      <c r="D54" s="6">
        <v>10</v>
      </c>
      <c r="E54" s="6">
        <v>27500</v>
      </c>
      <c r="F54" s="6">
        <v>71250</v>
      </c>
      <c r="G54" s="6">
        <v>0</v>
      </c>
      <c r="H54" s="6">
        <v>0</v>
      </c>
      <c r="I54" s="6">
        <v>86250</v>
      </c>
      <c r="J54" s="6">
        <v>0</v>
      </c>
      <c r="K54" s="6">
        <f t="shared" si="0"/>
        <v>86250</v>
      </c>
      <c r="L54" s="6">
        <v>12500</v>
      </c>
      <c r="M54" s="8">
        <v>25687.5</v>
      </c>
      <c r="N54" s="6">
        <v>23</v>
      </c>
      <c r="O54" s="8">
        <f t="shared" si="1"/>
        <v>6.85</v>
      </c>
      <c r="Q54" s="10">
        <v>2126</v>
      </c>
      <c r="R54" s="10">
        <f t="shared" si="2"/>
        <v>183367500</v>
      </c>
      <c r="S54" s="10">
        <f t="shared" si="3"/>
        <v>54611625</v>
      </c>
    </row>
    <row r="55" spans="1:19" x14ac:dyDescent="0.25">
      <c r="A55" s="2" t="s">
        <v>69</v>
      </c>
      <c r="B55" s="6" t="s">
        <v>16</v>
      </c>
      <c r="C55" s="6" t="s">
        <v>19</v>
      </c>
      <c r="D55" s="6">
        <v>10</v>
      </c>
      <c r="E55" s="6">
        <v>22925</v>
      </c>
      <c r="F55" s="6">
        <v>89925</v>
      </c>
      <c r="G55" s="6">
        <v>0</v>
      </c>
      <c r="H55" s="6">
        <v>0</v>
      </c>
      <c r="I55" s="6">
        <v>89925</v>
      </c>
      <c r="J55" s="6">
        <v>55</v>
      </c>
      <c r="K55" s="6">
        <f t="shared" si="0"/>
        <v>89980</v>
      </c>
      <c r="L55" s="6">
        <v>22870</v>
      </c>
      <c r="M55" s="8">
        <v>17141.304347826099</v>
      </c>
      <c r="N55" s="6">
        <v>23</v>
      </c>
      <c r="O55" s="8">
        <f t="shared" si="1"/>
        <v>4.3815292287174961</v>
      </c>
      <c r="Q55" s="10">
        <v>2846</v>
      </c>
      <c r="R55" s="10">
        <f t="shared" si="2"/>
        <v>256083080</v>
      </c>
      <c r="S55" s="10">
        <f t="shared" si="3"/>
        <v>48784152.173913077</v>
      </c>
    </row>
    <row r="56" spans="1:19" x14ac:dyDescent="0.25">
      <c r="A56" s="2" t="s">
        <v>70</v>
      </c>
      <c r="B56" s="6" t="s">
        <v>17</v>
      </c>
      <c r="C56" s="6" t="s">
        <v>19</v>
      </c>
      <c r="D56" s="6">
        <v>10</v>
      </c>
      <c r="E56" s="6">
        <v>5403</v>
      </c>
      <c r="F56" s="6">
        <v>9050</v>
      </c>
      <c r="G56" s="6">
        <v>0</v>
      </c>
      <c r="H56" s="6">
        <v>0</v>
      </c>
      <c r="I56" s="6">
        <v>14164</v>
      </c>
      <c r="J56" s="6">
        <v>0</v>
      </c>
      <c r="K56" s="6">
        <f t="shared" si="0"/>
        <v>14164</v>
      </c>
      <c r="L56" s="6">
        <v>289</v>
      </c>
      <c r="M56" s="8">
        <v>2773.1428571428601</v>
      </c>
      <c r="N56" s="6">
        <v>23</v>
      </c>
      <c r="O56" s="8">
        <f t="shared" si="1"/>
        <v>4.5031266389639777</v>
      </c>
      <c r="Q56" s="10">
        <v>2514</v>
      </c>
      <c r="R56" s="10">
        <f t="shared" si="2"/>
        <v>35608296</v>
      </c>
      <c r="S56" s="10">
        <f t="shared" si="3"/>
        <v>6971681.1428571502</v>
      </c>
    </row>
    <row r="57" spans="1:19" x14ac:dyDescent="0.25">
      <c r="A57" s="2" t="s">
        <v>71</v>
      </c>
      <c r="B57" s="6" t="s">
        <v>17</v>
      </c>
      <c r="C57" s="6" t="s">
        <v>19</v>
      </c>
      <c r="D57" s="6">
        <v>10</v>
      </c>
      <c r="E57" s="6">
        <v>24284</v>
      </c>
      <c r="F57" s="6">
        <v>16000</v>
      </c>
      <c r="G57" s="6">
        <v>0</v>
      </c>
      <c r="H57" s="6">
        <v>0</v>
      </c>
      <c r="I57" s="6">
        <v>25395</v>
      </c>
      <c r="J57" s="6">
        <v>0</v>
      </c>
      <c r="K57" s="6">
        <f t="shared" si="0"/>
        <v>25395</v>
      </c>
      <c r="L57" s="6">
        <v>14889</v>
      </c>
      <c r="M57" s="8">
        <v>10520.625</v>
      </c>
      <c r="N57" s="6">
        <v>23</v>
      </c>
      <c r="O57" s="8">
        <f t="shared" si="1"/>
        <v>9.5284258712344947</v>
      </c>
      <c r="Q57" s="10">
        <v>1956</v>
      </c>
      <c r="R57" s="10">
        <f t="shared" si="2"/>
        <v>49672620</v>
      </c>
      <c r="S57" s="10">
        <f t="shared" si="3"/>
        <v>20578342.5</v>
      </c>
    </row>
    <row r="58" spans="1:19" x14ac:dyDescent="0.25">
      <c r="A58" s="2" t="s">
        <v>72</v>
      </c>
      <c r="B58" s="6" t="s">
        <v>17</v>
      </c>
      <c r="C58" s="6" t="s">
        <v>19</v>
      </c>
      <c r="D58" s="6">
        <v>10</v>
      </c>
      <c r="E58" s="6">
        <v>65561</v>
      </c>
      <c r="F58" s="6">
        <v>0</v>
      </c>
      <c r="G58" s="6">
        <v>0</v>
      </c>
      <c r="H58" s="6">
        <v>0</v>
      </c>
      <c r="I58" s="6">
        <v>36500</v>
      </c>
      <c r="J58" s="6">
        <v>0</v>
      </c>
      <c r="K58" s="6">
        <f t="shared" si="0"/>
        <v>36500</v>
      </c>
      <c r="L58" s="6">
        <v>29061</v>
      </c>
      <c r="M58" s="8">
        <v>45918.8947368421</v>
      </c>
      <c r="N58" s="6">
        <v>23</v>
      </c>
      <c r="O58" s="8">
        <f t="shared" si="1"/>
        <v>28.935193943763512</v>
      </c>
      <c r="Q58" s="10">
        <v>3391</v>
      </c>
      <c r="R58" s="10">
        <f t="shared" si="2"/>
        <v>123771500</v>
      </c>
      <c r="S58" s="10">
        <f t="shared" si="3"/>
        <v>155710972.05263156</v>
      </c>
    </row>
    <row r="59" spans="1:19" x14ac:dyDescent="0.25">
      <c r="A59" s="2" t="s">
        <v>73</v>
      </c>
      <c r="B59" s="6" t="s">
        <v>17</v>
      </c>
      <c r="C59" s="6" t="s">
        <v>19</v>
      </c>
      <c r="D59" s="6">
        <v>10</v>
      </c>
      <c r="E59" s="6">
        <v>12550</v>
      </c>
      <c r="F59" s="6">
        <v>15100</v>
      </c>
      <c r="G59" s="6">
        <v>0</v>
      </c>
      <c r="H59" s="6">
        <v>0</v>
      </c>
      <c r="I59" s="6">
        <v>20475</v>
      </c>
      <c r="J59" s="6">
        <v>0</v>
      </c>
      <c r="K59" s="6">
        <f t="shared" si="0"/>
        <v>20475</v>
      </c>
      <c r="L59" s="6">
        <v>7175</v>
      </c>
      <c r="M59" s="8">
        <v>7075</v>
      </c>
      <c r="N59" s="6">
        <v>23</v>
      </c>
      <c r="O59" s="8">
        <f t="shared" si="1"/>
        <v>7.9474969474969477</v>
      </c>
      <c r="Q59" s="10">
        <v>3549</v>
      </c>
      <c r="R59" s="10">
        <f t="shared" si="2"/>
        <v>72665775</v>
      </c>
      <c r="S59" s="10">
        <f t="shared" si="3"/>
        <v>25109175</v>
      </c>
    </row>
    <row r="60" spans="1:19" x14ac:dyDescent="0.25">
      <c r="A60" s="2" t="s">
        <v>74</v>
      </c>
      <c r="B60" s="6" t="s">
        <v>17</v>
      </c>
      <c r="C60" s="6" t="s">
        <v>19</v>
      </c>
      <c r="D60" s="6">
        <v>10</v>
      </c>
      <c r="E60" s="6">
        <v>20545</v>
      </c>
      <c r="F60" s="6">
        <v>47140</v>
      </c>
      <c r="G60" s="6">
        <v>0</v>
      </c>
      <c r="H60" s="6">
        <v>0</v>
      </c>
      <c r="I60" s="6">
        <v>46033</v>
      </c>
      <c r="J60" s="6">
        <v>0</v>
      </c>
      <c r="K60" s="6">
        <f t="shared" si="0"/>
        <v>46033</v>
      </c>
      <c r="L60" s="6">
        <v>21652</v>
      </c>
      <c r="M60" s="8">
        <v>21259.933333333302</v>
      </c>
      <c r="N60" s="6">
        <v>23</v>
      </c>
      <c r="O60" s="8">
        <f t="shared" si="1"/>
        <v>10.622346287808007</v>
      </c>
      <c r="Q60" s="10">
        <v>2129</v>
      </c>
      <c r="R60" s="10">
        <f t="shared" si="2"/>
        <v>98004257</v>
      </c>
      <c r="S60" s="10">
        <f t="shared" si="3"/>
        <v>45262398.066666596</v>
      </c>
    </row>
    <row r="61" spans="1:19" x14ac:dyDescent="0.25">
      <c r="A61" s="2" t="s">
        <v>75</v>
      </c>
      <c r="B61" s="6" t="s">
        <v>17</v>
      </c>
      <c r="C61" s="6" t="s">
        <v>19</v>
      </c>
      <c r="D61" s="6">
        <v>10</v>
      </c>
      <c r="E61" s="6">
        <v>5526</v>
      </c>
      <c r="F61" s="6">
        <v>14591</v>
      </c>
      <c r="G61" s="6">
        <v>0</v>
      </c>
      <c r="H61" s="6">
        <v>0</v>
      </c>
      <c r="I61" s="6">
        <v>20117</v>
      </c>
      <c r="J61" s="6">
        <v>0</v>
      </c>
      <c r="K61" s="6">
        <f t="shared" si="0"/>
        <v>20117</v>
      </c>
      <c r="L61" s="6">
        <v>0</v>
      </c>
      <c r="M61" s="8">
        <v>5033.5555555555602</v>
      </c>
      <c r="N61" s="6">
        <v>23</v>
      </c>
      <c r="O61" s="8">
        <f t="shared" si="1"/>
        <v>5.7549225917272899</v>
      </c>
      <c r="Q61" s="10">
        <v>2129</v>
      </c>
      <c r="R61" s="10">
        <f t="shared" si="2"/>
        <v>42829093</v>
      </c>
      <c r="S61" s="10">
        <f t="shared" si="3"/>
        <v>10716439.777777787</v>
      </c>
    </row>
    <row r="62" spans="1:19" x14ac:dyDescent="0.25">
      <c r="A62" s="2" t="s">
        <v>76</v>
      </c>
      <c r="B62" s="6" t="s">
        <v>17</v>
      </c>
      <c r="C62" s="6" t="s">
        <v>19</v>
      </c>
      <c r="D62" s="6">
        <v>10</v>
      </c>
      <c r="E62" s="6">
        <v>1432</v>
      </c>
      <c r="F62" s="6">
        <v>1050</v>
      </c>
      <c r="G62" s="6">
        <v>0</v>
      </c>
      <c r="H62" s="6">
        <v>0</v>
      </c>
      <c r="I62" s="6">
        <v>613</v>
      </c>
      <c r="J62" s="6">
        <v>0</v>
      </c>
      <c r="K62" s="6">
        <f t="shared" si="0"/>
        <v>613</v>
      </c>
      <c r="L62" s="6">
        <v>1869</v>
      </c>
      <c r="M62" s="8">
        <v>1614</v>
      </c>
      <c r="N62" s="6">
        <v>23</v>
      </c>
      <c r="O62" s="8">
        <f t="shared" si="1"/>
        <v>60.557911908646005</v>
      </c>
      <c r="Q62" s="10">
        <v>2131</v>
      </c>
      <c r="R62" s="10">
        <f t="shared" si="2"/>
        <v>1306303</v>
      </c>
      <c r="S62" s="10">
        <f t="shared" si="3"/>
        <v>3439434</v>
      </c>
    </row>
    <row r="63" spans="1:19" x14ac:dyDescent="0.25">
      <c r="A63" s="2" t="s">
        <v>77</v>
      </c>
      <c r="B63" s="6" t="s">
        <v>17</v>
      </c>
      <c r="C63" s="6" t="s">
        <v>19</v>
      </c>
      <c r="D63" s="6">
        <v>10</v>
      </c>
      <c r="E63" s="6">
        <v>3346</v>
      </c>
      <c r="F63" s="6">
        <v>9588</v>
      </c>
      <c r="G63" s="6">
        <v>0</v>
      </c>
      <c r="H63" s="6">
        <v>0</v>
      </c>
      <c r="I63" s="6">
        <v>3748</v>
      </c>
      <c r="J63" s="6">
        <v>0</v>
      </c>
      <c r="K63" s="6">
        <f t="shared" si="0"/>
        <v>3748</v>
      </c>
      <c r="L63" s="6">
        <v>9186</v>
      </c>
      <c r="M63" s="8">
        <v>6681.6</v>
      </c>
      <c r="N63" s="6">
        <v>23</v>
      </c>
      <c r="O63" s="8">
        <f t="shared" si="1"/>
        <v>41.002347918890074</v>
      </c>
      <c r="Q63" s="10">
        <v>2131</v>
      </c>
      <c r="R63" s="10">
        <f t="shared" si="2"/>
        <v>7986988</v>
      </c>
      <c r="S63" s="10">
        <f t="shared" si="3"/>
        <v>14238489.600000001</v>
      </c>
    </row>
    <row r="64" spans="1:19" x14ac:dyDescent="0.25">
      <c r="A64" s="2" t="s">
        <v>78</v>
      </c>
      <c r="B64" s="6" t="s">
        <v>17</v>
      </c>
      <c r="C64" s="6" t="s">
        <v>19</v>
      </c>
      <c r="D64" s="6">
        <v>10</v>
      </c>
      <c r="E64" s="6">
        <v>23487</v>
      </c>
      <c r="F64" s="6">
        <v>37345</v>
      </c>
      <c r="G64" s="6">
        <v>0</v>
      </c>
      <c r="H64" s="6">
        <v>0</v>
      </c>
      <c r="I64" s="6">
        <v>43970</v>
      </c>
      <c r="J64" s="6">
        <v>50</v>
      </c>
      <c r="K64" s="6">
        <f t="shared" si="0"/>
        <v>44020</v>
      </c>
      <c r="L64" s="6">
        <v>16812</v>
      </c>
      <c r="M64" s="8">
        <v>23150.95</v>
      </c>
      <c r="N64" s="6">
        <v>23</v>
      </c>
      <c r="O64" s="8">
        <f t="shared" si="1"/>
        <v>12.096134711494775</v>
      </c>
      <c r="Q64" s="10">
        <v>2245</v>
      </c>
      <c r="R64" s="10">
        <f t="shared" si="2"/>
        <v>98824900</v>
      </c>
      <c r="S64" s="10">
        <f t="shared" si="3"/>
        <v>51973882.75</v>
      </c>
    </row>
    <row r="65" spans="1:19" x14ac:dyDescent="0.25">
      <c r="A65" s="2" t="s">
        <v>79</v>
      </c>
      <c r="B65" s="6" t="s">
        <v>17</v>
      </c>
      <c r="C65" s="6" t="s">
        <v>19</v>
      </c>
      <c r="D65" s="6">
        <v>10</v>
      </c>
      <c r="E65" s="6">
        <v>28853</v>
      </c>
      <c r="F65" s="6">
        <v>21700</v>
      </c>
      <c r="G65" s="6">
        <v>0</v>
      </c>
      <c r="H65" s="6">
        <v>0</v>
      </c>
      <c r="I65" s="6">
        <v>39780</v>
      </c>
      <c r="J65" s="6">
        <v>0</v>
      </c>
      <c r="K65" s="6">
        <f t="shared" si="0"/>
        <v>39780</v>
      </c>
      <c r="L65" s="6">
        <v>10773</v>
      </c>
      <c r="M65" s="8">
        <v>13760.5</v>
      </c>
      <c r="N65" s="6">
        <v>23</v>
      </c>
      <c r="O65" s="8">
        <f t="shared" si="1"/>
        <v>7.9560457516339866</v>
      </c>
      <c r="Q65" s="10">
        <v>2121</v>
      </c>
      <c r="R65" s="10">
        <f t="shared" si="2"/>
        <v>84373380</v>
      </c>
      <c r="S65" s="10">
        <f t="shared" si="3"/>
        <v>29186020.5</v>
      </c>
    </row>
    <row r="66" spans="1:19" x14ac:dyDescent="0.25">
      <c r="A66" s="2" t="s">
        <v>80</v>
      </c>
      <c r="B66" s="6" t="s">
        <v>17</v>
      </c>
      <c r="C66" s="6" t="s">
        <v>19</v>
      </c>
      <c r="D66" s="6">
        <v>10</v>
      </c>
      <c r="E66" s="6">
        <v>0</v>
      </c>
      <c r="F66" s="6">
        <v>1890</v>
      </c>
      <c r="G66" s="6">
        <v>0</v>
      </c>
      <c r="H66" s="6">
        <v>0</v>
      </c>
      <c r="I66" s="6">
        <v>1890</v>
      </c>
      <c r="J66" s="6">
        <v>0</v>
      </c>
      <c r="K66" s="6">
        <f t="shared" si="0"/>
        <v>1890</v>
      </c>
      <c r="L66" s="6">
        <v>0</v>
      </c>
      <c r="M66" s="8">
        <v>1046.6666666666702</v>
      </c>
      <c r="N66" s="6">
        <v>23</v>
      </c>
      <c r="O66" s="8">
        <f t="shared" si="1"/>
        <v>12.737213403880114</v>
      </c>
      <c r="Q66" s="10">
        <v>2131</v>
      </c>
      <c r="R66" s="10">
        <f t="shared" si="2"/>
        <v>4027590</v>
      </c>
      <c r="S66" s="10">
        <f t="shared" si="3"/>
        <v>2230446.666666674</v>
      </c>
    </row>
    <row r="67" spans="1:19" x14ac:dyDescent="0.25">
      <c r="A67" s="2" t="s">
        <v>81</v>
      </c>
      <c r="B67" s="6" t="s">
        <v>17</v>
      </c>
      <c r="C67" s="6" t="s">
        <v>19</v>
      </c>
      <c r="D67" s="6">
        <v>10</v>
      </c>
      <c r="E67" s="6">
        <v>2641</v>
      </c>
      <c r="F67" s="6">
        <v>850</v>
      </c>
      <c r="G67" s="6">
        <v>0</v>
      </c>
      <c r="H67" s="6">
        <v>0</v>
      </c>
      <c r="I67" s="6">
        <v>1400</v>
      </c>
      <c r="J67" s="6">
        <v>0</v>
      </c>
      <c r="K67" s="6">
        <f t="shared" ref="K67:K130" si="4">I67+J67</f>
        <v>1400</v>
      </c>
      <c r="L67" s="6">
        <v>2091</v>
      </c>
      <c r="M67" s="8">
        <v>2261</v>
      </c>
      <c r="N67" s="6">
        <v>23</v>
      </c>
      <c r="O67" s="8">
        <f t="shared" ref="O67:O130" si="5">(M67/(I67+J67))*N67</f>
        <v>37.145000000000003</v>
      </c>
      <c r="Q67" s="10">
        <v>4592</v>
      </c>
      <c r="R67" s="10">
        <f t="shared" ref="R67:R130" si="6">Q67*(I67+J67)</f>
        <v>6428800</v>
      </c>
      <c r="S67" s="10">
        <f t="shared" ref="S67:S130" si="7">Q67*M67</f>
        <v>10382512</v>
      </c>
    </row>
    <row r="68" spans="1:19" x14ac:dyDescent="0.25">
      <c r="A68" s="2" t="s">
        <v>82</v>
      </c>
      <c r="B68" s="6" t="s">
        <v>17</v>
      </c>
      <c r="C68" s="6" t="s">
        <v>19</v>
      </c>
      <c r="D68" s="6">
        <v>10</v>
      </c>
      <c r="E68" s="6">
        <v>17794</v>
      </c>
      <c r="F68" s="6">
        <v>6065</v>
      </c>
      <c r="G68" s="6">
        <v>0</v>
      </c>
      <c r="H68" s="6">
        <v>0</v>
      </c>
      <c r="I68" s="6">
        <v>8665</v>
      </c>
      <c r="J68" s="6">
        <v>0</v>
      </c>
      <c r="K68" s="6">
        <f t="shared" si="4"/>
        <v>8665</v>
      </c>
      <c r="L68" s="6">
        <v>15194</v>
      </c>
      <c r="M68" s="8">
        <v>18007.75</v>
      </c>
      <c r="N68" s="6">
        <v>23</v>
      </c>
      <c r="O68" s="8">
        <f t="shared" si="5"/>
        <v>47.798990190421236</v>
      </c>
      <c r="Q68" s="10">
        <v>2297</v>
      </c>
      <c r="R68" s="10">
        <f t="shared" si="6"/>
        <v>19903505</v>
      </c>
      <c r="S68" s="10">
        <f t="shared" si="7"/>
        <v>41363801.75</v>
      </c>
    </row>
    <row r="69" spans="1:19" x14ac:dyDescent="0.25">
      <c r="A69" s="2" t="s">
        <v>83</v>
      </c>
      <c r="B69" s="6" t="s">
        <v>17</v>
      </c>
      <c r="C69" s="6" t="s">
        <v>19</v>
      </c>
      <c r="D69" s="6">
        <v>10</v>
      </c>
      <c r="E69" s="6">
        <v>1700</v>
      </c>
      <c r="F69" s="6">
        <v>0</v>
      </c>
      <c r="G69" s="6">
        <v>0</v>
      </c>
      <c r="H69" s="6">
        <v>0</v>
      </c>
      <c r="I69" s="6">
        <v>400</v>
      </c>
      <c r="J69" s="6">
        <v>0</v>
      </c>
      <c r="K69" s="6">
        <f t="shared" si="4"/>
        <v>400</v>
      </c>
      <c r="L69" s="6">
        <v>1300</v>
      </c>
      <c r="M69" s="8">
        <v>1300</v>
      </c>
      <c r="N69" s="6">
        <v>23</v>
      </c>
      <c r="O69" s="8">
        <f t="shared" si="5"/>
        <v>74.75</v>
      </c>
      <c r="Q69" s="10">
        <v>4592</v>
      </c>
      <c r="R69" s="10">
        <f t="shared" si="6"/>
        <v>1836800</v>
      </c>
      <c r="S69" s="10">
        <f t="shared" si="7"/>
        <v>5969600</v>
      </c>
    </row>
    <row r="70" spans="1:19" x14ac:dyDescent="0.25">
      <c r="A70" s="2" t="s">
        <v>84</v>
      </c>
      <c r="B70" s="6" t="s">
        <v>16</v>
      </c>
      <c r="C70" s="6" t="s">
        <v>19</v>
      </c>
      <c r="D70" s="6">
        <v>10</v>
      </c>
      <c r="E70" s="6">
        <v>23955</v>
      </c>
      <c r="F70" s="6">
        <v>99825</v>
      </c>
      <c r="G70" s="6">
        <v>0</v>
      </c>
      <c r="H70" s="6">
        <v>0</v>
      </c>
      <c r="I70" s="6">
        <v>100425</v>
      </c>
      <c r="J70" s="6">
        <v>50</v>
      </c>
      <c r="K70" s="6">
        <f t="shared" si="4"/>
        <v>100475</v>
      </c>
      <c r="L70" s="6">
        <v>23305</v>
      </c>
      <c r="M70" s="8">
        <v>26116.111111111102</v>
      </c>
      <c r="N70" s="6">
        <v>23</v>
      </c>
      <c r="O70" s="8">
        <f t="shared" si="5"/>
        <v>5.9783085897542207</v>
      </c>
      <c r="Q70" s="10">
        <v>1419</v>
      </c>
      <c r="R70" s="10">
        <f t="shared" si="6"/>
        <v>142574025</v>
      </c>
      <c r="S70" s="10">
        <f t="shared" si="7"/>
        <v>37058761.666666657</v>
      </c>
    </row>
    <row r="71" spans="1:19" x14ac:dyDescent="0.25">
      <c r="A71" s="2" t="s">
        <v>85</v>
      </c>
      <c r="B71" s="6" t="s">
        <v>17</v>
      </c>
      <c r="C71" s="6" t="s">
        <v>19</v>
      </c>
      <c r="D71" s="6">
        <v>10</v>
      </c>
      <c r="E71" s="6">
        <v>5410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f t="shared" si="4"/>
        <v>0</v>
      </c>
      <c r="L71" s="6">
        <v>5410</v>
      </c>
      <c r="M71" s="8">
        <v>0</v>
      </c>
      <c r="N71" s="6">
        <v>23</v>
      </c>
      <c r="O71" s="8">
        <v>0</v>
      </c>
      <c r="Q71" s="10">
        <v>4592</v>
      </c>
      <c r="R71" s="10">
        <f t="shared" si="6"/>
        <v>0</v>
      </c>
      <c r="S71" s="10">
        <f t="shared" si="7"/>
        <v>0</v>
      </c>
    </row>
    <row r="72" spans="1:19" x14ac:dyDescent="0.25">
      <c r="A72" s="2" t="s">
        <v>86</v>
      </c>
      <c r="B72" s="6" t="s">
        <v>17</v>
      </c>
      <c r="C72" s="6" t="s">
        <v>19</v>
      </c>
      <c r="D72" s="6">
        <v>10</v>
      </c>
      <c r="E72" s="6">
        <v>1350</v>
      </c>
      <c r="F72" s="6">
        <v>0</v>
      </c>
      <c r="G72" s="6">
        <v>0</v>
      </c>
      <c r="H72" s="6">
        <v>0</v>
      </c>
      <c r="I72" s="6">
        <v>1350</v>
      </c>
      <c r="J72" s="6">
        <v>0</v>
      </c>
      <c r="K72" s="6">
        <f t="shared" si="4"/>
        <v>1350</v>
      </c>
      <c r="L72" s="6">
        <v>0</v>
      </c>
      <c r="M72" s="8">
        <v>0</v>
      </c>
      <c r="N72" s="6">
        <v>23</v>
      </c>
      <c r="O72" s="8">
        <f t="shared" si="5"/>
        <v>0</v>
      </c>
      <c r="Q72" s="10">
        <v>2103</v>
      </c>
      <c r="R72" s="10">
        <f t="shared" si="6"/>
        <v>2839050</v>
      </c>
      <c r="S72" s="10">
        <f t="shared" si="7"/>
        <v>0</v>
      </c>
    </row>
    <row r="73" spans="1:19" x14ac:dyDescent="0.25">
      <c r="A73" s="2" t="s">
        <v>87</v>
      </c>
      <c r="B73" s="6" t="s">
        <v>17</v>
      </c>
      <c r="C73" s="6" t="s">
        <v>19</v>
      </c>
      <c r="D73" s="6">
        <v>10</v>
      </c>
      <c r="E73" s="6">
        <v>16250</v>
      </c>
      <c r="F73" s="6">
        <v>11900</v>
      </c>
      <c r="G73" s="6">
        <v>0</v>
      </c>
      <c r="H73" s="6">
        <v>0</v>
      </c>
      <c r="I73" s="6">
        <v>3750</v>
      </c>
      <c r="J73" s="6">
        <v>0</v>
      </c>
      <c r="K73" s="6">
        <f t="shared" si="4"/>
        <v>3750</v>
      </c>
      <c r="L73" s="6">
        <v>24400</v>
      </c>
      <c r="M73" s="8">
        <v>22890</v>
      </c>
      <c r="N73" s="6">
        <v>23</v>
      </c>
      <c r="O73" s="8">
        <f t="shared" si="5"/>
        <v>140.392</v>
      </c>
      <c r="Q73" s="10">
        <v>2103</v>
      </c>
      <c r="R73" s="10">
        <f t="shared" si="6"/>
        <v>7886250</v>
      </c>
      <c r="S73" s="10">
        <f t="shared" si="7"/>
        <v>48137670</v>
      </c>
    </row>
    <row r="74" spans="1:19" x14ac:dyDescent="0.25">
      <c r="A74" s="2" t="s">
        <v>88</v>
      </c>
      <c r="B74" s="6" t="s">
        <v>17</v>
      </c>
      <c r="C74" s="6" t="s">
        <v>19</v>
      </c>
      <c r="D74" s="6">
        <v>10</v>
      </c>
      <c r="E74" s="6">
        <v>2654</v>
      </c>
      <c r="F74" s="6">
        <v>1030</v>
      </c>
      <c r="G74" s="6">
        <v>0</v>
      </c>
      <c r="H74" s="6">
        <v>0</v>
      </c>
      <c r="I74" s="6">
        <v>2060</v>
      </c>
      <c r="J74" s="6">
        <v>0</v>
      </c>
      <c r="K74" s="6">
        <f t="shared" si="4"/>
        <v>2060</v>
      </c>
      <c r="L74" s="6">
        <v>1624</v>
      </c>
      <c r="M74" s="8">
        <v>2689</v>
      </c>
      <c r="N74" s="6">
        <v>23</v>
      </c>
      <c r="O74" s="8">
        <f t="shared" si="5"/>
        <v>30.022815533980584</v>
      </c>
      <c r="Q74" s="10">
        <v>4592</v>
      </c>
      <c r="R74" s="10">
        <f t="shared" si="6"/>
        <v>9459520</v>
      </c>
      <c r="S74" s="10">
        <f t="shared" si="7"/>
        <v>12347888</v>
      </c>
    </row>
    <row r="75" spans="1:19" x14ac:dyDescent="0.25">
      <c r="A75" s="2" t="s">
        <v>89</v>
      </c>
      <c r="B75" s="6" t="s">
        <v>17</v>
      </c>
      <c r="C75" s="6" t="s">
        <v>19</v>
      </c>
      <c r="D75" s="6">
        <v>10</v>
      </c>
      <c r="E75" s="6">
        <v>1500</v>
      </c>
      <c r="F75" s="6">
        <v>2063</v>
      </c>
      <c r="G75" s="6">
        <v>0</v>
      </c>
      <c r="H75" s="6">
        <v>0</v>
      </c>
      <c r="I75" s="6">
        <v>2750</v>
      </c>
      <c r="J75" s="6">
        <v>0</v>
      </c>
      <c r="K75" s="6">
        <f t="shared" si="4"/>
        <v>2750</v>
      </c>
      <c r="L75" s="6">
        <v>813</v>
      </c>
      <c r="M75" s="8">
        <v>2188</v>
      </c>
      <c r="N75" s="6">
        <v>23</v>
      </c>
      <c r="O75" s="8">
        <f t="shared" si="5"/>
        <v>18.299636363636363</v>
      </c>
      <c r="Q75" s="10">
        <v>2297</v>
      </c>
      <c r="R75" s="10">
        <f t="shared" si="6"/>
        <v>6316750</v>
      </c>
      <c r="S75" s="10">
        <f t="shared" si="7"/>
        <v>5025836</v>
      </c>
    </row>
    <row r="76" spans="1:19" x14ac:dyDescent="0.25">
      <c r="A76" s="2" t="s">
        <v>90</v>
      </c>
      <c r="B76" s="6" t="s">
        <v>17</v>
      </c>
      <c r="C76" s="6" t="s">
        <v>19</v>
      </c>
      <c r="D76" s="6">
        <v>10</v>
      </c>
      <c r="E76" s="6">
        <v>625</v>
      </c>
      <c r="F76" s="6">
        <v>1037</v>
      </c>
      <c r="G76" s="6">
        <v>0</v>
      </c>
      <c r="H76" s="6">
        <v>0</v>
      </c>
      <c r="I76" s="6">
        <v>300</v>
      </c>
      <c r="J76" s="6">
        <v>0</v>
      </c>
      <c r="K76" s="6">
        <f t="shared" si="4"/>
        <v>300</v>
      </c>
      <c r="L76" s="6">
        <v>1362</v>
      </c>
      <c r="M76" s="8">
        <v>1512</v>
      </c>
      <c r="N76" s="6">
        <v>23</v>
      </c>
      <c r="O76" s="8">
        <f t="shared" si="5"/>
        <v>115.92</v>
      </c>
      <c r="Q76" s="10">
        <v>2616</v>
      </c>
      <c r="R76" s="10">
        <f t="shared" si="6"/>
        <v>784800</v>
      </c>
      <c r="S76" s="10">
        <f t="shared" si="7"/>
        <v>3955392</v>
      </c>
    </row>
    <row r="77" spans="1:19" x14ac:dyDescent="0.25">
      <c r="A77" s="2" t="s">
        <v>91</v>
      </c>
      <c r="B77" s="6" t="s">
        <v>16</v>
      </c>
      <c r="C77" s="6" t="s">
        <v>19</v>
      </c>
      <c r="D77" s="6">
        <v>10</v>
      </c>
      <c r="E77" s="6">
        <v>53120</v>
      </c>
      <c r="F77" s="6">
        <v>47325</v>
      </c>
      <c r="G77" s="6">
        <v>0</v>
      </c>
      <c r="H77" s="6">
        <v>0</v>
      </c>
      <c r="I77" s="6">
        <v>87195</v>
      </c>
      <c r="J77" s="6">
        <v>0</v>
      </c>
      <c r="K77" s="6">
        <f t="shared" si="4"/>
        <v>87195</v>
      </c>
      <c r="L77" s="6">
        <v>13250</v>
      </c>
      <c r="M77" s="8">
        <v>20056.944444444398</v>
      </c>
      <c r="N77" s="6">
        <v>23</v>
      </c>
      <c r="O77" s="8">
        <f t="shared" si="5"/>
        <v>5.2905524654191316</v>
      </c>
      <c r="Q77" s="10">
        <v>1419</v>
      </c>
      <c r="R77" s="10">
        <f t="shared" si="6"/>
        <v>123729705</v>
      </c>
      <c r="S77" s="10">
        <f t="shared" si="7"/>
        <v>28460804.166666601</v>
      </c>
    </row>
    <row r="78" spans="1:19" x14ac:dyDescent="0.25">
      <c r="A78" s="2" t="s">
        <v>92</v>
      </c>
      <c r="B78" s="6" t="s">
        <v>17</v>
      </c>
      <c r="C78" s="6" t="s">
        <v>19</v>
      </c>
      <c r="D78" s="6">
        <v>10</v>
      </c>
      <c r="E78" s="6">
        <v>2783</v>
      </c>
      <c r="F78" s="6">
        <v>0</v>
      </c>
      <c r="G78" s="6">
        <v>0</v>
      </c>
      <c r="H78" s="6">
        <v>0</v>
      </c>
      <c r="I78" s="6">
        <v>825</v>
      </c>
      <c r="J78" s="6">
        <v>0</v>
      </c>
      <c r="K78" s="6">
        <f t="shared" si="4"/>
        <v>825</v>
      </c>
      <c r="L78" s="6">
        <v>1958</v>
      </c>
      <c r="M78" s="8">
        <v>2274.6666666666702</v>
      </c>
      <c r="N78" s="6">
        <v>23</v>
      </c>
      <c r="O78" s="8">
        <f t="shared" si="5"/>
        <v>63.414949494949596</v>
      </c>
      <c r="Q78" s="10">
        <v>2616</v>
      </c>
      <c r="R78" s="10">
        <f t="shared" si="6"/>
        <v>2158200</v>
      </c>
      <c r="S78" s="10">
        <f t="shared" si="7"/>
        <v>5950528.0000000093</v>
      </c>
    </row>
    <row r="79" spans="1:19" x14ac:dyDescent="0.25">
      <c r="A79" s="2" t="s">
        <v>93</v>
      </c>
      <c r="B79" s="6" t="s">
        <v>17</v>
      </c>
      <c r="C79" s="6" t="s">
        <v>19</v>
      </c>
      <c r="D79" s="6">
        <v>10</v>
      </c>
      <c r="E79" s="6">
        <v>360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f t="shared" si="4"/>
        <v>0</v>
      </c>
      <c r="L79" s="6">
        <v>360</v>
      </c>
      <c r="M79" s="8">
        <v>0</v>
      </c>
      <c r="N79" s="6">
        <v>23</v>
      </c>
      <c r="O79" s="8">
        <v>0</v>
      </c>
      <c r="Q79" s="10">
        <v>7550</v>
      </c>
      <c r="R79" s="10">
        <f t="shared" si="6"/>
        <v>0</v>
      </c>
      <c r="S79" s="10">
        <f t="shared" si="7"/>
        <v>0</v>
      </c>
    </row>
    <row r="80" spans="1:19" x14ac:dyDescent="0.25">
      <c r="A80" s="2" t="s">
        <v>94</v>
      </c>
      <c r="B80" s="6" t="s">
        <v>17</v>
      </c>
      <c r="C80" s="6" t="s">
        <v>19</v>
      </c>
      <c r="D80" s="6">
        <v>10</v>
      </c>
      <c r="E80" s="6">
        <v>9310</v>
      </c>
      <c r="F80" s="6">
        <v>53430</v>
      </c>
      <c r="G80" s="6">
        <v>0</v>
      </c>
      <c r="H80" s="6">
        <v>0</v>
      </c>
      <c r="I80" s="6">
        <v>58580</v>
      </c>
      <c r="J80" s="6">
        <v>0</v>
      </c>
      <c r="K80" s="6">
        <f t="shared" si="4"/>
        <v>58580</v>
      </c>
      <c r="L80" s="6">
        <v>4160</v>
      </c>
      <c r="M80" s="8">
        <v>7168.8636363636406</v>
      </c>
      <c r="N80" s="6">
        <v>23</v>
      </c>
      <c r="O80" s="8">
        <f t="shared" si="5"/>
        <v>2.814678450603683</v>
      </c>
      <c r="Q80" s="10">
        <v>7550</v>
      </c>
      <c r="R80" s="10">
        <f t="shared" si="6"/>
        <v>442279000</v>
      </c>
      <c r="S80" s="10">
        <f t="shared" si="7"/>
        <v>54124920.454545483</v>
      </c>
    </row>
    <row r="81" spans="1:19" x14ac:dyDescent="0.25">
      <c r="A81" s="2" t="s">
        <v>95</v>
      </c>
      <c r="B81" s="6" t="s">
        <v>17</v>
      </c>
      <c r="C81" s="6" t="s">
        <v>19</v>
      </c>
      <c r="D81" s="6">
        <v>10</v>
      </c>
      <c r="E81" s="6">
        <v>7064</v>
      </c>
      <c r="F81" s="6">
        <v>540</v>
      </c>
      <c r="G81" s="6">
        <v>0</v>
      </c>
      <c r="H81" s="6">
        <v>0</v>
      </c>
      <c r="I81" s="6">
        <v>2410</v>
      </c>
      <c r="J81" s="6">
        <v>0</v>
      </c>
      <c r="K81" s="6">
        <f t="shared" si="4"/>
        <v>2410</v>
      </c>
      <c r="L81" s="6">
        <v>5194</v>
      </c>
      <c r="M81" s="8">
        <v>6059</v>
      </c>
      <c r="N81" s="6">
        <v>23</v>
      </c>
      <c r="O81" s="8">
        <f t="shared" si="5"/>
        <v>57.824481327800825</v>
      </c>
      <c r="Q81" s="10">
        <v>4592</v>
      </c>
      <c r="R81" s="10">
        <f t="shared" si="6"/>
        <v>11066720</v>
      </c>
      <c r="S81" s="10">
        <f t="shared" si="7"/>
        <v>27822928</v>
      </c>
    </row>
    <row r="82" spans="1:19" x14ac:dyDescent="0.25">
      <c r="A82" s="2" t="s">
        <v>96</v>
      </c>
      <c r="B82" s="6" t="s">
        <v>17</v>
      </c>
      <c r="C82" s="6" t="s">
        <v>19</v>
      </c>
      <c r="D82" s="6">
        <v>10</v>
      </c>
      <c r="E82" s="6">
        <v>3710</v>
      </c>
      <c r="F82" s="6">
        <v>3905</v>
      </c>
      <c r="G82" s="6">
        <v>0</v>
      </c>
      <c r="H82" s="6">
        <v>0</v>
      </c>
      <c r="I82" s="6">
        <v>4696</v>
      </c>
      <c r="J82" s="6">
        <v>14</v>
      </c>
      <c r="K82" s="6">
        <f t="shared" si="4"/>
        <v>4710</v>
      </c>
      <c r="L82" s="6">
        <v>2905</v>
      </c>
      <c r="M82" s="8">
        <v>1578.2</v>
      </c>
      <c r="N82" s="6">
        <v>23</v>
      </c>
      <c r="O82" s="8">
        <f t="shared" si="5"/>
        <v>7.706709129511677</v>
      </c>
      <c r="Q82" s="10">
        <v>2297</v>
      </c>
      <c r="R82" s="10">
        <f t="shared" si="6"/>
        <v>10818870</v>
      </c>
      <c r="S82" s="10">
        <f t="shared" si="7"/>
        <v>3625125.4</v>
      </c>
    </row>
    <row r="83" spans="1:19" x14ac:dyDescent="0.25">
      <c r="A83" s="2" t="s">
        <v>97</v>
      </c>
      <c r="B83" s="6" t="s">
        <v>17</v>
      </c>
      <c r="C83" s="6" t="s">
        <v>19</v>
      </c>
      <c r="D83" s="6">
        <v>10</v>
      </c>
      <c r="E83" s="6">
        <v>750</v>
      </c>
      <c r="F83" s="6">
        <v>0</v>
      </c>
      <c r="G83" s="6">
        <v>0</v>
      </c>
      <c r="H83" s="6">
        <v>0</v>
      </c>
      <c r="I83" s="6">
        <v>250</v>
      </c>
      <c r="J83" s="6">
        <v>0</v>
      </c>
      <c r="K83" s="6">
        <f t="shared" si="4"/>
        <v>250</v>
      </c>
      <c r="L83" s="6">
        <v>500</v>
      </c>
      <c r="M83" s="8">
        <v>500</v>
      </c>
      <c r="N83" s="6">
        <v>23</v>
      </c>
      <c r="O83" s="8">
        <f t="shared" si="5"/>
        <v>46</v>
      </c>
      <c r="Q83" s="10">
        <v>2616</v>
      </c>
      <c r="R83" s="10">
        <f t="shared" si="6"/>
        <v>654000</v>
      </c>
      <c r="S83" s="10">
        <f t="shared" si="7"/>
        <v>1308000</v>
      </c>
    </row>
    <row r="84" spans="1:19" x14ac:dyDescent="0.25">
      <c r="A84" s="2" t="s">
        <v>98</v>
      </c>
      <c r="B84" s="6" t="s">
        <v>16</v>
      </c>
      <c r="C84" s="6" t="s">
        <v>19</v>
      </c>
      <c r="D84" s="6">
        <v>10</v>
      </c>
      <c r="E84" s="6">
        <v>1990</v>
      </c>
      <c r="F84" s="6">
        <v>49525</v>
      </c>
      <c r="G84" s="6">
        <v>0</v>
      </c>
      <c r="H84" s="6">
        <v>0</v>
      </c>
      <c r="I84" s="6">
        <v>43450</v>
      </c>
      <c r="J84" s="6">
        <v>25</v>
      </c>
      <c r="K84" s="6">
        <f t="shared" si="4"/>
        <v>43475</v>
      </c>
      <c r="L84" s="6">
        <v>8040</v>
      </c>
      <c r="M84" s="8">
        <v>9660.5882352941208</v>
      </c>
      <c r="N84" s="6">
        <v>23</v>
      </c>
      <c r="O84" s="8">
        <f t="shared" si="5"/>
        <v>5.110834489057269</v>
      </c>
      <c r="Q84" s="10">
        <v>1419</v>
      </c>
      <c r="R84" s="10">
        <f t="shared" si="6"/>
        <v>61691025</v>
      </c>
      <c r="S84" s="10">
        <f t="shared" si="7"/>
        <v>13708374.705882357</v>
      </c>
    </row>
    <row r="85" spans="1:19" x14ac:dyDescent="0.25">
      <c r="A85" s="2" t="s">
        <v>99</v>
      </c>
      <c r="B85" s="6" t="s">
        <v>17</v>
      </c>
      <c r="C85" s="6" t="s">
        <v>19</v>
      </c>
      <c r="D85" s="6">
        <v>10</v>
      </c>
      <c r="E85" s="6">
        <v>2836</v>
      </c>
      <c r="F85" s="6">
        <v>0</v>
      </c>
      <c r="G85" s="6">
        <v>0</v>
      </c>
      <c r="H85" s="6">
        <v>0</v>
      </c>
      <c r="I85" s="6">
        <v>425</v>
      </c>
      <c r="J85" s="6">
        <v>0</v>
      </c>
      <c r="K85" s="6">
        <f t="shared" si="4"/>
        <v>425</v>
      </c>
      <c r="L85" s="6">
        <v>2411</v>
      </c>
      <c r="M85" s="8">
        <v>2527.6666666666702</v>
      </c>
      <c r="N85" s="6">
        <v>23</v>
      </c>
      <c r="O85" s="8">
        <f t="shared" si="5"/>
        <v>136.7913725490198</v>
      </c>
      <c r="Q85" s="10">
        <v>2616</v>
      </c>
      <c r="R85" s="10">
        <f t="shared" si="6"/>
        <v>1111800</v>
      </c>
      <c r="S85" s="10">
        <f t="shared" si="7"/>
        <v>6612376.0000000093</v>
      </c>
    </row>
    <row r="86" spans="1:19" x14ac:dyDescent="0.25">
      <c r="A86" s="2" t="s">
        <v>100</v>
      </c>
      <c r="B86" s="6" t="s">
        <v>17</v>
      </c>
      <c r="C86" s="6" t="s">
        <v>19</v>
      </c>
      <c r="D86" s="6">
        <v>10</v>
      </c>
      <c r="E86" s="6">
        <v>1425</v>
      </c>
      <c r="F86" s="6">
        <v>1050</v>
      </c>
      <c r="G86" s="6">
        <v>0</v>
      </c>
      <c r="H86" s="6">
        <v>0</v>
      </c>
      <c r="I86" s="6">
        <v>600</v>
      </c>
      <c r="J86" s="6">
        <v>0</v>
      </c>
      <c r="K86" s="6">
        <f t="shared" si="4"/>
        <v>600</v>
      </c>
      <c r="L86" s="6">
        <v>1875</v>
      </c>
      <c r="M86" s="8">
        <v>2175</v>
      </c>
      <c r="N86" s="6">
        <v>23</v>
      </c>
      <c r="O86" s="8">
        <f t="shared" si="5"/>
        <v>83.375</v>
      </c>
      <c r="Q86" s="10">
        <v>4592</v>
      </c>
      <c r="R86" s="10">
        <f t="shared" si="6"/>
        <v>2755200</v>
      </c>
      <c r="S86" s="10">
        <f t="shared" si="7"/>
        <v>9987600</v>
      </c>
    </row>
    <row r="87" spans="1:19" x14ac:dyDescent="0.25">
      <c r="A87" s="2" t="s">
        <v>101</v>
      </c>
      <c r="B87" s="6" t="s">
        <v>17</v>
      </c>
      <c r="C87" s="6" t="s">
        <v>19</v>
      </c>
      <c r="D87" s="6">
        <v>10</v>
      </c>
      <c r="E87" s="6">
        <v>18165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f t="shared" si="4"/>
        <v>0</v>
      </c>
      <c r="L87" s="6">
        <v>18165</v>
      </c>
      <c r="M87" s="8">
        <v>0</v>
      </c>
      <c r="N87" s="6">
        <v>23</v>
      </c>
      <c r="O87" s="8">
        <v>0</v>
      </c>
      <c r="Q87" s="10">
        <v>2297</v>
      </c>
      <c r="R87" s="10">
        <f t="shared" si="6"/>
        <v>0</v>
      </c>
      <c r="S87" s="10">
        <f t="shared" si="7"/>
        <v>0</v>
      </c>
    </row>
    <row r="88" spans="1:19" x14ac:dyDescent="0.25">
      <c r="A88" s="2" t="s">
        <v>102</v>
      </c>
      <c r="B88" s="6" t="s">
        <v>17</v>
      </c>
      <c r="C88" s="6" t="s">
        <v>19</v>
      </c>
      <c r="D88" s="6">
        <v>10</v>
      </c>
      <c r="E88" s="6">
        <v>1475</v>
      </c>
      <c r="F88" s="6">
        <v>0</v>
      </c>
      <c r="G88" s="6">
        <v>0</v>
      </c>
      <c r="H88" s="6">
        <v>0</v>
      </c>
      <c r="I88" s="6">
        <v>350</v>
      </c>
      <c r="J88" s="6">
        <v>0</v>
      </c>
      <c r="K88" s="6">
        <f t="shared" si="4"/>
        <v>350</v>
      </c>
      <c r="L88" s="6">
        <v>1125</v>
      </c>
      <c r="M88" s="8">
        <v>1175</v>
      </c>
      <c r="N88" s="6">
        <v>23</v>
      </c>
      <c r="O88" s="8">
        <f t="shared" si="5"/>
        <v>77.214285714285722</v>
      </c>
      <c r="Q88" s="10">
        <v>2616</v>
      </c>
      <c r="R88" s="10">
        <f t="shared" si="6"/>
        <v>915600</v>
      </c>
      <c r="S88" s="10">
        <f t="shared" si="7"/>
        <v>3073800</v>
      </c>
    </row>
    <row r="89" spans="1:19" x14ac:dyDescent="0.25">
      <c r="A89" s="2" t="s">
        <v>103</v>
      </c>
      <c r="B89" s="6" t="s">
        <v>16</v>
      </c>
      <c r="C89" s="6" t="s">
        <v>19</v>
      </c>
      <c r="D89" s="6">
        <v>10</v>
      </c>
      <c r="E89" s="6">
        <v>19100</v>
      </c>
      <c r="F89" s="6">
        <v>69323</v>
      </c>
      <c r="G89" s="6">
        <v>0</v>
      </c>
      <c r="H89" s="6">
        <v>0</v>
      </c>
      <c r="I89" s="6">
        <v>72623</v>
      </c>
      <c r="J89" s="6">
        <v>25</v>
      </c>
      <c r="K89" s="6">
        <f t="shared" si="4"/>
        <v>72648</v>
      </c>
      <c r="L89" s="6">
        <v>15775</v>
      </c>
      <c r="M89" s="8">
        <v>24650.772727272699</v>
      </c>
      <c r="N89" s="6">
        <v>23</v>
      </c>
      <c r="O89" s="8">
        <f t="shared" si="5"/>
        <v>7.8043135767987009</v>
      </c>
      <c r="Q89" s="10">
        <v>1419</v>
      </c>
      <c r="R89" s="10">
        <f t="shared" si="6"/>
        <v>103087512</v>
      </c>
      <c r="S89" s="10">
        <f t="shared" si="7"/>
        <v>34979446.499999963</v>
      </c>
    </row>
    <row r="90" spans="1:19" x14ac:dyDescent="0.25">
      <c r="A90" s="2" t="s">
        <v>104</v>
      </c>
      <c r="B90" s="6" t="s">
        <v>17</v>
      </c>
      <c r="C90" s="6" t="s">
        <v>19</v>
      </c>
      <c r="D90" s="6">
        <v>10</v>
      </c>
      <c r="E90" s="6">
        <v>1139</v>
      </c>
      <c r="F90" s="6">
        <v>0</v>
      </c>
      <c r="G90" s="6">
        <v>0</v>
      </c>
      <c r="H90" s="6">
        <v>0</v>
      </c>
      <c r="I90" s="6">
        <v>350</v>
      </c>
      <c r="J90" s="6">
        <v>0</v>
      </c>
      <c r="K90" s="6">
        <f t="shared" si="4"/>
        <v>350</v>
      </c>
      <c r="L90" s="6">
        <v>789</v>
      </c>
      <c r="M90" s="8">
        <v>839</v>
      </c>
      <c r="N90" s="6">
        <v>23</v>
      </c>
      <c r="O90" s="8">
        <f t="shared" si="5"/>
        <v>55.134285714285717</v>
      </c>
      <c r="Q90" s="10">
        <v>1419</v>
      </c>
      <c r="R90" s="10">
        <f t="shared" si="6"/>
        <v>496650</v>
      </c>
      <c r="S90" s="10">
        <f t="shared" si="7"/>
        <v>1190541</v>
      </c>
    </row>
    <row r="91" spans="1:19" x14ac:dyDescent="0.25">
      <c r="A91" s="2" t="s">
        <v>105</v>
      </c>
      <c r="B91" s="6" t="s">
        <v>17</v>
      </c>
      <c r="C91" s="6" t="s">
        <v>19</v>
      </c>
      <c r="D91" s="6">
        <v>10</v>
      </c>
      <c r="E91" s="6">
        <v>13371</v>
      </c>
      <c r="F91" s="6">
        <v>24427</v>
      </c>
      <c r="G91" s="6">
        <v>0</v>
      </c>
      <c r="H91" s="6">
        <v>0</v>
      </c>
      <c r="I91" s="6">
        <v>24987</v>
      </c>
      <c r="J91" s="6">
        <v>30</v>
      </c>
      <c r="K91" s="6">
        <f t="shared" si="4"/>
        <v>25017</v>
      </c>
      <c r="L91" s="6">
        <v>12781</v>
      </c>
      <c r="M91" s="8">
        <v>7761.8181818181802</v>
      </c>
      <c r="N91" s="6">
        <v>23</v>
      </c>
      <c r="O91" s="8">
        <f t="shared" si="5"/>
        <v>7.1360202335139356</v>
      </c>
      <c r="Q91" s="10">
        <v>1968</v>
      </c>
      <c r="R91" s="10">
        <f t="shared" si="6"/>
        <v>49233456</v>
      </c>
      <c r="S91" s="10">
        <f t="shared" si="7"/>
        <v>15275258.181818178</v>
      </c>
    </row>
    <row r="92" spans="1:19" x14ac:dyDescent="0.25">
      <c r="A92" s="2" t="s">
        <v>106</v>
      </c>
      <c r="B92" s="6" t="s">
        <v>17</v>
      </c>
      <c r="C92" s="6" t="s">
        <v>19</v>
      </c>
      <c r="D92" s="6">
        <v>10</v>
      </c>
      <c r="E92" s="6">
        <v>25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f t="shared" si="4"/>
        <v>0</v>
      </c>
      <c r="L92" s="6">
        <v>25</v>
      </c>
      <c r="M92" s="8">
        <v>0</v>
      </c>
      <c r="N92" s="6">
        <v>23</v>
      </c>
      <c r="O92" s="8">
        <v>0</v>
      </c>
      <c r="Q92" s="10">
        <v>2129</v>
      </c>
      <c r="R92" s="10">
        <f t="shared" si="6"/>
        <v>0</v>
      </c>
      <c r="S92" s="10">
        <f t="shared" si="7"/>
        <v>0</v>
      </c>
    </row>
    <row r="93" spans="1:19" x14ac:dyDescent="0.25">
      <c r="A93" s="2" t="s">
        <v>107</v>
      </c>
      <c r="B93" s="6" t="s">
        <v>17</v>
      </c>
      <c r="C93" s="6" t="s">
        <v>19</v>
      </c>
      <c r="D93" s="6">
        <v>10</v>
      </c>
      <c r="E93" s="6">
        <v>110</v>
      </c>
      <c r="F93" s="6">
        <v>0</v>
      </c>
      <c r="G93" s="6">
        <v>0</v>
      </c>
      <c r="H93" s="6">
        <v>0</v>
      </c>
      <c r="I93" s="6">
        <v>110</v>
      </c>
      <c r="J93" s="6">
        <v>0</v>
      </c>
      <c r="K93" s="6">
        <f t="shared" si="4"/>
        <v>110</v>
      </c>
      <c r="L93" s="6">
        <v>0</v>
      </c>
      <c r="M93" s="8">
        <v>0</v>
      </c>
      <c r="N93" s="6">
        <v>23</v>
      </c>
      <c r="O93" s="8">
        <f t="shared" si="5"/>
        <v>0</v>
      </c>
      <c r="Q93" s="10">
        <v>2129</v>
      </c>
      <c r="R93" s="10">
        <f t="shared" si="6"/>
        <v>234190</v>
      </c>
      <c r="S93" s="10">
        <f t="shared" si="7"/>
        <v>0</v>
      </c>
    </row>
    <row r="94" spans="1:19" x14ac:dyDescent="0.25">
      <c r="A94" s="2" t="s">
        <v>108</v>
      </c>
      <c r="B94" s="6" t="s">
        <v>17</v>
      </c>
      <c r="C94" s="6" t="s">
        <v>19</v>
      </c>
      <c r="D94" s="6">
        <v>10</v>
      </c>
      <c r="E94" s="6">
        <v>21338</v>
      </c>
      <c r="F94" s="6">
        <v>5625</v>
      </c>
      <c r="G94" s="6">
        <v>0</v>
      </c>
      <c r="H94" s="6">
        <v>0</v>
      </c>
      <c r="I94" s="6">
        <v>16983</v>
      </c>
      <c r="J94" s="6">
        <v>0</v>
      </c>
      <c r="K94" s="6">
        <f t="shared" si="4"/>
        <v>16983</v>
      </c>
      <c r="L94" s="6">
        <v>9980</v>
      </c>
      <c r="M94" s="8">
        <v>14553.75</v>
      </c>
      <c r="N94" s="6">
        <v>23</v>
      </c>
      <c r="O94" s="8">
        <f t="shared" si="5"/>
        <v>19.710077724783609</v>
      </c>
      <c r="Q94" s="10">
        <v>1968</v>
      </c>
      <c r="R94" s="10">
        <f t="shared" si="6"/>
        <v>33422544</v>
      </c>
      <c r="S94" s="10">
        <f t="shared" si="7"/>
        <v>28641780</v>
      </c>
    </row>
    <row r="95" spans="1:19" x14ac:dyDescent="0.25">
      <c r="A95" s="2" t="s">
        <v>109</v>
      </c>
      <c r="B95" s="6" t="s">
        <v>17</v>
      </c>
      <c r="C95" s="6" t="s">
        <v>19</v>
      </c>
      <c r="D95" s="6">
        <v>10</v>
      </c>
      <c r="E95" s="6">
        <v>4984</v>
      </c>
      <c r="F95" s="6">
        <v>0</v>
      </c>
      <c r="G95" s="6">
        <v>0</v>
      </c>
      <c r="H95" s="6">
        <v>0</v>
      </c>
      <c r="I95" s="6">
        <v>4984</v>
      </c>
      <c r="J95" s="6">
        <v>0</v>
      </c>
      <c r="K95" s="6">
        <f t="shared" si="4"/>
        <v>4984</v>
      </c>
      <c r="L95" s="6">
        <v>0</v>
      </c>
      <c r="M95" s="8">
        <v>1112</v>
      </c>
      <c r="N95" s="6">
        <v>23</v>
      </c>
      <c r="O95" s="8">
        <f t="shared" si="5"/>
        <v>5.1316211878009632</v>
      </c>
      <c r="Q95" s="10">
        <v>2157</v>
      </c>
      <c r="R95" s="10">
        <f t="shared" si="6"/>
        <v>10750488</v>
      </c>
      <c r="S95" s="10">
        <f t="shared" si="7"/>
        <v>2398584</v>
      </c>
    </row>
    <row r="96" spans="1:19" x14ac:dyDescent="0.25">
      <c r="A96" s="2" t="s">
        <v>110</v>
      </c>
      <c r="B96" s="6" t="s">
        <v>17</v>
      </c>
      <c r="C96" s="6" t="s">
        <v>19</v>
      </c>
      <c r="D96" s="6">
        <v>10</v>
      </c>
      <c r="E96" s="6">
        <v>17086</v>
      </c>
      <c r="F96" s="6">
        <v>9000</v>
      </c>
      <c r="G96" s="6">
        <v>0</v>
      </c>
      <c r="H96" s="6">
        <v>0</v>
      </c>
      <c r="I96" s="6">
        <v>10261</v>
      </c>
      <c r="J96" s="6">
        <v>0</v>
      </c>
      <c r="K96" s="6">
        <f t="shared" si="4"/>
        <v>10261</v>
      </c>
      <c r="L96" s="6">
        <v>15825</v>
      </c>
      <c r="M96" s="8">
        <v>16428.142857142899</v>
      </c>
      <c r="N96" s="6">
        <v>23</v>
      </c>
      <c r="O96" s="8">
        <f t="shared" si="5"/>
        <v>36.82363178192054</v>
      </c>
      <c r="Q96" s="10">
        <v>2031</v>
      </c>
      <c r="R96" s="10">
        <f t="shared" si="6"/>
        <v>20840091</v>
      </c>
      <c r="S96" s="10">
        <f t="shared" si="7"/>
        <v>33365558.142857227</v>
      </c>
    </row>
    <row r="97" spans="1:19" x14ac:dyDescent="0.25">
      <c r="A97" s="2" t="s">
        <v>111</v>
      </c>
      <c r="B97" s="6" t="s">
        <v>17</v>
      </c>
      <c r="C97" s="6" t="s">
        <v>19</v>
      </c>
      <c r="D97" s="6">
        <v>10</v>
      </c>
      <c r="E97" s="6">
        <v>11615</v>
      </c>
      <c r="F97" s="6">
        <v>7333</v>
      </c>
      <c r="G97" s="6">
        <v>0</v>
      </c>
      <c r="H97" s="6">
        <v>0</v>
      </c>
      <c r="I97" s="6">
        <v>8594</v>
      </c>
      <c r="J97" s="6">
        <v>0</v>
      </c>
      <c r="K97" s="6">
        <f t="shared" si="4"/>
        <v>8594</v>
      </c>
      <c r="L97" s="6">
        <v>10354</v>
      </c>
      <c r="M97" s="8">
        <v>12596.857142857099</v>
      </c>
      <c r="N97" s="6">
        <v>23</v>
      </c>
      <c r="O97" s="8">
        <f t="shared" si="5"/>
        <v>33.712789653911251</v>
      </c>
      <c r="Q97" s="10">
        <v>2031</v>
      </c>
      <c r="R97" s="10">
        <f t="shared" si="6"/>
        <v>17454414</v>
      </c>
      <c r="S97" s="10">
        <f t="shared" si="7"/>
        <v>25584216.857142769</v>
      </c>
    </row>
    <row r="98" spans="1:19" x14ac:dyDescent="0.25">
      <c r="A98" s="2" t="s">
        <v>112</v>
      </c>
      <c r="B98" s="6" t="s">
        <v>17</v>
      </c>
      <c r="C98" s="6" t="s">
        <v>19</v>
      </c>
      <c r="D98" s="6">
        <v>10</v>
      </c>
      <c r="E98" s="6">
        <v>1500</v>
      </c>
      <c r="F98" s="6">
        <v>2100</v>
      </c>
      <c r="G98" s="6">
        <v>0</v>
      </c>
      <c r="H98" s="6">
        <v>0</v>
      </c>
      <c r="I98" s="6">
        <v>1550</v>
      </c>
      <c r="J98" s="6">
        <v>0</v>
      </c>
      <c r="K98" s="6">
        <f t="shared" si="4"/>
        <v>1550</v>
      </c>
      <c r="L98" s="6">
        <v>2050</v>
      </c>
      <c r="M98" s="8">
        <v>1025</v>
      </c>
      <c r="N98" s="6">
        <v>23</v>
      </c>
      <c r="O98" s="8">
        <f t="shared" si="5"/>
        <v>15.209677419354838</v>
      </c>
      <c r="Q98" s="10">
        <v>2642</v>
      </c>
      <c r="R98" s="10">
        <f t="shared" si="6"/>
        <v>4095100</v>
      </c>
      <c r="S98" s="10">
        <f t="shared" si="7"/>
        <v>2708050</v>
      </c>
    </row>
    <row r="99" spans="1:19" x14ac:dyDescent="0.25">
      <c r="A99" s="2" t="s">
        <v>113</v>
      </c>
      <c r="B99" s="6" t="s">
        <v>17</v>
      </c>
      <c r="C99" s="6" t="s">
        <v>19</v>
      </c>
      <c r="D99" s="6">
        <v>10</v>
      </c>
      <c r="E99" s="6">
        <v>4095</v>
      </c>
      <c r="F99" s="6">
        <v>0</v>
      </c>
      <c r="G99" s="6">
        <v>0</v>
      </c>
      <c r="H99" s="6">
        <v>0</v>
      </c>
      <c r="I99" s="6">
        <v>4095</v>
      </c>
      <c r="J99" s="6">
        <v>0</v>
      </c>
      <c r="K99" s="6">
        <f t="shared" si="4"/>
        <v>4095</v>
      </c>
      <c r="L99" s="6">
        <v>0</v>
      </c>
      <c r="M99" s="8">
        <v>1196.25</v>
      </c>
      <c r="N99" s="6">
        <v>23</v>
      </c>
      <c r="O99" s="8">
        <f t="shared" si="5"/>
        <v>6.718864468864469</v>
      </c>
      <c r="Q99" s="10">
        <v>2642</v>
      </c>
      <c r="R99" s="10">
        <f t="shared" si="6"/>
        <v>10818990</v>
      </c>
      <c r="S99" s="10">
        <f t="shared" si="7"/>
        <v>3160492.5</v>
      </c>
    </row>
    <row r="100" spans="1:19" x14ac:dyDescent="0.25">
      <c r="A100" s="2" t="s">
        <v>114</v>
      </c>
      <c r="B100" s="6" t="s">
        <v>17</v>
      </c>
      <c r="C100" s="6" t="s">
        <v>19</v>
      </c>
      <c r="D100" s="6">
        <v>10</v>
      </c>
      <c r="E100" s="6">
        <v>325</v>
      </c>
      <c r="F100" s="6">
        <v>1050</v>
      </c>
      <c r="G100" s="6">
        <v>0</v>
      </c>
      <c r="H100" s="6">
        <v>0</v>
      </c>
      <c r="I100" s="6">
        <v>325</v>
      </c>
      <c r="J100" s="6">
        <v>0</v>
      </c>
      <c r="K100" s="6">
        <f t="shared" si="4"/>
        <v>325</v>
      </c>
      <c r="L100" s="6">
        <v>1050</v>
      </c>
      <c r="M100" s="8">
        <v>408.33333333333303</v>
      </c>
      <c r="N100" s="6">
        <v>23</v>
      </c>
      <c r="O100" s="8">
        <f t="shared" si="5"/>
        <v>28.897435897435876</v>
      </c>
      <c r="Q100" s="10">
        <v>2488</v>
      </c>
      <c r="R100" s="10">
        <f t="shared" si="6"/>
        <v>808600</v>
      </c>
      <c r="S100" s="10">
        <f t="shared" si="7"/>
        <v>1015933.3333333326</v>
      </c>
    </row>
    <row r="101" spans="1:19" x14ac:dyDescent="0.25">
      <c r="A101" s="2" t="s">
        <v>115</v>
      </c>
      <c r="B101" s="6" t="s">
        <v>17</v>
      </c>
      <c r="C101" s="6" t="s">
        <v>19</v>
      </c>
      <c r="D101" s="6">
        <v>10</v>
      </c>
      <c r="E101" s="6">
        <v>2450</v>
      </c>
      <c r="F101" s="6">
        <v>1500</v>
      </c>
      <c r="G101" s="6">
        <v>0</v>
      </c>
      <c r="H101" s="6">
        <v>0</v>
      </c>
      <c r="I101" s="6">
        <v>1900</v>
      </c>
      <c r="J101" s="6">
        <v>50</v>
      </c>
      <c r="K101" s="6">
        <f t="shared" si="4"/>
        <v>1950</v>
      </c>
      <c r="L101" s="6">
        <v>2000</v>
      </c>
      <c r="M101" s="8">
        <v>1612.5</v>
      </c>
      <c r="N101" s="6">
        <v>23</v>
      </c>
      <c r="O101" s="8">
        <f t="shared" si="5"/>
        <v>19.019230769230766</v>
      </c>
      <c r="Q101" s="10">
        <v>2431</v>
      </c>
      <c r="R101" s="10">
        <f t="shared" si="6"/>
        <v>4740450</v>
      </c>
      <c r="S101" s="10">
        <f t="shared" si="7"/>
        <v>3919987.5</v>
      </c>
    </row>
    <row r="102" spans="1:19" x14ac:dyDescent="0.25">
      <c r="A102" s="2" t="s">
        <v>116</v>
      </c>
      <c r="B102" s="6" t="s">
        <v>17</v>
      </c>
      <c r="C102" s="6" t="s">
        <v>19</v>
      </c>
      <c r="D102" s="6">
        <v>10</v>
      </c>
      <c r="E102" s="6">
        <v>3040</v>
      </c>
      <c r="F102" s="6">
        <v>1950</v>
      </c>
      <c r="G102" s="6">
        <v>0</v>
      </c>
      <c r="H102" s="6">
        <v>0</v>
      </c>
      <c r="I102" s="6">
        <v>3950</v>
      </c>
      <c r="J102" s="6">
        <v>0</v>
      </c>
      <c r="K102" s="6">
        <f t="shared" si="4"/>
        <v>3950</v>
      </c>
      <c r="L102" s="6">
        <v>1040</v>
      </c>
      <c r="M102" s="8">
        <v>2690</v>
      </c>
      <c r="N102" s="6">
        <v>23</v>
      </c>
      <c r="O102" s="8">
        <f t="shared" si="5"/>
        <v>15.663291139240506</v>
      </c>
      <c r="Q102" s="10">
        <v>4592</v>
      </c>
      <c r="R102" s="10">
        <f t="shared" si="6"/>
        <v>18138400</v>
      </c>
      <c r="S102" s="10">
        <f t="shared" si="7"/>
        <v>12352480</v>
      </c>
    </row>
    <row r="103" spans="1:19" x14ac:dyDescent="0.25">
      <c r="A103" s="2" t="s">
        <v>117</v>
      </c>
      <c r="B103" s="6" t="s">
        <v>17</v>
      </c>
      <c r="C103" s="6" t="s">
        <v>19</v>
      </c>
      <c r="D103" s="6">
        <v>10</v>
      </c>
      <c r="E103" s="6">
        <v>2150</v>
      </c>
      <c r="F103" s="6">
        <v>0</v>
      </c>
      <c r="G103" s="6">
        <v>0</v>
      </c>
      <c r="H103" s="6">
        <v>0</v>
      </c>
      <c r="I103" s="6">
        <v>1500</v>
      </c>
      <c r="J103" s="6">
        <v>0</v>
      </c>
      <c r="K103" s="6">
        <f t="shared" si="4"/>
        <v>1500</v>
      </c>
      <c r="L103" s="6">
        <v>650</v>
      </c>
      <c r="M103" s="8">
        <v>900</v>
      </c>
      <c r="N103" s="6">
        <v>23</v>
      </c>
      <c r="O103" s="8">
        <f t="shared" si="5"/>
        <v>13.799999999999999</v>
      </c>
      <c r="Q103" s="10">
        <v>2297</v>
      </c>
      <c r="R103" s="10">
        <f t="shared" si="6"/>
        <v>3445500</v>
      </c>
      <c r="S103" s="10">
        <f t="shared" si="7"/>
        <v>2067300</v>
      </c>
    </row>
    <row r="104" spans="1:19" x14ac:dyDescent="0.25">
      <c r="A104" s="2" t="s">
        <v>118</v>
      </c>
      <c r="B104" s="6" t="s">
        <v>17</v>
      </c>
      <c r="C104" s="6" t="s">
        <v>19</v>
      </c>
      <c r="D104" s="6">
        <v>10</v>
      </c>
      <c r="E104" s="6">
        <v>950</v>
      </c>
      <c r="F104" s="6">
        <v>0</v>
      </c>
      <c r="G104" s="6">
        <v>0</v>
      </c>
      <c r="H104" s="6">
        <v>0</v>
      </c>
      <c r="I104" s="6">
        <v>400</v>
      </c>
      <c r="J104" s="6">
        <v>0</v>
      </c>
      <c r="K104" s="6">
        <f t="shared" si="4"/>
        <v>400</v>
      </c>
      <c r="L104" s="6">
        <v>550</v>
      </c>
      <c r="M104" s="8">
        <v>550</v>
      </c>
      <c r="N104" s="6">
        <v>23</v>
      </c>
      <c r="O104" s="8">
        <f t="shared" si="5"/>
        <v>31.625</v>
      </c>
      <c r="Q104" s="10">
        <v>2616</v>
      </c>
      <c r="R104" s="10">
        <f t="shared" si="6"/>
        <v>1046400</v>
      </c>
      <c r="S104" s="10">
        <f t="shared" si="7"/>
        <v>1438800</v>
      </c>
    </row>
    <row r="105" spans="1:19" x14ac:dyDescent="0.25">
      <c r="A105" s="2" t="s">
        <v>119</v>
      </c>
      <c r="B105" s="6" t="s">
        <v>17</v>
      </c>
      <c r="C105" s="6" t="s">
        <v>19</v>
      </c>
      <c r="D105" s="6">
        <v>10</v>
      </c>
      <c r="E105" s="6">
        <v>8045</v>
      </c>
      <c r="F105" s="6">
        <v>10740</v>
      </c>
      <c r="G105" s="6">
        <v>0</v>
      </c>
      <c r="H105" s="6">
        <v>0</v>
      </c>
      <c r="I105" s="6">
        <v>14850</v>
      </c>
      <c r="J105" s="6">
        <v>0</v>
      </c>
      <c r="K105" s="6">
        <f t="shared" si="4"/>
        <v>14850</v>
      </c>
      <c r="L105" s="6">
        <v>3935</v>
      </c>
      <c r="M105" s="8">
        <v>7201</v>
      </c>
      <c r="N105" s="6">
        <v>23</v>
      </c>
      <c r="O105" s="8">
        <f t="shared" si="5"/>
        <v>11.153063973063974</v>
      </c>
      <c r="Q105" s="10">
        <v>1419</v>
      </c>
      <c r="R105" s="10">
        <f t="shared" si="6"/>
        <v>21072150</v>
      </c>
      <c r="S105" s="10">
        <f t="shared" si="7"/>
        <v>10218219</v>
      </c>
    </row>
    <row r="106" spans="1:19" x14ac:dyDescent="0.25">
      <c r="A106" s="2" t="s">
        <v>120</v>
      </c>
      <c r="B106" s="6" t="s">
        <v>17</v>
      </c>
      <c r="C106" s="6" t="s">
        <v>19</v>
      </c>
      <c r="D106" s="6">
        <v>10</v>
      </c>
      <c r="E106" s="6">
        <v>975</v>
      </c>
      <c r="F106" s="6">
        <v>967</v>
      </c>
      <c r="G106" s="6">
        <v>0</v>
      </c>
      <c r="H106" s="6">
        <v>0</v>
      </c>
      <c r="I106" s="6">
        <v>242</v>
      </c>
      <c r="J106" s="6">
        <v>0</v>
      </c>
      <c r="K106" s="6">
        <f t="shared" si="4"/>
        <v>242</v>
      </c>
      <c r="L106" s="6">
        <v>1700</v>
      </c>
      <c r="M106" s="8">
        <v>1522.3333333333301</v>
      </c>
      <c r="N106" s="6">
        <v>23</v>
      </c>
      <c r="O106" s="8">
        <f t="shared" si="5"/>
        <v>144.68457300275452</v>
      </c>
      <c r="Q106" s="10">
        <v>2616</v>
      </c>
      <c r="R106" s="10">
        <f t="shared" si="6"/>
        <v>633072</v>
      </c>
      <c r="S106" s="10">
        <f t="shared" si="7"/>
        <v>3982423.9999999916</v>
      </c>
    </row>
    <row r="107" spans="1:19" x14ac:dyDescent="0.25">
      <c r="A107" s="2" t="s">
        <v>121</v>
      </c>
      <c r="B107" s="6" t="s">
        <v>17</v>
      </c>
      <c r="C107" s="6" t="s">
        <v>19</v>
      </c>
      <c r="D107" s="6">
        <v>10</v>
      </c>
      <c r="E107" s="6">
        <v>2650</v>
      </c>
      <c r="F107" s="6">
        <v>8644</v>
      </c>
      <c r="G107" s="6">
        <v>0</v>
      </c>
      <c r="H107" s="6">
        <v>0</v>
      </c>
      <c r="I107" s="6">
        <v>8228</v>
      </c>
      <c r="J107" s="6">
        <v>0</v>
      </c>
      <c r="K107" s="6">
        <f t="shared" si="4"/>
        <v>8228</v>
      </c>
      <c r="L107" s="6">
        <v>3066</v>
      </c>
      <c r="M107" s="8">
        <v>4116.8888888888905</v>
      </c>
      <c r="N107" s="6">
        <v>23</v>
      </c>
      <c r="O107" s="8">
        <f t="shared" si="5"/>
        <v>11.508075406471132</v>
      </c>
      <c r="Q107" s="10">
        <v>2246</v>
      </c>
      <c r="R107" s="10">
        <f t="shared" si="6"/>
        <v>18480088</v>
      </c>
      <c r="S107" s="10">
        <f t="shared" si="7"/>
        <v>9246532.4444444478</v>
      </c>
    </row>
    <row r="108" spans="1:19" x14ac:dyDescent="0.25">
      <c r="A108" s="2" t="s">
        <v>122</v>
      </c>
      <c r="B108" s="6" t="s">
        <v>17</v>
      </c>
      <c r="C108" s="6" t="s">
        <v>19</v>
      </c>
      <c r="D108" s="6">
        <v>10</v>
      </c>
      <c r="E108" s="6">
        <v>6066</v>
      </c>
      <c r="F108" s="6">
        <v>4625</v>
      </c>
      <c r="G108" s="6">
        <v>0</v>
      </c>
      <c r="H108" s="6">
        <v>0</v>
      </c>
      <c r="I108" s="6">
        <v>200</v>
      </c>
      <c r="J108" s="6">
        <v>0</v>
      </c>
      <c r="K108" s="6">
        <f t="shared" si="4"/>
        <v>200</v>
      </c>
      <c r="L108" s="6">
        <v>10491</v>
      </c>
      <c r="M108" s="8">
        <v>10591</v>
      </c>
      <c r="N108" s="6">
        <v>23</v>
      </c>
      <c r="O108" s="8">
        <f t="shared" si="5"/>
        <v>1217.9649999999999</v>
      </c>
      <c r="Q108" s="10">
        <v>2355</v>
      </c>
      <c r="R108" s="10">
        <f t="shared" si="6"/>
        <v>471000</v>
      </c>
      <c r="S108" s="10">
        <f t="shared" si="7"/>
        <v>24941805</v>
      </c>
    </row>
    <row r="109" spans="1:19" x14ac:dyDescent="0.25">
      <c r="A109" s="2" t="s">
        <v>123</v>
      </c>
      <c r="B109" s="6" t="s">
        <v>17</v>
      </c>
      <c r="C109" s="6" t="s">
        <v>19</v>
      </c>
      <c r="D109" s="6">
        <v>10</v>
      </c>
      <c r="E109" s="6">
        <v>1275</v>
      </c>
      <c r="F109" s="6">
        <v>10241</v>
      </c>
      <c r="G109" s="6">
        <v>0</v>
      </c>
      <c r="H109" s="6">
        <v>0</v>
      </c>
      <c r="I109" s="6">
        <v>8950</v>
      </c>
      <c r="J109" s="6">
        <v>0</v>
      </c>
      <c r="K109" s="6">
        <f t="shared" si="4"/>
        <v>8950</v>
      </c>
      <c r="L109" s="6">
        <v>2566</v>
      </c>
      <c r="M109" s="8">
        <v>2279.5555555555597</v>
      </c>
      <c r="N109" s="6">
        <v>23</v>
      </c>
      <c r="O109" s="8">
        <f t="shared" si="5"/>
        <v>5.8580757293606567</v>
      </c>
      <c r="Q109" s="10">
        <v>2031</v>
      </c>
      <c r="R109" s="10">
        <f t="shared" si="6"/>
        <v>18177450</v>
      </c>
      <c r="S109" s="10">
        <f t="shared" si="7"/>
        <v>4629777.3333333414</v>
      </c>
    </row>
    <row r="110" spans="1:19" x14ac:dyDescent="0.25">
      <c r="A110" s="2" t="s">
        <v>124</v>
      </c>
      <c r="B110" s="6" t="s">
        <v>17</v>
      </c>
      <c r="C110" s="6" t="s">
        <v>19</v>
      </c>
      <c r="D110" s="6">
        <v>10</v>
      </c>
      <c r="E110" s="6">
        <v>3250</v>
      </c>
      <c r="F110" s="6">
        <v>5000</v>
      </c>
      <c r="G110" s="6">
        <v>0</v>
      </c>
      <c r="H110" s="6">
        <v>0</v>
      </c>
      <c r="I110" s="6">
        <v>3975</v>
      </c>
      <c r="J110" s="6">
        <v>0</v>
      </c>
      <c r="K110" s="6">
        <f t="shared" si="4"/>
        <v>3975</v>
      </c>
      <c r="L110" s="6">
        <v>4275</v>
      </c>
      <c r="M110" s="8">
        <v>3433.3333333333298</v>
      </c>
      <c r="N110" s="6">
        <v>23</v>
      </c>
      <c r="O110" s="8">
        <f t="shared" si="5"/>
        <v>19.865828092243166</v>
      </c>
      <c r="Q110" s="10">
        <v>2108</v>
      </c>
      <c r="R110" s="10">
        <f t="shared" si="6"/>
        <v>8379300</v>
      </c>
      <c r="S110" s="10">
        <f t="shared" si="7"/>
        <v>7237466.6666666595</v>
      </c>
    </row>
    <row r="111" spans="1:19" x14ac:dyDescent="0.25">
      <c r="A111" s="2" t="s">
        <v>125</v>
      </c>
      <c r="B111" s="6" t="s">
        <v>17</v>
      </c>
      <c r="C111" s="6" t="s">
        <v>19</v>
      </c>
      <c r="D111" s="6">
        <v>10</v>
      </c>
      <c r="E111" s="6">
        <v>525</v>
      </c>
      <c r="F111" s="6">
        <v>5000</v>
      </c>
      <c r="G111" s="6">
        <v>0</v>
      </c>
      <c r="H111" s="6">
        <v>0</v>
      </c>
      <c r="I111" s="6">
        <v>1275</v>
      </c>
      <c r="J111" s="6">
        <v>0</v>
      </c>
      <c r="K111" s="6">
        <f t="shared" si="4"/>
        <v>1275</v>
      </c>
      <c r="L111" s="6">
        <v>4250</v>
      </c>
      <c r="M111" s="8">
        <v>1666.6666666666702</v>
      </c>
      <c r="N111" s="6">
        <v>23</v>
      </c>
      <c r="O111" s="8">
        <f t="shared" si="5"/>
        <v>30.065359477124243</v>
      </c>
      <c r="Q111" s="10">
        <v>2173</v>
      </c>
      <c r="R111" s="10">
        <f t="shared" si="6"/>
        <v>2770575</v>
      </c>
      <c r="S111" s="10">
        <f t="shared" si="7"/>
        <v>3621666.6666666744</v>
      </c>
    </row>
    <row r="112" spans="1:19" x14ac:dyDescent="0.25">
      <c r="A112" s="2" t="s">
        <v>126</v>
      </c>
      <c r="B112" s="6" t="s">
        <v>17</v>
      </c>
      <c r="C112" s="6" t="s">
        <v>19</v>
      </c>
      <c r="D112" s="6">
        <v>10</v>
      </c>
      <c r="E112" s="6">
        <v>1350</v>
      </c>
      <c r="F112" s="6">
        <v>1050</v>
      </c>
      <c r="G112" s="6">
        <v>0</v>
      </c>
      <c r="H112" s="6">
        <v>0</v>
      </c>
      <c r="I112" s="6">
        <v>0</v>
      </c>
      <c r="J112" s="6">
        <v>0</v>
      </c>
      <c r="K112" s="6">
        <f t="shared" si="4"/>
        <v>0</v>
      </c>
      <c r="L112" s="6">
        <v>2400</v>
      </c>
      <c r="M112" s="8">
        <v>2400</v>
      </c>
      <c r="N112" s="6">
        <v>23</v>
      </c>
      <c r="O112" s="8">
        <v>0</v>
      </c>
      <c r="Q112" s="10">
        <v>2356</v>
      </c>
      <c r="R112" s="10">
        <f t="shared" si="6"/>
        <v>0</v>
      </c>
      <c r="S112" s="10">
        <f t="shared" si="7"/>
        <v>5654400</v>
      </c>
    </row>
    <row r="113" spans="1:19" x14ac:dyDescent="0.25">
      <c r="A113" s="2" t="s">
        <v>127</v>
      </c>
      <c r="B113" s="6" t="s">
        <v>17</v>
      </c>
      <c r="C113" s="6" t="s">
        <v>19</v>
      </c>
      <c r="D113" s="6">
        <v>10</v>
      </c>
      <c r="E113" s="6">
        <v>500</v>
      </c>
      <c r="F113" s="6">
        <v>0</v>
      </c>
      <c r="G113" s="6">
        <v>0</v>
      </c>
      <c r="H113" s="6">
        <v>0</v>
      </c>
      <c r="I113" s="6">
        <v>325</v>
      </c>
      <c r="J113" s="6">
        <v>0</v>
      </c>
      <c r="K113" s="6">
        <f t="shared" si="4"/>
        <v>325</v>
      </c>
      <c r="L113" s="6">
        <v>175</v>
      </c>
      <c r="M113" s="8">
        <v>175</v>
      </c>
      <c r="N113" s="6">
        <v>23</v>
      </c>
      <c r="O113" s="8">
        <f t="shared" si="5"/>
        <v>12.384615384615383</v>
      </c>
      <c r="Q113" s="10">
        <v>1993</v>
      </c>
      <c r="R113" s="10">
        <f t="shared" si="6"/>
        <v>647725</v>
      </c>
      <c r="S113" s="10">
        <f t="shared" si="7"/>
        <v>348775</v>
      </c>
    </row>
    <row r="114" spans="1:19" x14ac:dyDescent="0.25">
      <c r="A114" s="2" t="s">
        <v>128</v>
      </c>
      <c r="B114" s="6" t="s">
        <v>17</v>
      </c>
      <c r="C114" s="6" t="s">
        <v>19</v>
      </c>
      <c r="D114" s="6">
        <v>10</v>
      </c>
      <c r="E114" s="6">
        <v>1085</v>
      </c>
      <c r="F114" s="6">
        <v>1010</v>
      </c>
      <c r="G114" s="6">
        <v>0</v>
      </c>
      <c r="H114" s="6">
        <v>0</v>
      </c>
      <c r="I114" s="6">
        <v>1025</v>
      </c>
      <c r="J114" s="6">
        <v>0</v>
      </c>
      <c r="K114" s="6">
        <f t="shared" si="4"/>
        <v>1025</v>
      </c>
      <c r="L114" s="6">
        <v>1070</v>
      </c>
      <c r="M114" s="8">
        <v>1316.6666666666702</v>
      </c>
      <c r="N114" s="6">
        <v>23</v>
      </c>
      <c r="O114" s="8">
        <f t="shared" si="5"/>
        <v>29.544715447154552</v>
      </c>
      <c r="Q114" s="10">
        <v>2205</v>
      </c>
      <c r="R114" s="10">
        <f t="shared" si="6"/>
        <v>2260125</v>
      </c>
      <c r="S114" s="10">
        <f t="shared" si="7"/>
        <v>2903250.0000000079</v>
      </c>
    </row>
    <row r="115" spans="1:19" x14ac:dyDescent="0.25">
      <c r="A115" s="2" t="s">
        <v>129</v>
      </c>
      <c r="B115" s="6" t="s">
        <v>17</v>
      </c>
      <c r="C115" s="6" t="s">
        <v>19</v>
      </c>
      <c r="D115" s="6">
        <v>10</v>
      </c>
      <c r="E115" s="6">
        <v>3816</v>
      </c>
      <c r="F115" s="6">
        <v>2625</v>
      </c>
      <c r="G115" s="6">
        <v>0</v>
      </c>
      <c r="H115" s="6">
        <v>0</v>
      </c>
      <c r="I115" s="6">
        <v>5064</v>
      </c>
      <c r="J115" s="6">
        <v>2</v>
      </c>
      <c r="K115" s="6">
        <f t="shared" si="4"/>
        <v>5066</v>
      </c>
      <c r="L115" s="6">
        <v>1375</v>
      </c>
      <c r="M115" s="8">
        <v>1129.6000000000001</v>
      </c>
      <c r="N115" s="6">
        <v>23</v>
      </c>
      <c r="O115" s="8">
        <f t="shared" si="5"/>
        <v>5.1284642716146873</v>
      </c>
      <c r="Q115" s="10">
        <v>2503</v>
      </c>
      <c r="R115" s="10">
        <f t="shared" si="6"/>
        <v>12680198</v>
      </c>
      <c r="S115" s="10">
        <f t="shared" si="7"/>
        <v>2827388.8000000003</v>
      </c>
    </row>
    <row r="116" spans="1:19" x14ac:dyDescent="0.25">
      <c r="A116" s="2" t="s">
        <v>130</v>
      </c>
      <c r="B116" s="6" t="s">
        <v>17</v>
      </c>
      <c r="C116" s="6" t="s">
        <v>19</v>
      </c>
      <c r="D116" s="6">
        <v>10</v>
      </c>
      <c r="E116" s="6">
        <v>2625</v>
      </c>
      <c r="F116" s="6">
        <v>2625</v>
      </c>
      <c r="G116" s="6">
        <v>0</v>
      </c>
      <c r="H116" s="6">
        <v>0</v>
      </c>
      <c r="I116" s="6">
        <v>1250</v>
      </c>
      <c r="J116" s="6">
        <v>0</v>
      </c>
      <c r="K116" s="6">
        <f t="shared" si="4"/>
        <v>1250</v>
      </c>
      <c r="L116" s="6">
        <v>4000</v>
      </c>
      <c r="M116" s="8">
        <v>4625</v>
      </c>
      <c r="N116" s="6">
        <v>23</v>
      </c>
      <c r="O116" s="8">
        <f t="shared" si="5"/>
        <v>85.100000000000009</v>
      </c>
      <c r="Q116" s="10">
        <v>2355</v>
      </c>
      <c r="R116" s="10">
        <f t="shared" si="6"/>
        <v>2943750</v>
      </c>
      <c r="S116" s="10">
        <f t="shared" si="7"/>
        <v>10891875</v>
      </c>
    </row>
    <row r="117" spans="1:19" x14ac:dyDescent="0.25">
      <c r="A117" s="2" t="s">
        <v>131</v>
      </c>
      <c r="B117" s="6" t="s">
        <v>17</v>
      </c>
      <c r="C117" s="6" t="s">
        <v>19</v>
      </c>
      <c r="D117" s="6">
        <v>10</v>
      </c>
      <c r="E117" s="6">
        <v>2565</v>
      </c>
      <c r="F117" s="6">
        <v>2593</v>
      </c>
      <c r="G117" s="6">
        <v>0</v>
      </c>
      <c r="H117" s="6">
        <v>0</v>
      </c>
      <c r="I117" s="6">
        <v>2750</v>
      </c>
      <c r="J117" s="6">
        <v>0</v>
      </c>
      <c r="K117" s="6">
        <f t="shared" si="4"/>
        <v>2750</v>
      </c>
      <c r="L117" s="6">
        <v>2408</v>
      </c>
      <c r="M117" s="8">
        <v>2493.6</v>
      </c>
      <c r="N117" s="6">
        <v>23</v>
      </c>
      <c r="O117" s="8">
        <f t="shared" si="5"/>
        <v>20.855563636363634</v>
      </c>
      <c r="Q117" s="10">
        <v>2216</v>
      </c>
      <c r="R117" s="10">
        <f t="shared" si="6"/>
        <v>6094000</v>
      </c>
      <c r="S117" s="10">
        <f t="shared" si="7"/>
        <v>5525817.5999999996</v>
      </c>
    </row>
    <row r="118" spans="1:19" x14ac:dyDescent="0.25">
      <c r="A118" s="2" t="s">
        <v>132</v>
      </c>
      <c r="B118" s="6" t="s">
        <v>17</v>
      </c>
      <c r="C118" s="6" t="s">
        <v>19</v>
      </c>
      <c r="D118" s="6">
        <v>10</v>
      </c>
      <c r="E118" s="6">
        <v>3193</v>
      </c>
      <c r="F118" s="6">
        <v>1047</v>
      </c>
      <c r="G118" s="6">
        <v>0</v>
      </c>
      <c r="H118" s="6">
        <v>0</v>
      </c>
      <c r="I118" s="6">
        <v>2672</v>
      </c>
      <c r="J118" s="6">
        <v>0</v>
      </c>
      <c r="K118" s="6">
        <f t="shared" si="4"/>
        <v>2672</v>
      </c>
      <c r="L118" s="6">
        <v>1568</v>
      </c>
      <c r="M118" s="8">
        <v>1651.3333333333301</v>
      </c>
      <c r="N118" s="6">
        <v>23</v>
      </c>
      <c r="O118" s="8">
        <f t="shared" si="5"/>
        <v>14.214321357285401</v>
      </c>
      <c r="Q118" s="10">
        <v>1968</v>
      </c>
      <c r="R118" s="10">
        <f t="shared" si="6"/>
        <v>5258496</v>
      </c>
      <c r="S118" s="10">
        <f t="shared" si="7"/>
        <v>3249823.9999999935</v>
      </c>
    </row>
    <row r="119" spans="1:19" x14ac:dyDescent="0.25">
      <c r="A119" s="2" t="s">
        <v>133</v>
      </c>
      <c r="B119" s="6" t="s">
        <v>17</v>
      </c>
      <c r="C119" s="6" t="s">
        <v>19</v>
      </c>
      <c r="D119" s="6">
        <v>10</v>
      </c>
      <c r="E119" s="6">
        <v>3000</v>
      </c>
      <c r="F119" s="6">
        <v>0</v>
      </c>
      <c r="G119" s="6">
        <v>0</v>
      </c>
      <c r="H119" s="6">
        <v>0</v>
      </c>
      <c r="I119" s="6">
        <v>1500</v>
      </c>
      <c r="J119" s="6">
        <v>0</v>
      </c>
      <c r="K119" s="6">
        <f t="shared" si="4"/>
        <v>1500</v>
      </c>
      <c r="L119" s="6">
        <v>1500</v>
      </c>
      <c r="M119" s="8">
        <v>2345</v>
      </c>
      <c r="N119" s="6">
        <v>23</v>
      </c>
      <c r="O119" s="8">
        <f t="shared" si="5"/>
        <v>35.956666666666663</v>
      </c>
      <c r="Q119" s="10">
        <v>2297</v>
      </c>
      <c r="R119" s="10">
        <f t="shared" si="6"/>
        <v>3445500</v>
      </c>
      <c r="S119" s="10">
        <f t="shared" si="7"/>
        <v>5386465</v>
      </c>
    </row>
    <row r="120" spans="1:19" x14ac:dyDescent="0.25">
      <c r="A120" s="2" t="s">
        <v>134</v>
      </c>
      <c r="B120" s="6" t="s">
        <v>17</v>
      </c>
      <c r="C120" s="6" t="s">
        <v>19</v>
      </c>
      <c r="D120" s="6">
        <v>10</v>
      </c>
      <c r="E120" s="6">
        <v>175</v>
      </c>
      <c r="F120" s="6">
        <v>0</v>
      </c>
      <c r="G120" s="6">
        <v>0</v>
      </c>
      <c r="H120" s="6">
        <v>0</v>
      </c>
      <c r="I120" s="6">
        <v>175</v>
      </c>
      <c r="J120" s="6">
        <v>0</v>
      </c>
      <c r="K120" s="6">
        <f t="shared" si="4"/>
        <v>175</v>
      </c>
      <c r="L120" s="6">
        <v>0</v>
      </c>
      <c r="M120" s="8">
        <v>37.5</v>
      </c>
      <c r="N120" s="6">
        <v>23</v>
      </c>
      <c r="O120" s="8">
        <f t="shared" si="5"/>
        <v>4.9285714285714279</v>
      </c>
      <c r="Q120" s="10">
        <v>2616</v>
      </c>
      <c r="R120" s="10">
        <f t="shared" si="6"/>
        <v>457800</v>
      </c>
      <c r="S120" s="10">
        <f t="shared" si="7"/>
        <v>98100</v>
      </c>
    </row>
    <row r="121" spans="1:19" x14ac:dyDescent="0.25">
      <c r="A121" s="2" t="s">
        <v>135</v>
      </c>
      <c r="B121" s="6" t="s">
        <v>17</v>
      </c>
      <c r="C121" s="6" t="s">
        <v>19</v>
      </c>
      <c r="D121" s="6">
        <v>10</v>
      </c>
      <c r="E121" s="6">
        <v>2900</v>
      </c>
      <c r="F121" s="6">
        <v>0</v>
      </c>
      <c r="G121" s="6">
        <v>0</v>
      </c>
      <c r="H121" s="6">
        <v>0</v>
      </c>
      <c r="I121" s="6">
        <v>2900</v>
      </c>
      <c r="J121" s="6">
        <v>0</v>
      </c>
      <c r="K121" s="6">
        <f t="shared" si="4"/>
        <v>2900</v>
      </c>
      <c r="L121" s="6">
        <v>0</v>
      </c>
      <c r="M121" s="8">
        <v>700</v>
      </c>
      <c r="N121" s="6">
        <v>23</v>
      </c>
      <c r="O121" s="8">
        <f t="shared" si="5"/>
        <v>5.5517241379310347</v>
      </c>
      <c r="Q121" s="10">
        <v>1419</v>
      </c>
      <c r="R121" s="10">
        <f t="shared" si="6"/>
        <v>4115100</v>
      </c>
      <c r="S121" s="10">
        <f t="shared" si="7"/>
        <v>993300</v>
      </c>
    </row>
    <row r="122" spans="1:19" x14ac:dyDescent="0.25">
      <c r="A122" s="2" t="s">
        <v>136</v>
      </c>
      <c r="B122" s="6" t="s">
        <v>17</v>
      </c>
      <c r="C122" s="6" t="s">
        <v>19</v>
      </c>
      <c r="D122" s="6">
        <v>10</v>
      </c>
      <c r="E122" s="6">
        <v>796</v>
      </c>
      <c r="F122" s="6">
        <v>1050</v>
      </c>
      <c r="G122" s="6">
        <v>0</v>
      </c>
      <c r="H122" s="6">
        <v>0</v>
      </c>
      <c r="I122" s="6">
        <v>600</v>
      </c>
      <c r="J122" s="6">
        <v>0</v>
      </c>
      <c r="K122" s="6">
        <f t="shared" si="4"/>
        <v>600</v>
      </c>
      <c r="L122" s="6">
        <v>1246</v>
      </c>
      <c r="M122" s="8">
        <v>1546</v>
      </c>
      <c r="N122" s="6">
        <v>23</v>
      </c>
      <c r="O122" s="8">
        <f t="shared" si="5"/>
        <v>59.263333333333335</v>
      </c>
      <c r="Q122" s="10">
        <v>2355</v>
      </c>
      <c r="R122" s="10">
        <f t="shared" si="6"/>
        <v>1413000</v>
      </c>
      <c r="S122" s="10">
        <f t="shared" si="7"/>
        <v>3640830</v>
      </c>
    </row>
    <row r="123" spans="1:19" x14ac:dyDescent="0.25">
      <c r="A123" s="2" t="s">
        <v>137</v>
      </c>
      <c r="B123" s="6" t="s">
        <v>17</v>
      </c>
      <c r="C123" s="6" t="s">
        <v>19</v>
      </c>
      <c r="D123" s="6">
        <v>10</v>
      </c>
      <c r="E123" s="6">
        <v>2900</v>
      </c>
      <c r="F123" s="6">
        <v>0</v>
      </c>
      <c r="G123" s="6">
        <v>0</v>
      </c>
      <c r="H123" s="6">
        <v>0</v>
      </c>
      <c r="I123" s="6">
        <v>775</v>
      </c>
      <c r="J123" s="6">
        <v>0</v>
      </c>
      <c r="K123" s="6">
        <f t="shared" si="4"/>
        <v>775</v>
      </c>
      <c r="L123" s="6">
        <v>2125</v>
      </c>
      <c r="M123" s="8">
        <v>2387.5</v>
      </c>
      <c r="N123" s="6">
        <v>23</v>
      </c>
      <c r="O123" s="8">
        <f t="shared" si="5"/>
        <v>70.854838709677423</v>
      </c>
      <c r="Q123" s="10">
        <v>2372</v>
      </c>
      <c r="R123" s="10">
        <f t="shared" si="6"/>
        <v>1838300</v>
      </c>
      <c r="S123" s="10">
        <f t="shared" si="7"/>
        <v>5663150</v>
      </c>
    </row>
    <row r="124" spans="1:19" x14ac:dyDescent="0.25">
      <c r="A124" s="2" t="s">
        <v>138</v>
      </c>
      <c r="B124" s="6" t="s">
        <v>17</v>
      </c>
      <c r="C124" s="6" t="s">
        <v>19</v>
      </c>
      <c r="D124" s="6">
        <v>10</v>
      </c>
      <c r="E124" s="6">
        <v>750</v>
      </c>
      <c r="F124" s="6">
        <v>850</v>
      </c>
      <c r="G124" s="6">
        <v>0</v>
      </c>
      <c r="H124" s="6">
        <v>0</v>
      </c>
      <c r="I124" s="6">
        <v>1600</v>
      </c>
      <c r="J124" s="6">
        <v>0</v>
      </c>
      <c r="K124" s="6">
        <f t="shared" si="4"/>
        <v>1600</v>
      </c>
      <c r="L124" s="6">
        <v>0</v>
      </c>
      <c r="M124" s="8">
        <v>340</v>
      </c>
      <c r="N124" s="6">
        <v>23</v>
      </c>
      <c r="O124" s="8">
        <f t="shared" si="5"/>
        <v>4.8875000000000002</v>
      </c>
      <c r="Q124" s="10">
        <v>3482</v>
      </c>
      <c r="R124" s="10">
        <f t="shared" si="6"/>
        <v>5571200</v>
      </c>
      <c r="S124" s="10">
        <f t="shared" si="7"/>
        <v>1183880</v>
      </c>
    </row>
    <row r="125" spans="1:19" x14ac:dyDescent="0.25">
      <c r="A125" s="2" t="s">
        <v>139</v>
      </c>
      <c r="B125" s="6" t="s">
        <v>17</v>
      </c>
      <c r="C125" s="6" t="s">
        <v>19</v>
      </c>
      <c r="D125" s="6">
        <v>10</v>
      </c>
      <c r="E125" s="6">
        <v>1425</v>
      </c>
      <c r="F125" s="6">
        <v>1050</v>
      </c>
      <c r="G125" s="6">
        <v>0</v>
      </c>
      <c r="H125" s="6">
        <v>0</v>
      </c>
      <c r="I125" s="6">
        <v>1775</v>
      </c>
      <c r="J125" s="6">
        <v>0</v>
      </c>
      <c r="K125" s="6">
        <f t="shared" si="4"/>
        <v>1775</v>
      </c>
      <c r="L125" s="6">
        <v>700</v>
      </c>
      <c r="M125" s="8">
        <v>1533.3333333333301</v>
      </c>
      <c r="N125" s="6">
        <v>23</v>
      </c>
      <c r="O125" s="8">
        <f t="shared" si="5"/>
        <v>19.868544600938925</v>
      </c>
      <c r="Q125" s="10">
        <v>2555</v>
      </c>
      <c r="R125" s="10">
        <f t="shared" si="6"/>
        <v>4535125</v>
      </c>
      <c r="S125" s="10">
        <f t="shared" si="7"/>
        <v>3917666.6666666581</v>
      </c>
    </row>
    <row r="126" spans="1:19" x14ac:dyDescent="0.25">
      <c r="A126" s="2" t="s">
        <v>140</v>
      </c>
      <c r="B126" s="6" t="s">
        <v>17</v>
      </c>
      <c r="C126" s="6" t="s">
        <v>19</v>
      </c>
      <c r="D126" s="6">
        <v>10</v>
      </c>
      <c r="E126" s="6">
        <v>1050</v>
      </c>
      <c r="F126" s="6">
        <v>1050</v>
      </c>
      <c r="G126" s="6">
        <v>0</v>
      </c>
      <c r="H126" s="6">
        <v>0</v>
      </c>
      <c r="I126" s="6">
        <v>1050</v>
      </c>
      <c r="J126" s="6">
        <v>0</v>
      </c>
      <c r="K126" s="6">
        <f t="shared" si="4"/>
        <v>1050</v>
      </c>
      <c r="L126" s="6">
        <v>1050</v>
      </c>
      <c r="M126" s="8">
        <v>1675</v>
      </c>
      <c r="N126" s="6">
        <v>23</v>
      </c>
      <c r="O126" s="8">
        <f t="shared" si="5"/>
        <v>36.69047619047619</v>
      </c>
      <c r="Q126" s="10">
        <v>3665</v>
      </c>
      <c r="R126" s="10">
        <f t="shared" si="6"/>
        <v>3848250</v>
      </c>
      <c r="S126" s="10">
        <f t="shared" si="7"/>
        <v>6138875</v>
      </c>
    </row>
    <row r="127" spans="1:19" x14ac:dyDescent="0.25">
      <c r="A127" s="2" t="s">
        <v>141</v>
      </c>
      <c r="B127" s="6" t="s">
        <v>17</v>
      </c>
      <c r="C127" s="6" t="s">
        <v>19</v>
      </c>
      <c r="D127" s="6">
        <v>10</v>
      </c>
      <c r="E127" s="6">
        <v>1675</v>
      </c>
      <c r="F127" s="6">
        <v>4400</v>
      </c>
      <c r="G127" s="6">
        <v>0</v>
      </c>
      <c r="H127" s="6">
        <v>0</v>
      </c>
      <c r="I127" s="6">
        <v>4575</v>
      </c>
      <c r="J127" s="6">
        <v>0</v>
      </c>
      <c r="K127" s="6">
        <f t="shared" si="4"/>
        <v>4575</v>
      </c>
      <c r="L127" s="6">
        <v>1500</v>
      </c>
      <c r="M127" s="8">
        <v>1731.25</v>
      </c>
      <c r="N127" s="6">
        <v>23</v>
      </c>
      <c r="O127" s="8">
        <f t="shared" si="5"/>
        <v>8.7035519125683063</v>
      </c>
      <c r="Q127" s="10">
        <v>1904</v>
      </c>
      <c r="R127" s="10">
        <f t="shared" si="6"/>
        <v>8710800</v>
      </c>
      <c r="S127" s="10">
        <f t="shared" si="7"/>
        <v>3296300</v>
      </c>
    </row>
    <row r="128" spans="1:19" x14ac:dyDescent="0.25">
      <c r="A128" s="2" t="s">
        <v>142</v>
      </c>
      <c r="B128" s="6" t="s">
        <v>17</v>
      </c>
      <c r="C128" s="6" t="s">
        <v>19</v>
      </c>
      <c r="D128" s="6">
        <v>10</v>
      </c>
      <c r="E128" s="6">
        <v>900</v>
      </c>
      <c r="F128" s="6">
        <v>4000</v>
      </c>
      <c r="G128" s="6">
        <v>0</v>
      </c>
      <c r="H128" s="6">
        <v>0</v>
      </c>
      <c r="I128" s="6">
        <v>0</v>
      </c>
      <c r="J128" s="6">
        <v>0</v>
      </c>
      <c r="K128" s="6">
        <f t="shared" si="4"/>
        <v>0</v>
      </c>
      <c r="L128" s="6">
        <v>4900</v>
      </c>
      <c r="M128" s="8">
        <v>3650</v>
      </c>
      <c r="N128" s="6">
        <v>23</v>
      </c>
      <c r="O128" s="8">
        <v>0</v>
      </c>
      <c r="Q128" s="10">
        <v>994</v>
      </c>
      <c r="R128" s="10">
        <f t="shared" si="6"/>
        <v>0</v>
      </c>
      <c r="S128" s="10">
        <f t="shared" si="7"/>
        <v>3628100</v>
      </c>
    </row>
    <row r="129" spans="1:19" x14ac:dyDescent="0.25">
      <c r="A129" s="2" t="s">
        <v>143</v>
      </c>
      <c r="B129" s="6" t="s">
        <v>17</v>
      </c>
      <c r="C129" s="6" t="s">
        <v>19</v>
      </c>
      <c r="D129" s="6">
        <v>10</v>
      </c>
      <c r="E129" s="6">
        <v>1500</v>
      </c>
      <c r="F129" s="6">
        <v>2925</v>
      </c>
      <c r="G129" s="6">
        <v>0</v>
      </c>
      <c r="H129" s="6">
        <v>0</v>
      </c>
      <c r="I129" s="6">
        <v>1500</v>
      </c>
      <c r="J129" s="6">
        <v>0</v>
      </c>
      <c r="K129" s="6">
        <f t="shared" si="4"/>
        <v>1500</v>
      </c>
      <c r="L129" s="6">
        <v>2925</v>
      </c>
      <c r="M129" s="8">
        <v>1450</v>
      </c>
      <c r="N129" s="6">
        <v>23</v>
      </c>
      <c r="O129" s="8">
        <f t="shared" si="5"/>
        <v>22.233333333333334</v>
      </c>
      <c r="Q129" s="10">
        <v>994</v>
      </c>
      <c r="R129" s="10">
        <f t="shared" si="6"/>
        <v>1491000</v>
      </c>
      <c r="S129" s="10">
        <f t="shared" si="7"/>
        <v>1441300</v>
      </c>
    </row>
    <row r="130" spans="1:19" x14ac:dyDescent="0.25">
      <c r="A130" s="2" t="s">
        <v>144</v>
      </c>
      <c r="B130" s="6" t="s">
        <v>17</v>
      </c>
      <c r="C130" s="6" t="s">
        <v>19</v>
      </c>
      <c r="D130" s="6">
        <v>10</v>
      </c>
      <c r="E130" s="6">
        <v>2040</v>
      </c>
      <c r="F130" s="6">
        <v>0</v>
      </c>
      <c r="G130" s="6">
        <v>0</v>
      </c>
      <c r="H130" s="6">
        <v>0</v>
      </c>
      <c r="I130" s="6">
        <v>1020</v>
      </c>
      <c r="J130" s="6">
        <v>0</v>
      </c>
      <c r="K130" s="6">
        <f t="shared" si="4"/>
        <v>1020</v>
      </c>
      <c r="L130" s="6">
        <v>1020</v>
      </c>
      <c r="M130" s="8">
        <v>1370</v>
      </c>
      <c r="N130" s="6">
        <v>23</v>
      </c>
      <c r="O130" s="8">
        <f t="shared" si="5"/>
        <v>30.892156862745097</v>
      </c>
      <c r="Q130" s="10">
        <v>3489</v>
      </c>
      <c r="R130" s="10">
        <f t="shared" si="6"/>
        <v>3558780</v>
      </c>
      <c r="S130" s="10">
        <f t="shared" si="7"/>
        <v>4779930</v>
      </c>
    </row>
    <row r="131" spans="1:19" x14ac:dyDescent="0.25">
      <c r="A131" s="2" t="s">
        <v>169</v>
      </c>
      <c r="B131" s="6" t="s">
        <v>17</v>
      </c>
      <c r="C131" s="6" t="s">
        <v>19</v>
      </c>
      <c r="D131" s="6">
        <v>10</v>
      </c>
      <c r="E131" s="6">
        <v>1050</v>
      </c>
      <c r="F131" s="6">
        <v>0</v>
      </c>
      <c r="G131" s="6">
        <v>0</v>
      </c>
      <c r="H131" s="6">
        <v>0</v>
      </c>
      <c r="I131" s="6">
        <v>175</v>
      </c>
      <c r="J131" s="6">
        <v>0</v>
      </c>
      <c r="K131" s="6">
        <f t="shared" ref="K131:K168" si="8">I131+J131</f>
        <v>175</v>
      </c>
      <c r="L131" s="6">
        <v>875</v>
      </c>
      <c r="M131" s="8">
        <v>900</v>
      </c>
      <c r="N131" s="6">
        <v>23</v>
      </c>
      <c r="O131" s="8">
        <f t="shared" ref="O131:O162" si="9">(M131/(I131+J131))*N131</f>
        <v>118.28571428571429</v>
      </c>
      <c r="Q131" s="10">
        <v>3162</v>
      </c>
      <c r="R131" s="10">
        <f t="shared" ref="R131:R145" si="10">Q131*(I131+J131)</f>
        <v>553350</v>
      </c>
      <c r="S131" s="10">
        <f t="shared" ref="S131:S145" si="11">Q131*M131</f>
        <v>2845800</v>
      </c>
    </row>
    <row r="132" spans="1:19" x14ac:dyDescent="0.25">
      <c r="A132" s="2" t="s">
        <v>170</v>
      </c>
      <c r="B132" s="6" t="s">
        <v>17</v>
      </c>
      <c r="C132" s="6" t="s">
        <v>19</v>
      </c>
      <c r="D132" s="6">
        <v>10</v>
      </c>
      <c r="E132" s="6">
        <v>850</v>
      </c>
      <c r="F132" s="6">
        <v>5775</v>
      </c>
      <c r="G132" s="6">
        <v>0</v>
      </c>
      <c r="H132" s="6">
        <v>0</v>
      </c>
      <c r="I132" s="6">
        <v>4225</v>
      </c>
      <c r="J132" s="6">
        <v>0</v>
      </c>
      <c r="K132" s="6">
        <f t="shared" si="8"/>
        <v>4225</v>
      </c>
      <c r="L132" s="6">
        <v>2400</v>
      </c>
      <c r="M132" s="8">
        <v>2207.6923076923104</v>
      </c>
      <c r="N132" s="6">
        <v>23</v>
      </c>
      <c r="O132" s="8">
        <f t="shared" si="9"/>
        <v>12.018206645425595</v>
      </c>
      <c r="Q132" s="10">
        <v>3567</v>
      </c>
      <c r="R132" s="10">
        <f t="shared" si="10"/>
        <v>15070575</v>
      </c>
      <c r="S132" s="10">
        <f t="shared" si="11"/>
        <v>7874838.4615384713</v>
      </c>
    </row>
    <row r="133" spans="1:19" x14ac:dyDescent="0.25">
      <c r="A133" s="2" t="s">
        <v>171</v>
      </c>
      <c r="B133" s="6" t="s">
        <v>17</v>
      </c>
      <c r="C133" s="6" t="s">
        <v>19</v>
      </c>
      <c r="D133" s="6">
        <v>10</v>
      </c>
      <c r="E133" s="6">
        <v>1225</v>
      </c>
      <c r="F133" s="6">
        <v>0</v>
      </c>
      <c r="G133" s="6">
        <v>0</v>
      </c>
      <c r="H133" s="6">
        <v>0</v>
      </c>
      <c r="I133" s="6">
        <v>200</v>
      </c>
      <c r="J133" s="6">
        <v>0</v>
      </c>
      <c r="K133" s="6">
        <f t="shared" si="8"/>
        <v>200</v>
      </c>
      <c r="L133" s="6">
        <v>1025</v>
      </c>
      <c r="M133" s="8">
        <v>1075</v>
      </c>
      <c r="N133" s="6">
        <v>23</v>
      </c>
      <c r="O133" s="8">
        <f t="shared" si="9"/>
        <v>123.625</v>
      </c>
      <c r="Q133" s="10">
        <v>3850</v>
      </c>
      <c r="R133" s="10">
        <f t="shared" si="10"/>
        <v>770000</v>
      </c>
      <c r="S133" s="10">
        <f t="shared" si="11"/>
        <v>4138750</v>
      </c>
    </row>
    <row r="134" spans="1:19" x14ac:dyDescent="0.25">
      <c r="A134" s="2" t="s">
        <v>172</v>
      </c>
      <c r="B134" s="6" t="s">
        <v>17</v>
      </c>
      <c r="C134" s="6" t="s">
        <v>19</v>
      </c>
      <c r="D134" s="6">
        <v>10</v>
      </c>
      <c r="E134" s="6">
        <v>1500</v>
      </c>
      <c r="F134" s="6">
        <v>0</v>
      </c>
      <c r="G134" s="6">
        <v>0</v>
      </c>
      <c r="H134" s="6">
        <v>0</v>
      </c>
      <c r="I134" s="6">
        <v>1000</v>
      </c>
      <c r="J134" s="6">
        <v>0</v>
      </c>
      <c r="K134" s="6">
        <f t="shared" si="8"/>
        <v>1000</v>
      </c>
      <c r="L134" s="6">
        <v>500</v>
      </c>
      <c r="M134" s="8">
        <v>750</v>
      </c>
      <c r="N134" s="6">
        <v>23</v>
      </c>
      <c r="O134" s="8">
        <f t="shared" si="9"/>
        <v>17.25</v>
      </c>
      <c r="Q134" s="10">
        <v>1402</v>
      </c>
      <c r="R134" s="10">
        <f t="shared" si="10"/>
        <v>1402000</v>
      </c>
      <c r="S134" s="10">
        <f t="shared" si="11"/>
        <v>1051500</v>
      </c>
    </row>
    <row r="135" spans="1:19" x14ac:dyDescent="0.25">
      <c r="A135" s="2" t="s">
        <v>146</v>
      </c>
      <c r="B135" s="6" t="s">
        <v>17</v>
      </c>
      <c r="C135" s="6" t="s">
        <v>19</v>
      </c>
      <c r="D135" s="6">
        <v>10</v>
      </c>
      <c r="E135" s="6">
        <v>825</v>
      </c>
      <c r="F135" s="6">
        <v>13828</v>
      </c>
      <c r="G135" s="6">
        <v>0</v>
      </c>
      <c r="H135" s="6">
        <v>0</v>
      </c>
      <c r="I135" s="6">
        <v>12437</v>
      </c>
      <c r="J135" s="6">
        <v>7</v>
      </c>
      <c r="K135" s="6">
        <f t="shared" si="8"/>
        <v>12444</v>
      </c>
      <c r="L135" s="6">
        <v>2209</v>
      </c>
      <c r="M135" s="8">
        <v>1990.9333333333302</v>
      </c>
      <c r="N135" s="6">
        <v>23</v>
      </c>
      <c r="O135" s="8">
        <f t="shared" si="9"/>
        <v>3.6798028501017837</v>
      </c>
      <c r="Q135" s="10">
        <v>6112</v>
      </c>
      <c r="R135" s="10">
        <f t="shared" si="10"/>
        <v>76057728</v>
      </c>
      <c r="S135" s="10">
        <f t="shared" si="11"/>
        <v>12168584.533333315</v>
      </c>
    </row>
    <row r="136" spans="1:19" x14ac:dyDescent="0.25">
      <c r="A136" s="2" t="s">
        <v>147</v>
      </c>
      <c r="B136" s="6" t="s">
        <v>17</v>
      </c>
      <c r="C136" s="6" t="s">
        <v>19</v>
      </c>
      <c r="D136" s="6">
        <v>10</v>
      </c>
      <c r="E136" s="6">
        <v>2197</v>
      </c>
      <c r="F136" s="6">
        <v>1000</v>
      </c>
      <c r="G136" s="6">
        <v>0</v>
      </c>
      <c r="H136" s="6">
        <v>0</v>
      </c>
      <c r="I136" s="6">
        <v>1100</v>
      </c>
      <c r="J136" s="6">
        <v>0</v>
      </c>
      <c r="K136" s="6">
        <f t="shared" si="8"/>
        <v>1100</v>
      </c>
      <c r="L136" s="6">
        <v>2097</v>
      </c>
      <c r="M136" s="8">
        <v>1713.6666666666702</v>
      </c>
      <c r="N136" s="6">
        <v>23</v>
      </c>
      <c r="O136" s="8">
        <f t="shared" si="9"/>
        <v>35.831212121212189</v>
      </c>
      <c r="Q136" s="10">
        <v>2392</v>
      </c>
      <c r="R136" s="10">
        <f t="shared" si="10"/>
        <v>2631200</v>
      </c>
      <c r="S136" s="10">
        <f t="shared" si="11"/>
        <v>4099090.6666666749</v>
      </c>
    </row>
    <row r="137" spans="1:19" x14ac:dyDescent="0.25">
      <c r="A137" s="2" t="s">
        <v>148</v>
      </c>
      <c r="B137" s="6" t="s">
        <v>17</v>
      </c>
      <c r="C137" s="6" t="s">
        <v>19</v>
      </c>
      <c r="D137" s="6">
        <v>10</v>
      </c>
      <c r="E137" s="6">
        <v>799</v>
      </c>
      <c r="F137" s="6">
        <v>1020</v>
      </c>
      <c r="G137" s="6">
        <v>0</v>
      </c>
      <c r="H137" s="6">
        <v>0</v>
      </c>
      <c r="I137" s="6">
        <v>775</v>
      </c>
      <c r="J137" s="6">
        <v>0</v>
      </c>
      <c r="K137" s="6">
        <f t="shared" si="8"/>
        <v>775</v>
      </c>
      <c r="L137" s="6">
        <v>1044</v>
      </c>
      <c r="M137" s="8">
        <v>534</v>
      </c>
      <c r="N137" s="6">
        <v>23</v>
      </c>
      <c r="O137" s="8">
        <f t="shared" si="9"/>
        <v>15.847741935483873</v>
      </c>
      <c r="Q137" s="10">
        <v>2651</v>
      </c>
      <c r="R137" s="10">
        <f t="shared" si="10"/>
        <v>2054525</v>
      </c>
      <c r="S137" s="10">
        <f t="shared" si="11"/>
        <v>1415634</v>
      </c>
    </row>
    <row r="138" spans="1:19" x14ac:dyDescent="0.25">
      <c r="A138" s="2" t="s">
        <v>149</v>
      </c>
      <c r="B138" s="6" t="s">
        <v>17</v>
      </c>
      <c r="C138" s="6" t="s">
        <v>19</v>
      </c>
      <c r="D138" s="6">
        <v>10</v>
      </c>
      <c r="E138" s="6">
        <v>1566</v>
      </c>
      <c r="F138" s="6">
        <v>1040</v>
      </c>
      <c r="G138" s="6">
        <v>0</v>
      </c>
      <c r="H138" s="6">
        <v>0</v>
      </c>
      <c r="I138" s="6">
        <v>500</v>
      </c>
      <c r="J138" s="6">
        <v>0</v>
      </c>
      <c r="K138" s="6">
        <f t="shared" si="8"/>
        <v>500</v>
      </c>
      <c r="L138" s="6">
        <v>2106</v>
      </c>
      <c r="M138" s="8">
        <v>1546</v>
      </c>
      <c r="N138" s="6">
        <v>23</v>
      </c>
      <c r="O138" s="8">
        <f t="shared" si="9"/>
        <v>71.116</v>
      </c>
      <c r="Q138" s="10">
        <v>4343</v>
      </c>
      <c r="R138" s="10">
        <f t="shared" si="10"/>
        <v>2171500</v>
      </c>
      <c r="S138" s="10">
        <f t="shared" si="11"/>
        <v>6714278</v>
      </c>
    </row>
    <row r="139" spans="1:19" x14ac:dyDescent="0.25">
      <c r="A139" s="2" t="s">
        <v>150</v>
      </c>
      <c r="B139" s="6" t="s">
        <v>17</v>
      </c>
      <c r="C139" s="6" t="s">
        <v>19</v>
      </c>
      <c r="D139" s="6">
        <v>10</v>
      </c>
      <c r="E139" s="6">
        <v>2496</v>
      </c>
      <c r="F139" s="6">
        <v>0</v>
      </c>
      <c r="G139" s="6">
        <v>0</v>
      </c>
      <c r="H139" s="6">
        <v>0</v>
      </c>
      <c r="I139" s="6">
        <v>700</v>
      </c>
      <c r="J139" s="6">
        <v>0</v>
      </c>
      <c r="K139" s="6">
        <f t="shared" si="8"/>
        <v>700</v>
      </c>
      <c r="L139" s="6">
        <v>1796</v>
      </c>
      <c r="M139" s="8">
        <v>2021</v>
      </c>
      <c r="N139" s="6">
        <v>23</v>
      </c>
      <c r="O139" s="8">
        <f t="shared" si="9"/>
        <v>66.404285714285706</v>
      </c>
      <c r="Q139" s="10">
        <v>2970</v>
      </c>
      <c r="R139" s="10">
        <f t="shared" si="10"/>
        <v>2079000</v>
      </c>
      <c r="S139" s="10">
        <f t="shared" si="11"/>
        <v>6002370</v>
      </c>
    </row>
    <row r="140" spans="1:19" x14ac:dyDescent="0.25">
      <c r="A140" s="2" t="s">
        <v>151</v>
      </c>
      <c r="B140" s="6" t="s">
        <v>17</v>
      </c>
      <c r="C140" s="6" t="s">
        <v>19</v>
      </c>
      <c r="D140" s="6">
        <v>10</v>
      </c>
      <c r="E140" s="6">
        <v>1834</v>
      </c>
      <c r="F140" s="6">
        <v>1563</v>
      </c>
      <c r="G140" s="6">
        <v>0</v>
      </c>
      <c r="H140" s="6">
        <v>0</v>
      </c>
      <c r="I140" s="6">
        <v>1075</v>
      </c>
      <c r="J140" s="6">
        <v>0</v>
      </c>
      <c r="K140" s="6">
        <f t="shared" si="8"/>
        <v>1075</v>
      </c>
      <c r="L140" s="6">
        <v>2322</v>
      </c>
      <c r="M140" s="8">
        <v>1655</v>
      </c>
      <c r="N140" s="6">
        <v>23</v>
      </c>
      <c r="O140" s="8">
        <f t="shared" si="9"/>
        <v>35.409302325581393</v>
      </c>
      <c r="Q140" s="10">
        <v>2970</v>
      </c>
      <c r="R140" s="10">
        <f t="shared" si="10"/>
        <v>3192750</v>
      </c>
      <c r="S140" s="10">
        <f t="shared" si="11"/>
        <v>4915350</v>
      </c>
    </row>
    <row r="141" spans="1:19" x14ac:dyDescent="0.25">
      <c r="A141" s="2" t="s">
        <v>152</v>
      </c>
      <c r="B141" s="6" t="s">
        <v>17</v>
      </c>
      <c r="C141" s="6" t="s">
        <v>19</v>
      </c>
      <c r="D141" s="6">
        <v>10</v>
      </c>
      <c r="E141" s="6">
        <v>1230</v>
      </c>
      <c r="F141" s="6">
        <v>0</v>
      </c>
      <c r="G141" s="6">
        <v>0</v>
      </c>
      <c r="H141" s="6">
        <v>0</v>
      </c>
      <c r="I141" s="6">
        <v>100</v>
      </c>
      <c r="J141" s="6">
        <v>0</v>
      </c>
      <c r="K141" s="6">
        <f t="shared" si="8"/>
        <v>100</v>
      </c>
      <c r="L141" s="6">
        <v>1130</v>
      </c>
      <c r="M141" s="8">
        <v>1155</v>
      </c>
      <c r="N141" s="6">
        <v>23</v>
      </c>
      <c r="O141" s="8">
        <f t="shared" si="9"/>
        <v>265.65000000000003</v>
      </c>
      <c r="Q141" s="10">
        <v>2607</v>
      </c>
      <c r="R141" s="10">
        <f t="shared" si="10"/>
        <v>260700</v>
      </c>
      <c r="S141" s="10">
        <f t="shared" si="11"/>
        <v>3011085</v>
      </c>
    </row>
    <row r="142" spans="1:19" x14ac:dyDescent="0.25">
      <c r="A142" s="2" t="s">
        <v>153</v>
      </c>
      <c r="B142" s="6" t="s">
        <v>17</v>
      </c>
      <c r="C142" s="6" t="s">
        <v>19</v>
      </c>
      <c r="D142" s="6">
        <v>10</v>
      </c>
      <c r="E142" s="6">
        <v>3550</v>
      </c>
      <c r="F142" s="6">
        <v>1000</v>
      </c>
      <c r="G142" s="6">
        <v>0</v>
      </c>
      <c r="H142" s="6">
        <v>0</v>
      </c>
      <c r="I142" s="6">
        <v>1825</v>
      </c>
      <c r="J142" s="6">
        <v>0</v>
      </c>
      <c r="K142" s="6">
        <f t="shared" si="8"/>
        <v>1825</v>
      </c>
      <c r="L142" s="6">
        <v>2725</v>
      </c>
      <c r="M142" s="8">
        <v>3312.5</v>
      </c>
      <c r="N142" s="6">
        <v>23</v>
      </c>
      <c r="O142" s="8">
        <f t="shared" si="9"/>
        <v>41.746575342465754</v>
      </c>
      <c r="Q142" s="10">
        <v>1928</v>
      </c>
      <c r="R142" s="10">
        <f t="shared" si="10"/>
        <v>3518600</v>
      </c>
      <c r="S142" s="10">
        <f t="shared" si="11"/>
        <v>6386500</v>
      </c>
    </row>
    <row r="143" spans="1:19" x14ac:dyDescent="0.25">
      <c r="A143" s="2" t="s">
        <v>154</v>
      </c>
      <c r="B143" s="6" t="s">
        <v>17</v>
      </c>
      <c r="C143" s="6" t="s">
        <v>19</v>
      </c>
      <c r="D143" s="6">
        <v>10</v>
      </c>
      <c r="E143" s="6">
        <v>6175</v>
      </c>
      <c r="F143" s="6">
        <v>0</v>
      </c>
      <c r="G143" s="6">
        <v>0</v>
      </c>
      <c r="H143" s="6">
        <v>0</v>
      </c>
      <c r="I143" s="6">
        <v>2500</v>
      </c>
      <c r="J143" s="6">
        <v>0</v>
      </c>
      <c r="K143" s="6">
        <f t="shared" si="8"/>
        <v>2500</v>
      </c>
      <c r="L143" s="6">
        <v>3675</v>
      </c>
      <c r="M143" s="8">
        <v>3675</v>
      </c>
      <c r="N143" s="6">
        <v>23</v>
      </c>
      <c r="O143" s="8">
        <f t="shared" si="9"/>
        <v>33.81</v>
      </c>
      <c r="Q143" s="10">
        <v>2129</v>
      </c>
      <c r="R143" s="10">
        <f t="shared" si="10"/>
        <v>5322500</v>
      </c>
      <c r="S143" s="10">
        <f t="shared" si="11"/>
        <v>7824075</v>
      </c>
    </row>
    <row r="144" spans="1:19" x14ac:dyDescent="0.25">
      <c r="A144" s="2" t="s">
        <v>155</v>
      </c>
      <c r="B144" s="6" t="s">
        <v>17</v>
      </c>
      <c r="C144" s="6" t="s">
        <v>19</v>
      </c>
      <c r="D144" s="6">
        <v>10</v>
      </c>
      <c r="E144" s="6">
        <v>49382</v>
      </c>
      <c r="F144" s="6">
        <v>0</v>
      </c>
      <c r="G144" s="6">
        <v>0</v>
      </c>
      <c r="H144" s="6">
        <v>0</v>
      </c>
      <c r="I144" s="6">
        <v>4500</v>
      </c>
      <c r="J144" s="6">
        <v>0</v>
      </c>
      <c r="K144" s="6">
        <f t="shared" si="8"/>
        <v>4500</v>
      </c>
      <c r="L144" s="6">
        <v>44882</v>
      </c>
      <c r="M144" s="8">
        <v>45632</v>
      </c>
      <c r="N144" s="6">
        <v>23</v>
      </c>
      <c r="O144" s="8">
        <f t="shared" si="9"/>
        <v>233.23022222222221</v>
      </c>
      <c r="Q144" s="10">
        <v>2177</v>
      </c>
      <c r="R144" s="10">
        <f t="shared" si="10"/>
        <v>9796500</v>
      </c>
      <c r="S144" s="10">
        <f t="shared" si="11"/>
        <v>99340864</v>
      </c>
    </row>
    <row r="145" spans="1:19" x14ac:dyDescent="0.25">
      <c r="A145" s="2" t="s">
        <v>156</v>
      </c>
      <c r="B145" s="6" t="s">
        <v>17</v>
      </c>
      <c r="C145" s="6" t="s">
        <v>19</v>
      </c>
      <c r="D145" s="6">
        <v>10</v>
      </c>
      <c r="E145" s="6">
        <v>4980</v>
      </c>
      <c r="F145" s="6">
        <v>26800</v>
      </c>
      <c r="G145" s="6">
        <v>0</v>
      </c>
      <c r="H145" s="6">
        <v>0</v>
      </c>
      <c r="I145" s="6">
        <v>22505</v>
      </c>
      <c r="J145" s="6">
        <v>0</v>
      </c>
      <c r="K145" s="6">
        <f t="shared" si="8"/>
        <v>22505</v>
      </c>
      <c r="L145" s="6">
        <v>9275</v>
      </c>
      <c r="M145" s="8">
        <v>4770.909090909091</v>
      </c>
      <c r="N145" s="6">
        <v>23</v>
      </c>
      <c r="O145" s="8">
        <f t="shared" si="9"/>
        <v>4.8758457716467047</v>
      </c>
      <c r="Q145" s="10">
        <v>2177</v>
      </c>
      <c r="R145" s="10">
        <f t="shared" si="10"/>
        <v>48993385</v>
      </c>
      <c r="S145" s="10">
        <f t="shared" si="11"/>
        <v>10386269.090909092</v>
      </c>
    </row>
    <row r="146" spans="1:19" x14ac:dyDescent="0.25">
      <c r="A146" s="2" t="s">
        <v>157</v>
      </c>
      <c r="B146" s="6" t="s">
        <v>17</v>
      </c>
      <c r="C146" s="6" t="s">
        <v>19</v>
      </c>
      <c r="D146" s="6">
        <v>10</v>
      </c>
      <c r="E146" s="6">
        <v>10770</v>
      </c>
      <c r="F146" s="6">
        <v>5300</v>
      </c>
      <c r="G146" s="6">
        <v>0</v>
      </c>
      <c r="H146" s="6">
        <v>0</v>
      </c>
      <c r="I146" s="6">
        <v>6800</v>
      </c>
      <c r="J146" s="6">
        <v>9</v>
      </c>
      <c r="K146" s="6">
        <f t="shared" si="8"/>
        <v>6809</v>
      </c>
      <c r="L146" s="6">
        <v>9261</v>
      </c>
      <c r="M146" s="8">
        <v>13399.6</v>
      </c>
      <c r="N146" s="6">
        <v>23</v>
      </c>
      <c r="O146" s="8">
        <f t="shared" si="9"/>
        <v>45.262270524306068</v>
      </c>
      <c r="Q146" s="10">
        <v>2177</v>
      </c>
      <c r="R146" s="10">
        <f t="shared" ref="R146:R162" si="12">Q146*(I146+J146)</f>
        <v>14823193</v>
      </c>
      <c r="S146" s="10">
        <f t="shared" ref="S146:S162" si="13">Q146*M146</f>
        <v>29170929.199999999</v>
      </c>
    </row>
    <row r="147" spans="1:19" x14ac:dyDescent="0.25">
      <c r="A147" s="2" t="s">
        <v>158</v>
      </c>
      <c r="B147" s="6" t="s">
        <v>17</v>
      </c>
      <c r="C147" s="6" t="s">
        <v>19</v>
      </c>
      <c r="D147" s="6">
        <v>10</v>
      </c>
      <c r="E147" s="6">
        <v>871</v>
      </c>
      <c r="F147" s="6">
        <v>14175</v>
      </c>
      <c r="G147" s="6">
        <v>0</v>
      </c>
      <c r="H147" s="6">
        <v>0</v>
      </c>
      <c r="I147" s="6">
        <v>9450</v>
      </c>
      <c r="J147" s="6">
        <v>0</v>
      </c>
      <c r="K147" s="6">
        <f t="shared" si="8"/>
        <v>9450</v>
      </c>
      <c r="L147" s="6">
        <v>5596</v>
      </c>
      <c r="M147" s="8">
        <v>3929.3333333333298</v>
      </c>
      <c r="N147" s="6">
        <v>23</v>
      </c>
      <c r="O147" s="8">
        <f t="shared" si="9"/>
        <v>9.563456790123448</v>
      </c>
      <c r="Q147" s="10">
        <v>1948</v>
      </c>
      <c r="R147" s="10">
        <f t="shared" si="12"/>
        <v>18408600</v>
      </c>
      <c r="S147" s="10">
        <f t="shared" si="13"/>
        <v>7654341.3333333265</v>
      </c>
    </row>
    <row r="148" spans="1:19" x14ac:dyDescent="0.25">
      <c r="A148" s="2" t="s">
        <v>159</v>
      </c>
      <c r="B148" s="6" t="s">
        <v>17</v>
      </c>
      <c r="C148" s="6" t="s">
        <v>19</v>
      </c>
      <c r="D148" s="6">
        <v>10</v>
      </c>
      <c r="E148" s="6">
        <v>1500</v>
      </c>
      <c r="F148" s="6">
        <v>1425</v>
      </c>
      <c r="G148" s="6">
        <v>0</v>
      </c>
      <c r="H148" s="6">
        <v>0</v>
      </c>
      <c r="I148" s="6">
        <v>1425</v>
      </c>
      <c r="J148" s="6">
        <v>0</v>
      </c>
      <c r="K148" s="6">
        <f t="shared" si="8"/>
        <v>1425</v>
      </c>
      <c r="L148" s="6">
        <v>1500</v>
      </c>
      <c r="M148" s="8">
        <v>2275</v>
      </c>
      <c r="N148" s="6">
        <v>23</v>
      </c>
      <c r="O148" s="8">
        <f t="shared" si="9"/>
        <v>36.719298245614034</v>
      </c>
      <c r="Q148" s="10">
        <v>1989</v>
      </c>
      <c r="R148" s="10">
        <f t="shared" si="12"/>
        <v>2834325</v>
      </c>
      <c r="S148" s="10">
        <f t="shared" si="13"/>
        <v>4524975</v>
      </c>
    </row>
    <row r="149" spans="1:19" x14ac:dyDescent="0.25">
      <c r="A149" s="2" t="s">
        <v>160</v>
      </c>
      <c r="B149" s="6" t="s">
        <v>17</v>
      </c>
      <c r="C149" s="6" t="s">
        <v>19</v>
      </c>
      <c r="D149" s="6">
        <v>10</v>
      </c>
      <c r="E149" s="6">
        <v>12775</v>
      </c>
      <c r="F149" s="6">
        <v>10000</v>
      </c>
      <c r="G149" s="6">
        <v>0</v>
      </c>
      <c r="H149" s="6">
        <v>0</v>
      </c>
      <c r="I149" s="6">
        <v>14725</v>
      </c>
      <c r="J149" s="6">
        <v>0</v>
      </c>
      <c r="K149" s="6">
        <f t="shared" si="8"/>
        <v>14725</v>
      </c>
      <c r="L149" s="6">
        <v>8050</v>
      </c>
      <c r="M149" s="8">
        <v>7977.7777777777801</v>
      </c>
      <c r="N149" s="6">
        <v>23</v>
      </c>
      <c r="O149" s="8">
        <f t="shared" si="9"/>
        <v>12.461045085832865</v>
      </c>
      <c r="Q149" s="10">
        <v>2181</v>
      </c>
      <c r="R149" s="10">
        <f t="shared" si="12"/>
        <v>32115225</v>
      </c>
      <c r="S149" s="10">
        <f t="shared" si="13"/>
        <v>17399533.33333334</v>
      </c>
    </row>
    <row r="150" spans="1:19" x14ac:dyDescent="0.25">
      <c r="A150" s="2" t="s">
        <v>173</v>
      </c>
      <c r="B150" s="6" t="s">
        <v>17</v>
      </c>
      <c r="C150" s="6" t="s">
        <v>19</v>
      </c>
      <c r="D150" s="6">
        <v>10</v>
      </c>
      <c r="E150" s="6">
        <v>15875</v>
      </c>
      <c r="F150" s="6">
        <v>9950</v>
      </c>
      <c r="G150" s="6">
        <v>0</v>
      </c>
      <c r="H150" s="6">
        <v>0</v>
      </c>
      <c r="I150" s="6">
        <v>18675</v>
      </c>
      <c r="J150" s="6">
        <v>0</v>
      </c>
      <c r="K150" s="6">
        <f t="shared" si="8"/>
        <v>18675</v>
      </c>
      <c r="L150" s="6">
        <v>7150</v>
      </c>
      <c r="M150" s="8">
        <v>9032.6923076923104</v>
      </c>
      <c r="N150" s="6">
        <v>23</v>
      </c>
      <c r="O150" s="8">
        <f t="shared" si="9"/>
        <v>11.124600967974466</v>
      </c>
      <c r="Q150" s="10">
        <v>2181</v>
      </c>
      <c r="R150" s="10">
        <f t="shared" si="12"/>
        <v>40730175</v>
      </c>
      <c r="S150" s="10">
        <f t="shared" si="13"/>
        <v>19700301.923076928</v>
      </c>
    </row>
    <row r="151" spans="1:19" x14ac:dyDescent="0.25">
      <c r="A151" s="2" t="s">
        <v>174</v>
      </c>
      <c r="B151" s="6" t="s">
        <v>17</v>
      </c>
      <c r="C151" s="6" t="s">
        <v>19</v>
      </c>
      <c r="D151" s="6">
        <v>10</v>
      </c>
      <c r="E151" s="6">
        <v>18225</v>
      </c>
      <c r="F151" s="6">
        <v>0</v>
      </c>
      <c r="G151" s="6">
        <v>0</v>
      </c>
      <c r="H151" s="6">
        <v>0</v>
      </c>
      <c r="I151" s="6">
        <v>6800</v>
      </c>
      <c r="J151" s="6">
        <v>0</v>
      </c>
      <c r="K151" s="6">
        <f t="shared" si="8"/>
        <v>6800</v>
      </c>
      <c r="L151" s="6">
        <v>11425</v>
      </c>
      <c r="M151" s="8">
        <v>14275</v>
      </c>
      <c r="N151" s="6">
        <v>23</v>
      </c>
      <c r="O151" s="8">
        <f t="shared" si="9"/>
        <v>48.283088235294116</v>
      </c>
      <c r="Q151" s="10">
        <v>2181</v>
      </c>
      <c r="R151" s="10">
        <f t="shared" si="12"/>
        <v>14830800</v>
      </c>
      <c r="S151" s="10">
        <f t="shared" si="13"/>
        <v>31133775</v>
      </c>
    </row>
    <row r="152" spans="1:19" x14ac:dyDescent="0.25">
      <c r="A152" s="2" t="s">
        <v>161</v>
      </c>
      <c r="B152" s="6" t="s">
        <v>17</v>
      </c>
      <c r="C152" s="6" t="s">
        <v>19</v>
      </c>
      <c r="D152" s="6">
        <v>10</v>
      </c>
      <c r="E152" s="6">
        <v>13630</v>
      </c>
      <c r="F152" s="6">
        <v>4225</v>
      </c>
      <c r="G152" s="6">
        <v>0</v>
      </c>
      <c r="H152" s="6">
        <v>0</v>
      </c>
      <c r="I152" s="6">
        <v>17559</v>
      </c>
      <c r="J152" s="6">
        <v>250</v>
      </c>
      <c r="K152" s="6">
        <f t="shared" si="8"/>
        <v>17809</v>
      </c>
      <c r="L152" s="6">
        <v>46</v>
      </c>
      <c r="M152" s="8">
        <v>1804.2</v>
      </c>
      <c r="N152" s="6">
        <v>23</v>
      </c>
      <c r="O152" s="8">
        <f t="shared" si="9"/>
        <v>2.3300915267561346</v>
      </c>
      <c r="Q152" s="10">
        <v>2208</v>
      </c>
      <c r="R152" s="10">
        <f t="shared" si="12"/>
        <v>39322272</v>
      </c>
      <c r="S152" s="10">
        <f t="shared" si="13"/>
        <v>3983673.6</v>
      </c>
    </row>
    <row r="153" spans="1:19" x14ac:dyDescent="0.25">
      <c r="A153" s="2" t="s">
        <v>162</v>
      </c>
      <c r="B153" s="6" t="s">
        <v>17</v>
      </c>
      <c r="C153" s="6" t="s">
        <v>19</v>
      </c>
      <c r="D153" s="6">
        <v>10</v>
      </c>
      <c r="E153" s="6">
        <v>1478</v>
      </c>
      <c r="F153" s="6">
        <v>0</v>
      </c>
      <c r="G153" s="6">
        <v>0</v>
      </c>
      <c r="H153" s="6">
        <v>0</v>
      </c>
      <c r="I153" s="6">
        <v>0</v>
      </c>
      <c r="J153" s="6">
        <v>1478</v>
      </c>
      <c r="K153" s="6">
        <f t="shared" si="8"/>
        <v>1478</v>
      </c>
      <c r="L153" s="6">
        <v>0</v>
      </c>
      <c r="M153" s="8">
        <v>0</v>
      </c>
      <c r="N153" s="6">
        <v>23</v>
      </c>
      <c r="O153" s="8">
        <f t="shared" si="9"/>
        <v>0</v>
      </c>
      <c r="Q153" s="10">
        <v>2245</v>
      </c>
      <c r="R153" s="10">
        <f>Q153*(I153+J153)</f>
        <v>3318110</v>
      </c>
      <c r="S153" s="10">
        <f t="shared" si="13"/>
        <v>0</v>
      </c>
    </row>
    <row r="154" spans="1:19" x14ac:dyDescent="0.25">
      <c r="A154" s="2" t="s">
        <v>175</v>
      </c>
      <c r="B154" s="6" t="s">
        <v>16</v>
      </c>
      <c r="C154" s="6" t="s">
        <v>19</v>
      </c>
      <c r="D154" s="6">
        <v>10</v>
      </c>
      <c r="E154" s="6">
        <v>5000</v>
      </c>
      <c r="F154" s="6">
        <v>155400</v>
      </c>
      <c r="G154" s="6">
        <v>0</v>
      </c>
      <c r="H154" s="6">
        <v>0</v>
      </c>
      <c r="I154" s="6">
        <v>145825</v>
      </c>
      <c r="J154" s="6">
        <v>0</v>
      </c>
      <c r="K154" s="6">
        <f t="shared" si="8"/>
        <v>145825</v>
      </c>
      <c r="L154" s="6">
        <v>14575</v>
      </c>
      <c r="M154" s="8">
        <v>16078.5714285714</v>
      </c>
      <c r="N154" s="6">
        <v>23</v>
      </c>
      <c r="O154" s="8">
        <f t="shared" si="9"/>
        <v>2.5359653204672874</v>
      </c>
      <c r="Q154" s="10">
        <v>2208</v>
      </c>
      <c r="R154" s="10">
        <f t="shared" si="12"/>
        <v>321981600</v>
      </c>
      <c r="S154" s="10">
        <f t="shared" si="13"/>
        <v>35501485.714285649</v>
      </c>
    </row>
    <row r="155" spans="1:19" x14ac:dyDescent="0.25">
      <c r="A155" s="2" t="s">
        <v>176</v>
      </c>
      <c r="B155" s="6" t="s">
        <v>16</v>
      </c>
      <c r="C155" s="6" t="s">
        <v>19</v>
      </c>
      <c r="D155" s="6">
        <v>10</v>
      </c>
      <c r="E155" s="6">
        <v>3800</v>
      </c>
      <c r="F155" s="6">
        <v>41325</v>
      </c>
      <c r="G155" s="6">
        <v>0</v>
      </c>
      <c r="H155" s="6">
        <v>0</v>
      </c>
      <c r="I155" s="6">
        <v>34850</v>
      </c>
      <c r="J155" s="6">
        <v>0</v>
      </c>
      <c r="K155" s="6">
        <f t="shared" si="8"/>
        <v>34850</v>
      </c>
      <c r="L155" s="6">
        <v>10275</v>
      </c>
      <c r="M155" s="8">
        <v>5926.3636363636406</v>
      </c>
      <c r="N155" s="6">
        <v>23</v>
      </c>
      <c r="O155" s="8">
        <f t="shared" si="9"/>
        <v>3.9112299465240672</v>
      </c>
      <c r="Q155" s="10">
        <v>2245</v>
      </c>
      <c r="R155" s="10">
        <f t="shared" si="12"/>
        <v>78238250</v>
      </c>
      <c r="S155" s="10">
        <f t="shared" si="13"/>
        <v>13304686.363636373</v>
      </c>
    </row>
    <row r="156" spans="1:19" x14ac:dyDescent="0.25">
      <c r="A156" s="2" t="s">
        <v>163</v>
      </c>
      <c r="B156" s="6" t="s">
        <v>17</v>
      </c>
      <c r="C156" s="6" t="s">
        <v>19</v>
      </c>
      <c r="D156" s="6">
        <v>10</v>
      </c>
      <c r="E156" s="6">
        <v>15738</v>
      </c>
      <c r="F156" s="6">
        <v>58720</v>
      </c>
      <c r="G156" s="6">
        <v>0</v>
      </c>
      <c r="H156" s="6">
        <v>0</v>
      </c>
      <c r="I156" s="6">
        <v>66265</v>
      </c>
      <c r="J156" s="6">
        <v>0</v>
      </c>
      <c r="K156" s="6">
        <f t="shared" si="8"/>
        <v>66265</v>
      </c>
      <c r="L156" s="6">
        <v>8193</v>
      </c>
      <c r="M156" s="8">
        <v>9697.5454545454504</v>
      </c>
      <c r="N156" s="6">
        <v>23</v>
      </c>
      <c r="O156" s="8">
        <f t="shared" si="9"/>
        <v>3.3659329277076186</v>
      </c>
      <c r="Q156" s="10">
        <v>2355</v>
      </c>
      <c r="R156" s="10">
        <f t="shared" si="12"/>
        <v>156054075</v>
      </c>
      <c r="S156" s="10">
        <f t="shared" si="13"/>
        <v>22837719.545454536</v>
      </c>
    </row>
    <row r="157" spans="1:19" x14ac:dyDescent="0.25">
      <c r="A157" s="2" t="s">
        <v>177</v>
      </c>
      <c r="B157" s="6" t="s">
        <v>17</v>
      </c>
      <c r="C157" s="6" t="s">
        <v>19</v>
      </c>
      <c r="D157" s="6">
        <v>10</v>
      </c>
      <c r="E157" s="6">
        <v>2692</v>
      </c>
      <c r="F157" s="6">
        <v>11164</v>
      </c>
      <c r="G157" s="6">
        <v>0</v>
      </c>
      <c r="H157" s="6">
        <v>0</v>
      </c>
      <c r="I157" s="6">
        <v>6150</v>
      </c>
      <c r="J157" s="6">
        <v>0</v>
      </c>
      <c r="K157" s="6">
        <f t="shared" si="8"/>
        <v>6150</v>
      </c>
      <c r="L157" s="6">
        <v>7706</v>
      </c>
      <c r="M157" s="8">
        <v>4098.6666666666697</v>
      </c>
      <c r="N157" s="6">
        <v>23</v>
      </c>
      <c r="O157" s="8">
        <f t="shared" si="9"/>
        <v>15.328346883468846</v>
      </c>
      <c r="Q157" s="10">
        <v>2021</v>
      </c>
      <c r="R157" s="10">
        <f t="shared" si="12"/>
        <v>12429150</v>
      </c>
      <c r="S157" s="10">
        <f t="shared" si="13"/>
        <v>8283405.3333333395</v>
      </c>
    </row>
    <row r="158" spans="1:19" x14ac:dyDescent="0.25">
      <c r="A158" s="2" t="s">
        <v>178</v>
      </c>
      <c r="B158" s="6" t="s">
        <v>17</v>
      </c>
      <c r="C158" s="6" t="s">
        <v>19</v>
      </c>
      <c r="D158" s="6">
        <v>10</v>
      </c>
      <c r="E158" s="6">
        <v>3993</v>
      </c>
      <c r="F158" s="6">
        <v>6000</v>
      </c>
      <c r="G158" s="6">
        <v>0</v>
      </c>
      <c r="H158" s="6">
        <v>0</v>
      </c>
      <c r="I158" s="6">
        <v>2825</v>
      </c>
      <c r="J158" s="6">
        <v>0</v>
      </c>
      <c r="K158" s="6">
        <f t="shared" si="8"/>
        <v>2825</v>
      </c>
      <c r="L158" s="6">
        <v>7168</v>
      </c>
      <c r="M158" s="8">
        <v>8205.5</v>
      </c>
      <c r="N158" s="6">
        <v>23</v>
      </c>
      <c r="O158" s="8">
        <f t="shared" si="9"/>
        <v>66.805840707964606</v>
      </c>
      <c r="Q158" s="10">
        <v>2021</v>
      </c>
      <c r="R158" s="10">
        <f t="shared" si="12"/>
        <v>5709325</v>
      </c>
      <c r="S158" s="10">
        <f t="shared" si="13"/>
        <v>16583315.5</v>
      </c>
    </row>
    <row r="159" spans="1:19" x14ac:dyDescent="0.25">
      <c r="A159" s="2" t="s">
        <v>179</v>
      </c>
      <c r="B159" s="6" t="s">
        <v>17</v>
      </c>
      <c r="C159" s="6" t="s">
        <v>19</v>
      </c>
      <c r="D159" s="6">
        <v>10</v>
      </c>
      <c r="E159" s="6">
        <v>16395</v>
      </c>
      <c r="F159" s="6">
        <v>0</v>
      </c>
      <c r="G159" s="6">
        <v>0</v>
      </c>
      <c r="H159" s="6">
        <v>0</v>
      </c>
      <c r="I159" s="6">
        <v>11155</v>
      </c>
      <c r="J159" s="6">
        <v>40</v>
      </c>
      <c r="K159" s="6">
        <f t="shared" si="8"/>
        <v>11195</v>
      </c>
      <c r="L159" s="6">
        <v>5200</v>
      </c>
      <c r="M159" s="8">
        <v>10453.888888888901</v>
      </c>
      <c r="N159" s="6">
        <v>23</v>
      </c>
      <c r="O159" s="8">
        <f t="shared" si="9"/>
        <v>21.477395662746289</v>
      </c>
      <c r="Q159" s="10">
        <v>2021</v>
      </c>
      <c r="R159" s="10">
        <f t="shared" si="12"/>
        <v>22625095</v>
      </c>
      <c r="S159" s="10">
        <f t="shared" si="13"/>
        <v>21127309.44444447</v>
      </c>
    </row>
    <row r="160" spans="1:19" x14ac:dyDescent="0.25">
      <c r="A160" s="2" t="s">
        <v>180</v>
      </c>
      <c r="B160" s="6" t="s">
        <v>17</v>
      </c>
      <c r="C160" s="6" t="s">
        <v>19</v>
      </c>
      <c r="D160" s="6">
        <v>10</v>
      </c>
      <c r="E160" s="6">
        <v>3575</v>
      </c>
      <c r="F160" s="6">
        <v>14869</v>
      </c>
      <c r="G160" s="6">
        <v>0</v>
      </c>
      <c r="H160" s="6">
        <v>0</v>
      </c>
      <c r="I160" s="6">
        <v>12444</v>
      </c>
      <c r="J160" s="6">
        <v>0</v>
      </c>
      <c r="K160" s="6">
        <f t="shared" si="8"/>
        <v>12444</v>
      </c>
      <c r="L160" s="6">
        <v>6000</v>
      </c>
      <c r="M160" s="8">
        <v>4300</v>
      </c>
      <c r="N160" s="6">
        <v>23</v>
      </c>
      <c r="O160" s="8">
        <f t="shared" si="9"/>
        <v>7.947605271616843</v>
      </c>
      <c r="Q160" s="10">
        <v>2846</v>
      </c>
      <c r="R160" s="10">
        <f t="shared" si="12"/>
        <v>35415624</v>
      </c>
      <c r="S160" s="10">
        <f t="shared" si="13"/>
        <v>12237800</v>
      </c>
    </row>
    <row r="161" spans="1:19" x14ac:dyDescent="0.25">
      <c r="A161" s="2" t="s">
        <v>181</v>
      </c>
      <c r="B161" s="6" t="s">
        <v>17</v>
      </c>
      <c r="C161" s="6" t="s">
        <v>19</v>
      </c>
      <c r="D161" s="6">
        <v>10</v>
      </c>
      <c r="E161" s="6">
        <v>3975</v>
      </c>
      <c r="F161" s="6">
        <v>11502</v>
      </c>
      <c r="G161" s="6">
        <v>0</v>
      </c>
      <c r="H161" s="6">
        <v>0</v>
      </c>
      <c r="I161" s="6">
        <v>13014</v>
      </c>
      <c r="J161" s="6">
        <v>0</v>
      </c>
      <c r="K161" s="6">
        <f t="shared" si="8"/>
        <v>13014</v>
      </c>
      <c r="L161" s="6">
        <v>2463</v>
      </c>
      <c r="M161" s="8">
        <v>3558</v>
      </c>
      <c r="N161" s="6">
        <v>23</v>
      </c>
      <c r="O161" s="8">
        <f t="shared" si="9"/>
        <v>6.2881512217611792</v>
      </c>
      <c r="Q161" s="10">
        <v>7550</v>
      </c>
      <c r="R161" s="10">
        <f t="shared" si="12"/>
        <v>98255700</v>
      </c>
      <c r="S161" s="10">
        <f t="shared" si="13"/>
        <v>26862900</v>
      </c>
    </row>
    <row r="162" spans="1:19" x14ac:dyDescent="0.25">
      <c r="A162" s="20" t="s">
        <v>182</v>
      </c>
      <c r="B162" s="6" t="s">
        <v>17</v>
      </c>
      <c r="C162" s="6" t="s">
        <v>19</v>
      </c>
      <c r="D162" s="6">
        <v>10</v>
      </c>
      <c r="E162" s="6">
        <v>1700</v>
      </c>
      <c r="F162" s="6">
        <v>3625</v>
      </c>
      <c r="G162" s="6">
        <v>0</v>
      </c>
      <c r="H162" s="6">
        <v>0</v>
      </c>
      <c r="I162" s="6">
        <v>2425</v>
      </c>
      <c r="J162" s="6">
        <v>0</v>
      </c>
      <c r="K162" s="6">
        <f t="shared" si="8"/>
        <v>2425</v>
      </c>
      <c r="L162" s="6">
        <v>2900</v>
      </c>
      <c r="M162" s="8">
        <v>1780</v>
      </c>
      <c r="N162" s="6">
        <v>23</v>
      </c>
      <c r="O162" s="8">
        <f t="shared" si="9"/>
        <v>16.882474226804124</v>
      </c>
      <c r="Q162" s="10">
        <v>2658</v>
      </c>
      <c r="R162" s="10">
        <f t="shared" si="12"/>
        <v>6445650</v>
      </c>
      <c r="S162" s="10">
        <f t="shared" si="13"/>
        <v>4731240</v>
      </c>
    </row>
    <row r="163" spans="1:19" ht="17.25" x14ac:dyDescent="0.4">
      <c r="A163" s="17" t="s">
        <v>18</v>
      </c>
      <c r="B163" s="17"/>
      <c r="C163" s="17"/>
      <c r="D163" s="17"/>
      <c r="E163" s="18">
        <f>SUM(E2:E162)</f>
        <v>1577324</v>
      </c>
      <c r="F163" s="18">
        <f t="shared" ref="F163:M163" si="14">SUM(F2:F162)</f>
        <v>5245399</v>
      </c>
      <c r="G163" s="18">
        <f t="shared" si="14"/>
        <v>0</v>
      </c>
      <c r="H163" s="18">
        <f t="shared" si="14"/>
        <v>0</v>
      </c>
      <c r="I163" s="18">
        <f t="shared" si="14"/>
        <v>5425412</v>
      </c>
      <c r="J163" s="18">
        <f t="shared" si="14"/>
        <v>23475</v>
      </c>
      <c r="K163" s="18">
        <f t="shared" si="8"/>
        <v>5448887</v>
      </c>
      <c r="L163" s="18">
        <f t="shared" si="14"/>
        <v>1373836</v>
      </c>
      <c r="M163" s="18">
        <f t="shared" si="14"/>
        <v>1457537.3748939792</v>
      </c>
      <c r="N163" s="18">
        <v>23</v>
      </c>
      <c r="O163" s="18">
        <f>(M163/(I163+J163))*N163</f>
        <v>6.1523315903892888</v>
      </c>
      <c r="R163" s="13">
        <f>SUM(R2:R162)</f>
        <v>11931412377</v>
      </c>
      <c r="S163" s="13">
        <f>SUM(S2:S162)</f>
        <v>3373815630.730679</v>
      </c>
    </row>
    <row r="164" spans="1:19" x14ac:dyDescent="0.25">
      <c r="K164" s="6"/>
    </row>
    <row r="165" spans="1:19" x14ac:dyDescent="0.25">
      <c r="K165" s="6"/>
      <c r="Q165" s="11" t="s">
        <v>186</v>
      </c>
      <c r="R165" s="12">
        <v>5.1999999999999998E-3</v>
      </c>
    </row>
    <row r="166" spans="1:19" x14ac:dyDescent="0.25">
      <c r="K166" s="6"/>
      <c r="Q166" s="11" t="s">
        <v>187</v>
      </c>
      <c r="R166" s="15">
        <f>(S163*R165)/R163</f>
        <v>1.4703909919012205E-3</v>
      </c>
    </row>
    <row r="167" spans="1:19" x14ac:dyDescent="0.25">
      <c r="K167" s="6"/>
      <c r="Q167" s="11" t="s">
        <v>188</v>
      </c>
      <c r="R167" s="15">
        <v>1.5100000000000001E-3</v>
      </c>
    </row>
    <row r="168" spans="1:19" x14ac:dyDescent="0.25">
      <c r="K168" s="6"/>
      <c r="Q168" s="11" t="s">
        <v>202</v>
      </c>
      <c r="R168" s="19">
        <f>(S163/R163)*N163</f>
        <v>6.5036524641784768</v>
      </c>
    </row>
  </sheetData>
  <autoFilter ref="A1:S181" xr:uid="{D79C5E03-8315-4CF9-A418-882A82BD095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E9B6-5FB7-4273-B01D-72E48035A33E}">
  <dimension ref="A1:S164"/>
  <sheetViews>
    <sheetView topLeftCell="D1" workbookViewId="0">
      <pane ySplit="1" topLeftCell="A149" activePane="bottomLeft" state="frozen"/>
      <selection pane="bottomLeft" activeCell="M161" sqref="M161"/>
    </sheetView>
  </sheetViews>
  <sheetFormatPr defaultRowHeight="15" x14ac:dyDescent="0.25"/>
  <cols>
    <col min="1" max="1" width="13.7109375" style="5" bestFit="1" customWidth="1"/>
    <col min="2" max="2" width="18.85546875" style="7" customWidth="1"/>
    <col min="3" max="3" width="9.140625" style="4"/>
    <col min="4" max="4" width="11.85546875" style="4" customWidth="1"/>
    <col min="5" max="5" width="11.5703125" style="4" customWidth="1"/>
    <col min="6" max="6" width="10.85546875" style="4" customWidth="1"/>
    <col min="7" max="8" width="9.140625" style="4"/>
    <col min="9" max="9" width="11.85546875" style="4" customWidth="1"/>
    <col min="10" max="11" width="12" style="4" customWidth="1"/>
    <col min="12" max="12" width="11.85546875" style="4" customWidth="1"/>
    <col min="13" max="13" width="11.42578125" style="4" customWidth="1"/>
    <col min="14" max="16" width="9.140625" style="4"/>
    <col min="17" max="17" width="15" style="6" customWidth="1"/>
    <col min="18" max="19" width="19.140625" style="6" customWidth="1"/>
    <col min="20" max="16384" width="9.140625" style="4"/>
  </cols>
  <sheetData>
    <row r="1" spans="1:19" ht="30.75" thickBot="1" x14ac:dyDescent="0.3">
      <c r="A1" s="9" t="s">
        <v>190</v>
      </c>
      <c r="B1" s="9" t="s">
        <v>189</v>
      </c>
      <c r="C1" s="9" t="s">
        <v>191</v>
      </c>
      <c r="D1" s="9" t="s">
        <v>203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221</v>
      </c>
      <c r="L1" s="9" t="s">
        <v>198</v>
      </c>
      <c r="M1" s="9" t="s">
        <v>199</v>
      </c>
      <c r="N1" s="9" t="s">
        <v>200</v>
      </c>
      <c r="O1" s="9" t="s">
        <v>201</v>
      </c>
      <c r="Q1" s="9" t="s">
        <v>183</v>
      </c>
      <c r="R1" s="9" t="s">
        <v>184</v>
      </c>
      <c r="S1" s="9" t="s">
        <v>185</v>
      </c>
    </row>
    <row r="2" spans="1:19" x14ac:dyDescent="0.25">
      <c r="A2" s="5" t="s">
        <v>20</v>
      </c>
      <c r="B2" s="6" t="s">
        <v>17</v>
      </c>
      <c r="C2" s="6" t="s">
        <v>19</v>
      </c>
      <c r="D2" s="6">
        <v>10</v>
      </c>
      <c r="E2" s="6">
        <v>2410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I2+J2</f>
        <v>0</v>
      </c>
      <c r="L2" s="6">
        <v>2410</v>
      </c>
      <c r="M2" s="8">
        <v>0</v>
      </c>
      <c r="N2" s="6">
        <v>26</v>
      </c>
      <c r="O2" s="8">
        <v>0</v>
      </c>
      <c r="Q2" s="10">
        <v>2129</v>
      </c>
      <c r="R2" s="10">
        <f>Q2*(I2+J2)</f>
        <v>0</v>
      </c>
      <c r="S2" s="10">
        <f>Q2*M2</f>
        <v>0</v>
      </c>
    </row>
    <row r="3" spans="1:19" x14ac:dyDescent="0.25">
      <c r="A3" s="5" t="s">
        <v>21</v>
      </c>
      <c r="B3" s="6" t="s">
        <v>16</v>
      </c>
      <c r="C3" s="6" t="s">
        <v>19</v>
      </c>
      <c r="D3" s="6">
        <v>10</v>
      </c>
      <c r="E3" s="6">
        <v>45158</v>
      </c>
      <c r="F3" s="6">
        <v>513825</v>
      </c>
      <c r="G3" s="6">
        <v>0</v>
      </c>
      <c r="H3" s="6">
        <v>0</v>
      </c>
      <c r="I3" s="6">
        <v>493875</v>
      </c>
      <c r="J3" s="6">
        <v>242</v>
      </c>
      <c r="K3" s="6">
        <f t="shared" ref="K3:K66" si="0">I3+J3</f>
        <v>494117</v>
      </c>
      <c r="L3" s="6">
        <v>64866</v>
      </c>
      <c r="M3" s="8">
        <v>40209.739130434806</v>
      </c>
      <c r="N3" s="6">
        <v>26</v>
      </c>
      <c r="O3" s="8">
        <f t="shared" ref="O3:O66" si="1">(M3/(I3+J3))*N3</f>
        <v>2.1158009487455502</v>
      </c>
      <c r="Q3" s="10">
        <v>2129</v>
      </c>
      <c r="R3" s="10">
        <f t="shared" ref="R3:R66" si="2">Q3*(I3+J3)</f>
        <v>1051975093</v>
      </c>
      <c r="S3" s="10">
        <f t="shared" ref="S3:S66" si="3">Q3*M3</f>
        <v>85606534.608695701</v>
      </c>
    </row>
    <row r="4" spans="1:19" x14ac:dyDescent="0.25">
      <c r="A4" s="5" t="s">
        <v>22</v>
      </c>
      <c r="B4" s="6" t="s">
        <v>17</v>
      </c>
      <c r="C4" s="6" t="s">
        <v>19</v>
      </c>
      <c r="D4" s="6">
        <v>10</v>
      </c>
      <c r="E4" s="6">
        <v>6025</v>
      </c>
      <c r="F4" s="6">
        <v>12802</v>
      </c>
      <c r="G4" s="6">
        <v>0</v>
      </c>
      <c r="H4" s="6">
        <v>0</v>
      </c>
      <c r="I4" s="6">
        <v>15187</v>
      </c>
      <c r="J4" s="6">
        <v>0</v>
      </c>
      <c r="K4" s="6">
        <f t="shared" si="0"/>
        <v>15187</v>
      </c>
      <c r="L4" s="6">
        <v>3640</v>
      </c>
      <c r="M4" s="8">
        <v>4848.0833333333303</v>
      </c>
      <c r="N4" s="6">
        <v>26</v>
      </c>
      <c r="O4" s="8">
        <f t="shared" si="1"/>
        <v>8.2998726981409483</v>
      </c>
      <c r="Q4" s="10">
        <v>2129</v>
      </c>
      <c r="R4" s="10">
        <f t="shared" si="2"/>
        <v>32333123</v>
      </c>
      <c r="S4" s="10">
        <f t="shared" si="3"/>
        <v>10321569.41666666</v>
      </c>
    </row>
    <row r="5" spans="1:19" x14ac:dyDescent="0.25">
      <c r="A5" s="5" t="s">
        <v>23</v>
      </c>
      <c r="B5" s="6" t="s">
        <v>17</v>
      </c>
      <c r="C5" s="6" t="s">
        <v>19</v>
      </c>
      <c r="D5" s="6">
        <v>10</v>
      </c>
      <c r="E5" s="6">
        <v>1525</v>
      </c>
      <c r="F5" s="6">
        <v>0</v>
      </c>
      <c r="G5" s="6">
        <v>0</v>
      </c>
      <c r="H5" s="6">
        <v>0</v>
      </c>
      <c r="I5" s="6">
        <v>1050</v>
      </c>
      <c r="J5" s="6">
        <v>0</v>
      </c>
      <c r="K5" s="6">
        <f t="shared" si="0"/>
        <v>1050</v>
      </c>
      <c r="L5" s="6">
        <v>475</v>
      </c>
      <c r="M5" s="8">
        <v>893.75</v>
      </c>
      <c r="N5" s="6">
        <v>26</v>
      </c>
      <c r="O5" s="8">
        <f t="shared" si="1"/>
        <v>22.13095238095238</v>
      </c>
      <c r="Q5" s="10">
        <v>2131</v>
      </c>
      <c r="R5" s="10">
        <f t="shared" si="2"/>
        <v>2237550</v>
      </c>
      <c r="S5" s="10">
        <f t="shared" si="3"/>
        <v>1904581.25</v>
      </c>
    </row>
    <row r="6" spans="1:19" x14ac:dyDescent="0.25">
      <c r="A6" s="5" t="s">
        <v>24</v>
      </c>
      <c r="B6" s="6" t="s">
        <v>17</v>
      </c>
      <c r="C6" s="6" t="s">
        <v>19</v>
      </c>
      <c r="D6" s="6">
        <v>10</v>
      </c>
      <c r="E6" s="6">
        <v>8075</v>
      </c>
      <c r="F6" s="6">
        <v>17397</v>
      </c>
      <c r="G6" s="6">
        <v>0</v>
      </c>
      <c r="H6" s="6">
        <v>0</v>
      </c>
      <c r="I6" s="6">
        <v>9072</v>
      </c>
      <c r="J6" s="6">
        <v>0</v>
      </c>
      <c r="K6" s="6">
        <f t="shared" si="0"/>
        <v>9072</v>
      </c>
      <c r="L6" s="6">
        <v>16400</v>
      </c>
      <c r="M6" s="8">
        <v>19699.7</v>
      </c>
      <c r="N6" s="6">
        <v>26</v>
      </c>
      <c r="O6" s="8">
        <f t="shared" si="1"/>
        <v>56.458575837742508</v>
      </c>
      <c r="Q6" s="10">
        <v>2131</v>
      </c>
      <c r="R6" s="10">
        <f t="shared" si="2"/>
        <v>19332432</v>
      </c>
      <c r="S6" s="10">
        <f t="shared" si="3"/>
        <v>41980060.700000003</v>
      </c>
    </row>
    <row r="7" spans="1:19" x14ac:dyDescent="0.25">
      <c r="A7" s="5" t="s">
        <v>25</v>
      </c>
      <c r="B7" s="6" t="s">
        <v>16</v>
      </c>
      <c r="C7" s="6" t="s">
        <v>19</v>
      </c>
      <c r="D7" s="6">
        <v>10</v>
      </c>
      <c r="E7" s="6">
        <v>76610</v>
      </c>
      <c r="F7" s="6">
        <v>675549</v>
      </c>
      <c r="G7" s="6">
        <v>0</v>
      </c>
      <c r="H7" s="6">
        <v>0</v>
      </c>
      <c r="I7" s="6">
        <v>713479</v>
      </c>
      <c r="J7" s="6">
        <v>13076</v>
      </c>
      <c r="K7" s="6">
        <f t="shared" si="0"/>
        <v>726555</v>
      </c>
      <c r="L7" s="6">
        <v>25604</v>
      </c>
      <c r="M7" s="8">
        <v>71251.56</v>
      </c>
      <c r="N7" s="6">
        <v>26</v>
      </c>
      <c r="O7" s="8">
        <f t="shared" si="1"/>
        <v>2.5497595639696926</v>
      </c>
      <c r="Q7" s="10">
        <v>1910</v>
      </c>
      <c r="R7" s="10">
        <f>Q7*(I7+J7)</f>
        <v>1387720050</v>
      </c>
      <c r="S7" s="10">
        <f>Q7*M7</f>
        <v>136090479.59999999</v>
      </c>
    </row>
    <row r="8" spans="1:19" x14ac:dyDescent="0.25">
      <c r="A8" s="5" t="s">
        <v>164</v>
      </c>
      <c r="B8" s="6" t="s">
        <v>16</v>
      </c>
      <c r="C8" s="6" t="s">
        <v>19</v>
      </c>
      <c r="D8" s="6">
        <v>10</v>
      </c>
      <c r="E8" s="6">
        <v>26250</v>
      </c>
      <c r="F8" s="6">
        <v>141100</v>
      </c>
      <c r="G8" s="6">
        <v>0</v>
      </c>
      <c r="H8" s="6">
        <v>0</v>
      </c>
      <c r="I8" s="6">
        <v>153400</v>
      </c>
      <c r="J8" s="6">
        <v>0</v>
      </c>
      <c r="K8" s="6">
        <f t="shared" si="0"/>
        <v>153400</v>
      </c>
      <c r="L8" s="6">
        <v>13950</v>
      </c>
      <c r="M8" s="8">
        <v>27856.578947368398</v>
      </c>
      <c r="N8" s="6">
        <v>26</v>
      </c>
      <c r="O8" s="8">
        <f t="shared" si="1"/>
        <v>4.7214540588759997</v>
      </c>
      <c r="Q8" s="10">
        <v>1910</v>
      </c>
      <c r="R8" s="10">
        <f t="shared" si="2"/>
        <v>292994000</v>
      </c>
      <c r="S8" s="10">
        <f t="shared" si="3"/>
        <v>53206065.789473638</v>
      </c>
    </row>
    <row r="9" spans="1:19" x14ac:dyDescent="0.25">
      <c r="A9" s="5" t="s">
        <v>26</v>
      </c>
      <c r="B9" s="6" t="s">
        <v>16</v>
      </c>
      <c r="C9" s="6" t="s">
        <v>19</v>
      </c>
      <c r="D9" s="6">
        <v>10</v>
      </c>
      <c r="E9" s="6">
        <v>14390</v>
      </c>
      <c r="F9" s="6">
        <v>21500</v>
      </c>
      <c r="G9" s="6">
        <v>0</v>
      </c>
      <c r="H9" s="6">
        <v>0</v>
      </c>
      <c r="I9" s="6">
        <v>33975</v>
      </c>
      <c r="J9" s="6">
        <v>0</v>
      </c>
      <c r="K9" s="6">
        <f t="shared" si="0"/>
        <v>33975</v>
      </c>
      <c r="L9" s="6">
        <v>1915</v>
      </c>
      <c r="M9" s="8">
        <v>18340</v>
      </c>
      <c r="N9" s="6">
        <v>26</v>
      </c>
      <c r="O9" s="8">
        <f t="shared" si="1"/>
        <v>14.035025754231052</v>
      </c>
      <c r="Q9" s="10">
        <v>2217</v>
      </c>
      <c r="R9" s="10">
        <f t="shared" si="2"/>
        <v>75322575</v>
      </c>
      <c r="S9" s="10">
        <f t="shared" si="3"/>
        <v>40659780</v>
      </c>
    </row>
    <row r="10" spans="1:19" x14ac:dyDescent="0.25">
      <c r="A10" s="5" t="s">
        <v>27</v>
      </c>
      <c r="B10" s="6" t="s">
        <v>17</v>
      </c>
      <c r="C10" s="6" t="s">
        <v>19</v>
      </c>
      <c r="D10" s="6">
        <v>10</v>
      </c>
      <c r="E10" s="6">
        <v>10735</v>
      </c>
      <c r="F10" s="6">
        <v>16290</v>
      </c>
      <c r="G10" s="6">
        <v>0</v>
      </c>
      <c r="H10" s="6">
        <v>0</v>
      </c>
      <c r="I10" s="6">
        <v>22754</v>
      </c>
      <c r="J10" s="6">
        <v>0</v>
      </c>
      <c r="K10" s="6">
        <f t="shared" si="0"/>
        <v>22754</v>
      </c>
      <c r="L10" s="6">
        <v>4271</v>
      </c>
      <c r="M10" s="8">
        <v>7270.2</v>
      </c>
      <c r="N10" s="6">
        <v>26</v>
      </c>
      <c r="O10" s="8">
        <f t="shared" si="1"/>
        <v>8.3073393689021717</v>
      </c>
      <c r="Q10" s="10">
        <v>2131</v>
      </c>
      <c r="R10" s="10">
        <f t="shared" si="2"/>
        <v>48488774</v>
      </c>
      <c r="S10" s="10">
        <f t="shared" si="3"/>
        <v>15492796.199999999</v>
      </c>
    </row>
    <row r="11" spans="1:19" x14ac:dyDescent="0.25">
      <c r="A11" s="5" t="s">
        <v>28</v>
      </c>
      <c r="B11" s="6" t="s">
        <v>17</v>
      </c>
      <c r="C11" s="6" t="s">
        <v>19</v>
      </c>
      <c r="D11" s="6">
        <v>10</v>
      </c>
      <c r="E11" s="6">
        <v>4487</v>
      </c>
      <c r="F11" s="6">
        <v>0</v>
      </c>
      <c r="G11" s="6">
        <v>0</v>
      </c>
      <c r="H11" s="6">
        <v>0</v>
      </c>
      <c r="I11" s="6">
        <v>1075</v>
      </c>
      <c r="J11" s="6">
        <v>0</v>
      </c>
      <c r="K11" s="6">
        <f t="shared" si="0"/>
        <v>1075</v>
      </c>
      <c r="L11" s="6">
        <v>3412</v>
      </c>
      <c r="M11" s="8">
        <v>3512</v>
      </c>
      <c r="N11" s="6">
        <v>26</v>
      </c>
      <c r="O11" s="8">
        <f t="shared" si="1"/>
        <v>84.941395348837219</v>
      </c>
      <c r="Q11" s="10">
        <v>2131</v>
      </c>
      <c r="R11" s="10">
        <f t="shared" si="2"/>
        <v>2290825</v>
      </c>
      <c r="S11" s="10">
        <f t="shared" si="3"/>
        <v>7484072</v>
      </c>
    </row>
    <row r="12" spans="1:19" x14ac:dyDescent="0.25">
      <c r="A12" s="5" t="s">
        <v>29</v>
      </c>
      <c r="B12" s="6" t="s">
        <v>16</v>
      </c>
      <c r="C12" s="6" t="s">
        <v>19</v>
      </c>
      <c r="D12" s="6">
        <v>10</v>
      </c>
      <c r="E12" s="6">
        <v>33125</v>
      </c>
      <c r="F12" s="6">
        <v>18000</v>
      </c>
      <c r="G12" s="6">
        <v>0</v>
      </c>
      <c r="H12" s="6">
        <v>0</v>
      </c>
      <c r="I12" s="6">
        <v>37700</v>
      </c>
      <c r="J12" s="6">
        <v>0</v>
      </c>
      <c r="K12" s="6">
        <f t="shared" si="0"/>
        <v>37700</v>
      </c>
      <c r="L12" s="6">
        <v>13425</v>
      </c>
      <c r="M12" s="8">
        <v>16675</v>
      </c>
      <c r="N12" s="6">
        <v>26</v>
      </c>
      <c r="O12" s="8">
        <f t="shared" si="1"/>
        <v>11.5</v>
      </c>
      <c r="Q12" s="10">
        <v>1691</v>
      </c>
      <c r="R12" s="10">
        <f t="shared" si="2"/>
        <v>63750700</v>
      </c>
      <c r="S12" s="10">
        <f t="shared" si="3"/>
        <v>28197425</v>
      </c>
    </row>
    <row r="13" spans="1:19" x14ac:dyDescent="0.25">
      <c r="A13" s="5" t="s">
        <v>30</v>
      </c>
      <c r="B13" s="6" t="s">
        <v>17</v>
      </c>
      <c r="C13" s="6" t="s">
        <v>19</v>
      </c>
      <c r="D13" s="6">
        <v>10</v>
      </c>
      <c r="E13" s="6">
        <v>23780</v>
      </c>
      <c r="F13" s="6">
        <v>442500</v>
      </c>
      <c r="G13" s="6">
        <v>0</v>
      </c>
      <c r="H13" s="6">
        <v>0</v>
      </c>
      <c r="I13" s="6">
        <v>402500</v>
      </c>
      <c r="J13" s="6">
        <v>0</v>
      </c>
      <c r="K13" s="6">
        <f t="shared" si="0"/>
        <v>402500</v>
      </c>
      <c r="L13" s="6">
        <v>63780</v>
      </c>
      <c r="M13" s="8">
        <v>46722</v>
      </c>
      <c r="N13" s="6">
        <v>26</v>
      </c>
      <c r="O13" s="8">
        <f t="shared" si="1"/>
        <v>3.0180670807453418</v>
      </c>
      <c r="Q13" s="10">
        <v>1694</v>
      </c>
      <c r="R13" s="10">
        <f t="shared" si="2"/>
        <v>681835000</v>
      </c>
      <c r="S13" s="10">
        <f t="shared" si="3"/>
        <v>79147068</v>
      </c>
    </row>
    <row r="14" spans="1:19" x14ac:dyDescent="0.25">
      <c r="A14" s="5" t="s">
        <v>31</v>
      </c>
      <c r="B14" s="6" t="s">
        <v>17</v>
      </c>
      <c r="C14" s="6" t="s">
        <v>19</v>
      </c>
      <c r="D14" s="6">
        <v>10</v>
      </c>
      <c r="E14" s="6">
        <v>6120</v>
      </c>
      <c r="F14" s="6">
        <v>10137</v>
      </c>
      <c r="G14" s="6">
        <v>0</v>
      </c>
      <c r="H14" s="6">
        <v>0</v>
      </c>
      <c r="I14" s="6">
        <v>14757</v>
      </c>
      <c r="J14" s="6">
        <v>0</v>
      </c>
      <c r="K14" s="6">
        <f t="shared" si="0"/>
        <v>14757</v>
      </c>
      <c r="L14" s="6">
        <v>1500</v>
      </c>
      <c r="M14" s="8">
        <v>4299.3333333333303</v>
      </c>
      <c r="N14" s="6">
        <v>26</v>
      </c>
      <c r="O14" s="8">
        <f t="shared" si="1"/>
        <v>7.5748910121750077</v>
      </c>
      <c r="Q14" s="10">
        <v>1694</v>
      </c>
      <c r="R14" s="10">
        <f t="shared" si="2"/>
        <v>24998358</v>
      </c>
      <c r="S14" s="10">
        <f t="shared" si="3"/>
        <v>7283070.6666666614</v>
      </c>
    </row>
    <row r="15" spans="1:19" x14ac:dyDescent="0.25">
      <c r="A15" s="5" t="s">
        <v>32</v>
      </c>
      <c r="B15" s="6" t="s">
        <v>16</v>
      </c>
      <c r="C15" s="6" t="s">
        <v>19</v>
      </c>
      <c r="D15" s="6">
        <v>10</v>
      </c>
      <c r="E15" s="6">
        <v>14097</v>
      </c>
      <c r="F15" s="6">
        <v>74000</v>
      </c>
      <c r="G15" s="6">
        <v>0</v>
      </c>
      <c r="H15" s="6">
        <v>0</v>
      </c>
      <c r="I15" s="6">
        <v>80550</v>
      </c>
      <c r="J15" s="6">
        <v>0</v>
      </c>
      <c r="K15" s="6">
        <f t="shared" si="0"/>
        <v>80550</v>
      </c>
      <c r="L15" s="6">
        <v>7547</v>
      </c>
      <c r="M15" s="8">
        <v>26023.086956521704</v>
      </c>
      <c r="N15" s="6">
        <v>26</v>
      </c>
      <c r="O15" s="8">
        <f t="shared" si="1"/>
        <v>8.3997549456184277</v>
      </c>
      <c r="Q15" s="10">
        <v>1890</v>
      </c>
      <c r="R15" s="10">
        <f t="shared" si="2"/>
        <v>152239500</v>
      </c>
      <c r="S15" s="10">
        <f t="shared" si="3"/>
        <v>49183634.347826019</v>
      </c>
    </row>
    <row r="16" spans="1:19" x14ac:dyDescent="0.25">
      <c r="A16" s="5" t="s">
        <v>33</v>
      </c>
      <c r="B16" s="6" t="s">
        <v>16</v>
      </c>
      <c r="C16" s="6" t="s">
        <v>19</v>
      </c>
      <c r="D16" s="6">
        <v>10</v>
      </c>
      <c r="E16" s="6">
        <v>24950</v>
      </c>
      <c r="F16" s="6">
        <v>409500</v>
      </c>
      <c r="G16" s="6">
        <v>0</v>
      </c>
      <c r="H16" s="6">
        <v>0</v>
      </c>
      <c r="I16" s="6">
        <v>413850</v>
      </c>
      <c r="J16" s="6">
        <v>35</v>
      </c>
      <c r="K16" s="6">
        <f t="shared" si="0"/>
        <v>413885</v>
      </c>
      <c r="L16" s="6">
        <v>20565</v>
      </c>
      <c r="M16" s="8">
        <v>41000.208333333307</v>
      </c>
      <c r="N16" s="6">
        <v>26</v>
      </c>
      <c r="O16" s="8">
        <f t="shared" si="1"/>
        <v>2.5756077573883229</v>
      </c>
      <c r="Q16" s="10">
        <v>2216</v>
      </c>
      <c r="R16" s="10">
        <f t="shared" si="2"/>
        <v>917169160</v>
      </c>
      <c r="S16" s="10">
        <f t="shared" si="3"/>
        <v>90856461.666666612</v>
      </c>
    </row>
    <row r="17" spans="1:19" x14ac:dyDescent="0.25">
      <c r="A17" s="5" t="s">
        <v>34</v>
      </c>
      <c r="B17" s="6" t="s">
        <v>17</v>
      </c>
      <c r="C17" s="6" t="s">
        <v>19</v>
      </c>
      <c r="D17" s="6">
        <v>10</v>
      </c>
      <c r="E17" s="6">
        <v>50855</v>
      </c>
      <c r="F17" s="6">
        <v>161900</v>
      </c>
      <c r="G17" s="6">
        <v>0</v>
      </c>
      <c r="H17" s="6">
        <v>0</v>
      </c>
      <c r="I17" s="6">
        <v>0</v>
      </c>
      <c r="J17" s="6">
        <v>184000</v>
      </c>
      <c r="K17" s="6">
        <f t="shared" si="0"/>
        <v>184000</v>
      </c>
      <c r="L17" s="6">
        <v>28755</v>
      </c>
      <c r="M17" s="8">
        <v>47161</v>
      </c>
      <c r="N17" s="6">
        <v>26</v>
      </c>
      <c r="O17" s="8">
        <f t="shared" si="1"/>
        <v>6.6640543478260863</v>
      </c>
      <c r="Q17" s="10">
        <v>2846</v>
      </c>
      <c r="R17" s="10">
        <f t="shared" si="2"/>
        <v>523664000</v>
      </c>
      <c r="S17" s="10">
        <f t="shared" si="3"/>
        <v>134220206</v>
      </c>
    </row>
    <row r="18" spans="1:19" x14ac:dyDescent="0.25">
      <c r="A18" s="5" t="s">
        <v>35</v>
      </c>
      <c r="B18" s="6" t="s">
        <v>16</v>
      </c>
      <c r="C18" s="6" t="s">
        <v>19</v>
      </c>
      <c r="D18" s="6">
        <v>10</v>
      </c>
      <c r="E18" s="6">
        <v>35358</v>
      </c>
      <c r="F18" s="6">
        <v>211250</v>
      </c>
      <c r="G18" s="6">
        <v>0</v>
      </c>
      <c r="H18" s="6">
        <v>0</v>
      </c>
      <c r="I18" s="6">
        <v>241250</v>
      </c>
      <c r="J18" s="6">
        <v>0</v>
      </c>
      <c r="K18" s="6">
        <f t="shared" si="0"/>
        <v>241250</v>
      </c>
      <c r="L18" s="6">
        <v>5358</v>
      </c>
      <c r="M18" s="8">
        <v>20358</v>
      </c>
      <c r="N18" s="6">
        <v>26</v>
      </c>
      <c r="O18" s="8">
        <f t="shared" si="1"/>
        <v>2.1940227979274614</v>
      </c>
      <c r="Q18" s="10">
        <v>2129</v>
      </c>
      <c r="R18" s="10">
        <f t="shared" si="2"/>
        <v>513621250</v>
      </c>
      <c r="S18" s="10">
        <f t="shared" si="3"/>
        <v>43342182</v>
      </c>
    </row>
    <row r="19" spans="1:19" x14ac:dyDescent="0.25">
      <c r="A19" s="5" t="s">
        <v>36</v>
      </c>
      <c r="B19" s="6" t="s">
        <v>17</v>
      </c>
      <c r="C19" s="6" t="s">
        <v>19</v>
      </c>
      <c r="D19" s="6">
        <v>10</v>
      </c>
      <c r="E19" s="6">
        <v>25</v>
      </c>
      <c r="F19" s="6">
        <v>2100</v>
      </c>
      <c r="G19" s="6">
        <v>0</v>
      </c>
      <c r="H19" s="6">
        <v>0</v>
      </c>
      <c r="I19" s="6">
        <v>1550</v>
      </c>
      <c r="J19" s="6">
        <v>0</v>
      </c>
      <c r="K19" s="6">
        <f t="shared" si="0"/>
        <v>1550</v>
      </c>
      <c r="L19" s="6">
        <v>575</v>
      </c>
      <c r="M19" s="8">
        <v>687.5</v>
      </c>
      <c r="N19" s="6">
        <v>26</v>
      </c>
      <c r="O19" s="8">
        <f t="shared" si="1"/>
        <v>11.532258064516128</v>
      </c>
      <c r="Q19" s="10">
        <v>2129</v>
      </c>
      <c r="R19" s="10">
        <f t="shared" si="2"/>
        <v>3299950</v>
      </c>
      <c r="S19" s="10">
        <f t="shared" si="3"/>
        <v>1463687.5</v>
      </c>
    </row>
    <row r="20" spans="1:19" x14ac:dyDescent="0.25">
      <c r="A20" s="5" t="s">
        <v>37</v>
      </c>
      <c r="B20" s="6" t="s">
        <v>16</v>
      </c>
      <c r="C20" s="6" t="s">
        <v>19</v>
      </c>
      <c r="D20" s="6">
        <v>10</v>
      </c>
      <c r="E20" s="6">
        <v>30507</v>
      </c>
      <c r="F20" s="6">
        <v>64550</v>
      </c>
      <c r="G20" s="6">
        <v>0</v>
      </c>
      <c r="H20" s="6">
        <v>0</v>
      </c>
      <c r="I20" s="6">
        <v>0</v>
      </c>
      <c r="J20" s="6">
        <v>70480</v>
      </c>
      <c r="K20" s="6">
        <f t="shared" si="0"/>
        <v>70480</v>
      </c>
      <c r="L20" s="6">
        <v>24577</v>
      </c>
      <c r="M20" s="8">
        <v>18044.619047619002</v>
      </c>
      <c r="N20" s="6">
        <v>26</v>
      </c>
      <c r="O20" s="8">
        <f t="shared" si="1"/>
        <v>6.6566415328900979</v>
      </c>
      <c r="Q20" s="10">
        <v>2263</v>
      </c>
      <c r="R20" s="10">
        <f t="shared" si="2"/>
        <v>159496240</v>
      </c>
      <c r="S20" s="10">
        <f t="shared" si="3"/>
        <v>40834972.904761799</v>
      </c>
    </row>
    <row r="21" spans="1:19" x14ac:dyDescent="0.25">
      <c r="A21" s="5" t="s">
        <v>38</v>
      </c>
      <c r="B21" s="6" t="s">
        <v>17</v>
      </c>
      <c r="C21" s="6" t="s">
        <v>19</v>
      </c>
      <c r="D21" s="6">
        <v>10</v>
      </c>
      <c r="E21" s="6">
        <v>17546</v>
      </c>
      <c r="F21" s="6">
        <v>45152</v>
      </c>
      <c r="G21" s="6">
        <v>0</v>
      </c>
      <c r="H21" s="6">
        <v>0</v>
      </c>
      <c r="I21" s="6">
        <v>0</v>
      </c>
      <c r="J21" s="6">
        <v>48679</v>
      </c>
      <c r="K21" s="6">
        <f t="shared" si="0"/>
        <v>48679</v>
      </c>
      <c r="L21" s="6">
        <v>14019</v>
      </c>
      <c r="M21" s="8">
        <v>17619.2</v>
      </c>
      <c r="N21" s="6">
        <v>26</v>
      </c>
      <c r="O21" s="8">
        <f t="shared" si="1"/>
        <v>9.4106123790546228</v>
      </c>
      <c r="Q21" s="10">
        <v>2263</v>
      </c>
      <c r="R21" s="10">
        <f t="shared" si="2"/>
        <v>110160577</v>
      </c>
      <c r="S21" s="10">
        <f t="shared" si="3"/>
        <v>39872249.600000001</v>
      </c>
    </row>
    <row r="22" spans="1:19" x14ac:dyDescent="0.25">
      <c r="A22" s="5" t="s">
        <v>39</v>
      </c>
      <c r="B22" s="6" t="s">
        <v>17</v>
      </c>
      <c r="C22" s="6" t="s">
        <v>19</v>
      </c>
      <c r="D22" s="6">
        <v>10</v>
      </c>
      <c r="E22" s="6">
        <v>2300</v>
      </c>
      <c r="F22" s="6">
        <v>3000</v>
      </c>
      <c r="G22" s="6">
        <v>0</v>
      </c>
      <c r="H22" s="6">
        <v>0</v>
      </c>
      <c r="I22" s="6">
        <v>0</v>
      </c>
      <c r="J22" s="6">
        <v>3000</v>
      </c>
      <c r="K22" s="6">
        <f t="shared" si="0"/>
        <v>3000</v>
      </c>
      <c r="L22" s="6">
        <v>2300</v>
      </c>
      <c r="M22" s="8">
        <v>2100</v>
      </c>
      <c r="N22" s="6">
        <v>26</v>
      </c>
      <c r="O22" s="8">
        <f t="shared" si="1"/>
        <v>18.2</v>
      </c>
      <c r="Q22" s="10">
        <v>2732</v>
      </c>
      <c r="R22" s="10">
        <f t="shared" si="2"/>
        <v>8196000</v>
      </c>
      <c r="S22" s="10">
        <f t="shared" si="3"/>
        <v>5737200</v>
      </c>
    </row>
    <row r="23" spans="1:19" x14ac:dyDescent="0.25">
      <c r="A23" s="5" t="s">
        <v>40</v>
      </c>
      <c r="B23" s="6" t="s">
        <v>17</v>
      </c>
      <c r="C23" s="6" t="s">
        <v>19</v>
      </c>
      <c r="D23" s="6">
        <v>10</v>
      </c>
      <c r="E23" s="6">
        <v>11359</v>
      </c>
      <c r="F23" s="6">
        <v>16312</v>
      </c>
      <c r="G23" s="6">
        <v>0</v>
      </c>
      <c r="H23" s="6">
        <v>0</v>
      </c>
      <c r="I23" s="6">
        <v>0</v>
      </c>
      <c r="J23" s="6">
        <v>21425</v>
      </c>
      <c r="K23" s="6">
        <f t="shared" si="0"/>
        <v>21425</v>
      </c>
      <c r="L23" s="6">
        <v>6246</v>
      </c>
      <c r="M23" s="8">
        <v>8818.3076923076896</v>
      </c>
      <c r="N23" s="6">
        <v>26</v>
      </c>
      <c r="O23" s="8">
        <f t="shared" si="1"/>
        <v>10.701330221703614</v>
      </c>
      <c r="Q23" s="10">
        <v>2962</v>
      </c>
      <c r="R23" s="10">
        <f t="shared" si="2"/>
        <v>63460850</v>
      </c>
      <c r="S23" s="10">
        <f t="shared" si="3"/>
        <v>26119827.384615377</v>
      </c>
    </row>
    <row r="24" spans="1:19" x14ac:dyDescent="0.25">
      <c r="A24" s="5" t="s">
        <v>41</v>
      </c>
      <c r="B24" s="6" t="s">
        <v>17</v>
      </c>
      <c r="C24" s="6" t="s">
        <v>19</v>
      </c>
      <c r="D24" s="6">
        <v>10</v>
      </c>
      <c r="E24" s="6">
        <v>124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si="0"/>
        <v>0</v>
      </c>
      <c r="L24" s="6">
        <v>124</v>
      </c>
      <c r="M24" s="8">
        <v>0</v>
      </c>
      <c r="N24" s="6">
        <v>26</v>
      </c>
      <c r="O24" s="8">
        <v>0</v>
      </c>
      <c r="Q24" s="10">
        <v>2263</v>
      </c>
      <c r="R24" s="10">
        <f t="shared" si="2"/>
        <v>0</v>
      </c>
      <c r="S24" s="10">
        <f t="shared" si="3"/>
        <v>0</v>
      </c>
    </row>
    <row r="25" spans="1:19" x14ac:dyDescent="0.25">
      <c r="A25" s="5" t="s">
        <v>42</v>
      </c>
      <c r="B25" s="6" t="s">
        <v>17</v>
      </c>
      <c r="C25" s="6" t="s">
        <v>19</v>
      </c>
      <c r="D25" s="6">
        <v>10</v>
      </c>
      <c r="E25" s="6">
        <v>770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f t="shared" si="0"/>
        <v>0</v>
      </c>
      <c r="L25" s="6">
        <v>770</v>
      </c>
      <c r="M25" s="8">
        <v>0</v>
      </c>
      <c r="N25" s="6">
        <v>26</v>
      </c>
      <c r="O25" s="8">
        <v>0</v>
      </c>
      <c r="Q25" s="10">
        <v>2263</v>
      </c>
      <c r="R25" s="10">
        <f t="shared" si="2"/>
        <v>0</v>
      </c>
      <c r="S25" s="10">
        <f t="shared" si="3"/>
        <v>0</v>
      </c>
    </row>
    <row r="26" spans="1:19" x14ac:dyDescent="0.25">
      <c r="A26" s="5" t="s">
        <v>43</v>
      </c>
      <c r="B26" s="6" t="s">
        <v>17</v>
      </c>
      <c r="C26" s="6" t="s">
        <v>19</v>
      </c>
      <c r="D26" s="6">
        <v>10</v>
      </c>
      <c r="E26" s="6">
        <v>1300</v>
      </c>
      <c r="F26" s="6">
        <v>0</v>
      </c>
      <c r="G26" s="6">
        <v>0</v>
      </c>
      <c r="H26" s="6">
        <v>0</v>
      </c>
      <c r="I26" s="6">
        <v>0</v>
      </c>
      <c r="J26" s="6">
        <v>1300</v>
      </c>
      <c r="K26" s="6">
        <f t="shared" si="0"/>
        <v>1300</v>
      </c>
      <c r="L26" s="6">
        <v>0</v>
      </c>
      <c r="M26" s="8">
        <v>0</v>
      </c>
      <c r="N26" s="6">
        <v>26</v>
      </c>
      <c r="O26" s="8">
        <f t="shared" si="1"/>
        <v>0</v>
      </c>
      <c r="Q26" s="10">
        <v>2179</v>
      </c>
      <c r="R26" s="10">
        <f t="shared" si="2"/>
        <v>2832700</v>
      </c>
      <c r="S26" s="10">
        <f t="shared" si="3"/>
        <v>0</v>
      </c>
    </row>
    <row r="27" spans="1:19" x14ac:dyDescent="0.25">
      <c r="A27" s="5" t="s">
        <v>165</v>
      </c>
      <c r="B27" s="6" t="s">
        <v>16</v>
      </c>
      <c r="C27" s="6" t="s">
        <v>19</v>
      </c>
      <c r="D27" s="6">
        <v>10</v>
      </c>
      <c r="E27" s="6">
        <v>10005</v>
      </c>
      <c r="F27" s="6">
        <v>158750</v>
      </c>
      <c r="G27" s="6">
        <v>0</v>
      </c>
      <c r="H27" s="6">
        <v>0</v>
      </c>
      <c r="I27" s="6">
        <v>161250</v>
      </c>
      <c r="J27" s="6">
        <v>0</v>
      </c>
      <c r="K27" s="6">
        <f t="shared" si="0"/>
        <v>161250</v>
      </c>
      <c r="L27" s="6">
        <v>7505</v>
      </c>
      <c r="M27" s="8">
        <v>12192.5</v>
      </c>
      <c r="N27" s="6">
        <v>26</v>
      </c>
      <c r="O27" s="8">
        <f t="shared" si="1"/>
        <v>1.965922480620155</v>
      </c>
      <c r="Q27" s="10">
        <v>7550</v>
      </c>
      <c r="R27" s="10">
        <f t="shared" si="2"/>
        <v>1217437500</v>
      </c>
      <c r="S27" s="10">
        <f t="shared" si="3"/>
        <v>92053375</v>
      </c>
    </row>
    <row r="28" spans="1:19" x14ac:dyDescent="0.25">
      <c r="A28" s="5" t="s">
        <v>44</v>
      </c>
      <c r="B28" s="6" t="s">
        <v>17</v>
      </c>
      <c r="C28" s="6" t="s">
        <v>19</v>
      </c>
      <c r="D28" s="6">
        <v>10</v>
      </c>
      <c r="E28" s="6">
        <v>3467</v>
      </c>
      <c r="F28" s="6">
        <v>9100</v>
      </c>
      <c r="G28" s="6">
        <v>0</v>
      </c>
      <c r="H28" s="6">
        <v>0</v>
      </c>
      <c r="I28" s="6">
        <v>9800</v>
      </c>
      <c r="J28" s="6">
        <v>0</v>
      </c>
      <c r="K28" s="6">
        <f t="shared" si="0"/>
        <v>9800</v>
      </c>
      <c r="L28" s="6">
        <v>2767</v>
      </c>
      <c r="M28" s="8">
        <v>5283.6666666666697</v>
      </c>
      <c r="N28" s="6">
        <v>26</v>
      </c>
      <c r="O28" s="8">
        <f t="shared" si="1"/>
        <v>14.017891156462595</v>
      </c>
      <c r="Q28" s="10">
        <v>1956</v>
      </c>
      <c r="R28" s="10">
        <f t="shared" si="2"/>
        <v>19168800</v>
      </c>
      <c r="S28" s="10">
        <f t="shared" si="3"/>
        <v>10334852.000000006</v>
      </c>
    </row>
    <row r="29" spans="1:19" x14ac:dyDescent="0.25">
      <c r="A29" s="5" t="s">
        <v>45</v>
      </c>
      <c r="B29" s="6" t="s">
        <v>16</v>
      </c>
      <c r="C29" s="6" t="s">
        <v>19</v>
      </c>
      <c r="D29" s="6">
        <v>10</v>
      </c>
      <c r="E29" s="6">
        <v>5974</v>
      </c>
      <c r="F29" s="6">
        <v>364500</v>
      </c>
      <c r="G29" s="6">
        <v>0</v>
      </c>
      <c r="H29" s="6">
        <v>0</v>
      </c>
      <c r="I29" s="6">
        <v>0</v>
      </c>
      <c r="J29" s="6">
        <v>328565</v>
      </c>
      <c r="K29" s="6">
        <f t="shared" si="0"/>
        <v>328565</v>
      </c>
      <c r="L29" s="6">
        <v>41909</v>
      </c>
      <c r="M29" s="8">
        <v>38065.666666666708</v>
      </c>
      <c r="N29" s="6">
        <v>26</v>
      </c>
      <c r="O29" s="8">
        <f t="shared" si="1"/>
        <v>3.0122116881996996</v>
      </c>
      <c r="Q29" s="10">
        <v>2031</v>
      </c>
      <c r="R29" s="10">
        <f t="shared" si="2"/>
        <v>667315515</v>
      </c>
      <c r="S29" s="10">
        <f t="shared" si="3"/>
        <v>77311369.000000089</v>
      </c>
    </row>
    <row r="30" spans="1:19" x14ac:dyDescent="0.25">
      <c r="A30" s="5" t="s">
        <v>46</v>
      </c>
      <c r="B30" s="6" t="s">
        <v>17</v>
      </c>
      <c r="C30" s="6" t="s">
        <v>19</v>
      </c>
      <c r="D30" s="6">
        <v>10</v>
      </c>
      <c r="E30" s="6">
        <v>2865</v>
      </c>
      <c r="F30" s="6">
        <v>0</v>
      </c>
      <c r="G30" s="6">
        <v>0</v>
      </c>
      <c r="H30" s="6">
        <v>0</v>
      </c>
      <c r="I30" s="6">
        <v>125</v>
      </c>
      <c r="J30" s="6">
        <v>0</v>
      </c>
      <c r="K30" s="6">
        <f t="shared" si="0"/>
        <v>125</v>
      </c>
      <c r="L30" s="6">
        <v>2740</v>
      </c>
      <c r="M30" s="8">
        <v>2740</v>
      </c>
      <c r="N30" s="6">
        <v>26</v>
      </c>
      <c r="O30" s="8">
        <f t="shared" si="1"/>
        <v>569.92000000000007</v>
      </c>
      <c r="Q30" s="10">
        <v>2179</v>
      </c>
      <c r="R30" s="10">
        <f t="shared" si="2"/>
        <v>272375</v>
      </c>
      <c r="S30" s="10">
        <f t="shared" si="3"/>
        <v>5970460</v>
      </c>
    </row>
    <row r="31" spans="1:19" x14ac:dyDescent="0.25">
      <c r="A31" s="5" t="s">
        <v>47</v>
      </c>
      <c r="B31" s="6" t="s">
        <v>17</v>
      </c>
      <c r="C31" s="6" t="s">
        <v>19</v>
      </c>
      <c r="D31" s="6">
        <v>10</v>
      </c>
      <c r="E31" s="6">
        <v>6008</v>
      </c>
      <c r="F31" s="6">
        <v>0</v>
      </c>
      <c r="G31" s="6">
        <v>0</v>
      </c>
      <c r="H31" s="6">
        <v>0</v>
      </c>
      <c r="I31" s="6">
        <v>1500</v>
      </c>
      <c r="J31" s="6">
        <v>0</v>
      </c>
      <c r="K31" s="6">
        <f t="shared" si="0"/>
        <v>1500</v>
      </c>
      <c r="L31" s="6">
        <v>4508</v>
      </c>
      <c r="M31" s="8">
        <v>4508</v>
      </c>
      <c r="N31" s="6">
        <v>26</v>
      </c>
      <c r="O31" s="8">
        <f t="shared" si="1"/>
        <v>78.138666666666666</v>
      </c>
      <c r="Q31" s="10">
        <v>2179</v>
      </c>
      <c r="R31" s="10">
        <f t="shared" si="2"/>
        <v>3268500</v>
      </c>
      <c r="S31" s="10">
        <f t="shared" si="3"/>
        <v>9822932</v>
      </c>
    </row>
    <row r="32" spans="1:19" x14ac:dyDescent="0.25">
      <c r="A32" s="5" t="s">
        <v>48</v>
      </c>
      <c r="B32" s="6" t="s">
        <v>17</v>
      </c>
      <c r="C32" s="6" t="s">
        <v>19</v>
      </c>
      <c r="D32" s="6">
        <v>10</v>
      </c>
      <c r="E32" s="6">
        <v>1495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f t="shared" si="0"/>
        <v>0</v>
      </c>
      <c r="L32" s="6">
        <v>1495</v>
      </c>
      <c r="M32" s="8">
        <v>0</v>
      </c>
      <c r="N32" s="6">
        <v>26</v>
      </c>
      <c r="O32" s="8">
        <v>0</v>
      </c>
      <c r="Q32" s="10">
        <v>2179</v>
      </c>
      <c r="R32" s="10">
        <f t="shared" si="2"/>
        <v>0</v>
      </c>
      <c r="S32" s="10">
        <f t="shared" si="3"/>
        <v>0</v>
      </c>
    </row>
    <row r="33" spans="1:19" x14ac:dyDescent="0.25">
      <c r="A33" s="5" t="s">
        <v>49</v>
      </c>
      <c r="B33" s="6" t="s">
        <v>16</v>
      </c>
      <c r="C33" s="6" t="s">
        <v>19</v>
      </c>
      <c r="D33" s="6">
        <v>10</v>
      </c>
      <c r="E33" s="6">
        <v>18375</v>
      </c>
      <c r="F33" s="6">
        <v>87500</v>
      </c>
      <c r="G33" s="6">
        <v>0</v>
      </c>
      <c r="H33" s="6">
        <v>0</v>
      </c>
      <c r="I33" s="6">
        <v>87482</v>
      </c>
      <c r="J33" s="6">
        <v>10</v>
      </c>
      <c r="K33" s="6">
        <f t="shared" si="0"/>
        <v>87492</v>
      </c>
      <c r="L33" s="6">
        <v>18383</v>
      </c>
      <c r="M33" s="8">
        <v>13541.142857142899</v>
      </c>
      <c r="N33" s="6">
        <v>26</v>
      </c>
      <c r="O33" s="8">
        <f t="shared" si="1"/>
        <v>4.0240217881145171</v>
      </c>
      <c r="Q33" s="10">
        <v>2179</v>
      </c>
      <c r="R33" s="10">
        <f t="shared" si="2"/>
        <v>190645068</v>
      </c>
      <c r="S33" s="10">
        <f t="shared" si="3"/>
        <v>29506150.285714377</v>
      </c>
    </row>
    <row r="34" spans="1:19" x14ac:dyDescent="0.25">
      <c r="A34" s="5" t="s">
        <v>166</v>
      </c>
      <c r="B34" s="6" t="s">
        <v>17</v>
      </c>
      <c r="C34" s="6" t="s">
        <v>19</v>
      </c>
      <c r="D34" s="6">
        <v>10</v>
      </c>
      <c r="E34" s="6">
        <v>1250</v>
      </c>
      <c r="F34" s="6">
        <v>1050</v>
      </c>
      <c r="G34" s="6">
        <v>0</v>
      </c>
      <c r="H34" s="6">
        <v>0</v>
      </c>
      <c r="I34" s="6">
        <v>1050</v>
      </c>
      <c r="J34" s="6">
        <v>0</v>
      </c>
      <c r="K34" s="6">
        <f t="shared" si="0"/>
        <v>1050</v>
      </c>
      <c r="L34" s="6">
        <v>1250</v>
      </c>
      <c r="M34" s="8">
        <v>725</v>
      </c>
      <c r="N34" s="6">
        <v>26</v>
      </c>
      <c r="O34" s="8">
        <f t="shared" si="1"/>
        <v>17.952380952380953</v>
      </c>
      <c r="Q34" s="10">
        <v>3145</v>
      </c>
      <c r="R34" s="10">
        <f t="shared" si="2"/>
        <v>3302250</v>
      </c>
      <c r="S34" s="10">
        <f t="shared" si="3"/>
        <v>2280125</v>
      </c>
    </row>
    <row r="35" spans="1:19" x14ac:dyDescent="0.25">
      <c r="A35" s="5" t="s">
        <v>50</v>
      </c>
      <c r="B35" s="6" t="s">
        <v>17</v>
      </c>
      <c r="C35" s="6" t="s">
        <v>19</v>
      </c>
      <c r="D35" s="6">
        <v>10</v>
      </c>
      <c r="E35" s="6">
        <v>24412</v>
      </c>
      <c r="F35" s="6">
        <v>8150</v>
      </c>
      <c r="G35" s="6">
        <v>0</v>
      </c>
      <c r="H35" s="6">
        <v>0</v>
      </c>
      <c r="I35" s="6">
        <v>16075</v>
      </c>
      <c r="J35" s="6">
        <v>0</v>
      </c>
      <c r="K35" s="6">
        <f t="shared" si="0"/>
        <v>16075</v>
      </c>
      <c r="L35" s="6">
        <v>16487</v>
      </c>
      <c r="M35" s="8">
        <v>22023.111111111102</v>
      </c>
      <c r="N35" s="6">
        <v>26</v>
      </c>
      <c r="O35" s="8">
        <f t="shared" si="1"/>
        <v>35.620584067738015</v>
      </c>
      <c r="Q35" s="10">
        <v>2179</v>
      </c>
      <c r="R35" s="10">
        <f t="shared" si="2"/>
        <v>35027425</v>
      </c>
      <c r="S35" s="10">
        <f t="shared" si="3"/>
        <v>47988359.11111109</v>
      </c>
    </row>
    <row r="36" spans="1:19" x14ac:dyDescent="0.25">
      <c r="A36" s="5" t="s">
        <v>51</v>
      </c>
      <c r="B36" s="6" t="s">
        <v>17</v>
      </c>
      <c r="C36" s="6" t="s">
        <v>19</v>
      </c>
      <c r="D36" s="6">
        <v>10</v>
      </c>
      <c r="E36" s="6">
        <v>728</v>
      </c>
      <c r="F36" s="6">
        <v>0</v>
      </c>
      <c r="G36" s="6">
        <v>0</v>
      </c>
      <c r="H36" s="6">
        <v>0</v>
      </c>
      <c r="I36" s="6">
        <v>0</v>
      </c>
      <c r="J36" s="6">
        <v>728</v>
      </c>
      <c r="K36" s="6">
        <f t="shared" si="0"/>
        <v>728</v>
      </c>
      <c r="L36" s="6">
        <v>0</v>
      </c>
      <c r="M36" s="8">
        <v>0</v>
      </c>
      <c r="N36" s="6">
        <v>26</v>
      </c>
      <c r="O36" s="8">
        <f t="shared" si="1"/>
        <v>0</v>
      </c>
      <c r="Q36" s="10">
        <v>2268</v>
      </c>
      <c r="R36" s="10">
        <f t="shared" si="2"/>
        <v>1651104</v>
      </c>
      <c r="S36" s="10">
        <f t="shared" si="3"/>
        <v>0</v>
      </c>
    </row>
    <row r="37" spans="1:19" x14ac:dyDescent="0.25">
      <c r="A37" s="5" t="s">
        <v>167</v>
      </c>
      <c r="B37" s="6" t="s">
        <v>17</v>
      </c>
      <c r="C37" s="6" t="s">
        <v>19</v>
      </c>
      <c r="D37" s="6">
        <v>10</v>
      </c>
      <c r="E37" s="6">
        <v>8750</v>
      </c>
      <c r="F37" s="6">
        <v>38000</v>
      </c>
      <c r="G37" s="6">
        <v>0</v>
      </c>
      <c r="H37" s="6">
        <v>0</v>
      </c>
      <c r="I37" s="6">
        <v>30500</v>
      </c>
      <c r="J37" s="6">
        <v>0</v>
      </c>
      <c r="K37" s="6">
        <f t="shared" si="0"/>
        <v>30500</v>
      </c>
      <c r="L37" s="6">
        <v>16250</v>
      </c>
      <c r="M37" s="8">
        <v>10000</v>
      </c>
      <c r="N37" s="6">
        <v>26</v>
      </c>
      <c r="O37" s="8">
        <f t="shared" si="1"/>
        <v>8.524590163934425</v>
      </c>
      <c r="Q37" s="10">
        <v>2268</v>
      </c>
      <c r="R37" s="10">
        <f t="shared" si="2"/>
        <v>69174000</v>
      </c>
      <c r="S37" s="10">
        <f t="shared" si="3"/>
        <v>22680000</v>
      </c>
    </row>
    <row r="38" spans="1:19" x14ac:dyDescent="0.25">
      <c r="A38" s="5" t="s">
        <v>52</v>
      </c>
      <c r="B38" s="6" t="s">
        <v>17</v>
      </c>
      <c r="C38" s="6" t="s">
        <v>19</v>
      </c>
      <c r="D38" s="6">
        <v>10</v>
      </c>
      <c r="E38" s="6">
        <v>7912</v>
      </c>
      <c r="F38" s="6">
        <v>0</v>
      </c>
      <c r="G38" s="6">
        <v>0</v>
      </c>
      <c r="H38" s="6">
        <v>0</v>
      </c>
      <c r="I38" s="6">
        <v>2200</v>
      </c>
      <c r="J38" s="6">
        <v>0</v>
      </c>
      <c r="K38" s="6">
        <f t="shared" si="0"/>
        <v>2200</v>
      </c>
      <c r="L38" s="6">
        <v>5712</v>
      </c>
      <c r="M38" s="8">
        <v>6228.6666666666697</v>
      </c>
      <c r="N38" s="6">
        <v>26</v>
      </c>
      <c r="O38" s="8">
        <f t="shared" si="1"/>
        <v>73.611515151515178</v>
      </c>
      <c r="Q38" s="10">
        <v>1956</v>
      </c>
      <c r="R38" s="10">
        <f t="shared" si="2"/>
        <v>4303200</v>
      </c>
      <c r="S38" s="10">
        <f t="shared" si="3"/>
        <v>12183272.000000006</v>
      </c>
    </row>
    <row r="39" spans="1:19" x14ac:dyDescent="0.25">
      <c r="A39" s="5" t="s">
        <v>53</v>
      </c>
      <c r="B39" s="6" t="s">
        <v>17</v>
      </c>
      <c r="C39" s="6" t="s">
        <v>19</v>
      </c>
      <c r="D39" s="6">
        <v>10</v>
      </c>
      <c r="E39" s="6">
        <v>8860</v>
      </c>
      <c r="F39" s="6">
        <v>0</v>
      </c>
      <c r="G39" s="6">
        <v>0</v>
      </c>
      <c r="H39" s="6">
        <v>0</v>
      </c>
      <c r="I39" s="6">
        <v>3200</v>
      </c>
      <c r="J39" s="6">
        <v>0</v>
      </c>
      <c r="K39" s="6">
        <f t="shared" si="0"/>
        <v>3200</v>
      </c>
      <c r="L39" s="6">
        <v>5660</v>
      </c>
      <c r="M39" s="8">
        <v>6360</v>
      </c>
      <c r="N39" s="6">
        <v>26</v>
      </c>
      <c r="O39" s="8">
        <f t="shared" si="1"/>
        <v>51.675000000000004</v>
      </c>
      <c r="Q39" s="10">
        <v>2218</v>
      </c>
      <c r="R39" s="10">
        <f t="shared" si="2"/>
        <v>7097600</v>
      </c>
      <c r="S39" s="10">
        <f t="shared" si="3"/>
        <v>14106480</v>
      </c>
    </row>
    <row r="40" spans="1:19" x14ac:dyDescent="0.25">
      <c r="A40" s="5" t="s">
        <v>168</v>
      </c>
      <c r="B40" s="6" t="s">
        <v>17</v>
      </c>
      <c r="C40" s="6" t="s">
        <v>19</v>
      </c>
      <c r="D40" s="6">
        <v>10</v>
      </c>
      <c r="E40" s="6">
        <v>4275</v>
      </c>
      <c r="F40" s="6">
        <v>13625</v>
      </c>
      <c r="G40" s="6">
        <v>0</v>
      </c>
      <c r="H40" s="6">
        <v>0</v>
      </c>
      <c r="I40" s="6">
        <v>9900</v>
      </c>
      <c r="J40" s="6">
        <v>0</v>
      </c>
      <c r="K40" s="6">
        <f t="shared" si="0"/>
        <v>9900</v>
      </c>
      <c r="L40" s="6">
        <v>8000</v>
      </c>
      <c r="M40" s="8">
        <v>8670</v>
      </c>
      <c r="N40" s="6">
        <v>26</v>
      </c>
      <c r="O40" s="8">
        <f t="shared" si="1"/>
        <v>22.76969696969697</v>
      </c>
      <c r="Q40" s="10">
        <v>2218</v>
      </c>
      <c r="R40" s="10">
        <f t="shared" si="2"/>
        <v>21958200</v>
      </c>
      <c r="S40" s="10">
        <f t="shared" si="3"/>
        <v>19230060</v>
      </c>
    </row>
    <row r="41" spans="1:19" x14ac:dyDescent="0.25">
      <c r="A41" s="5" t="s">
        <v>54</v>
      </c>
      <c r="B41" s="6" t="s">
        <v>17</v>
      </c>
      <c r="C41" s="6" t="s">
        <v>19</v>
      </c>
      <c r="D41" s="6">
        <v>10</v>
      </c>
      <c r="E41" s="6">
        <v>88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f t="shared" si="0"/>
        <v>0</v>
      </c>
      <c r="L41" s="6">
        <v>88</v>
      </c>
      <c r="M41" s="8">
        <v>0</v>
      </c>
      <c r="N41" s="6">
        <v>26</v>
      </c>
      <c r="O41" s="8">
        <v>0</v>
      </c>
      <c r="Q41" s="10">
        <v>2218</v>
      </c>
      <c r="R41" s="10">
        <f t="shared" si="2"/>
        <v>0</v>
      </c>
      <c r="S41" s="10">
        <f t="shared" si="3"/>
        <v>0</v>
      </c>
    </row>
    <row r="42" spans="1:19" x14ac:dyDescent="0.25">
      <c r="A42" s="5" t="s">
        <v>55</v>
      </c>
      <c r="B42" s="6" t="s">
        <v>17</v>
      </c>
      <c r="C42" s="6" t="s">
        <v>19</v>
      </c>
      <c r="D42" s="6">
        <v>10</v>
      </c>
      <c r="E42" s="6">
        <v>150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f t="shared" si="0"/>
        <v>0</v>
      </c>
      <c r="L42" s="6">
        <v>150</v>
      </c>
      <c r="M42" s="8">
        <v>0</v>
      </c>
      <c r="N42" s="6">
        <v>26</v>
      </c>
      <c r="O42" s="8">
        <v>0</v>
      </c>
      <c r="Q42" s="10">
        <v>2245</v>
      </c>
      <c r="R42" s="10">
        <f t="shared" si="2"/>
        <v>0</v>
      </c>
      <c r="S42" s="10">
        <f t="shared" si="3"/>
        <v>0</v>
      </c>
    </row>
    <row r="43" spans="1:19" x14ac:dyDescent="0.25">
      <c r="A43" s="5" t="s">
        <v>56</v>
      </c>
      <c r="B43" s="6" t="s">
        <v>16</v>
      </c>
      <c r="C43" s="6" t="s">
        <v>19</v>
      </c>
      <c r="D43" s="6">
        <v>10</v>
      </c>
      <c r="E43" s="6">
        <v>16450</v>
      </c>
      <c r="F43" s="6">
        <v>179125</v>
      </c>
      <c r="G43" s="6">
        <v>0</v>
      </c>
      <c r="H43" s="6">
        <v>0</v>
      </c>
      <c r="I43" s="6">
        <v>158875</v>
      </c>
      <c r="J43" s="6">
        <v>30250</v>
      </c>
      <c r="K43" s="6">
        <f t="shared" si="0"/>
        <v>189125</v>
      </c>
      <c r="L43" s="6">
        <v>6450</v>
      </c>
      <c r="M43" s="8">
        <v>11521.1538461538</v>
      </c>
      <c r="N43" s="6">
        <v>26</v>
      </c>
      <c r="O43" s="8">
        <f t="shared" si="1"/>
        <v>1.5838730998017121</v>
      </c>
      <c r="Q43" s="10">
        <v>2245</v>
      </c>
      <c r="R43" s="10">
        <f t="shared" si="2"/>
        <v>424585625</v>
      </c>
      <c r="S43" s="10">
        <f t="shared" si="3"/>
        <v>25864990.38461528</v>
      </c>
    </row>
    <row r="44" spans="1:19" x14ac:dyDescent="0.25">
      <c r="A44" s="5" t="s">
        <v>57</v>
      </c>
      <c r="B44" s="6" t="s">
        <v>16</v>
      </c>
      <c r="C44" s="6" t="s">
        <v>19</v>
      </c>
      <c r="D44" s="6">
        <v>10</v>
      </c>
      <c r="E44" s="6">
        <v>56070</v>
      </c>
      <c r="F44" s="6">
        <v>67750</v>
      </c>
      <c r="G44" s="6">
        <v>0</v>
      </c>
      <c r="H44" s="6">
        <v>0</v>
      </c>
      <c r="I44" s="6">
        <v>0</v>
      </c>
      <c r="J44" s="6">
        <v>106050</v>
      </c>
      <c r="K44" s="6">
        <f t="shared" si="0"/>
        <v>106050</v>
      </c>
      <c r="L44" s="6">
        <v>17770</v>
      </c>
      <c r="M44" s="8">
        <v>24177.692307692298</v>
      </c>
      <c r="N44" s="6">
        <v>26</v>
      </c>
      <c r="O44" s="8">
        <f t="shared" si="1"/>
        <v>5.9275813295615247</v>
      </c>
      <c r="Q44" s="10">
        <v>1419</v>
      </c>
      <c r="R44" s="10">
        <f t="shared" si="2"/>
        <v>150484950</v>
      </c>
      <c r="S44" s="10">
        <f t="shared" si="3"/>
        <v>34308145.384615369</v>
      </c>
    </row>
    <row r="45" spans="1:19" x14ac:dyDescent="0.25">
      <c r="A45" s="5" t="s">
        <v>58</v>
      </c>
      <c r="B45" s="6" t="s">
        <v>17</v>
      </c>
      <c r="C45" s="6" t="s">
        <v>19</v>
      </c>
      <c r="D45" s="6">
        <v>10</v>
      </c>
      <c r="E45" s="6">
        <v>2384</v>
      </c>
      <c r="F45" s="6">
        <v>2825</v>
      </c>
      <c r="G45" s="6">
        <v>0</v>
      </c>
      <c r="H45" s="6">
        <v>0</v>
      </c>
      <c r="I45" s="6">
        <v>0</v>
      </c>
      <c r="J45" s="6">
        <v>2500</v>
      </c>
      <c r="K45" s="6">
        <f t="shared" si="0"/>
        <v>2500</v>
      </c>
      <c r="L45" s="6">
        <v>2709</v>
      </c>
      <c r="M45" s="8">
        <v>3959</v>
      </c>
      <c r="N45" s="6">
        <v>26</v>
      </c>
      <c r="O45" s="8">
        <f t="shared" si="1"/>
        <v>41.1736</v>
      </c>
      <c r="Q45" s="10">
        <v>2765</v>
      </c>
      <c r="R45" s="10">
        <f t="shared" si="2"/>
        <v>6912500</v>
      </c>
      <c r="S45" s="10">
        <f t="shared" si="3"/>
        <v>10946635</v>
      </c>
    </row>
    <row r="46" spans="1:19" x14ac:dyDescent="0.25">
      <c r="A46" s="5" t="s">
        <v>59</v>
      </c>
      <c r="B46" s="6" t="s">
        <v>17</v>
      </c>
      <c r="C46" s="6" t="s">
        <v>19</v>
      </c>
      <c r="D46" s="6">
        <v>10</v>
      </c>
      <c r="E46" s="6">
        <v>35787</v>
      </c>
      <c r="F46" s="6">
        <v>8731</v>
      </c>
      <c r="G46" s="6">
        <v>0</v>
      </c>
      <c r="H46" s="6">
        <v>0</v>
      </c>
      <c r="I46" s="6">
        <v>0</v>
      </c>
      <c r="J46" s="6">
        <v>10790</v>
      </c>
      <c r="K46" s="6">
        <f t="shared" si="0"/>
        <v>10790</v>
      </c>
      <c r="L46" s="6">
        <v>33728</v>
      </c>
      <c r="M46" s="8">
        <v>35375.9230769231</v>
      </c>
      <c r="N46" s="6">
        <v>26</v>
      </c>
      <c r="O46" s="8">
        <f t="shared" si="1"/>
        <v>85.243188137164097</v>
      </c>
      <c r="Q46" s="10">
        <v>4592</v>
      </c>
      <c r="R46" s="10">
        <f t="shared" si="2"/>
        <v>49547680</v>
      </c>
      <c r="S46" s="10">
        <f t="shared" si="3"/>
        <v>162446238.76923087</v>
      </c>
    </row>
    <row r="47" spans="1:19" x14ac:dyDescent="0.25">
      <c r="A47" s="5" t="s">
        <v>60</v>
      </c>
      <c r="B47" s="6" t="s">
        <v>17</v>
      </c>
      <c r="C47" s="6" t="s">
        <v>19</v>
      </c>
      <c r="D47" s="6">
        <v>10</v>
      </c>
      <c r="E47" s="6">
        <v>21712</v>
      </c>
      <c r="F47" s="6">
        <v>21164</v>
      </c>
      <c r="G47" s="6">
        <v>0</v>
      </c>
      <c r="H47" s="6">
        <v>0</v>
      </c>
      <c r="I47" s="6">
        <v>0</v>
      </c>
      <c r="J47" s="6">
        <v>31214</v>
      </c>
      <c r="K47" s="6">
        <f t="shared" si="0"/>
        <v>31214</v>
      </c>
      <c r="L47" s="6">
        <v>11662</v>
      </c>
      <c r="M47" s="8">
        <v>24167.411764705899</v>
      </c>
      <c r="N47" s="6">
        <v>26</v>
      </c>
      <c r="O47" s="8">
        <f t="shared" si="1"/>
        <v>20.130476897621367</v>
      </c>
      <c r="Q47" s="10">
        <v>2297</v>
      </c>
      <c r="R47" s="10">
        <f t="shared" si="2"/>
        <v>71698558</v>
      </c>
      <c r="S47" s="10">
        <f t="shared" si="3"/>
        <v>55512544.823529452</v>
      </c>
    </row>
    <row r="48" spans="1:19" x14ac:dyDescent="0.25">
      <c r="A48" s="5" t="s">
        <v>61</v>
      </c>
      <c r="B48" s="6" t="s">
        <v>17</v>
      </c>
      <c r="C48" s="6" t="s">
        <v>19</v>
      </c>
      <c r="D48" s="6">
        <v>10</v>
      </c>
      <c r="E48" s="6">
        <v>1025</v>
      </c>
      <c r="F48" s="6">
        <v>2053</v>
      </c>
      <c r="G48" s="6">
        <v>0</v>
      </c>
      <c r="H48" s="6">
        <v>0</v>
      </c>
      <c r="I48" s="6">
        <v>0</v>
      </c>
      <c r="J48" s="6">
        <v>1350</v>
      </c>
      <c r="K48" s="6">
        <f t="shared" si="0"/>
        <v>1350</v>
      </c>
      <c r="L48" s="6">
        <v>1728</v>
      </c>
      <c r="M48" s="8">
        <v>1404.8571428571402</v>
      </c>
      <c r="N48" s="6">
        <v>26</v>
      </c>
      <c r="O48" s="8">
        <f t="shared" si="1"/>
        <v>27.056507936507884</v>
      </c>
      <c r="Q48" s="10">
        <v>2616</v>
      </c>
      <c r="R48" s="10">
        <f t="shared" si="2"/>
        <v>3531600</v>
      </c>
      <c r="S48" s="10">
        <f t="shared" si="3"/>
        <v>3675106.2857142785</v>
      </c>
    </row>
    <row r="49" spans="1:19" x14ac:dyDescent="0.25">
      <c r="A49" s="5" t="s">
        <v>63</v>
      </c>
      <c r="B49" s="6" t="s">
        <v>17</v>
      </c>
      <c r="C49" s="6" t="s">
        <v>19</v>
      </c>
      <c r="D49" s="6">
        <v>10</v>
      </c>
      <c r="E49" s="6">
        <v>20850</v>
      </c>
      <c r="F49" s="6">
        <v>97900</v>
      </c>
      <c r="G49" s="6">
        <v>0</v>
      </c>
      <c r="H49" s="6">
        <v>0</v>
      </c>
      <c r="I49" s="6">
        <v>0</v>
      </c>
      <c r="J49" s="6">
        <v>109686</v>
      </c>
      <c r="K49" s="6">
        <f t="shared" si="0"/>
        <v>109686</v>
      </c>
      <c r="L49" s="6">
        <v>9064</v>
      </c>
      <c r="M49" s="8">
        <v>17623.833333333303</v>
      </c>
      <c r="N49" s="6">
        <v>26</v>
      </c>
      <c r="O49" s="8">
        <f t="shared" si="1"/>
        <v>4.1775583635711566</v>
      </c>
      <c r="Q49" s="10">
        <v>1968</v>
      </c>
      <c r="R49" s="10">
        <f t="shared" si="2"/>
        <v>215862048</v>
      </c>
      <c r="S49" s="10">
        <f t="shared" si="3"/>
        <v>34683703.99999994</v>
      </c>
    </row>
    <row r="50" spans="1:19" x14ac:dyDescent="0.25">
      <c r="A50" s="5" t="s">
        <v>64</v>
      </c>
      <c r="B50" s="6" t="s">
        <v>17</v>
      </c>
      <c r="C50" s="6" t="s">
        <v>19</v>
      </c>
      <c r="D50" s="6">
        <v>10</v>
      </c>
      <c r="E50" s="6">
        <v>6420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f t="shared" si="0"/>
        <v>0</v>
      </c>
      <c r="L50" s="6">
        <v>6420</v>
      </c>
      <c r="M50" s="8">
        <v>0</v>
      </c>
      <c r="N50" s="6">
        <v>26</v>
      </c>
      <c r="O50" s="8">
        <v>0</v>
      </c>
      <c r="Q50" s="10">
        <v>2503</v>
      </c>
      <c r="R50" s="10">
        <f t="shared" si="2"/>
        <v>0</v>
      </c>
      <c r="S50" s="10">
        <f t="shared" si="3"/>
        <v>0</v>
      </c>
    </row>
    <row r="51" spans="1:19" x14ac:dyDescent="0.25">
      <c r="A51" s="5" t="s">
        <v>65</v>
      </c>
      <c r="B51" s="6" t="s">
        <v>17</v>
      </c>
      <c r="C51" s="6" t="s">
        <v>19</v>
      </c>
      <c r="D51" s="6">
        <v>10</v>
      </c>
      <c r="E51" s="6">
        <v>44890</v>
      </c>
      <c r="F51" s="6">
        <v>176250</v>
      </c>
      <c r="G51" s="6">
        <v>0</v>
      </c>
      <c r="H51" s="6">
        <v>0</v>
      </c>
      <c r="I51" s="6">
        <v>0</v>
      </c>
      <c r="J51" s="6">
        <v>196250</v>
      </c>
      <c r="K51" s="6">
        <f t="shared" si="0"/>
        <v>196250</v>
      </c>
      <c r="L51" s="6">
        <v>24890</v>
      </c>
      <c r="M51" s="8">
        <v>41620.769230769205</v>
      </c>
      <c r="N51" s="6">
        <v>26</v>
      </c>
      <c r="O51" s="8">
        <f t="shared" si="1"/>
        <v>5.5140891719745184</v>
      </c>
      <c r="Q51" s="10">
        <v>2503</v>
      </c>
      <c r="R51" s="10">
        <f t="shared" si="2"/>
        <v>491213750</v>
      </c>
      <c r="S51" s="10">
        <f t="shared" si="3"/>
        <v>104176785.38461532</v>
      </c>
    </row>
    <row r="52" spans="1:19" x14ac:dyDescent="0.25">
      <c r="A52" s="5" t="s">
        <v>66</v>
      </c>
      <c r="B52" s="6" t="s">
        <v>17</v>
      </c>
      <c r="C52" s="6" t="s">
        <v>19</v>
      </c>
      <c r="D52" s="6">
        <v>10</v>
      </c>
      <c r="E52" s="6">
        <v>1698</v>
      </c>
      <c r="F52" s="6">
        <v>0</v>
      </c>
      <c r="G52" s="6">
        <v>0</v>
      </c>
      <c r="H52" s="6">
        <v>0</v>
      </c>
      <c r="I52" s="6">
        <v>0</v>
      </c>
      <c r="J52" s="6">
        <v>1387</v>
      </c>
      <c r="K52" s="6">
        <f t="shared" si="0"/>
        <v>1387</v>
      </c>
      <c r="L52" s="6">
        <v>311</v>
      </c>
      <c r="M52" s="8">
        <v>442</v>
      </c>
      <c r="N52" s="6">
        <v>26</v>
      </c>
      <c r="O52" s="8">
        <f t="shared" si="1"/>
        <v>8.2855082912761358</v>
      </c>
      <c r="Q52" s="10">
        <v>2103</v>
      </c>
      <c r="R52" s="10">
        <f t="shared" si="2"/>
        <v>2916861</v>
      </c>
      <c r="S52" s="10">
        <f t="shared" si="3"/>
        <v>929526</v>
      </c>
    </row>
    <row r="53" spans="1:19" x14ac:dyDescent="0.25">
      <c r="A53" s="5" t="s">
        <v>67</v>
      </c>
      <c r="B53" s="6" t="s">
        <v>17</v>
      </c>
      <c r="C53" s="6" t="s">
        <v>19</v>
      </c>
      <c r="D53" s="6">
        <v>10</v>
      </c>
      <c r="E53" s="6">
        <v>12854</v>
      </c>
      <c r="F53" s="6">
        <v>26150</v>
      </c>
      <c r="G53" s="6">
        <v>0</v>
      </c>
      <c r="H53" s="6">
        <v>0</v>
      </c>
      <c r="I53" s="6">
        <v>0</v>
      </c>
      <c r="J53" s="6">
        <v>10000</v>
      </c>
      <c r="K53" s="6">
        <f t="shared" si="0"/>
        <v>10000</v>
      </c>
      <c r="L53" s="6">
        <v>29004</v>
      </c>
      <c r="M53" s="8">
        <v>31825.428571428602</v>
      </c>
      <c r="N53" s="6">
        <v>26</v>
      </c>
      <c r="O53" s="8">
        <f t="shared" si="1"/>
        <v>82.746114285714356</v>
      </c>
      <c r="Q53" s="10">
        <v>2802</v>
      </c>
      <c r="R53" s="10">
        <f t="shared" si="2"/>
        <v>28020000</v>
      </c>
      <c r="S53" s="10">
        <f t="shared" si="3"/>
        <v>89174850.85714294</v>
      </c>
    </row>
    <row r="54" spans="1:19" x14ac:dyDescent="0.25">
      <c r="A54" s="5" t="s">
        <v>68</v>
      </c>
      <c r="B54" s="6" t="s">
        <v>17</v>
      </c>
      <c r="C54" s="6" t="s">
        <v>19</v>
      </c>
      <c r="D54" s="6">
        <v>10</v>
      </c>
      <c r="E54" s="6">
        <v>12500</v>
      </c>
      <c r="F54" s="6">
        <v>138750</v>
      </c>
      <c r="G54" s="6">
        <v>0</v>
      </c>
      <c r="H54" s="6">
        <v>0</v>
      </c>
      <c r="I54" s="6">
        <v>147300</v>
      </c>
      <c r="J54" s="6">
        <v>200</v>
      </c>
      <c r="K54" s="6">
        <f t="shared" si="0"/>
        <v>147500</v>
      </c>
      <c r="L54" s="6">
        <v>3750</v>
      </c>
      <c r="M54" s="8">
        <v>22113.461538461499</v>
      </c>
      <c r="N54" s="6">
        <v>26</v>
      </c>
      <c r="O54" s="8">
        <f t="shared" si="1"/>
        <v>3.8979661016949083</v>
      </c>
      <c r="Q54" s="10">
        <v>2126</v>
      </c>
      <c r="R54" s="10">
        <f t="shared" si="2"/>
        <v>313585000</v>
      </c>
      <c r="S54" s="10">
        <f t="shared" si="3"/>
        <v>47013219.23076915</v>
      </c>
    </row>
    <row r="55" spans="1:19" x14ac:dyDescent="0.25">
      <c r="A55" s="5" t="s">
        <v>69</v>
      </c>
      <c r="B55" s="6" t="s">
        <v>16</v>
      </c>
      <c r="C55" s="6" t="s">
        <v>19</v>
      </c>
      <c r="D55" s="6">
        <v>10</v>
      </c>
      <c r="E55" s="6">
        <v>22870</v>
      </c>
      <c r="F55" s="6">
        <v>70150</v>
      </c>
      <c r="G55" s="6">
        <v>0</v>
      </c>
      <c r="H55" s="6">
        <v>0</v>
      </c>
      <c r="I55" s="6">
        <v>72450</v>
      </c>
      <c r="J55" s="6">
        <v>11000</v>
      </c>
      <c r="K55" s="6">
        <f t="shared" si="0"/>
        <v>83450</v>
      </c>
      <c r="L55" s="6">
        <v>9570</v>
      </c>
      <c r="M55" s="8">
        <v>26460.384615384603</v>
      </c>
      <c r="N55" s="6">
        <v>26</v>
      </c>
      <c r="O55" s="8">
        <f t="shared" si="1"/>
        <v>8.2440982624325905</v>
      </c>
      <c r="Q55" s="10">
        <v>2846</v>
      </c>
      <c r="R55" s="10">
        <f t="shared" si="2"/>
        <v>237498700</v>
      </c>
      <c r="S55" s="10">
        <f t="shared" si="3"/>
        <v>75306254.615384579</v>
      </c>
    </row>
    <row r="56" spans="1:19" x14ac:dyDescent="0.25">
      <c r="A56" s="2" t="s">
        <v>0</v>
      </c>
      <c r="B56" s="6" t="s">
        <v>17</v>
      </c>
      <c r="C56" s="6" t="s">
        <v>19</v>
      </c>
      <c r="D56" s="6">
        <v>10</v>
      </c>
      <c r="E56" s="6">
        <v>0</v>
      </c>
      <c r="F56" s="6">
        <v>22750</v>
      </c>
      <c r="G56" s="6">
        <v>0</v>
      </c>
      <c r="H56" s="6">
        <v>0</v>
      </c>
      <c r="I56" s="6">
        <v>19500</v>
      </c>
      <c r="J56" s="6">
        <v>0</v>
      </c>
      <c r="K56" s="6">
        <f t="shared" si="0"/>
        <v>19500</v>
      </c>
      <c r="L56" s="6">
        <v>3250</v>
      </c>
      <c r="M56" s="8">
        <v>11582.142857142899</v>
      </c>
      <c r="N56" s="6">
        <v>26</v>
      </c>
      <c r="O56" s="8">
        <f t="shared" si="1"/>
        <v>15.442857142857198</v>
      </c>
      <c r="Q56" s="10">
        <v>2514</v>
      </c>
      <c r="R56" s="10">
        <f t="shared" si="2"/>
        <v>49023000</v>
      </c>
      <c r="S56" s="10">
        <f t="shared" si="3"/>
        <v>29117507.142857246</v>
      </c>
    </row>
    <row r="57" spans="1:19" x14ac:dyDescent="0.25">
      <c r="A57" s="5" t="s">
        <v>71</v>
      </c>
      <c r="B57" s="6" t="s">
        <v>17</v>
      </c>
      <c r="C57" s="6" t="s">
        <v>19</v>
      </c>
      <c r="D57" s="6">
        <v>10</v>
      </c>
      <c r="E57" s="6">
        <v>14889</v>
      </c>
      <c r="F57" s="6">
        <v>24464</v>
      </c>
      <c r="G57" s="6">
        <v>0</v>
      </c>
      <c r="H57" s="6">
        <v>0</v>
      </c>
      <c r="I57" s="6">
        <v>30290</v>
      </c>
      <c r="J57" s="6">
        <v>0</v>
      </c>
      <c r="K57" s="6">
        <f t="shared" si="0"/>
        <v>30290</v>
      </c>
      <c r="L57" s="6">
        <v>9063</v>
      </c>
      <c r="M57" s="8">
        <v>8254.1818181818198</v>
      </c>
      <c r="N57" s="6">
        <v>26</v>
      </c>
      <c r="O57" s="8">
        <f t="shared" si="1"/>
        <v>7.0851346078813906</v>
      </c>
      <c r="Q57" s="10">
        <v>1956</v>
      </c>
      <c r="R57" s="10">
        <f t="shared" si="2"/>
        <v>59247240</v>
      </c>
      <c r="S57" s="10">
        <f t="shared" si="3"/>
        <v>16145179.63636364</v>
      </c>
    </row>
    <row r="58" spans="1:19" x14ac:dyDescent="0.25">
      <c r="A58" s="5" t="s">
        <v>72</v>
      </c>
      <c r="B58" s="6" t="s">
        <v>17</v>
      </c>
      <c r="C58" s="6" t="s">
        <v>19</v>
      </c>
      <c r="D58" s="6">
        <v>10</v>
      </c>
      <c r="E58" s="6">
        <v>29061</v>
      </c>
      <c r="F58" s="6">
        <v>29084</v>
      </c>
      <c r="G58" s="6">
        <v>0</v>
      </c>
      <c r="H58" s="6">
        <v>0</v>
      </c>
      <c r="I58" s="6">
        <v>0</v>
      </c>
      <c r="J58" s="6">
        <v>40684</v>
      </c>
      <c r="K58" s="6">
        <f t="shared" si="0"/>
        <v>40684</v>
      </c>
      <c r="L58" s="6">
        <v>17461</v>
      </c>
      <c r="M58" s="8">
        <v>30419.777777777799</v>
      </c>
      <c r="N58" s="6">
        <v>26</v>
      </c>
      <c r="O58" s="8">
        <f t="shared" si="1"/>
        <v>19.440424300025139</v>
      </c>
      <c r="Q58" s="10">
        <v>3391</v>
      </c>
      <c r="R58" s="10">
        <f t="shared" si="2"/>
        <v>137959444</v>
      </c>
      <c r="S58" s="10">
        <f t="shared" si="3"/>
        <v>103153466.44444452</v>
      </c>
    </row>
    <row r="59" spans="1:19" x14ac:dyDescent="0.25">
      <c r="A59" s="5" t="s">
        <v>73</v>
      </c>
      <c r="B59" s="6" t="s">
        <v>17</v>
      </c>
      <c r="C59" s="6" t="s">
        <v>19</v>
      </c>
      <c r="D59" s="6">
        <v>10</v>
      </c>
      <c r="E59" s="6">
        <v>7175</v>
      </c>
      <c r="F59" s="6">
        <v>21225</v>
      </c>
      <c r="G59" s="6">
        <v>0</v>
      </c>
      <c r="H59" s="6">
        <v>0</v>
      </c>
      <c r="I59" s="6">
        <v>0</v>
      </c>
      <c r="J59" s="6">
        <v>26225</v>
      </c>
      <c r="K59" s="6">
        <f t="shared" si="0"/>
        <v>26225</v>
      </c>
      <c r="L59" s="6">
        <v>2175</v>
      </c>
      <c r="M59" s="8">
        <v>11176.470588235299</v>
      </c>
      <c r="N59" s="6">
        <v>26</v>
      </c>
      <c r="O59" s="8">
        <f t="shared" si="1"/>
        <v>11.080580945438237</v>
      </c>
      <c r="Q59" s="10">
        <v>3549</v>
      </c>
      <c r="R59" s="10">
        <f t="shared" si="2"/>
        <v>93072525</v>
      </c>
      <c r="S59" s="10">
        <f t="shared" si="3"/>
        <v>39665294.117647074</v>
      </c>
    </row>
    <row r="60" spans="1:19" x14ac:dyDescent="0.25">
      <c r="A60" s="5" t="s">
        <v>74</v>
      </c>
      <c r="B60" s="6" t="s">
        <v>17</v>
      </c>
      <c r="C60" s="6" t="s">
        <v>19</v>
      </c>
      <c r="D60" s="6">
        <v>10</v>
      </c>
      <c r="E60" s="6">
        <v>21652</v>
      </c>
      <c r="F60" s="6">
        <v>10135</v>
      </c>
      <c r="G60" s="6">
        <v>0</v>
      </c>
      <c r="H60" s="6">
        <v>0</v>
      </c>
      <c r="I60" s="6">
        <v>21417</v>
      </c>
      <c r="J60" s="6">
        <v>0</v>
      </c>
      <c r="K60" s="6">
        <f t="shared" si="0"/>
        <v>21417</v>
      </c>
      <c r="L60" s="6">
        <v>10370</v>
      </c>
      <c r="M60" s="8">
        <v>14734.1111111111</v>
      </c>
      <c r="N60" s="6">
        <v>26</v>
      </c>
      <c r="O60" s="8">
        <f t="shared" si="1"/>
        <v>17.887047153611086</v>
      </c>
      <c r="Q60" s="10">
        <v>2129</v>
      </c>
      <c r="R60" s="10">
        <f t="shared" si="2"/>
        <v>45596793</v>
      </c>
      <c r="S60" s="10">
        <f t="shared" si="3"/>
        <v>31368922.555555534</v>
      </c>
    </row>
    <row r="61" spans="1:19" x14ac:dyDescent="0.25">
      <c r="A61" s="5" t="s">
        <v>75</v>
      </c>
      <c r="B61" s="6" t="s">
        <v>17</v>
      </c>
      <c r="C61" s="6" t="s">
        <v>19</v>
      </c>
      <c r="D61" s="6">
        <v>10</v>
      </c>
      <c r="E61" s="6">
        <v>0</v>
      </c>
      <c r="F61" s="6">
        <v>14436</v>
      </c>
      <c r="G61" s="6">
        <v>0</v>
      </c>
      <c r="H61" s="6">
        <v>0</v>
      </c>
      <c r="I61" s="6">
        <v>10729</v>
      </c>
      <c r="J61" s="6">
        <v>0</v>
      </c>
      <c r="K61" s="6">
        <f t="shared" si="0"/>
        <v>10729</v>
      </c>
      <c r="L61" s="6">
        <v>3707</v>
      </c>
      <c r="M61" s="8">
        <v>6930</v>
      </c>
      <c r="N61" s="6">
        <v>26</v>
      </c>
      <c r="O61" s="8">
        <f t="shared" si="1"/>
        <v>16.79373660173362</v>
      </c>
      <c r="Q61" s="10">
        <v>2129</v>
      </c>
      <c r="R61" s="10">
        <f t="shared" si="2"/>
        <v>22842041</v>
      </c>
      <c r="S61" s="10">
        <f t="shared" si="3"/>
        <v>14753970</v>
      </c>
    </row>
    <row r="62" spans="1:19" x14ac:dyDescent="0.25">
      <c r="A62" s="5" t="s">
        <v>76</v>
      </c>
      <c r="B62" s="6" t="s">
        <v>17</v>
      </c>
      <c r="C62" s="6" t="s">
        <v>19</v>
      </c>
      <c r="D62" s="6">
        <v>10</v>
      </c>
      <c r="E62" s="6">
        <v>1869</v>
      </c>
      <c r="F62" s="6">
        <v>0</v>
      </c>
      <c r="G62" s="6">
        <v>0</v>
      </c>
      <c r="H62" s="6">
        <v>0</v>
      </c>
      <c r="I62" s="6">
        <v>400</v>
      </c>
      <c r="J62" s="6">
        <v>0</v>
      </c>
      <c r="K62" s="6">
        <f t="shared" si="0"/>
        <v>400</v>
      </c>
      <c r="L62" s="6">
        <v>1469</v>
      </c>
      <c r="M62" s="8">
        <v>1619</v>
      </c>
      <c r="N62" s="6">
        <v>26</v>
      </c>
      <c r="O62" s="8">
        <f t="shared" si="1"/>
        <v>105.23500000000001</v>
      </c>
      <c r="Q62" s="10">
        <v>2131</v>
      </c>
      <c r="R62" s="10">
        <f t="shared" si="2"/>
        <v>852400</v>
      </c>
      <c r="S62" s="10">
        <f t="shared" si="3"/>
        <v>3450089</v>
      </c>
    </row>
    <row r="63" spans="1:19" x14ac:dyDescent="0.25">
      <c r="A63" s="5" t="s">
        <v>77</v>
      </c>
      <c r="B63" s="6" t="s">
        <v>17</v>
      </c>
      <c r="C63" s="6" t="s">
        <v>19</v>
      </c>
      <c r="D63" s="6">
        <v>10</v>
      </c>
      <c r="E63" s="6">
        <v>9186</v>
      </c>
      <c r="F63" s="6">
        <v>0</v>
      </c>
      <c r="G63" s="6">
        <v>0</v>
      </c>
      <c r="H63" s="6">
        <v>0</v>
      </c>
      <c r="I63" s="6">
        <v>2500</v>
      </c>
      <c r="J63" s="6">
        <v>0</v>
      </c>
      <c r="K63" s="6">
        <f t="shared" si="0"/>
        <v>2500</v>
      </c>
      <c r="L63" s="6">
        <v>6686</v>
      </c>
      <c r="M63" s="8">
        <v>7311</v>
      </c>
      <c r="N63" s="6">
        <v>26</v>
      </c>
      <c r="O63" s="8">
        <f t="shared" si="1"/>
        <v>76.034399999999991</v>
      </c>
      <c r="Q63" s="10">
        <v>2131</v>
      </c>
      <c r="R63" s="10">
        <f t="shared" si="2"/>
        <v>5327500</v>
      </c>
      <c r="S63" s="10">
        <f t="shared" si="3"/>
        <v>15579741</v>
      </c>
    </row>
    <row r="64" spans="1:19" x14ac:dyDescent="0.25">
      <c r="A64" s="5" t="s">
        <v>78</v>
      </c>
      <c r="B64" s="6" t="s">
        <v>17</v>
      </c>
      <c r="C64" s="6" t="s">
        <v>19</v>
      </c>
      <c r="D64" s="6">
        <v>10</v>
      </c>
      <c r="E64" s="6">
        <v>16812</v>
      </c>
      <c r="F64" s="6">
        <v>58750</v>
      </c>
      <c r="G64" s="6">
        <v>0</v>
      </c>
      <c r="H64" s="6">
        <v>0</v>
      </c>
      <c r="I64" s="6">
        <v>47900</v>
      </c>
      <c r="J64" s="6">
        <v>0</v>
      </c>
      <c r="K64" s="6">
        <f t="shared" si="0"/>
        <v>47900</v>
      </c>
      <c r="L64" s="6">
        <v>27662</v>
      </c>
      <c r="M64" s="8">
        <v>31501.705882352901</v>
      </c>
      <c r="N64" s="6">
        <v>26</v>
      </c>
      <c r="O64" s="8">
        <f t="shared" si="1"/>
        <v>17.099047034262533</v>
      </c>
      <c r="Q64" s="10">
        <v>2245</v>
      </c>
      <c r="R64" s="10">
        <f t="shared" si="2"/>
        <v>107535500</v>
      </c>
      <c r="S64" s="10">
        <f t="shared" si="3"/>
        <v>70721329.705882266</v>
      </c>
    </row>
    <row r="65" spans="1:19" x14ac:dyDescent="0.25">
      <c r="A65" s="5" t="s">
        <v>79</v>
      </c>
      <c r="B65" s="6" t="s">
        <v>17</v>
      </c>
      <c r="C65" s="6" t="s">
        <v>19</v>
      </c>
      <c r="D65" s="6">
        <v>10</v>
      </c>
      <c r="E65" s="6">
        <v>10773</v>
      </c>
      <c r="F65" s="6">
        <v>48771</v>
      </c>
      <c r="G65" s="6">
        <v>0</v>
      </c>
      <c r="H65" s="6">
        <v>0</v>
      </c>
      <c r="I65" s="6">
        <v>49821</v>
      </c>
      <c r="J65" s="6">
        <v>0</v>
      </c>
      <c r="K65" s="6">
        <f t="shared" si="0"/>
        <v>49821</v>
      </c>
      <c r="L65" s="6">
        <v>9723</v>
      </c>
      <c r="M65" s="8">
        <v>21879.4</v>
      </c>
      <c r="N65" s="6">
        <v>26</v>
      </c>
      <c r="O65" s="8">
        <f t="shared" si="1"/>
        <v>11.418165030810302</v>
      </c>
      <c r="Q65" s="10">
        <v>2121</v>
      </c>
      <c r="R65" s="10">
        <f t="shared" si="2"/>
        <v>105670341</v>
      </c>
      <c r="S65" s="10">
        <f t="shared" si="3"/>
        <v>46406207.400000006</v>
      </c>
    </row>
    <row r="66" spans="1:19" x14ac:dyDescent="0.25">
      <c r="A66" s="5" t="s">
        <v>80</v>
      </c>
      <c r="B66" s="6" t="s">
        <v>17</v>
      </c>
      <c r="C66" s="6" t="s">
        <v>19</v>
      </c>
      <c r="D66" s="6">
        <v>10</v>
      </c>
      <c r="E66" s="6">
        <v>0</v>
      </c>
      <c r="F66" s="6">
        <v>2100</v>
      </c>
      <c r="G66" s="6">
        <v>0</v>
      </c>
      <c r="H66" s="6">
        <v>0</v>
      </c>
      <c r="I66" s="6">
        <v>900</v>
      </c>
      <c r="J66" s="6">
        <v>0</v>
      </c>
      <c r="K66" s="6">
        <f t="shared" si="0"/>
        <v>900</v>
      </c>
      <c r="L66" s="6">
        <v>1200</v>
      </c>
      <c r="M66" s="8">
        <v>1783.3333333333301</v>
      </c>
      <c r="N66" s="6">
        <v>26</v>
      </c>
      <c r="O66" s="8">
        <f t="shared" si="1"/>
        <v>51.518518518518427</v>
      </c>
      <c r="Q66" s="10">
        <v>2131</v>
      </c>
      <c r="R66" s="10">
        <f t="shared" si="2"/>
        <v>1917900</v>
      </c>
      <c r="S66" s="10">
        <f t="shared" si="3"/>
        <v>3800283.3333333265</v>
      </c>
    </row>
    <row r="67" spans="1:19" x14ac:dyDescent="0.25">
      <c r="A67" s="5" t="s">
        <v>81</v>
      </c>
      <c r="B67" s="6" t="s">
        <v>17</v>
      </c>
      <c r="C67" s="6" t="s">
        <v>19</v>
      </c>
      <c r="D67" s="6">
        <v>10</v>
      </c>
      <c r="E67" s="6">
        <v>2091</v>
      </c>
      <c r="F67" s="6">
        <v>1000</v>
      </c>
      <c r="G67" s="6">
        <v>0</v>
      </c>
      <c r="H67" s="6">
        <v>0</v>
      </c>
      <c r="I67" s="6">
        <v>0</v>
      </c>
      <c r="J67" s="6">
        <v>1170</v>
      </c>
      <c r="K67" s="6">
        <f t="shared" ref="K67:K130" si="4">I67+J67</f>
        <v>1170</v>
      </c>
      <c r="L67" s="6">
        <v>1921</v>
      </c>
      <c r="M67" s="8">
        <v>1361</v>
      </c>
      <c r="N67" s="6">
        <v>26</v>
      </c>
      <c r="O67" s="8">
        <f t="shared" ref="O67:O130" si="5">(M67/(I67+J67))*N67</f>
        <v>30.244444444444447</v>
      </c>
      <c r="Q67" s="10">
        <v>4592</v>
      </c>
      <c r="R67" s="10">
        <f t="shared" ref="R67:R130" si="6">Q67*(I67+J67)</f>
        <v>5372640</v>
      </c>
      <c r="S67" s="10">
        <f t="shared" ref="S67:S130" si="7">Q67*M67</f>
        <v>6249712</v>
      </c>
    </row>
    <row r="68" spans="1:19" x14ac:dyDescent="0.25">
      <c r="A68" s="5" t="s">
        <v>82</v>
      </c>
      <c r="B68" s="6" t="s">
        <v>17</v>
      </c>
      <c r="C68" s="6" t="s">
        <v>19</v>
      </c>
      <c r="D68" s="6">
        <v>10</v>
      </c>
      <c r="E68" s="6">
        <v>15194</v>
      </c>
      <c r="F68" s="6">
        <v>0</v>
      </c>
      <c r="G68" s="6">
        <v>0</v>
      </c>
      <c r="H68" s="6">
        <v>0</v>
      </c>
      <c r="I68" s="6">
        <v>0</v>
      </c>
      <c r="J68" s="6">
        <v>5850</v>
      </c>
      <c r="K68" s="6">
        <f t="shared" si="4"/>
        <v>5850</v>
      </c>
      <c r="L68" s="6">
        <v>9344</v>
      </c>
      <c r="M68" s="8">
        <v>11619</v>
      </c>
      <c r="N68" s="6">
        <v>26</v>
      </c>
      <c r="O68" s="8">
        <f t="shared" si="5"/>
        <v>51.64</v>
      </c>
      <c r="Q68" s="10">
        <v>2297</v>
      </c>
      <c r="R68" s="10">
        <f t="shared" si="6"/>
        <v>13437450</v>
      </c>
      <c r="S68" s="10">
        <f t="shared" si="7"/>
        <v>26688843</v>
      </c>
    </row>
    <row r="69" spans="1:19" x14ac:dyDescent="0.25">
      <c r="A69" s="5" t="s">
        <v>83</v>
      </c>
      <c r="B69" s="6" t="s">
        <v>17</v>
      </c>
      <c r="C69" s="6" t="s">
        <v>19</v>
      </c>
      <c r="D69" s="6">
        <v>10</v>
      </c>
      <c r="E69" s="6">
        <v>1300</v>
      </c>
      <c r="F69" s="6">
        <v>1000</v>
      </c>
      <c r="G69" s="6">
        <v>0</v>
      </c>
      <c r="H69" s="6">
        <v>0</v>
      </c>
      <c r="I69" s="6">
        <v>0</v>
      </c>
      <c r="J69" s="6">
        <v>925</v>
      </c>
      <c r="K69" s="6">
        <f t="shared" si="4"/>
        <v>925</v>
      </c>
      <c r="L69" s="6">
        <v>1375</v>
      </c>
      <c r="M69" s="8">
        <v>1165</v>
      </c>
      <c r="N69" s="6">
        <v>26</v>
      </c>
      <c r="O69" s="8">
        <f t="shared" si="5"/>
        <v>32.745945945945948</v>
      </c>
      <c r="Q69" s="10">
        <v>4592</v>
      </c>
      <c r="R69" s="10">
        <f t="shared" si="6"/>
        <v>4247600</v>
      </c>
      <c r="S69" s="10">
        <f t="shared" si="7"/>
        <v>5349680</v>
      </c>
    </row>
    <row r="70" spans="1:19" x14ac:dyDescent="0.25">
      <c r="A70" s="5" t="s">
        <v>84</v>
      </c>
      <c r="B70" s="6" t="s">
        <v>16</v>
      </c>
      <c r="C70" s="6" t="s">
        <v>19</v>
      </c>
      <c r="D70" s="6">
        <v>10</v>
      </c>
      <c r="E70" s="6">
        <v>23305</v>
      </c>
      <c r="F70" s="6">
        <v>82725</v>
      </c>
      <c r="G70" s="6">
        <v>0</v>
      </c>
      <c r="H70" s="6">
        <v>0</v>
      </c>
      <c r="I70" s="6">
        <v>0</v>
      </c>
      <c r="J70" s="6">
        <v>86740</v>
      </c>
      <c r="K70" s="6">
        <f t="shared" si="4"/>
        <v>86740</v>
      </c>
      <c r="L70" s="6">
        <v>19290</v>
      </c>
      <c r="M70" s="8">
        <v>18346.842105263197</v>
      </c>
      <c r="N70" s="6">
        <v>26</v>
      </c>
      <c r="O70" s="8">
        <f t="shared" si="5"/>
        <v>5.4993992937150464</v>
      </c>
      <c r="Q70" s="10">
        <v>1419</v>
      </c>
      <c r="R70" s="10">
        <f t="shared" si="6"/>
        <v>123084060</v>
      </c>
      <c r="S70" s="10">
        <f t="shared" si="7"/>
        <v>26034168.947368477</v>
      </c>
    </row>
    <row r="71" spans="1:19" x14ac:dyDescent="0.25">
      <c r="A71" s="5" t="s">
        <v>85</v>
      </c>
      <c r="B71" s="6" t="s">
        <v>17</v>
      </c>
      <c r="C71" s="6" t="s">
        <v>19</v>
      </c>
      <c r="D71" s="6">
        <v>10</v>
      </c>
      <c r="E71" s="6">
        <v>5410</v>
      </c>
      <c r="F71" s="6">
        <v>0</v>
      </c>
      <c r="G71" s="6">
        <v>0</v>
      </c>
      <c r="H71" s="6">
        <v>0</v>
      </c>
      <c r="I71" s="6">
        <v>0</v>
      </c>
      <c r="J71" s="6">
        <v>2218</v>
      </c>
      <c r="K71" s="6">
        <f t="shared" si="4"/>
        <v>2218</v>
      </c>
      <c r="L71" s="6">
        <v>3192</v>
      </c>
      <c r="M71" s="8">
        <v>3754</v>
      </c>
      <c r="N71" s="6">
        <v>26</v>
      </c>
      <c r="O71" s="8">
        <f t="shared" si="5"/>
        <v>44.005410279531105</v>
      </c>
      <c r="Q71" s="10">
        <v>4592</v>
      </c>
      <c r="R71" s="10">
        <f t="shared" si="6"/>
        <v>10185056</v>
      </c>
      <c r="S71" s="10">
        <f t="shared" si="7"/>
        <v>17238368</v>
      </c>
    </row>
    <row r="72" spans="1:19" x14ac:dyDescent="0.25">
      <c r="A72" s="2" t="s">
        <v>1</v>
      </c>
      <c r="B72" s="6" t="s">
        <v>17</v>
      </c>
      <c r="C72" s="6" t="s">
        <v>19</v>
      </c>
      <c r="D72" s="6">
        <v>10</v>
      </c>
      <c r="E72" s="6">
        <v>0</v>
      </c>
      <c r="F72" s="6">
        <v>3025</v>
      </c>
      <c r="G72" s="6">
        <v>0</v>
      </c>
      <c r="H72" s="6">
        <v>0</v>
      </c>
      <c r="I72" s="6">
        <v>0</v>
      </c>
      <c r="J72" s="6">
        <v>0</v>
      </c>
      <c r="K72" s="6">
        <f t="shared" si="4"/>
        <v>0</v>
      </c>
      <c r="L72" s="6">
        <v>3025</v>
      </c>
      <c r="M72" s="8">
        <v>3025</v>
      </c>
      <c r="N72" s="6">
        <v>26</v>
      </c>
      <c r="O72" s="8">
        <v>0</v>
      </c>
      <c r="Q72" s="10">
        <v>2103</v>
      </c>
      <c r="R72" s="10">
        <f t="shared" si="6"/>
        <v>0</v>
      </c>
      <c r="S72" s="10">
        <f t="shared" si="7"/>
        <v>6361575</v>
      </c>
    </row>
    <row r="73" spans="1:19" x14ac:dyDescent="0.25">
      <c r="A73" s="5" t="s">
        <v>87</v>
      </c>
      <c r="B73" s="6" t="s">
        <v>17</v>
      </c>
      <c r="C73" s="6" t="s">
        <v>19</v>
      </c>
      <c r="D73" s="6">
        <v>10</v>
      </c>
      <c r="E73" s="6">
        <v>24400</v>
      </c>
      <c r="F73" s="6">
        <v>0</v>
      </c>
      <c r="G73" s="6">
        <v>0</v>
      </c>
      <c r="H73" s="6">
        <v>0</v>
      </c>
      <c r="I73" s="6">
        <v>0</v>
      </c>
      <c r="J73" s="6">
        <v>7825</v>
      </c>
      <c r="K73" s="6">
        <f t="shared" si="4"/>
        <v>7825</v>
      </c>
      <c r="L73" s="6">
        <v>16575</v>
      </c>
      <c r="M73" s="8">
        <v>19808.333333333303</v>
      </c>
      <c r="N73" s="6">
        <v>26</v>
      </c>
      <c r="O73" s="8">
        <f t="shared" si="5"/>
        <v>65.81682641107551</v>
      </c>
      <c r="Q73" s="10">
        <v>2103</v>
      </c>
      <c r="R73" s="10">
        <f t="shared" si="6"/>
        <v>16455975</v>
      </c>
      <c r="S73" s="10">
        <f t="shared" si="7"/>
        <v>41656924.999999933</v>
      </c>
    </row>
    <row r="74" spans="1:19" x14ac:dyDescent="0.25">
      <c r="A74" s="5" t="s">
        <v>88</v>
      </c>
      <c r="B74" s="6" t="s">
        <v>17</v>
      </c>
      <c r="C74" s="6" t="s">
        <v>19</v>
      </c>
      <c r="D74" s="6">
        <v>10</v>
      </c>
      <c r="E74" s="6">
        <v>1624</v>
      </c>
      <c r="F74" s="6">
        <v>2020</v>
      </c>
      <c r="G74" s="6">
        <v>0</v>
      </c>
      <c r="H74" s="6">
        <v>0</v>
      </c>
      <c r="I74" s="6">
        <v>0</v>
      </c>
      <c r="J74" s="6">
        <v>1580</v>
      </c>
      <c r="K74" s="6">
        <f t="shared" si="4"/>
        <v>1580</v>
      </c>
      <c r="L74" s="6">
        <v>2064</v>
      </c>
      <c r="M74" s="8">
        <v>1734</v>
      </c>
      <c r="N74" s="6">
        <v>26</v>
      </c>
      <c r="O74" s="8">
        <f t="shared" si="5"/>
        <v>28.534177215189874</v>
      </c>
      <c r="Q74" s="10">
        <v>4592</v>
      </c>
      <c r="R74" s="10">
        <f t="shared" si="6"/>
        <v>7255360</v>
      </c>
      <c r="S74" s="10">
        <f t="shared" si="7"/>
        <v>7962528</v>
      </c>
    </row>
    <row r="75" spans="1:19" x14ac:dyDescent="0.25">
      <c r="A75" s="5" t="s">
        <v>89</v>
      </c>
      <c r="B75" s="6" t="s">
        <v>17</v>
      </c>
      <c r="C75" s="6" t="s">
        <v>19</v>
      </c>
      <c r="D75" s="6">
        <v>10</v>
      </c>
      <c r="E75" s="6">
        <v>813</v>
      </c>
      <c r="F75" s="6">
        <v>4069</v>
      </c>
      <c r="G75" s="6">
        <v>0</v>
      </c>
      <c r="H75" s="6">
        <v>0</v>
      </c>
      <c r="I75" s="6">
        <v>0</v>
      </c>
      <c r="J75" s="6">
        <v>1625</v>
      </c>
      <c r="K75" s="6">
        <f t="shared" si="4"/>
        <v>1625</v>
      </c>
      <c r="L75" s="6">
        <v>3257</v>
      </c>
      <c r="M75" s="8">
        <v>3592.75</v>
      </c>
      <c r="N75" s="6">
        <v>26</v>
      </c>
      <c r="O75" s="8">
        <f t="shared" si="5"/>
        <v>57.484000000000002</v>
      </c>
      <c r="Q75" s="10">
        <v>2297</v>
      </c>
      <c r="R75" s="10">
        <f t="shared" si="6"/>
        <v>3732625</v>
      </c>
      <c r="S75" s="10">
        <f t="shared" si="7"/>
        <v>8252546.75</v>
      </c>
    </row>
    <row r="76" spans="1:19" x14ac:dyDescent="0.25">
      <c r="A76" s="5" t="s">
        <v>90</v>
      </c>
      <c r="B76" s="6" t="s">
        <v>17</v>
      </c>
      <c r="C76" s="6" t="s">
        <v>19</v>
      </c>
      <c r="D76" s="6">
        <v>10</v>
      </c>
      <c r="E76" s="6">
        <v>1362</v>
      </c>
      <c r="F76" s="6">
        <v>0</v>
      </c>
      <c r="G76" s="6">
        <v>0</v>
      </c>
      <c r="H76" s="6">
        <v>0</v>
      </c>
      <c r="I76" s="6">
        <v>0</v>
      </c>
      <c r="J76" s="6">
        <v>412</v>
      </c>
      <c r="K76" s="6">
        <f t="shared" si="4"/>
        <v>412</v>
      </c>
      <c r="L76" s="6">
        <v>950</v>
      </c>
      <c r="M76" s="8">
        <v>1112.5</v>
      </c>
      <c r="N76" s="6">
        <v>26</v>
      </c>
      <c r="O76" s="8">
        <f t="shared" si="5"/>
        <v>70.206310679611647</v>
      </c>
      <c r="Q76" s="10">
        <v>2616</v>
      </c>
      <c r="R76" s="10">
        <f t="shared" si="6"/>
        <v>1077792</v>
      </c>
      <c r="S76" s="10">
        <f t="shared" si="7"/>
        <v>2910300</v>
      </c>
    </row>
    <row r="77" spans="1:19" x14ac:dyDescent="0.25">
      <c r="A77" s="5" t="s">
        <v>91</v>
      </c>
      <c r="B77" s="6" t="s">
        <v>16</v>
      </c>
      <c r="C77" s="6" t="s">
        <v>19</v>
      </c>
      <c r="D77" s="6">
        <v>10</v>
      </c>
      <c r="E77" s="6">
        <v>13250</v>
      </c>
      <c r="F77" s="6">
        <v>103125</v>
      </c>
      <c r="G77" s="6">
        <v>0</v>
      </c>
      <c r="H77" s="6">
        <v>0</v>
      </c>
      <c r="I77" s="6">
        <v>0</v>
      </c>
      <c r="J77" s="6">
        <v>89050</v>
      </c>
      <c r="K77" s="6">
        <f t="shared" si="4"/>
        <v>89050</v>
      </c>
      <c r="L77" s="6">
        <v>27325</v>
      </c>
      <c r="M77" s="8">
        <v>15293.4210526316</v>
      </c>
      <c r="N77" s="6">
        <v>26</v>
      </c>
      <c r="O77" s="8">
        <f t="shared" si="5"/>
        <v>4.4652324241260146</v>
      </c>
      <c r="Q77" s="10">
        <v>1419</v>
      </c>
      <c r="R77" s="10">
        <f t="shared" si="6"/>
        <v>126361950</v>
      </c>
      <c r="S77" s="10">
        <f t="shared" si="7"/>
        <v>21701364.47368424</v>
      </c>
    </row>
    <row r="78" spans="1:19" x14ac:dyDescent="0.25">
      <c r="A78" s="5" t="s">
        <v>92</v>
      </c>
      <c r="B78" s="6" t="s">
        <v>17</v>
      </c>
      <c r="C78" s="6" t="s">
        <v>19</v>
      </c>
      <c r="D78" s="6">
        <v>10</v>
      </c>
      <c r="E78" s="6">
        <v>1958</v>
      </c>
      <c r="F78" s="6">
        <v>0</v>
      </c>
      <c r="G78" s="6">
        <v>0</v>
      </c>
      <c r="H78" s="6">
        <v>0</v>
      </c>
      <c r="I78" s="6">
        <v>0</v>
      </c>
      <c r="J78" s="6">
        <v>900</v>
      </c>
      <c r="K78" s="6">
        <f t="shared" si="4"/>
        <v>900</v>
      </c>
      <c r="L78" s="6">
        <v>1058</v>
      </c>
      <c r="M78" s="8">
        <v>1358</v>
      </c>
      <c r="N78" s="6">
        <v>26</v>
      </c>
      <c r="O78" s="8">
        <f t="shared" si="5"/>
        <v>39.231111111111112</v>
      </c>
      <c r="Q78" s="10">
        <v>2616</v>
      </c>
      <c r="R78" s="10">
        <f t="shared" si="6"/>
        <v>2354400</v>
      </c>
      <c r="S78" s="10">
        <f t="shared" si="7"/>
        <v>3552528</v>
      </c>
    </row>
    <row r="79" spans="1:19" x14ac:dyDescent="0.25">
      <c r="A79" s="5" t="s">
        <v>93</v>
      </c>
      <c r="B79" s="6" t="s">
        <v>17</v>
      </c>
      <c r="C79" s="6" t="s">
        <v>19</v>
      </c>
      <c r="D79" s="6">
        <v>10</v>
      </c>
      <c r="E79" s="6">
        <v>360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f t="shared" si="4"/>
        <v>0</v>
      </c>
      <c r="L79" s="6">
        <v>360</v>
      </c>
      <c r="M79" s="8">
        <v>0</v>
      </c>
      <c r="N79" s="6">
        <v>26</v>
      </c>
      <c r="O79" s="8">
        <v>0</v>
      </c>
      <c r="Q79" s="10">
        <v>7550</v>
      </c>
      <c r="R79" s="10">
        <f t="shared" si="6"/>
        <v>0</v>
      </c>
      <c r="S79" s="10">
        <f t="shared" si="7"/>
        <v>0</v>
      </c>
    </row>
    <row r="80" spans="1:19" x14ac:dyDescent="0.25">
      <c r="A80" s="5" t="s">
        <v>94</v>
      </c>
      <c r="B80" s="6" t="s">
        <v>17</v>
      </c>
      <c r="C80" s="6" t="s">
        <v>19</v>
      </c>
      <c r="D80" s="6">
        <v>10</v>
      </c>
      <c r="E80" s="6">
        <v>4160</v>
      </c>
      <c r="F80" s="6">
        <v>53478</v>
      </c>
      <c r="G80" s="6">
        <v>0</v>
      </c>
      <c r="H80" s="6">
        <v>0</v>
      </c>
      <c r="I80" s="6">
        <v>51731</v>
      </c>
      <c r="J80" s="6">
        <v>0</v>
      </c>
      <c r="K80" s="6">
        <f t="shared" si="4"/>
        <v>51731</v>
      </c>
      <c r="L80" s="6">
        <v>5907</v>
      </c>
      <c r="M80" s="8">
        <v>10288.608695652201</v>
      </c>
      <c r="N80" s="6">
        <v>26</v>
      </c>
      <c r="O80" s="8">
        <f t="shared" si="5"/>
        <v>5.1710546111027673</v>
      </c>
      <c r="Q80" s="10">
        <v>7550</v>
      </c>
      <c r="R80" s="10">
        <f t="shared" si="6"/>
        <v>390569050</v>
      </c>
      <c r="S80" s="10">
        <f t="shared" si="7"/>
        <v>77678995.652174115</v>
      </c>
    </row>
    <row r="81" spans="1:19" x14ac:dyDescent="0.25">
      <c r="A81" s="5" t="s">
        <v>95</v>
      </c>
      <c r="B81" s="6" t="s">
        <v>17</v>
      </c>
      <c r="C81" s="6" t="s">
        <v>19</v>
      </c>
      <c r="D81" s="6">
        <v>10</v>
      </c>
      <c r="E81" s="6">
        <v>5194</v>
      </c>
      <c r="F81" s="6">
        <v>2100</v>
      </c>
      <c r="G81" s="6">
        <v>0</v>
      </c>
      <c r="H81" s="6">
        <v>0</v>
      </c>
      <c r="I81" s="6">
        <v>0</v>
      </c>
      <c r="J81" s="6">
        <v>3430</v>
      </c>
      <c r="K81" s="6">
        <f t="shared" si="4"/>
        <v>3430</v>
      </c>
      <c r="L81" s="6">
        <v>3864</v>
      </c>
      <c r="M81" s="8">
        <v>4264</v>
      </c>
      <c r="N81" s="6">
        <v>26</v>
      </c>
      <c r="O81" s="8">
        <f t="shared" si="5"/>
        <v>32.321865889212823</v>
      </c>
      <c r="Q81" s="10">
        <v>4592</v>
      </c>
      <c r="R81" s="10">
        <f t="shared" si="6"/>
        <v>15750560</v>
      </c>
      <c r="S81" s="10">
        <f t="shared" si="7"/>
        <v>19580288</v>
      </c>
    </row>
    <row r="82" spans="1:19" x14ac:dyDescent="0.25">
      <c r="A82" s="5" t="s">
        <v>96</v>
      </c>
      <c r="B82" s="6" t="s">
        <v>17</v>
      </c>
      <c r="C82" s="6" t="s">
        <v>19</v>
      </c>
      <c r="D82" s="6">
        <v>10</v>
      </c>
      <c r="E82" s="6">
        <v>2905</v>
      </c>
      <c r="F82" s="6">
        <v>8975</v>
      </c>
      <c r="G82" s="6">
        <v>0</v>
      </c>
      <c r="H82" s="6">
        <v>0</v>
      </c>
      <c r="I82" s="6">
        <v>0</v>
      </c>
      <c r="J82" s="6">
        <v>7800</v>
      </c>
      <c r="K82" s="6">
        <f t="shared" si="4"/>
        <v>7800</v>
      </c>
      <c r="L82" s="6">
        <v>4080</v>
      </c>
      <c r="M82" s="8">
        <v>5126.875</v>
      </c>
      <c r="N82" s="6">
        <v>26</v>
      </c>
      <c r="O82" s="8">
        <f t="shared" si="5"/>
        <v>17.089583333333334</v>
      </c>
      <c r="Q82" s="10">
        <v>2297</v>
      </c>
      <c r="R82" s="10">
        <f t="shared" si="6"/>
        <v>17916600</v>
      </c>
      <c r="S82" s="10">
        <f t="shared" si="7"/>
        <v>11776431.875</v>
      </c>
    </row>
    <row r="83" spans="1:19" x14ac:dyDescent="0.25">
      <c r="A83" s="5" t="s">
        <v>97</v>
      </c>
      <c r="B83" s="6" t="s">
        <v>17</v>
      </c>
      <c r="C83" s="6" t="s">
        <v>19</v>
      </c>
      <c r="D83" s="6">
        <v>10</v>
      </c>
      <c r="E83" s="6">
        <v>500</v>
      </c>
      <c r="F83" s="6">
        <v>1050</v>
      </c>
      <c r="G83" s="6">
        <v>0</v>
      </c>
      <c r="H83" s="6">
        <v>0</v>
      </c>
      <c r="I83" s="6">
        <v>0</v>
      </c>
      <c r="J83" s="6">
        <v>900</v>
      </c>
      <c r="K83" s="6">
        <f t="shared" si="4"/>
        <v>900</v>
      </c>
      <c r="L83" s="6">
        <v>650</v>
      </c>
      <c r="M83" s="8">
        <v>1187.5</v>
      </c>
      <c r="N83" s="6">
        <v>26</v>
      </c>
      <c r="O83" s="8">
        <f t="shared" si="5"/>
        <v>34.305555555555557</v>
      </c>
      <c r="Q83" s="10">
        <v>2616</v>
      </c>
      <c r="R83" s="10">
        <f t="shared" si="6"/>
        <v>2354400</v>
      </c>
      <c r="S83" s="10">
        <f t="shared" si="7"/>
        <v>3106500</v>
      </c>
    </row>
    <row r="84" spans="1:19" x14ac:dyDescent="0.25">
      <c r="A84" s="5" t="s">
        <v>98</v>
      </c>
      <c r="B84" s="6" t="s">
        <v>16</v>
      </c>
      <c r="C84" s="6" t="s">
        <v>19</v>
      </c>
      <c r="D84" s="6">
        <v>10</v>
      </c>
      <c r="E84" s="6">
        <v>8040</v>
      </c>
      <c r="F84" s="6">
        <v>55500</v>
      </c>
      <c r="G84" s="6">
        <v>0</v>
      </c>
      <c r="H84" s="6">
        <v>0</v>
      </c>
      <c r="I84" s="6">
        <v>0</v>
      </c>
      <c r="J84" s="6">
        <v>47550</v>
      </c>
      <c r="K84" s="6">
        <f t="shared" si="4"/>
        <v>47550</v>
      </c>
      <c r="L84" s="6">
        <v>15990</v>
      </c>
      <c r="M84" s="8">
        <v>14568.5714285714</v>
      </c>
      <c r="N84" s="6">
        <v>26</v>
      </c>
      <c r="O84" s="8">
        <f t="shared" si="5"/>
        <v>7.9659906864954033</v>
      </c>
      <c r="Q84" s="10">
        <v>1419</v>
      </c>
      <c r="R84" s="10">
        <f t="shared" si="6"/>
        <v>67473450</v>
      </c>
      <c r="S84" s="10">
        <f t="shared" si="7"/>
        <v>20672802.857142817</v>
      </c>
    </row>
    <row r="85" spans="1:19" x14ac:dyDescent="0.25">
      <c r="A85" s="5" t="s">
        <v>99</v>
      </c>
      <c r="B85" s="6" t="s">
        <v>17</v>
      </c>
      <c r="C85" s="6" t="s">
        <v>19</v>
      </c>
      <c r="D85" s="6">
        <v>10</v>
      </c>
      <c r="E85" s="6">
        <v>2411</v>
      </c>
      <c r="F85" s="6">
        <v>0</v>
      </c>
      <c r="G85" s="6">
        <v>0</v>
      </c>
      <c r="H85" s="6">
        <v>0</v>
      </c>
      <c r="I85" s="6">
        <v>0</v>
      </c>
      <c r="J85" s="6">
        <v>950</v>
      </c>
      <c r="K85" s="6">
        <f t="shared" si="4"/>
        <v>950</v>
      </c>
      <c r="L85" s="6">
        <v>1461</v>
      </c>
      <c r="M85" s="8">
        <v>1648.5</v>
      </c>
      <c r="N85" s="6">
        <v>26</v>
      </c>
      <c r="O85" s="8">
        <f t="shared" si="5"/>
        <v>45.11684210526316</v>
      </c>
      <c r="Q85" s="10">
        <v>2616</v>
      </c>
      <c r="R85" s="10">
        <f t="shared" si="6"/>
        <v>2485200</v>
      </c>
      <c r="S85" s="10">
        <f t="shared" si="7"/>
        <v>4312476</v>
      </c>
    </row>
    <row r="86" spans="1:19" x14ac:dyDescent="0.25">
      <c r="A86" s="5" t="s">
        <v>100</v>
      </c>
      <c r="B86" s="6" t="s">
        <v>17</v>
      </c>
      <c r="C86" s="6" t="s">
        <v>19</v>
      </c>
      <c r="D86" s="6">
        <v>10</v>
      </c>
      <c r="E86" s="6">
        <v>1875</v>
      </c>
      <c r="F86" s="6">
        <v>0</v>
      </c>
      <c r="G86" s="6">
        <v>0</v>
      </c>
      <c r="H86" s="6">
        <v>0</v>
      </c>
      <c r="I86" s="6">
        <v>0</v>
      </c>
      <c r="J86" s="6">
        <v>290</v>
      </c>
      <c r="K86" s="6">
        <f t="shared" si="4"/>
        <v>290</v>
      </c>
      <c r="L86" s="6">
        <v>1585</v>
      </c>
      <c r="M86" s="8">
        <v>1585</v>
      </c>
      <c r="N86" s="6">
        <v>26</v>
      </c>
      <c r="O86" s="8">
        <f t="shared" si="5"/>
        <v>142.10344827586206</v>
      </c>
      <c r="Q86" s="10">
        <v>4592</v>
      </c>
      <c r="R86" s="10">
        <f t="shared" si="6"/>
        <v>1331680</v>
      </c>
      <c r="S86" s="10">
        <f t="shared" si="7"/>
        <v>7278320</v>
      </c>
    </row>
    <row r="87" spans="1:19" x14ac:dyDescent="0.25">
      <c r="A87" s="5" t="s">
        <v>101</v>
      </c>
      <c r="B87" s="6" t="s">
        <v>17</v>
      </c>
      <c r="C87" s="6" t="s">
        <v>19</v>
      </c>
      <c r="D87" s="6">
        <v>10</v>
      </c>
      <c r="E87" s="6">
        <v>18165</v>
      </c>
      <c r="F87" s="6">
        <v>0</v>
      </c>
      <c r="G87" s="6">
        <v>0</v>
      </c>
      <c r="H87" s="6">
        <v>0</v>
      </c>
      <c r="I87" s="6">
        <v>0</v>
      </c>
      <c r="J87" s="6">
        <v>1625</v>
      </c>
      <c r="K87" s="6">
        <f t="shared" si="4"/>
        <v>1625</v>
      </c>
      <c r="L87" s="6">
        <v>16540</v>
      </c>
      <c r="M87" s="8">
        <v>16540</v>
      </c>
      <c r="N87" s="6">
        <v>26</v>
      </c>
      <c r="O87" s="8">
        <f t="shared" si="5"/>
        <v>264.64</v>
      </c>
      <c r="Q87" s="10">
        <v>2297</v>
      </c>
      <c r="R87" s="10">
        <f t="shared" si="6"/>
        <v>3732625</v>
      </c>
      <c r="S87" s="10">
        <f t="shared" si="7"/>
        <v>37992380</v>
      </c>
    </row>
    <row r="88" spans="1:19" x14ac:dyDescent="0.25">
      <c r="A88" s="5" t="s">
        <v>102</v>
      </c>
      <c r="B88" s="6" t="s">
        <v>17</v>
      </c>
      <c r="C88" s="6" t="s">
        <v>19</v>
      </c>
      <c r="D88" s="6">
        <v>10</v>
      </c>
      <c r="E88" s="6">
        <v>1125</v>
      </c>
      <c r="F88" s="6">
        <v>1000</v>
      </c>
      <c r="G88" s="6">
        <v>0</v>
      </c>
      <c r="H88" s="6">
        <v>0</v>
      </c>
      <c r="I88" s="6">
        <v>0</v>
      </c>
      <c r="J88" s="6">
        <v>325</v>
      </c>
      <c r="K88" s="6">
        <f t="shared" si="4"/>
        <v>325</v>
      </c>
      <c r="L88" s="6">
        <v>1800</v>
      </c>
      <c r="M88" s="8">
        <v>1200</v>
      </c>
      <c r="N88" s="6">
        <v>26</v>
      </c>
      <c r="O88" s="8">
        <f t="shared" si="5"/>
        <v>96</v>
      </c>
      <c r="Q88" s="10">
        <v>2616</v>
      </c>
      <c r="R88" s="10">
        <f t="shared" si="6"/>
        <v>850200</v>
      </c>
      <c r="S88" s="10">
        <f t="shared" si="7"/>
        <v>3139200</v>
      </c>
    </row>
    <row r="89" spans="1:19" x14ac:dyDescent="0.25">
      <c r="A89" s="5" t="s">
        <v>103</v>
      </c>
      <c r="B89" s="6" t="s">
        <v>16</v>
      </c>
      <c r="C89" s="6" t="s">
        <v>19</v>
      </c>
      <c r="D89" s="6">
        <v>10</v>
      </c>
      <c r="E89" s="6">
        <v>15775</v>
      </c>
      <c r="F89" s="6">
        <v>53475</v>
      </c>
      <c r="G89" s="6">
        <v>0</v>
      </c>
      <c r="H89" s="6">
        <v>0</v>
      </c>
      <c r="I89" s="6">
        <v>0</v>
      </c>
      <c r="J89" s="6">
        <v>63150</v>
      </c>
      <c r="K89" s="6">
        <f t="shared" si="4"/>
        <v>63150</v>
      </c>
      <c r="L89" s="6">
        <v>6100</v>
      </c>
      <c r="M89" s="8">
        <v>13420</v>
      </c>
      <c r="N89" s="6">
        <v>26</v>
      </c>
      <c r="O89" s="8">
        <f t="shared" si="5"/>
        <v>5.5252573238321459</v>
      </c>
      <c r="Q89" s="10">
        <v>1419</v>
      </c>
      <c r="R89" s="10">
        <f t="shared" si="6"/>
        <v>89609850</v>
      </c>
      <c r="S89" s="10">
        <f t="shared" si="7"/>
        <v>19042980</v>
      </c>
    </row>
    <row r="90" spans="1:19" x14ac:dyDescent="0.25">
      <c r="A90" s="5" t="s">
        <v>104</v>
      </c>
      <c r="B90" s="6" t="s">
        <v>17</v>
      </c>
      <c r="C90" s="6" t="s">
        <v>19</v>
      </c>
      <c r="D90" s="6">
        <v>10</v>
      </c>
      <c r="E90" s="6">
        <v>789</v>
      </c>
      <c r="F90" s="6">
        <v>0</v>
      </c>
      <c r="G90" s="6">
        <v>0</v>
      </c>
      <c r="H90" s="6">
        <v>0</v>
      </c>
      <c r="I90" s="6">
        <v>0</v>
      </c>
      <c r="J90" s="6">
        <v>550</v>
      </c>
      <c r="K90" s="6">
        <f t="shared" si="4"/>
        <v>550</v>
      </c>
      <c r="L90" s="6">
        <v>239</v>
      </c>
      <c r="M90" s="8">
        <v>432.75</v>
      </c>
      <c r="N90" s="6">
        <v>26</v>
      </c>
      <c r="O90" s="8">
        <f t="shared" si="5"/>
        <v>20.457272727272727</v>
      </c>
      <c r="Q90" s="10">
        <v>1419</v>
      </c>
      <c r="R90" s="10">
        <f t="shared" si="6"/>
        <v>780450</v>
      </c>
      <c r="S90" s="10">
        <f t="shared" si="7"/>
        <v>614072.25</v>
      </c>
    </row>
    <row r="91" spans="1:19" x14ac:dyDescent="0.25">
      <c r="A91" s="5" t="s">
        <v>105</v>
      </c>
      <c r="B91" s="6" t="s">
        <v>17</v>
      </c>
      <c r="C91" s="6" t="s">
        <v>19</v>
      </c>
      <c r="D91" s="6">
        <v>10</v>
      </c>
      <c r="E91" s="6">
        <v>12781</v>
      </c>
      <c r="F91" s="6">
        <v>37787</v>
      </c>
      <c r="G91" s="6">
        <v>0</v>
      </c>
      <c r="H91" s="6">
        <v>0</v>
      </c>
      <c r="I91" s="6">
        <v>0</v>
      </c>
      <c r="J91" s="6">
        <v>38892</v>
      </c>
      <c r="K91" s="6">
        <f t="shared" si="4"/>
        <v>38892</v>
      </c>
      <c r="L91" s="6">
        <v>11676</v>
      </c>
      <c r="M91" s="8">
        <v>16746.833333333303</v>
      </c>
      <c r="N91" s="6">
        <v>26</v>
      </c>
      <c r="O91" s="8">
        <f t="shared" si="5"/>
        <v>11.195558641022984</v>
      </c>
      <c r="Q91" s="10">
        <v>1968</v>
      </c>
      <c r="R91" s="10">
        <f t="shared" si="6"/>
        <v>76539456</v>
      </c>
      <c r="S91" s="10">
        <f t="shared" si="7"/>
        <v>32957767.99999994</v>
      </c>
    </row>
    <row r="92" spans="1:19" x14ac:dyDescent="0.25">
      <c r="A92" s="5" t="s">
        <v>108</v>
      </c>
      <c r="B92" s="6" t="s">
        <v>17</v>
      </c>
      <c r="C92" s="6" t="s">
        <v>19</v>
      </c>
      <c r="D92" s="6">
        <v>10</v>
      </c>
      <c r="E92" s="6">
        <v>9980</v>
      </c>
      <c r="F92" s="6">
        <v>18089</v>
      </c>
      <c r="G92" s="6">
        <v>0</v>
      </c>
      <c r="H92" s="6">
        <v>0</v>
      </c>
      <c r="I92" s="6">
        <v>15439</v>
      </c>
      <c r="J92" s="6">
        <v>0</v>
      </c>
      <c r="K92" s="6">
        <f t="shared" si="4"/>
        <v>15439</v>
      </c>
      <c r="L92" s="6">
        <v>12630</v>
      </c>
      <c r="M92" s="8">
        <v>17346.7</v>
      </c>
      <c r="N92" s="6">
        <v>26</v>
      </c>
      <c r="O92" s="8">
        <f t="shared" si="5"/>
        <v>29.212656260120475</v>
      </c>
      <c r="Q92" s="10">
        <v>1968</v>
      </c>
      <c r="R92" s="10">
        <f t="shared" si="6"/>
        <v>30383952</v>
      </c>
      <c r="S92" s="10">
        <f t="shared" si="7"/>
        <v>34138305.600000001</v>
      </c>
    </row>
    <row r="93" spans="1:19" x14ac:dyDescent="0.25">
      <c r="A93" s="2" t="s">
        <v>2</v>
      </c>
      <c r="B93" s="6" t="s">
        <v>17</v>
      </c>
      <c r="C93" s="6" t="s">
        <v>19</v>
      </c>
      <c r="D93" s="6">
        <v>10</v>
      </c>
      <c r="E93" s="6">
        <v>11971</v>
      </c>
      <c r="F93" s="6">
        <v>5022</v>
      </c>
      <c r="G93" s="6">
        <v>0</v>
      </c>
      <c r="H93" s="6">
        <v>0</v>
      </c>
      <c r="I93" s="6">
        <v>8821</v>
      </c>
      <c r="J93" s="6">
        <v>0</v>
      </c>
      <c r="K93" s="6">
        <f t="shared" si="4"/>
        <v>8821</v>
      </c>
      <c r="L93" s="6">
        <v>8172</v>
      </c>
      <c r="M93" s="8">
        <v>7468.6</v>
      </c>
      <c r="N93" s="6">
        <v>26</v>
      </c>
      <c r="O93" s="8">
        <f t="shared" si="5"/>
        <v>22.01378528511507</v>
      </c>
      <c r="Q93" s="10">
        <v>2157</v>
      </c>
      <c r="R93" s="10">
        <f t="shared" si="6"/>
        <v>19026897</v>
      </c>
      <c r="S93" s="10">
        <f t="shared" si="7"/>
        <v>16109770.200000001</v>
      </c>
    </row>
    <row r="94" spans="1:19" x14ac:dyDescent="0.25">
      <c r="A94" s="5" t="s">
        <v>110</v>
      </c>
      <c r="B94" s="6" t="s">
        <v>17</v>
      </c>
      <c r="C94" s="6" t="s">
        <v>19</v>
      </c>
      <c r="D94" s="6">
        <v>10</v>
      </c>
      <c r="E94" s="6">
        <v>15825</v>
      </c>
      <c r="F94" s="6">
        <v>0</v>
      </c>
      <c r="G94" s="6">
        <v>0</v>
      </c>
      <c r="H94" s="6">
        <v>0</v>
      </c>
      <c r="I94" s="6">
        <v>0</v>
      </c>
      <c r="J94" s="6">
        <v>13250</v>
      </c>
      <c r="K94" s="6">
        <f t="shared" si="4"/>
        <v>13250</v>
      </c>
      <c r="L94" s="6">
        <v>2575</v>
      </c>
      <c r="M94" s="8">
        <v>9293.75</v>
      </c>
      <c r="N94" s="6">
        <v>26</v>
      </c>
      <c r="O94" s="8">
        <f t="shared" si="5"/>
        <v>18.236792452830191</v>
      </c>
      <c r="Q94" s="10">
        <v>2031</v>
      </c>
      <c r="R94" s="10">
        <f t="shared" si="6"/>
        <v>26910750</v>
      </c>
      <c r="S94" s="10">
        <f t="shared" si="7"/>
        <v>18875606.25</v>
      </c>
    </row>
    <row r="95" spans="1:19" x14ac:dyDescent="0.25">
      <c r="A95" s="5" t="s">
        <v>111</v>
      </c>
      <c r="B95" s="6" t="s">
        <v>17</v>
      </c>
      <c r="C95" s="6" t="s">
        <v>19</v>
      </c>
      <c r="D95" s="6">
        <v>10</v>
      </c>
      <c r="E95" s="6">
        <v>10354</v>
      </c>
      <c r="F95" s="6">
        <v>4987</v>
      </c>
      <c r="G95" s="6">
        <v>0</v>
      </c>
      <c r="H95" s="6">
        <v>0</v>
      </c>
      <c r="I95" s="6">
        <v>0</v>
      </c>
      <c r="J95" s="6">
        <v>8658</v>
      </c>
      <c r="K95" s="6">
        <f t="shared" si="4"/>
        <v>8658</v>
      </c>
      <c r="L95" s="6">
        <v>6683</v>
      </c>
      <c r="M95" s="8">
        <v>6872</v>
      </c>
      <c r="N95" s="6">
        <v>26</v>
      </c>
      <c r="O95" s="8">
        <f t="shared" si="5"/>
        <v>20.636636636636638</v>
      </c>
      <c r="Q95" s="10">
        <v>2031</v>
      </c>
      <c r="R95" s="10">
        <f t="shared" si="6"/>
        <v>17584398</v>
      </c>
      <c r="S95" s="10">
        <f t="shared" si="7"/>
        <v>13957032</v>
      </c>
    </row>
    <row r="96" spans="1:19" x14ac:dyDescent="0.25">
      <c r="A96" s="5" t="s">
        <v>112</v>
      </c>
      <c r="B96" s="6" t="s">
        <v>17</v>
      </c>
      <c r="C96" s="6" t="s">
        <v>19</v>
      </c>
      <c r="D96" s="6">
        <v>10</v>
      </c>
      <c r="E96" s="6">
        <v>2050</v>
      </c>
      <c r="F96" s="6">
        <v>1537</v>
      </c>
      <c r="G96" s="6">
        <v>0</v>
      </c>
      <c r="H96" s="6">
        <v>0</v>
      </c>
      <c r="I96" s="6">
        <v>0</v>
      </c>
      <c r="J96" s="6">
        <v>3012</v>
      </c>
      <c r="K96" s="6">
        <f t="shared" si="4"/>
        <v>3012</v>
      </c>
      <c r="L96" s="6">
        <v>575</v>
      </c>
      <c r="M96" s="8">
        <v>2312.2000000000003</v>
      </c>
      <c r="N96" s="6">
        <v>26</v>
      </c>
      <c r="O96" s="8">
        <f t="shared" si="5"/>
        <v>19.959229747675963</v>
      </c>
      <c r="Q96" s="10">
        <v>2642</v>
      </c>
      <c r="R96" s="10">
        <f t="shared" si="6"/>
        <v>7957704</v>
      </c>
      <c r="S96" s="10">
        <f t="shared" si="7"/>
        <v>6108832.4000000004</v>
      </c>
    </row>
    <row r="97" spans="1:19" x14ac:dyDescent="0.25">
      <c r="A97" s="5" t="s">
        <v>113</v>
      </c>
      <c r="B97" s="6" t="s">
        <v>17</v>
      </c>
      <c r="C97" s="6" t="s">
        <v>19</v>
      </c>
      <c r="D97" s="6">
        <v>10</v>
      </c>
      <c r="E97" s="6">
        <v>0</v>
      </c>
      <c r="F97" s="6">
        <v>4100</v>
      </c>
      <c r="G97" s="6">
        <v>0</v>
      </c>
      <c r="H97" s="6">
        <v>0</v>
      </c>
      <c r="I97" s="6">
        <v>0</v>
      </c>
      <c r="J97" s="6">
        <v>3500</v>
      </c>
      <c r="K97" s="6">
        <f t="shared" si="4"/>
        <v>3500</v>
      </c>
      <c r="L97" s="6">
        <v>600</v>
      </c>
      <c r="M97" s="8">
        <v>862.5</v>
      </c>
      <c r="N97" s="6">
        <v>26</v>
      </c>
      <c r="O97" s="8">
        <f t="shared" si="5"/>
        <v>6.4071428571428575</v>
      </c>
      <c r="Q97" s="10">
        <v>2642</v>
      </c>
      <c r="R97" s="10">
        <f t="shared" si="6"/>
        <v>9247000</v>
      </c>
      <c r="S97" s="10">
        <f t="shared" si="7"/>
        <v>2278725</v>
      </c>
    </row>
    <row r="98" spans="1:19" x14ac:dyDescent="0.25">
      <c r="A98" s="5" t="s">
        <v>114</v>
      </c>
      <c r="B98" s="6" t="s">
        <v>17</v>
      </c>
      <c r="C98" s="6" t="s">
        <v>19</v>
      </c>
      <c r="D98" s="6">
        <v>10</v>
      </c>
      <c r="E98" s="6">
        <v>1050</v>
      </c>
      <c r="F98" s="6">
        <v>0</v>
      </c>
      <c r="G98" s="6">
        <v>0</v>
      </c>
      <c r="H98" s="6">
        <v>0</v>
      </c>
      <c r="I98" s="6">
        <v>0</v>
      </c>
      <c r="J98" s="6">
        <v>375</v>
      </c>
      <c r="K98" s="6">
        <f t="shared" si="4"/>
        <v>375</v>
      </c>
      <c r="L98" s="6">
        <v>675</v>
      </c>
      <c r="M98" s="8">
        <v>675</v>
      </c>
      <c r="N98" s="6">
        <v>26</v>
      </c>
      <c r="O98" s="8">
        <f t="shared" si="5"/>
        <v>46.800000000000004</v>
      </c>
      <c r="Q98" s="10">
        <v>2488</v>
      </c>
      <c r="R98" s="10">
        <f t="shared" si="6"/>
        <v>933000</v>
      </c>
      <c r="S98" s="10">
        <f t="shared" si="7"/>
        <v>1679400</v>
      </c>
    </row>
    <row r="99" spans="1:19" x14ac:dyDescent="0.25">
      <c r="A99" s="5" t="s">
        <v>115</v>
      </c>
      <c r="B99" s="6" t="s">
        <v>17</v>
      </c>
      <c r="C99" s="6" t="s">
        <v>19</v>
      </c>
      <c r="D99" s="6">
        <v>10</v>
      </c>
      <c r="E99" s="6">
        <v>2000</v>
      </c>
      <c r="F99" s="6">
        <v>2550</v>
      </c>
      <c r="G99" s="6">
        <v>0</v>
      </c>
      <c r="H99" s="6">
        <v>0</v>
      </c>
      <c r="I99" s="6">
        <v>0</v>
      </c>
      <c r="J99" s="6">
        <v>4550</v>
      </c>
      <c r="K99" s="6">
        <f t="shared" si="4"/>
        <v>4550</v>
      </c>
      <c r="L99" s="6">
        <v>0</v>
      </c>
      <c r="M99" s="8">
        <v>2446.6666666666702</v>
      </c>
      <c r="N99" s="6">
        <v>26</v>
      </c>
      <c r="O99" s="8">
        <f t="shared" si="5"/>
        <v>13.980952380952401</v>
      </c>
      <c r="Q99" s="10">
        <v>2431</v>
      </c>
      <c r="R99" s="10">
        <f t="shared" si="6"/>
        <v>11061050</v>
      </c>
      <c r="S99" s="10">
        <f t="shared" si="7"/>
        <v>5947846.6666666754</v>
      </c>
    </row>
    <row r="100" spans="1:19" x14ac:dyDescent="0.25">
      <c r="A100" s="5" t="s">
        <v>116</v>
      </c>
      <c r="B100" s="6" t="s">
        <v>17</v>
      </c>
      <c r="C100" s="6" t="s">
        <v>19</v>
      </c>
      <c r="D100" s="6">
        <v>10</v>
      </c>
      <c r="E100" s="6">
        <v>1040</v>
      </c>
      <c r="F100" s="6">
        <v>4740</v>
      </c>
      <c r="G100" s="6">
        <v>0</v>
      </c>
      <c r="H100" s="6">
        <v>0</v>
      </c>
      <c r="I100" s="6">
        <v>0</v>
      </c>
      <c r="J100" s="6">
        <v>4170</v>
      </c>
      <c r="K100" s="6">
        <f t="shared" si="4"/>
        <v>4170</v>
      </c>
      <c r="L100" s="6">
        <v>1610</v>
      </c>
      <c r="M100" s="8">
        <v>2092.5</v>
      </c>
      <c r="N100" s="6">
        <v>26</v>
      </c>
      <c r="O100" s="8">
        <f t="shared" si="5"/>
        <v>13.046762589928058</v>
      </c>
      <c r="Q100" s="10">
        <v>4592</v>
      </c>
      <c r="R100" s="10">
        <f t="shared" si="6"/>
        <v>19148640</v>
      </c>
      <c r="S100" s="10">
        <f t="shared" si="7"/>
        <v>9608760</v>
      </c>
    </row>
    <row r="101" spans="1:19" x14ac:dyDescent="0.25">
      <c r="A101" s="5" t="s">
        <v>117</v>
      </c>
      <c r="B101" s="6" t="s">
        <v>17</v>
      </c>
      <c r="C101" s="6" t="s">
        <v>19</v>
      </c>
      <c r="D101" s="6">
        <v>10</v>
      </c>
      <c r="E101" s="6">
        <v>650</v>
      </c>
      <c r="F101" s="6">
        <v>1000</v>
      </c>
      <c r="G101" s="6">
        <v>0</v>
      </c>
      <c r="H101" s="6">
        <v>0</v>
      </c>
      <c r="I101" s="6">
        <v>0</v>
      </c>
      <c r="J101" s="6">
        <v>0</v>
      </c>
      <c r="K101" s="6">
        <f t="shared" si="4"/>
        <v>0</v>
      </c>
      <c r="L101" s="6">
        <v>1650</v>
      </c>
      <c r="M101" s="8">
        <v>1650</v>
      </c>
      <c r="N101" s="6">
        <v>26</v>
      </c>
      <c r="O101" s="8">
        <v>0</v>
      </c>
      <c r="Q101" s="10">
        <v>2297</v>
      </c>
      <c r="R101" s="10">
        <f t="shared" si="6"/>
        <v>0</v>
      </c>
      <c r="S101" s="10">
        <f t="shared" si="7"/>
        <v>3790050</v>
      </c>
    </row>
    <row r="102" spans="1:19" x14ac:dyDescent="0.25">
      <c r="A102" s="5" t="s">
        <v>118</v>
      </c>
      <c r="B102" s="6" t="s">
        <v>17</v>
      </c>
      <c r="C102" s="6" t="s">
        <v>19</v>
      </c>
      <c r="D102" s="6">
        <v>10</v>
      </c>
      <c r="E102" s="6">
        <v>550</v>
      </c>
      <c r="F102" s="6">
        <v>975</v>
      </c>
      <c r="G102" s="6">
        <v>0</v>
      </c>
      <c r="H102" s="6">
        <v>0</v>
      </c>
      <c r="I102" s="6">
        <v>0</v>
      </c>
      <c r="J102" s="6">
        <v>50</v>
      </c>
      <c r="K102" s="6">
        <f t="shared" si="4"/>
        <v>50</v>
      </c>
      <c r="L102" s="6">
        <v>1475</v>
      </c>
      <c r="M102" s="8">
        <v>1500</v>
      </c>
      <c r="N102" s="6">
        <v>26</v>
      </c>
      <c r="O102" s="8">
        <f t="shared" si="5"/>
        <v>780</v>
      </c>
      <c r="Q102" s="10">
        <v>2616</v>
      </c>
      <c r="R102" s="10">
        <f t="shared" si="6"/>
        <v>130800</v>
      </c>
      <c r="S102" s="10">
        <f t="shared" si="7"/>
        <v>3924000</v>
      </c>
    </row>
    <row r="103" spans="1:19" x14ac:dyDescent="0.25">
      <c r="A103" s="5" t="s">
        <v>119</v>
      </c>
      <c r="B103" s="6" t="s">
        <v>17</v>
      </c>
      <c r="C103" s="6" t="s">
        <v>19</v>
      </c>
      <c r="D103" s="6">
        <v>10</v>
      </c>
      <c r="E103" s="6">
        <v>3935</v>
      </c>
      <c r="F103" s="6">
        <v>9109</v>
      </c>
      <c r="G103" s="6">
        <v>0</v>
      </c>
      <c r="H103" s="6">
        <v>0</v>
      </c>
      <c r="I103" s="6">
        <v>0</v>
      </c>
      <c r="J103" s="6">
        <v>5490</v>
      </c>
      <c r="K103" s="6">
        <f t="shared" si="4"/>
        <v>5490</v>
      </c>
      <c r="L103" s="6">
        <v>7554</v>
      </c>
      <c r="M103" s="8">
        <v>8377.2857142857101</v>
      </c>
      <c r="N103" s="6">
        <v>26</v>
      </c>
      <c r="O103" s="8">
        <f t="shared" si="5"/>
        <v>39.673848555815752</v>
      </c>
      <c r="Q103" s="10">
        <v>1419</v>
      </c>
      <c r="R103" s="10">
        <f t="shared" si="6"/>
        <v>7790310</v>
      </c>
      <c r="S103" s="10">
        <f t="shared" si="7"/>
        <v>11887368.428571424</v>
      </c>
    </row>
    <row r="104" spans="1:19" x14ac:dyDescent="0.25">
      <c r="A104" s="5" t="s">
        <v>120</v>
      </c>
      <c r="B104" s="6" t="s">
        <v>17</v>
      </c>
      <c r="C104" s="6" t="s">
        <v>19</v>
      </c>
      <c r="D104" s="6">
        <v>10</v>
      </c>
      <c r="E104" s="6">
        <v>1700</v>
      </c>
      <c r="F104" s="6">
        <v>0</v>
      </c>
      <c r="G104" s="6">
        <v>0</v>
      </c>
      <c r="H104" s="6">
        <v>0</v>
      </c>
      <c r="I104" s="6">
        <v>0</v>
      </c>
      <c r="J104" s="6">
        <v>750</v>
      </c>
      <c r="K104" s="6">
        <f t="shared" si="4"/>
        <v>750</v>
      </c>
      <c r="L104" s="6">
        <v>950</v>
      </c>
      <c r="M104" s="8">
        <v>1200</v>
      </c>
      <c r="N104" s="6">
        <v>26</v>
      </c>
      <c r="O104" s="8">
        <f t="shared" si="5"/>
        <v>41.6</v>
      </c>
      <c r="Q104" s="10">
        <v>2616</v>
      </c>
      <c r="R104" s="10">
        <f t="shared" si="6"/>
        <v>1962000</v>
      </c>
      <c r="S104" s="10">
        <f t="shared" si="7"/>
        <v>3139200</v>
      </c>
    </row>
    <row r="105" spans="1:19" x14ac:dyDescent="0.25">
      <c r="A105" s="5" t="s">
        <v>121</v>
      </c>
      <c r="B105" s="6" t="s">
        <v>17</v>
      </c>
      <c r="C105" s="6" t="s">
        <v>19</v>
      </c>
      <c r="D105" s="6">
        <v>10</v>
      </c>
      <c r="E105" s="6">
        <v>3066</v>
      </c>
      <c r="F105" s="6">
        <v>17364</v>
      </c>
      <c r="G105" s="6">
        <v>0</v>
      </c>
      <c r="H105" s="6">
        <v>0</v>
      </c>
      <c r="I105" s="6">
        <v>14674</v>
      </c>
      <c r="J105" s="6">
        <v>0</v>
      </c>
      <c r="K105" s="6">
        <f t="shared" si="4"/>
        <v>14674</v>
      </c>
      <c r="L105" s="6">
        <v>5756</v>
      </c>
      <c r="M105" s="8">
        <v>3995.2000000000003</v>
      </c>
      <c r="N105" s="6">
        <v>26</v>
      </c>
      <c r="O105" s="8">
        <f t="shared" si="5"/>
        <v>7.0788605697151432</v>
      </c>
      <c r="Q105" s="10">
        <v>2246</v>
      </c>
      <c r="R105" s="10">
        <f t="shared" si="6"/>
        <v>32957804</v>
      </c>
      <c r="S105" s="10">
        <f t="shared" si="7"/>
        <v>8973219.2000000011</v>
      </c>
    </row>
    <row r="106" spans="1:19" x14ac:dyDescent="0.25">
      <c r="A106" s="5" t="s">
        <v>122</v>
      </c>
      <c r="B106" s="6" t="s">
        <v>17</v>
      </c>
      <c r="C106" s="6" t="s">
        <v>19</v>
      </c>
      <c r="D106" s="6">
        <v>10</v>
      </c>
      <c r="E106" s="6">
        <v>10491</v>
      </c>
      <c r="F106" s="6">
        <v>0</v>
      </c>
      <c r="G106" s="6">
        <v>0</v>
      </c>
      <c r="H106" s="6">
        <v>0</v>
      </c>
      <c r="I106" s="6">
        <v>8925</v>
      </c>
      <c r="J106" s="6">
        <v>0</v>
      </c>
      <c r="K106" s="6">
        <f t="shared" si="4"/>
        <v>8925</v>
      </c>
      <c r="L106" s="6">
        <v>1566</v>
      </c>
      <c r="M106" s="8">
        <v>4771</v>
      </c>
      <c r="N106" s="6">
        <v>26</v>
      </c>
      <c r="O106" s="8">
        <f t="shared" si="5"/>
        <v>13.898711484593836</v>
      </c>
      <c r="Q106" s="10">
        <v>2355</v>
      </c>
      <c r="R106" s="10">
        <f t="shared" si="6"/>
        <v>21018375</v>
      </c>
      <c r="S106" s="10">
        <f t="shared" si="7"/>
        <v>11235705</v>
      </c>
    </row>
    <row r="107" spans="1:19" x14ac:dyDescent="0.25">
      <c r="A107" s="5" t="s">
        <v>123</v>
      </c>
      <c r="B107" s="6" t="s">
        <v>17</v>
      </c>
      <c r="C107" s="6" t="s">
        <v>19</v>
      </c>
      <c r="D107" s="6">
        <v>10</v>
      </c>
      <c r="E107" s="6">
        <v>2566</v>
      </c>
      <c r="F107" s="6">
        <v>7068</v>
      </c>
      <c r="G107" s="6">
        <v>0</v>
      </c>
      <c r="H107" s="6">
        <v>0</v>
      </c>
      <c r="I107" s="6">
        <v>0</v>
      </c>
      <c r="J107" s="6">
        <v>5918</v>
      </c>
      <c r="K107" s="6">
        <f t="shared" si="4"/>
        <v>5918</v>
      </c>
      <c r="L107" s="6">
        <v>3716</v>
      </c>
      <c r="M107" s="8">
        <v>4199.6000000000004</v>
      </c>
      <c r="N107" s="6">
        <v>26</v>
      </c>
      <c r="O107" s="8">
        <f t="shared" si="5"/>
        <v>18.450422440013519</v>
      </c>
      <c r="Q107" s="10">
        <v>2031</v>
      </c>
      <c r="R107" s="10">
        <f t="shared" si="6"/>
        <v>12019458</v>
      </c>
      <c r="S107" s="10">
        <f t="shared" si="7"/>
        <v>8529387.6000000015</v>
      </c>
    </row>
    <row r="108" spans="1:19" x14ac:dyDescent="0.25">
      <c r="A108" s="5" t="s">
        <v>124</v>
      </c>
      <c r="B108" s="6" t="s">
        <v>17</v>
      </c>
      <c r="C108" s="6" t="s">
        <v>19</v>
      </c>
      <c r="D108" s="6">
        <v>10</v>
      </c>
      <c r="E108" s="6">
        <v>4275</v>
      </c>
      <c r="F108" s="6">
        <v>4000</v>
      </c>
      <c r="G108" s="6">
        <v>0</v>
      </c>
      <c r="H108" s="6">
        <v>0</v>
      </c>
      <c r="I108" s="6">
        <v>5975</v>
      </c>
      <c r="J108" s="6">
        <v>0</v>
      </c>
      <c r="K108" s="6">
        <f t="shared" si="4"/>
        <v>5975</v>
      </c>
      <c r="L108" s="6">
        <v>2300</v>
      </c>
      <c r="M108" s="8">
        <v>3765</v>
      </c>
      <c r="N108" s="6">
        <v>26</v>
      </c>
      <c r="O108" s="8">
        <f t="shared" si="5"/>
        <v>16.383263598326359</v>
      </c>
      <c r="Q108" s="10">
        <v>2108</v>
      </c>
      <c r="R108" s="10">
        <f t="shared" si="6"/>
        <v>12595300</v>
      </c>
      <c r="S108" s="10">
        <f t="shared" si="7"/>
        <v>7936620</v>
      </c>
    </row>
    <row r="109" spans="1:19" x14ac:dyDescent="0.25">
      <c r="A109" s="5" t="s">
        <v>125</v>
      </c>
      <c r="B109" s="6" t="s">
        <v>17</v>
      </c>
      <c r="C109" s="6" t="s">
        <v>19</v>
      </c>
      <c r="D109" s="6">
        <v>10</v>
      </c>
      <c r="E109" s="6">
        <v>4250</v>
      </c>
      <c r="F109" s="6">
        <v>0</v>
      </c>
      <c r="G109" s="6">
        <v>0</v>
      </c>
      <c r="H109" s="6">
        <v>0</v>
      </c>
      <c r="I109" s="6">
        <v>2750</v>
      </c>
      <c r="J109" s="6">
        <v>0</v>
      </c>
      <c r="K109" s="6">
        <f t="shared" si="4"/>
        <v>2750</v>
      </c>
      <c r="L109" s="6">
        <v>1500</v>
      </c>
      <c r="M109" s="8">
        <v>2333.3333333333298</v>
      </c>
      <c r="N109" s="6">
        <v>26</v>
      </c>
      <c r="O109" s="8">
        <f t="shared" si="5"/>
        <v>22.060606060606027</v>
      </c>
      <c r="Q109" s="10">
        <v>2173</v>
      </c>
      <c r="R109" s="10">
        <f t="shared" si="6"/>
        <v>5975750</v>
      </c>
      <c r="S109" s="10">
        <f t="shared" si="7"/>
        <v>5070333.3333333256</v>
      </c>
    </row>
    <row r="110" spans="1:19" x14ac:dyDescent="0.25">
      <c r="A110" s="5" t="s">
        <v>126</v>
      </c>
      <c r="B110" s="6" t="s">
        <v>17</v>
      </c>
      <c r="C110" s="6" t="s">
        <v>19</v>
      </c>
      <c r="D110" s="6">
        <v>10</v>
      </c>
      <c r="E110" s="6">
        <v>2400</v>
      </c>
      <c r="F110" s="6">
        <v>3150</v>
      </c>
      <c r="G110" s="6">
        <v>0</v>
      </c>
      <c r="H110" s="6">
        <v>0</v>
      </c>
      <c r="I110" s="6">
        <v>0</v>
      </c>
      <c r="J110" s="6">
        <v>5550</v>
      </c>
      <c r="K110" s="6">
        <f t="shared" si="4"/>
        <v>5550</v>
      </c>
      <c r="L110" s="6">
        <v>0</v>
      </c>
      <c r="M110" s="8">
        <v>3000</v>
      </c>
      <c r="N110" s="6">
        <v>26</v>
      </c>
      <c r="O110" s="8">
        <f t="shared" si="5"/>
        <v>14.054054054054054</v>
      </c>
      <c r="Q110" s="10">
        <v>2356</v>
      </c>
      <c r="R110" s="10">
        <f t="shared" si="6"/>
        <v>13075800</v>
      </c>
      <c r="S110" s="10">
        <f t="shared" si="7"/>
        <v>7068000</v>
      </c>
    </row>
    <row r="111" spans="1:19" x14ac:dyDescent="0.25">
      <c r="A111" s="5" t="s">
        <v>127</v>
      </c>
      <c r="B111" s="6" t="s">
        <v>17</v>
      </c>
      <c r="C111" s="6" t="s">
        <v>19</v>
      </c>
      <c r="D111" s="6">
        <v>10</v>
      </c>
      <c r="E111" s="6">
        <v>175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f t="shared" si="4"/>
        <v>0</v>
      </c>
      <c r="L111" s="6">
        <v>175</v>
      </c>
      <c r="M111" s="8">
        <v>0</v>
      </c>
      <c r="N111" s="6">
        <v>26</v>
      </c>
      <c r="O111" s="8">
        <v>0</v>
      </c>
      <c r="Q111" s="10">
        <v>1993</v>
      </c>
      <c r="R111" s="10">
        <f t="shared" si="6"/>
        <v>0</v>
      </c>
      <c r="S111" s="10">
        <f t="shared" si="7"/>
        <v>0</v>
      </c>
    </row>
    <row r="112" spans="1:19" x14ac:dyDescent="0.25">
      <c r="A112" s="5" t="s">
        <v>128</v>
      </c>
      <c r="B112" s="6" t="s">
        <v>17</v>
      </c>
      <c r="C112" s="6" t="s">
        <v>19</v>
      </c>
      <c r="D112" s="6">
        <v>10</v>
      </c>
      <c r="E112" s="6">
        <v>1070</v>
      </c>
      <c r="F112" s="6">
        <v>0</v>
      </c>
      <c r="G112" s="6">
        <v>0</v>
      </c>
      <c r="H112" s="6">
        <v>0</v>
      </c>
      <c r="I112" s="6">
        <v>0</v>
      </c>
      <c r="J112" s="6">
        <v>1010</v>
      </c>
      <c r="K112" s="6">
        <f t="shared" si="4"/>
        <v>1010</v>
      </c>
      <c r="L112" s="6">
        <v>60</v>
      </c>
      <c r="M112" s="8">
        <v>410</v>
      </c>
      <c r="N112" s="6">
        <v>26</v>
      </c>
      <c r="O112" s="8">
        <f t="shared" si="5"/>
        <v>10.554455445544555</v>
      </c>
      <c r="Q112" s="10">
        <v>2205</v>
      </c>
      <c r="R112" s="10">
        <f t="shared" si="6"/>
        <v>2227050</v>
      </c>
      <c r="S112" s="10">
        <f t="shared" si="7"/>
        <v>904050</v>
      </c>
    </row>
    <row r="113" spans="1:19" x14ac:dyDescent="0.25">
      <c r="A113" s="5" t="s">
        <v>129</v>
      </c>
      <c r="B113" s="6" t="s">
        <v>17</v>
      </c>
      <c r="C113" s="6" t="s">
        <v>19</v>
      </c>
      <c r="D113" s="6">
        <v>10</v>
      </c>
      <c r="E113" s="6">
        <v>1375</v>
      </c>
      <c r="F113" s="6">
        <v>3408</v>
      </c>
      <c r="G113" s="6">
        <v>0</v>
      </c>
      <c r="H113" s="6">
        <v>0</v>
      </c>
      <c r="I113" s="6">
        <v>4183</v>
      </c>
      <c r="J113" s="6">
        <v>0</v>
      </c>
      <c r="K113" s="6">
        <f t="shared" si="4"/>
        <v>4183</v>
      </c>
      <c r="L113" s="6">
        <v>600</v>
      </c>
      <c r="M113" s="8">
        <v>2489.5</v>
      </c>
      <c r="N113" s="6">
        <v>26</v>
      </c>
      <c r="O113" s="8">
        <f t="shared" si="5"/>
        <v>15.473822615347837</v>
      </c>
      <c r="Q113" s="10">
        <v>2503</v>
      </c>
      <c r="R113" s="10">
        <f t="shared" si="6"/>
        <v>10470049</v>
      </c>
      <c r="S113" s="10">
        <f t="shared" si="7"/>
        <v>6231218.5</v>
      </c>
    </row>
    <row r="114" spans="1:19" x14ac:dyDescent="0.25">
      <c r="A114" s="5" t="s">
        <v>130</v>
      </c>
      <c r="B114" s="6" t="s">
        <v>17</v>
      </c>
      <c r="C114" s="6" t="s">
        <v>19</v>
      </c>
      <c r="D114" s="6">
        <v>10</v>
      </c>
      <c r="E114" s="6">
        <v>4000</v>
      </c>
      <c r="F114" s="6">
        <v>3150</v>
      </c>
      <c r="G114" s="6">
        <v>0</v>
      </c>
      <c r="H114" s="6">
        <v>0</v>
      </c>
      <c r="I114" s="6">
        <v>0</v>
      </c>
      <c r="J114" s="6">
        <v>0</v>
      </c>
      <c r="K114" s="6">
        <f t="shared" si="4"/>
        <v>0</v>
      </c>
      <c r="L114" s="6">
        <v>7150</v>
      </c>
      <c r="M114" s="8">
        <v>7150</v>
      </c>
      <c r="N114" s="6">
        <v>26</v>
      </c>
      <c r="O114" s="8">
        <v>0</v>
      </c>
      <c r="Q114" s="10">
        <v>2355</v>
      </c>
      <c r="R114" s="10">
        <f t="shared" si="6"/>
        <v>0</v>
      </c>
      <c r="S114" s="10">
        <f t="shared" si="7"/>
        <v>16838250</v>
      </c>
    </row>
    <row r="115" spans="1:19" x14ac:dyDescent="0.25">
      <c r="A115" s="5" t="s">
        <v>131</v>
      </c>
      <c r="B115" s="6" t="s">
        <v>17</v>
      </c>
      <c r="C115" s="6" t="s">
        <v>19</v>
      </c>
      <c r="D115" s="6">
        <v>10</v>
      </c>
      <c r="E115" s="6">
        <v>2408</v>
      </c>
      <c r="F115" s="6">
        <v>2547</v>
      </c>
      <c r="G115" s="6">
        <v>0</v>
      </c>
      <c r="H115" s="6">
        <v>0</v>
      </c>
      <c r="I115" s="6">
        <v>4240</v>
      </c>
      <c r="J115" s="6">
        <v>0</v>
      </c>
      <c r="K115" s="6">
        <f t="shared" si="4"/>
        <v>4240</v>
      </c>
      <c r="L115" s="6">
        <v>715</v>
      </c>
      <c r="M115" s="8">
        <v>1834.57142857143</v>
      </c>
      <c r="N115" s="6">
        <v>26</v>
      </c>
      <c r="O115" s="8">
        <f t="shared" si="5"/>
        <v>11.249730458221032</v>
      </c>
      <c r="Q115" s="10">
        <v>2216</v>
      </c>
      <c r="R115" s="10">
        <f t="shared" si="6"/>
        <v>9395840</v>
      </c>
      <c r="S115" s="10">
        <f t="shared" si="7"/>
        <v>4065410.2857142892</v>
      </c>
    </row>
    <row r="116" spans="1:19" x14ac:dyDescent="0.25">
      <c r="A116" s="5" t="s">
        <v>132</v>
      </c>
      <c r="B116" s="6" t="s">
        <v>17</v>
      </c>
      <c r="C116" s="6" t="s">
        <v>19</v>
      </c>
      <c r="D116" s="6">
        <v>10</v>
      </c>
      <c r="E116" s="6">
        <v>1568</v>
      </c>
      <c r="F116" s="6">
        <v>3150</v>
      </c>
      <c r="G116" s="6">
        <v>0</v>
      </c>
      <c r="H116" s="6">
        <v>0</v>
      </c>
      <c r="I116" s="6">
        <v>3143</v>
      </c>
      <c r="J116" s="6">
        <v>0</v>
      </c>
      <c r="K116" s="6">
        <f t="shared" si="4"/>
        <v>3143</v>
      </c>
      <c r="L116" s="6">
        <v>1575</v>
      </c>
      <c r="M116" s="8">
        <v>1952.2</v>
      </c>
      <c r="N116" s="6">
        <v>26</v>
      </c>
      <c r="O116" s="8">
        <f t="shared" si="5"/>
        <v>16.149284123448936</v>
      </c>
      <c r="Q116" s="10">
        <v>1968</v>
      </c>
      <c r="R116" s="10">
        <f t="shared" si="6"/>
        <v>6185424</v>
      </c>
      <c r="S116" s="10">
        <f t="shared" si="7"/>
        <v>3841929.6</v>
      </c>
    </row>
    <row r="117" spans="1:19" x14ac:dyDescent="0.25">
      <c r="A117" s="2" t="s">
        <v>3</v>
      </c>
      <c r="B117" s="6" t="s">
        <v>17</v>
      </c>
      <c r="C117" s="6" t="s">
        <v>19</v>
      </c>
      <c r="D117" s="6">
        <v>10</v>
      </c>
      <c r="E117" s="6">
        <v>0</v>
      </c>
      <c r="F117" s="6">
        <v>5000</v>
      </c>
      <c r="G117" s="6">
        <v>0</v>
      </c>
      <c r="H117" s="6">
        <v>0</v>
      </c>
      <c r="I117" s="6">
        <v>0</v>
      </c>
      <c r="J117" s="6">
        <v>4300</v>
      </c>
      <c r="K117" s="6">
        <f t="shared" si="4"/>
        <v>4300</v>
      </c>
      <c r="L117" s="6">
        <v>700</v>
      </c>
      <c r="M117" s="8">
        <v>2550</v>
      </c>
      <c r="N117" s="6">
        <v>26</v>
      </c>
      <c r="O117" s="8">
        <f t="shared" si="5"/>
        <v>15.418604651162791</v>
      </c>
      <c r="Q117" s="10">
        <v>2297</v>
      </c>
      <c r="R117" s="10">
        <f t="shared" si="6"/>
        <v>9877100</v>
      </c>
      <c r="S117" s="10">
        <f t="shared" si="7"/>
        <v>5857350</v>
      </c>
    </row>
    <row r="118" spans="1:19" x14ac:dyDescent="0.25">
      <c r="A118" s="2" t="s">
        <v>4</v>
      </c>
      <c r="B118" s="6" t="s">
        <v>17</v>
      </c>
      <c r="C118" s="6" t="s">
        <v>19</v>
      </c>
      <c r="D118" s="6">
        <v>10</v>
      </c>
      <c r="E118" s="6">
        <v>0</v>
      </c>
      <c r="F118" s="6">
        <v>1800</v>
      </c>
      <c r="G118" s="6">
        <v>0</v>
      </c>
      <c r="H118" s="6">
        <v>0</v>
      </c>
      <c r="I118" s="6">
        <v>0</v>
      </c>
      <c r="J118" s="6">
        <v>0</v>
      </c>
      <c r="K118" s="6">
        <f t="shared" si="4"/>
        <v>0</v>
      </c>
      <c r="L118" s="6">
        <v>1800</v>
      </c>
      <c r="M118" s="8">
        <v>1800</v>
      </c>
      <c r="N118" s="6">
        <v>26</v>
      </c>
      <c r="O118" s="8">
        <v>0</v>
      </c>
      <c r="Q118" s="10">
        <v>2616</v>
      </c>
      <c r="R118" s="10">
        <f t="shared" si="6"/>
        <v>0</v>
      </c>
      <c r="S118" s="10">
        <f t="shared" si="7"/>
        <v>4708800</v>
      </c>
    </row>
    <row r="119" spans="1:19" x14ac:dyDescent="0.25">
      <c r="A119" s="5" t="s">
        <v>136</v>
      </c>
      <c r="B119" s="6" t="s">
        <v>17</v>
      </c>
      <c r="C119" s="6" t="s">
        <v>19</v>
      </c>
      <c r="D119" s="6">
        <v>10</v>
      </c>
      <c r="E119" s="6">
        <v>1246</v>
      </c>
      <c r="F119" s="6">
        <v>3667</v>
      </c>
      <c r="G119" s="6">
        <v>0</v>
      </c>
      <c r="H119" s="6">
        <v>0</v>
      </c>
      <c r="I119" s="6">
        <v>2525</v>
      </c>
      <c r="J119" s="6">
        <v>0</v>
      </c>
      <c r="K119" s="6">
        <f t="shared" si="4"/>
        <v>2525</v>
      </c>
      <c r="L119" s="6">
        <v>2388</v>
      </c>
      <c r="M119" s="8">
        <v>942</v>
      </c>
      <c r="N119" s="6">
        <v>26</v>
      </c>
      <c r="O119" s="8">
        <f t="shared" si="5"/>
        <v>9.6998019801980195</v>
      </c>
      <c r="Q119" s="10">
        <v>2355</v>
      </c>
      <c r="R119" s="10">
        <f t="shared" si="6"/>
        <v>5946375</v>
      </c>
      <c r="S119" s="10">
        <f t="shared" si="7"/>
        <v>2218410</v>
      </c>
    </row>
    <row r="120" spans="1:19" x14ac:dyDescent="0.25">
      <c r="A120" s="5" t="s">
        <v>137</v>
      </c>
      <c r="B120" s="6" t="s">
        <v>17</v>
      </c>
      <c r="C120" s="6" t="s">
        <v>19</v>
      </c>
      <c r="D120" s="6">
        <v>10</v>
      </c>
      <c r="E120" s="6">
        <v>2125</v>
      </c>
      <c r="F120" s="6">
        <v>0</v>
      </c>
      <c r="G120" s="6">
        <v>0</v>
      </c>
      <c r="H120" s="6">
        <v>0</v>
      </c>
      <c r="I120" s="6">
        <v>1225</v>
      </c>
      <c r="J120" s="6">
        <v>0</v>
      </c>
      <c r="K120" s="6">
        <f t="shared" si="4"/>
        <v>1225</v>
      </c>
      <c r="L120" s="6">
        <v>900</v>
      </c>
      <c r="M120" s="8">
        <v>1025</v>
      </c>
      <c r="N120" s="6">
        <v>26</v>
      </c>
      <c r="O120" s="8">
        <f t="shared" si="5"/>
        <v>21.755102040816329</v>
      </c>
      <c r="Q120" s="10">
        <v>2372</v>
      </c>
      <c r="R120" s="10">
        <f t="shared" si="6"/>
        <v>2905700</v>
      </c>
      <c r="S120" s="10">
        <f t="shared" si="7"/>
        <v>2431300</v>
      </c>
    </row>
    <row r="121" spans="1:19" x14ac:dyDescent="0.25">
      <c r="A121" s="5" t="s">
        <v>138</v>
      </c>
      <c r="B121" s="6" t="s">
        <v>17</v>
      </c>
      <c r="C121" s="6" t="s">
        <v>19</v>
      </c>
      <c r="D121" s="6">
        <v>10</v>
      </c>
      <c r="E121" s="6">
        <v>0</v>
      </c>
      <c r="F121" s="6">
        <v>1000</v>
      </c>
      <c r="G121" s="6">
        <v>0</v>
      </c>
      <c r="H121" s="6">
        <v>0</v>
      </c>
      <c r="I121" s="6">
        <v>0</v>
      </c>
      <c r="J121" s="6">
        <v>0</v>
      </c>
      <c r="K121" s="6">
        <f t="shared" si="4"/>
        <v>0</v>
      </c>
      <c r="L121" s="6">
        <v>1000</v>
      </c>
      <c r="M121" s="8">
        <v>1000</v>
      </c>
      <c r="N121" s="6">
        <v>26</v>
      </c>
      <c r="O121" s="8">
        <v>0</v>
      </c>
      <c r="Q121" s="10">
        <v>3482</v>
      </c>
      <c r="R121" s="10">
        <f t="shared" si="6"/>
        <v>0</v>
      </c>
      <c r="S121" s="10">
        <f t="shared" si="7"/>
        <v>3482000</v>
      </c>
    </row>
    <row r="122" spans="1:19" x14ac:dyDescent="0.25">
      <c r="A122" s="5" t="s">
        <v>139</v>
      </c>
      <c r="B122" s="6" t="s">
        <v>17</v>
      </c>
      <c r="C122" s="6" t="s">
        <v>19</v>
      </c>
      <c r="D122" s="6">
        <v>10</v>
      </c>
      <c r="E122" s="6">
        <v>700</v>
      </c>
      <c r="F122" s="6">
        <v>2100</v>
      </c>
      <c r="G122" s="6">
        <v>0</v>
      </c>
      <c r="H122" s="6">
        <v>0</v>
      </c>
      <c r="I122" s="6">
        <v>1050</v>
      </c>
      <c r="J122" s="6">
        <v>0</v>
      </c>
      <c r="K122" s="6">
        <f t="shared" si="4"/>
        <v>1050</v>
      </c>
      <c r="L122" s="6">
        <v>1750</v>
      </c>
      <c r="M122" s="8">
        <v>1750</v>
      </c>
      <c r="N122" s="6">
        <v>26</v>
      </c>
      <c r="O122" s="8">
        <f t="shared" si="5"/>
        <v>43.333333333333336</v>
      </c>
      <c r="Q122" s="10">
        <v>2555</v>
      </c>
      <c r="R122" s="10">
        <f t="shared" si="6"/>
        <v>2682750</v>
      </c>
      <c r="S122" s="10">
        <f t="shared" si="7"/>
        <v>4471250</v>
      </c>
    </row>
    <row r="123" spans="1:19" x14ac:dyDescent="0.25">
      <c r="A123" s="5" t="s">
        <v>140</v>
      </c>
      <c r="B123" s="6" t="s">
        <v>17</v>
      </c>
      <c r="C123" s="6" t="s">
        <v>19</v>
      </c>
      <c r="D123" s="6">
        <v>10</v>
      </c>
      <c r="E123" s="6">
        <v>1050</v>
      </c>
      <c r="F123" s="6">
        <v>1575</v>
      </c>
      <c r="G123" s="6">
        <v>0</v>
      </c>
      <c r="H123" s="6">
        <v>0</v>
      </c>
      <c r="I123" s="6">
        <v>800</v>
      </c>
      <c r="J123" s="6">
        <v>0</v>
      </c>
      <c r="K123" s="6">
        <f t="shared" si="4"/>
        <v>800</v>
      </c>
      <c r="L123" s="6">
        <v>1825</v>
      </c>
      <c r="M123" s="8">
        <v>2205</v>
      </c>
      <c r="N123" s="6">
        <v>26</v>
      </c>
      <c r="O123" s="8">
        <f t="shared" si="5"/>
        <v>71.662500000000009</v>
      </c>
      <c r="Q123" s="10">
        <v>3665</v>
      </c>
      <c r="R123" s="10">
        <f t="shared" si="6"/>
        <v>2932000</v>
      </c>
      <c r="S123" s="10">
        <f t="shared" si="7"/>
        <v>8081325</v>
      </c>
    </row>
    <row r="124" spans="1:19" x14ac:dyDescent="0.25">
      <c r="A124" s="5" t="s">
        <v>141</v>
      </c>
      <c r="B124" s="6" t="s">
        <v>17</v>
      </c>
      <c r="C124" s="6" t="s">
        <v>19</v>
      </c>
      <c r="D124" s="6">
        <v>10</v>
      </c>
      <c r="E124" s="6">
        <v>1500</v>
      </c>
      <c r="F124" s="6">
        <v>0</v>
      </c>
      <c r="G124" s="6">
        <v>0</v>
      </c>
      <c r="H124" s="6">
        <v>0</v>
      </c>
      <c r="I124" s="6">
        <v>425</v>
      </c>
      <c r="J124" s="6">
        <v>0</v>
      </c>
      <c r="K124" s="6">
        <f t="shared" si="4"/>
        <v>425</v>
      </c>
      <c r="L124" s="6">
        <v>1075</v>
      </c>
      <c r="M124" s="8">
        <v>1075</v>
      </c>
      <c r="N124" s="6">
        <v>26</v>
      </c>
      <c r="O124" s="8">
        <f t="shared" si="5"/>
        <v>65.764705882352942</v>
      </c>
      <c r="Q124" s="10">
        <v>1904</v>
      </c>
      <c r="R124" s="10">
        <f t="shared" si="6"/>
        <v>809200</v>
      </c>
      <c r="S124" s="10">
        <f t="shared" si="7"/>
        <v>2046800</v>
      </c>
    </row>
    <row r="125" spans="1:19" x14ac:dyDescent="0.25">
      <c r="A125" s="5" t="s">
        <v>142</v>
      </c>
      <c r="B125" s="6" t="s">
        <v>17</v>
      </c>
      <c r="C125" s="6" t="s">
        <v>19</v>
      </c>
      <c r="D125" s="6">
        <v>10</v>
      </c>
      <c r="E125" s="6">
        <v>4900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f t="shared" si="4"/>
        <v>0</v>
      </c>
      <c r="L125" s="6">
        <v>4900</v>
      </c>
      <c r="M125" s="8">
        <v>0</v>
      </c>
      <c r="N125" s="6">
        <v>26</v>
      </c>
      <c r="O125" s="8">
        <v>0</v>
      </c>
      <c r="Q125" s="10">
        <v>994</v>
      </c>
      <c r="R125" s="10">
        <f t="shared" si="6"/>
        <v>0</v>
      </c>
      <c r="S125" s="10">
        <f t="shared" si="7"/>
        <v>0</v>
      </c>
    </row>
    <row r="126" spans="1:19" x14ac:dyDescent="0.25">
      <c r="A126" s="5" t="s">
        <v>143</v>
      </c>
      <c r="B126" s="6" t="s">
        <v>17</v>
      </c>
      <c r="C126" s="6" t="s">
        <v>19</v>
      </c>
      <c r="D126" s="6">
        <v>10</v>
      </c>
      <c r="E126" s="6">
        <v>2925</v>
      </c>
      <c r="F126" s="6">
        <v>2500</v>
      </c>
      <c r="G126" s="6">
        <v>0</v>
      </c>
      <c r="H126" s="6">
        <v>0</v>
      </c>
      <c r="I126" s="6">
        <v>0</v>
      </c>
      <c r="J126" s="6">
        <v>2500</v>
      </c>
      <c r="K126" s="6">
        <f t="shared" si="4"/>
        <v>2500</v>
      </c>
      <c r="L126" s="6">
        <v>2925</v>
      </c>
      <c r="M126" s="8">
        <v>2675</v>
      </c>
      <c r="N126" s="6">
        <v>26</v>
      </c>
      <c r="O126" s="8">
        <f t="shared" si="5"/>
        <v>27.82</v>
      </c>
      <c r="Q126" s="10">
        <v>994</v>
      </c>
      <c r="R126" s="10">
        <f t="shared" si="6"/>
        <v>2485000</v>
      </c>
      <c r="S126" s="10">
        <f t="shared" si="7"/>
        <v>2658950</v>
      </c>
    </row>
    <row r="127" spans="1:19" x14ac:dyDescent="0.25">
      <c r="A127" s="5" t="s">
        <v>144</v>
      </c>
      <c r="B127" s="6" t="s">
        <v>17</v>
      </c>
      <c r="C127" s="6" t="s">
        <v>19</v>
      </c>
      <c r="D127" s="6">
        <v>10</v>
      </c>
      <c r="E127" s="6">
        <v>1020</v>
      </c>
      <c r="F127" s="6">
        <v>0</v>
      </c>
      <c r="G127" s="6">
        <v>0</v>
      </c>
      <c r="H127" s="6">
        <v>0</v>
      </c>
      <c r="I127" s="6">
        <v>0</v>
      </c>
      <c r="J127" s="6">
        <v>520</v>
      </c>
      <c r="K127" s="6">
        <f t="shared" si="4"/>
        <v>520</v>
      </c>
      <c r="L127" s="6">
        <v>500</v>
      </c>
      <c r="M127" s="8">
        <v>500</v>
      </c>
      <c r="N127" s="6">
        <v>26</v>
      </c>
      <c r="O127" s="8">
        <f t="shared" si="5"/>
        <v>25</v>
      </c>
      <c r="Q127" s="10">
        <v>3489</v>
      </c>
      <c r="R127" s="10">
        <f t="shared" si="6"/>
        <v>1814280</v>
      </c>
      <c r="S127" s="10">
        <f t="shared" si="7"/>
        <v>1744500</v>
      </c>
    </row>
    <row r="128" spans="1:19" x14ac:dyDescent="0.25">
      <c r="A128" s="5" t="s">
        <v>169</v>
      </c>
      <c r="B128" s="6" t="s">
        <v>17</v>
      </c>
      <c r="C128" s="6" t="s">
        <v>19</v>
      </c>
      <c r="D128" s="6">
        <v>10</v>
      </c>
      <c r="E128" s="6">
        <v>875</v>
      </c>
      <c r="F128" s="6">
        <v>0</v>
      </c>
      <c r="G128" s="6">
        <v>0</v>
      </c>
      <c r="H128" s="6">
        <v>0</v>
      </c>
      <c r="I128" s="6">
        <v>500</v>
      </c>
      <c r="J128" s="6">
        <v>0</v>
      </c>
      <c r="K128" s="6">
        <f t="shared" si="4"/>
        <v>500</v>
      </c>
      <c r="L128" s="6">
        <v>375</v>
      </c>
      <c r="M128" s="8">
        <v>587.5</v>
      </c>
      <c r="N128" s="6">
        <v>26</v>
      </c>
      <c r="O128" s="8">
        <f t="shared" si="5"/>
        <v>30.55</v>
      </c>
      <c r="Q128" s="10">
        <v>3162</v>
      </c>
      <c r="R128" s="10">
        <f t="shared" si="6"/>
        <v>1581000</v>
      </c>
      <c r="S128" s="10">
        <f t="shared" si="7"/>
        <v>1857675</v>
      </c>
    </row>
    <row r="129" spans="1:19" x14ac:dyDescent="0.25">
      <c r="A129" s="5" t="s">
        <v>170</v>
      </c>
      <c r="B129" s="6" t="s">
        <v>17</v>
      </c>
      <c r="C129" s="6" t="s">
        <v>19</v>
      </c>
      <c r="D129" s="6">
        <v>10</v>
      </c>
      <c r="E129" s="6">
        <v>2400</v>
      </c>
      <c r="F129" s="6">
        <v>2083</v>
      </c>
      <c r="G129" s="6">
        <v>0</v>
      </c>
      <c r="H129" s="6">
        <v>0</v>
      </c>
      <c r="I129" s="6">
        <v>3550</v>
      </c>
      <c r="J129" s="6">
        <v>0</v>
      </c>
      <c r="K129" s="6">
        <f t="shared" si="4"/>
        <v>3550</v>
      </c>
      <c r="L129" s="6">
        <v>933</v>
      </c>
      <c r="M129" s="8">
        <v>1549.7777777777801</v>
      </c>
      <c r="N129" s="6">
        <v>26</v>
      </c>
      <c r="O129" s="8">
        <f t="shared" si="5"/>
        <v>11.35048513302036</v>
      </c>
      <c r="Q129" s="10">
        <v>3567</v>
      </c>
      <c r="R129" s="10">
        <f t="shared" si="6"/>
        <v>12662850</v>
      </c>
      <c r="S129" s="10">
        <f t="shared" si="7"/>
        <v>5528057.3333333414</v>
      </c>
    </row>
    <row r="130" spans="1:19" x14ac:dyDescent="0.25">
      <c r="A130" s="5" t="s">
        <v>171</v>
      </c>
      <c r="B130" s="6" t="s">
        <v>17</v>
      </c>
      <c r="C130" s="6" t="s">
        <v>19</v>
      </c>
      <c r="D130" s="6">
        <v>10</v>
      </c>
      <c r="E130" s="6">
        <v>1025</v>
      </c>
      <c r="F130" s="6">
        <v>0</v>
      </c>
      <c r="G130" s="6">
        <v>0</v>
      </c>
      <c r="H130" s="6">
        <v>0</v>
      </c>
      <c r="I130" s="6">
        <v>300</v>
      </c>
      <c r="J130" s="6">
        <v>0</v>
      </c>
      <c r="K130" s="6">
        <f t="shared" si="4"/>
        <v>300</v>
      </c>
      <c r="L130" s="6">
        <v>725</v>
      </c>
      <c r="M130" s="8">
        <v>837.5</v>
      </c>
      <c r="N130" s="6">
        <v>26</v>
      </c>
      <c r="O130" s="8">
        <f t="shared" si="5"/>
        <v>72.583333333333329</v>
      </c>
      <c r="Q130" s="10">
        <v>3850</v>
      </c>
      <c r="R130" s="10">
        <f t="shared" si="6"/>
        <v>1155000</v>
      </c>
      <c r="S130" s="10">
        <f t="shared" si="7"/>
        <v>3224375</v>
      </c>
    </row>
    <row r="131" spans="1:19" x14ac:dyDescent="0.25">
      <c r="A131" s="5" t="s">
        <v>172</v>
      </c>
      <c r="B131" s="6" t="s">
        <v>17</v>
      </c>
      <c r="C131" s="6" t="s">
        <v>19</v>
      </c>
      <c r="D131" s="6">
        <v>10</v>
      </c>
      <c r="E131" s="6">
        <v>500</v>
      </c>
      <c r="F131" s="6">
        <v>1000</v>
      </c>
      <c r="G131" s="6">
        <v>0</v>
      </c>
      <c r="H131" s="6">
        <v>0</v>
      </c>
      <c r="I131" s="6">
        <v>0</v>
      </c>
      <c r="J131" s="6">
        <v>0</v>
      </c>
      <c r="K131" s="6">
        <f t="shared" ref="K131:K164" si="8">I131+J131</f>
        <v>0</v>
      </c>
      <c r="L131" s="6">
        <v>1500</v>
      </c>
      <c r="M131" s="8">
        <v>1500</v>
      </c>
      <c r="N131" s="6">
        <v>26</v>
      </c>
      <c r="O131" s="8">
        <v>0</v>
      </c>
      <c r="Q131" s="10">
        <v>1402</v>
      </c>
      <c r="R131" s="10">
        <f t="shared" ref="R131:R158" si="9">Q131*(I131+J131)</f>
        <v>0</v>
      </c>
      <c r="S131" s="10">
        <f t="shared" ref="S131:S158" si="10">Q131*M131</f>
        <v>2103000</v>
      </c>
    </row>
    <row r="132" spans="1:19" x14ac:dyDescent="0.25">
      <c r="A132" s="5" t="s">
        <v>146</v>
      </c>
      <c r="B132" s="6" t="s">
        <v>17</v>
      </c>
      <c r="C132" s="6" t="s">
        <v>19</v>
      </c>
      <c r="D132" s="6">
        <v>10</v>
      </c>
      <c r="E132" s="6">
        <v>2209</v>
      </c>
      <c r="F132" s="6">
        <v>8837</v>
      </c>
      <c r="G132" s="6">
        <v>0</v>
      </c>
      <c r="H132" s="6">
        <v>0</v>
      </c>
      <c r="I132" s="6">
        <v>4128</v>
      </c>
      <c r="J132" s="6">
        <v>6025</v>
      </c>
      <c r="K132" s="6">
        <f t="shared" si="8"/>
        <v>10153</v>
      </c>
      <c r="L132" s="6">
        <v>893</v>
      </c>
      <c r="M132" s="8">
        <v>4791.3571428571404</v>
      </c>
      <c r="N132" s="6">
        <v>26</v>
      </c>
      <c r="O132" s="8">
        <f t="shared" ref="O132:O158" si="11">(M132/(I132+J132))*N132</f>
        <v>12.269800621913291</v>
      </c>
      <c r="Q132" s="10">
        <v>6112</v>
      </c>
      <c r="R132" s="10">
        <f t="shared" si="9"/>
        <v>62055136</v>
      </c>
      <c r="S132" s="10">
        <f t="shared" si="10"/>
        <v>29284774.857142843</v>
      </c>
    </row>
    <row r="133" spans="1:19" x14ac:dyDescent="0.25">
      <c r="A133" s="5" t="s">
        <v>147</v>
      </c>
      <c r="B133" s="6" t="s">
        <v>17</v>
      </c>
      <c r="C133" s="6" t="s">
        <v>19</v>
      </c>
      <c r="D133" s="6">
        <v>10</v>
      </c>
      <c r="E133" s="6">
        <v>2097</v>
      </c>
      <c r="F133" s="6">
        <v>925</v>
      </c>
      <c r="G133" s="6">
        <v>0</v>
      </c>
      <c r="H133" s="6">
        <v>0</v>
      </c>
      <c r="I133" s="6">
        <v>0</v>
      </c>
      <c r="J133" s="6">
        <v>1250</v>
      </c>
      <c r="K133" s="6">
        <f t="shared" si="8"/>
        <v>1250</v>
      </c>
      <c r="L133" s="6">
        <v>1772</v>
      </c>
      <c r="M133" s="8">
        <v>1715.75</v>
      </c>
      <c r="N133" s="6">
        <v>26</v>
      </c>
      <c r="O133" s="8">
        <f t="shared" si="11"/>
        <v>35.687600000000003</v>
      </c>
      <c r="Q133" s="10">
        <v>2392</v>
      </c>
      <c r="R133" s="10">
        <f t="shared" si="9"/>
        <v>2990000</v>
      </c>
      <c r="S133" s="10">
        <f t="shared" si="10"/>
        <v>4104074</v>
      </c>
    </row>
    <row r="134" spans="1:19" x14ac:dyDescent="0.25">
      <c r="A134" s="5" t="s">
        <v>148</v>
      </c>
      <c r="B134" s="6" t="s">
        <v>17</v>
      </c>
      <c r="C134" s="6" t="s">
        <v>19</v>
      </c>
      <c r="D134" s="6">
        <v>10</v>
      </c>
      <c r="E134" s="6">
        <v>1044</v>
      </c>
      <c r="F134" s="6">
        <v>1473</v>
      </c>
      <c r="G134" s="6">
        <v>0</v>
      </c>
      <c r="H134" s="6">
        <v>0</v>
      </c>
      <c r="I134" s="6">
        <v>2493</v>
      </c>
      <c r="J134" s="6">
        <v>0</v>
      </c>
      <c r="K134" s="6">
        <f t="shared" si="8"/>
        <v>2493</v>
      </c>
      <c r="L134" s="6">
        <v>24</v>
      </c>
      <c r="M134" s="8">
        <v>234</v>
      </c>
      <c r="N134" s="6">
        <v>26</v>
      </c>
      <c r="O134" s="8">
        <f t="shared" si="11"/>
        <v>2.4404332129963899</v>
      </c>
      <c r="Q134" s="10">
        <v>2651</v>
      </c>
      <c r="R134" s="10">
        <f t="shared" si="9"/>
        <v>6608943</v>
      </c>
      <c r="S134" s="10">
        <f t="shared" si="10"/>
        <v>620334</v>
      </c>
    </row>
    <row r="135" spans="1:19" x14ac:dyDescent="0.25">
      <c r="A135" s="5" t="s">
        <v>149</v>
      </c>
      <c r="B135" s="6" t="s">
        <v>17</v>
      </c>
      <c r="C135" s="6" t="s">
        <v>19</v>
      </c>
      <c r="D135" s="6">
        <v>10</v>
      </c>
      <c r="E135" s="6">
        <v>2106</v>
      </c>
      <c r="F135" s="6">
        <v>0</v>
      </c>
      <c r="G135" s="6">
        <v>0</v>
      </c>
      <c r="H135" s="6">
        <v>0</v>
      </c>
      <c r="I135" s="6">
        <v>615</v>
      </c>
      <c r="J135" s="6">
        <v>0</v>
      </c>
      <c r="K135" s="6">
        <f t="shared" si="8"/>
        <v>615</v>
      </c>
      <c r="L135" s="6">
        <v>1491</v>
      </c>
      <c r="M135" s="8">
        <v>1757</v>
      </c>
      <c r="N135" s="6">
        <v>26</v>
      </c>
      <c r="O135" s="8">
        <f t="shared" si="11"/>
        <v>74.279674796747969</v>
      </c>
      <c r="Q135" s="10">
        <v>4343</v>
      </c>
      <c r="R135" s="10">
        <f t="shared" si="9"/>
        <v>2670945</v>
      </c>
      <c r="S135" s="10">
        <f t="shared" si="10"/>
        <v>7630651</v>
      </c>
    </row>
    <row r="136" spans="1:19" x14ac:dyDescent="0.25">
      <c r="A136" s="5" t="s">
        <v>150</v>
      </c>
      <c r="B136" s="6" t="s">
        <v>17</v>
      </c>
      <c r="C136" s="6" t="s">
        <v>19</v>
      </c>
      <c r="D136" s="6">
        <v>10</v>
      </c>
      <c r="E136" s="6">
        <v>1796</v>
      </c>
      <c r="F136" s="6">
        <v>0</v>
      </c>
      <c r="G136" s="6">
        <v>0</v>
      </c>
      <c r="H136" s="6">
        <v>0</v>
      </c>
      <c r="I136" s="6">
        <v>825</v>
      </c>
      <c r="J136" s="6">
        <v>0</v>
      </c>
      <c r="K136" s="6">
        <f t="shared" si="8"/>
        <v>825</v>
      </c>
      <c r="L136" s="6">
        <v>971</v>
      </c>
      <c r="M136" s="8">
        <v>1314.75</v>
      </c>
      <c r="N136" s="6">
        <v>26</v>
      </c>
      <c r="O136" s="8">
        <f t="shared" si="11"/>
        <v>41.434545454545457</v>
      </c>
      <c r="Q136" s="10">
        <v>2970</v>
      </c>
      <c r="R136" s="10">
        <f t="shared" si="9"/>
        <v>2450250</v>
      </c>
      <c r="S136" s="10">
        <f t="shared" si="10"/>
        <v>3904807.5</v>
      </c>
    </row>
    <row r="137" spans="1:19" x14ac:dyDescent="0.25">
      <c r="A137" s="5" t="s">
        <v>151</v>
      </c>
      <c r="B137" s="6" t="s">
        <v>17</v>
      </c>
      <c r="C137" s="6" t="s">
        <v>19</v>
      </c>
      <c r="D137" s="6">
        <v>10</v>
      </c>
      <c r="E137" s="6">
        <v>2322</v>
      </c>
      <c r="F137" s="6">
        <v>0</v>
      </c>
      <c r="G137" s="6">
        <v>0</v>
      </c>
      <c r="H137" s="6">
        <v>0</v>
      </c>
      <c r="I137" s="6">
        <v>1255</v>
      </c>
      <c r="J137" s="6">
        <v>0</v>
      </c>
      <c r="K137" s="6">
        <f t="shared" si="8"/>
        <v>1255</v>
      </c>
      <c r="L137" s="6">
        <v>1067</v>
      </c>
      <c r="M137" s="8">
        <v>1644.2857142857101</v>
      </c>
      <c r="N137" s="6">
        <v>26</v>
      </c>
      <c r="O137" s="8">
        <f t="shared" si="11"/>
        <v>34.064883323847383</v>
      </c>
      <c r="Q137" s="10">
        <v>2970</v>
      </c>
      <c r="R137" s="10">
        <f t="shared" si="9"/>
        <v>3727350</v>
      </c>
      <c r="S137" s="10">
        <f t="shared" si="10"/>
        <v>4883528.5714285588</v>
      </c>
    </row>
    <row r="138" spans="1:19" x14ac:dyDescent="0.25">
      <c r="A138" s="5" t="s">
        <v>152</v>
      </c>
      <c r="B138" s="6" t="s">
        <v>17</v>
      </c>
      <c r="C138" s="6" t="s">
        <v>19</v>
      </c>
      <c r="D138" s="6">
        <v>10</v>
      </c>
      <c r="E138" s="6">
        <v>1130</v>
      </c>
      <c r="F138" s="6">
        <v>0</v>
      </c>
      <c r="G138" s="6">
        <v>0</v>
      </c>
      <c r="H138" s="6">
        <v>0</v>
      </c>
      <c r="I138" s="6">
        <v>100</v>
      </c>
      <c r="J138" s="6">
        <v>0</v>
      </c>
      <c r="K138" s="6">
        <f t="shared" si="8"/>
        <v>100</v>
      </c>
      <c r="L138" s="6">
        <v>1030</v>
      </c>
      <c r="M138" s="8">
        <v>1055</v>
      </c>
      <c r="N138" s="6">
        <v>26</v>
      </c>
      <c r="O138" s="8">
        <f t="shared" si="11"/>
        <v>274.3</v>
      </c>
      <c r="Q138" s="10">
        <v>2607</v>
      </c>
      <c r="R138" s="10">
        <f t="shared" si="9"/>
        <v>260700</v>
      </c>
      <c r="S138" s="10">
        <f t="shared" si="10"/>
        <v>2750385</v>
      </c>
    </row>
    <row r="139" spans="1:19" x14ac:dyDescent="0.25">
      <c r="A139" s="5" t="s">
        <v>153</v>
      </c>
      <c r="B139" s="6" t="s">
        <v>17</v>
      </c>
      <c r="C139" s="6" t="s">
        <v>19</v>
      </c>
      <c r="D139" s="6">
        <v>10</v>
      </c>
      <c r="E139" s="6">
        <v>2725</v>
      </c>
      <c r="F139" s="6">
        <v>0</v>
      </c>
      <c r="G139" s="6">
        <v>0</v>
      </c>
      <c r="H139" s="6">
        <v>0</v>
      </c>
      <c r="I139" s="6">
        <v>1925</v>
      </c>
      <c r="J139" s="6">
        <v>0</v>
      </c>
      <c r="K139" s="6">
        <f t="shared" si="8"/>
        <v>1925</v>
      </c>
      <c r="L139" s="6">
        <v>800</v>
      </c>
      <c r="M139" s="8">
        <v>1636.1111111111102</v>
      </c>
      <c r="N139" s="6">
        <v>26</v>
      </c>
      <c r="O139" s="8">
        <f t="shared" si="11"/>
        <v>22.098124098124085</v>
      </c>
      <c r="Q139" s="10">
        <v>1928</v>
      </c>
      <c r="R139" s="10">
        <f t="shared" si="9"/>
        <v>3711400</v>
      </c>
      <c r="S139" s="10">
        <f t="shared" si="10"/>
        <v>3154422.2222222206</v>
      </c>
    </row>
    <row r="140" spans="1:19" x14ac:dyDescent="0.25">
      <c r="A140" s="5" t="s">
        <v>154</v>
      </c>
      <c r="B140" s="6" t="s">
        <v>17</v>
      </c>
      <c r="C140" s="6" t="s">
        <v>19</v>
      </c>
      <c r="D140" s="6">
        <v>10</v>
      </c>
      <c r="E140" s="6">
        <v>3675</v>
      </c>
      <c r="F140" s="6">
        <v>0</v>
      </c>
      <c r="G140" s="6">
        <v>0</v>
      </c>
      <c r="H140" s="6">
        <v>0</v>
      </c>
      <c r="I140" s="6">
        <v>0</v>
      </c>
      <c r="J140" s="6">
        <v>50</v>
      </c>
      <c r="K140" s="6">
        <f t="shared" si="8"/>
        <v>50</v>
      </c>
      <c r="L140" s="6">
        <v>3625</v>
      </c>
      <c r="M140" s="8">
        <v>3625</v>
      </c>
      <c r="N140" s="6">
        <v>26</v>
      </c>
      <c r="O140" s="8">
        <f t="shared" si="11"/>
        <v>1885</v>
      </c>
      <c r="Q140" s="10">
        <v>2129</v>
      </c>
      <c r="R140" s="10">
        <f t="shared" si="9"/>
        <v>106450</v>
      </c>
      <c r="S140" s="10">
        <f t="shared" si="10"/>
        <v>7717625</v>
      </c>
    </row>
    <row r="141" spans="1:19" x14ac:dyDescent="0.25">
      <c r="A141" s="5" t="s">
        <v>155</v>
      </c>
      <c r="B141" s="6" t="s">
        <v>17</v>
      </c>
      <c r="C141" s="6" t="s">
        <v>19</v>
      </c>
      <c r="D141" s="6">
        <v>10</v>
      </c>
      <c r="E141" s="6">
        <v>44882</v>
      </c>
      <c r="F141" s="6">
        <v>0</v>
      </c>
      <c r="G141" s="6">
        <v>0</v>
      </c>
      <c r="H141" s="6">
        <v>0</v>
      </c>
      <c r="I141" s="6">
        <v>4550</v>
      </c>
      <c r="J141" s="6">
        <v>0</v>
      </c>
      <c r="K141" s="6">
        <f t="shared" si="8"/>
        <v>4550</v>
      </c>
      <c r="L141" s="6">
        <v>40332</v>
      </c>
      <c r="M141" s="8">
        <v>42417</v>
      </c>
      <c r="N141" s="6">
        <v>26</v>
      </c>
      <c r="O141" s="8">
        <f t="shared" si="11"/>
        <v>242.38285714285715</v>
      </c>
      <c r="Q141" s="10">
        <v>2177</v>
      </c>
      <c r="R141" s="10">
        <f t="shared" si="9"/>
        <v>9905350</v>
      </c>
      <c r="S141" s="10">
        <f t="shared" si="10"/>
        <v>92341809</v>
      </c>
    </row>
    <row r="142" spans="1:19" x14ac:dyDescent="0.25">
      <c r="A142" s="5" t="s">
        <v>156</v>
      </c>
      <c r="B142" s="6" t="s">
        <v>17</v>
      </c>
      <c r="C142" s="6" t="s">
        <v>19</v>
      </c>
      <c r="D142" s="6">
        <v>10</v>
      </c>
      <c r="E142" s="6">
        <v>9275</v>
      </c>
      <c r="F142" s="6">
        <v>29441</v>
      </c>
      <c r="G142" s="6">
        <v>0</v>
      </c>
      <c r="H142" s="6">
        <v>0</v>
      </c>
      <c r="I142" s="6">
        <v>38691</v>
      </c>
      <c r="J142" s="6">
        <v>0</v>
      </c>
      <c r="K142" s="6">
        <f t="shared" si="8"/>
        <v>38691</v>
      </c>
      <c r="L142" s="6">
        <v>25</v>
      </c>
      <c r="M142" s="8">
        <v>5759.4000000000005</v>
      </c>
      <c r="N142" s="6">
        <v>26</v>
      </c>
      <c r="O142" s="8">
        <f t="shared" si="11"/>
        <v>3.8702644025742421</v>
      </c>
      <c r="Q142" s="10">
        <v>2177</v>
      </c>
      <c r="R142" s="10">
        <f t="shared" si="9"/>
        <v>84230307</v>
      </c>
      <c r="S142" s="10">
        <f t="shared" si="10"/>
        <v>12538213.800000001</v>
      </c>
    </row>
    <row r="143" spans="1:19" x14ac:dyDescent="0.25">
      <c r="A143" s="5" t="s">
        <v>157</v>
      </c>
      <c r="B143" s="6" t="s">
        <v>17</v>
      </c>
      <c r="C143" s="6" t="s">
        <v>19</v>
      </c>
      <c r="D143" s="6">
        <v>10</v>
      </c>
      <c r="E143" s="6">
        <v>9261</v>
      </c>
      <c r="F143" s="6">
        <v>4080</v>
      </c>
      <c r="G143" s="6">
        <v>0</v>
      </c>
      <c r="H143" s="6">
        <v>0</v>
      </c>
      <c r="I143" s="6">
        <v>7721</v>
      </c>
      <c r="J143" s="6">
        <v>25</v>
      </c>
      <c r="K143" s="6">
        <f t="shared" si="8"/>
        <v>7746</v>
      </c>
      <c r="L143" s="6">
        <v>5595</v>
      </c>
      <c r="M143" s="8">
        <v>8632.1428571428605</v>
      </c>
      <c r="N143" s="6">
        <v>26</v>
      </c>
      <c r="O143" s="8">
        <f t="shared" si="11"/>
        <v>28.974401534432531</v>
      </c>
      <c r="Q143" s="10">
        <v>2177</v>
      </c>
      <c r="R143" s="10">
        <f t="shared" si="9"/>
        <v>16863042</v>
      </c>
      <c r="S143" s="10">
        <f t="shared" si="10"/>
        <v>18792175.000000007</v>
      </c>
    </row>
    <row r="144" spans="1:19" x14ac:dyDescent="0.25">
      <c r="A144" s="5" t="s">
        <v>158</v>
      </c>
      <c r="B144" s="6" t="s">
        <v>17</v>
      </c>
      <c r="C144" s="6" t="s">
        <v>19</v>
      </c>
      <c r="D144" s="6">
        <v>10</v>
      </c>
      <c r="E144" s="6">
        <v>5596</v>
      </c>
      <c r="F144" s="6">
        <v>8250</v>
      </c>
      <c r="G144" s="6">
        <v>0</v>
      </c>
      <c r="H144" s="6">
        <v>0</v>
      </c>
      <c r="I144" s="6">
        <v>0</v>
      </c>
      <c r="J144" s="6">
        <v>11725</v>
      </c>
      <c r="K144" s="6">
        <f t="shared" si="8"/>
        <v>11725</v>
      </c>
      <c r="L144" s="6">
        <v>2121</v>
      </c>
      <c r="M144" s="8">
        <v>5473.7777777777801</v>
      </c>
      <c r="N144" s="6">
        <v>26</v>
      </c>
      <c r="O144" s="8">
        <f t="shared" si="11"/>
        <v>12.138014688462455</v>
      </c>
      <c r="Q144" s="10">
        <v>1948</v>
      </c>
      <c r="R144" s="10">
        <f t="shared" si="9"/>
        <v>22840300</v>
      </c>
      <c r="S144" s="10">
        <f t="shared" si="10"/>
        <v>10662919.111111116</v>
      </c>
    </row>
    <row r="145" spans="1:19" x14ac:dyDescent="0.25">
      <c r="A145" s="5" t="s">
        <v>159</v>
      </c>
      <c r="B145" s="6" t="s">
        <v>17</v>
      </c>
      <c r="C145" s="6" t="s">
        <v>19</v>
      </c>
      <c r="D145" s="6">
        <v>10</v>
      </c>
      <c r="E145" s="6">
        <v>1500</v>
      </c>
      <c r="F145" s="6">
        <v>6120</v>
      </c>
      <c r="G145" s="6">
        <v>0</v>
      </c>
      <c r="H145" s="6">
        <v>0</v>
      </c>
      <c r="I145" s="6">
        <v>0</v>
      </c>
      <c r="J145" s="6">
        <v>4620</v>
      </c>
      <c r="K145" s="6">
        <f t="shared" si="8"/>
        <v>4620</v>
      </c>
      <c r="L145" s="6">
        <v>3000</v>
      </c>
      <c r="M145" s="8">
        <v>5403.3333333333303</v>
      </c>
      <c r="N145" s="6">
        <v>26</v>
      </c>
      <c r="O145" s="8">
        <f t="shared" si="11"/>
        <v>30.408369408369389</v>
      </c>
      <c r="Q145" s="10">
        <v>1989</v>
      </c>
      <c r="R145" s="10">
        <f t="shared" si="9"/>
        <v>9189180</v>
      </c>
      <c r="S145" s="10">
        <f t="shared" si="10"/>
        <v>10747229.999999994</v>
      </c>
    </row>
    <row r="146" spans="1:19" x14ac:dyDescent="0.25">
      <c r="A146" s="5" t="s">
        <v>160</v>
      </c>
      <c r="B146" s="6" t="s">
        <v>17</v>
      </c>
      <c r="C146" s="6" t="s">
        <v>19</v>
      </c>
      <c r="D146" s="6">
        <v>10</v>
      </c>
      <c r="E146" s="6">
        <v>8050</v>
      </c>
      <c r="F146" s="6">
        <v>27575</v>
      </c>
      <c r="G146" s="6">
        <v>0</v>
      </c>
      <c r="H146" s="6">
        <v>0</v>
      </c>
      <c r="I146" s="6">
        <v>9200</v>
      </c>
      <c r="J146" s="6">
        <v>12500</v>
      </c>
      <c r="K146" s="6">
        <f t="shared" si="8"/>
        <v>21700</v>
      </c>
      <c r="L146" s="6">
        <v>13925</v>
      </c>
      <c r="M146" s="8">
        <v>15313.461538461501</v>
      </c>
      <c r="N146" s="6">
        <v>26</v>
      </c>
      <c r="O146" s="8">
        <f t="shared" si="11"/>
        <v>18.347926267281061</v>
      </c>
      <c r="Q146" s="10">
        <v>2181</v>
      </c>
      <c r="R146" s="10">
        <f t="shared" si="9"/>
        <v>47327700</v>
      </c>
      <c r="S146" s="10">
        <f t="shared" si="10"/>
        <v>33398659.615384534</v>
      </c>
    </row>
    <row r="147" spans="1:19" x14ac:dyDescent="0.25">
      <c r="A147" s="5" t="s">
        <v>173</v>
      </c>
      <c r="B147" s="6" t="s">
        <v>17</v>
      </c>
      <c r="C147" s="6" t="s">
        <v>19</v>
      </c>
      <c r="D147" s="6">
        <v>10</v>
      </c>
      <c r="E147" s="6">
        <v>7150</v>
      </c>
      <c r="F147" s="6">
        <v>22750</v>
      </c>
      <c r="G147" s="6">
        <v>0</v>
      </c>
      <c r="H147" s="6">
        <v>0</v>
      </c>
      <c r="I147" s="6">
        <v>21150</v>
      </c>
      <c r="J147" s="6">
        <v>0</v>
      </c>
      <c r="K147" s="6">
        <f t="shared" si="8"/>
        <v>21150</v>
      </c>
      <c r="L147" s="6">
        <v>8750</v>
      </c>
      <c r="M147" s="8">
        <v>5243.3333333333303</v>
      </c>
      <c r="N147" s="6">
        <v>26</v>
      </c>
      <c r="O147" s="8">
        <f t="shared" si="11"/>
        <v>6.4457052797478296</v>
      </c>
      <c r="Q147" s="10">
        <v>2181</v>
      </c>
      <c r="R147" s="10">
        <f t="shared" si="9"/>
        <v>46128150</v>
      </c>
      <c r="S147" s="10">
        <f t="shared" si="10"/>
        <v>11435709.999999993</v>
      </c>
    </row>
    <row r="148" spans="1:19" x14ac:dyDescent="0.25">
      <c r="A148" s="5" t="s">
        <v>174</v>
      </c>
      <c r="B148" s="6" t="s">
        <v>17</v>
      </c>
      <c r="C148" s="6" t="s">
        <v>19</v>
      </c>
      <c r="D148" s="6">
        <v>10</v>
      </c>
      <c r="E148" s="6">
        <v>11425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f t="shared" si="8"/>
        <v>0</v>
      </c>
      <c r="L148" s="6">
        <v>11425</v>
      </c>
      <c r="M148" s="8">
        <v>0</v>
      </c>
      <c r="N148" s="6">
        <v>26</v>
      </c>
      <c r="O148" s="8">
        <v>0</v>
      </c>
      <c r="Q148" s="10">
        <v>2181</v>
      </c>
      <c r="R148" s="10">
        <f t="shared" si="9"/>
        <v>0</v>
      </c>
      <c r="S148" s="10">
        <f t="shared" si="10"/>
        <v>0</v>
      </c>
    </row>
    <row r="149" spans="1:19" x14ac:dyDescent="0.25">
      <c r="A149" s="5" t="s">
        <v>175</v>
      </c>
      <c r="B149" s="6" t="s">
        <v>16</v>
      </c>
      <c r="C149" s="6" t="s">
        <v>19</v>
      </c>
      <c r="D149" s="6">
        <v>10</v>
      </c>
      <c r="E149" s="6">
        <v>14575</v>
      </c>
      <c r="F149" s="6">
        <v>233550</v>
      </c>
      <c r="G149" s="6">
        <v>0</v>
      </c>
      <c r="H149" s="6">
        <v>0</v>
      </c>
      <c r="I149" s="6">
        <v>0</v>
      </c>
      <c r="J149" s="6">
        <v>229050</v>
      </c>
      <c r="K149" s="6">
        <f t="shared" si="8"/>
        <v>229050</v>
      </c>
      <c r="L149" s="6">
        <v>19075</v>
      </c>
      <c r="M149" s="8">
        <v>25564.285714285699</v>
      </c>
      <c r="N149" s="6">
        <v>26</v>
      </c>
      <c r="O149" s="8">
        <f t="shared" si="11"/>
        <v>2.9018617270090732</v>
      </c>
      <c r="Q149" s="10">
        <v>2208</v>
      </c>
      <c r="R149" s="10">
        <f t="shared" si="9"/>
        <v>505742400</v>
      </c>
      <c r="S149" s="10">
        <f t="shared" si="10"/>
        <v>56445942.857142821</v>
      </c>
    </row>
    <row r="150" spans="1:19" x14ac:dyDescent="0.25">
      <c r="A150" s="5" t="s">
        <v>176</v>
      </c>
      <c r="B150" s="6" t="s">
        <v>16</v>
      </c>
      <c r="C150" s="6" t="s">
        <v>19</v>
      </c>
      <c r="D150" s="6">
        <v>10</v>
      </c>
      <c r="E150" s="6">
        <v>10275</v>
      </c>
      <c r="F150" s="6">
        <v>23925</v>
      </c>
      <c r="G150" s="6">
        <v>0</v>
      </c>
      <c r="H150" s="6">
        <v>0</v>
      </c>
      <c r="I150" s="6">
        <v>0</v>
      </c>
      <c r="J150" s="6">
        <v>29325</v>
      </c>
      <c r="K150" s="6">
        <f t="shared" si="8"/>
        <v>29325</v>
      </c>
      <c r="L150" s="6">
        <v>4875</v>
      </c>
      <c r="M150" s="8">
        <v>7585.4166666666697</v>
      </c>
      <c r="N150" s="6">
        <v>26</v>
      </c>
      <c r="O150" s="8">
        <f t="shared" si="11"/>
        <v>6.7253481102585981</v>
      </c>
      <c r="Q150" s="10">
        <v>2245</v>
      </c>
      <c r="R150" s="10">
        <f t="shared" si="9"/>
        <v>65834625</v>
      </c>
      <c r="S150" s="10">
        <f t="shared" si="10"/>
        <v>17029260.416666672</v>
      </c>
    </row>
    <row r="151" spans="1:19" x14ac:dyDescent="0.25">
      <c r="A151" s="5" t="s">
        <v>163</v>
      </c>
      <c r="B151" s="6" t="s">
        <v>17</v>
      </c>
      <c r="C151" s="6" t="s">
        <v>19</v>
      </c>
      <c r="D151" s="6">
        <v>10</v>
      </c>
      <c r="E151" s="6">
        <v>8193</v>
      </c>
      <c r="F151" s="6">
        <v>66075</v>
      </c>
      <c r="G151" s="6">
        <v>0</v>
      </c>
      <c r="H151" s="6">
        <v>0</v>
      </c>
      <c r="I151" s="6">
        <v>31300</v>
      </c>
      <c r="J151" s="6">
        <v>21575</v>
      </c>
      <c r="K151" s="6">
        <f t="shared" si="8"/>
        <v>52875</v>
      </c>
      <c r="L151" s="6">
        <v>21393</v>
      </c>
      <c r="M151" s="8">
        <v>13739</v>
      </c>
      <c r="N151" s="6">
        <v>26</v>
      </c>
      <c r="O151" s="8">
        <f t="shared" si="11"/>
        <v>6.7558203309692679</v>
      </c>
      <c r="Q151" s="10">
        <v>2355</v>
      </c>
      <c r="R151" s="10">
        <f t="shared" si="9"/>
        <v>124520625</v>
      </c>
      <c r="S151" s="10">
        <f t="shared" si="10"/>
        <v>32355345</v>
      </c>
    </row>
    <row r="152" spans="1:19" x14ac:dyDescent="0.25">
      <c r="A152" s="5" t="s">
        <v>177</v>
      </c>
      <c r="B152" s="6" t="s">
        <v>17</v>
      </c>
      <c r="C152" s="6" t="s">
        <v>19</v>
      </c>
      <c r="D152" s="6">
        <v>10</v>
      </c>
      <c r="E152" s="6">
        <v>7706</v>
      </c>
      <c r="F152" s="6">
        <v>3150</v>
      </c>
      <c r="G152" s="6">
        <v>0</v>
      </c>
      <c r="H152" s="6">
        <v>0</v>
      </c>
      <c r="I152" s="6">
        <v>0</v>
      </c>
      <c r="J152" s="6">
        <v>6232</v>
      </c>
      <c r="K152" s="6">
        <f t="shared" si="8"/>
        <v>6232</v>
      </c>
      <c r="L152" s="6">
        <v>4624</v>
      </c>
      <c r="M152" s="8">
        <v>6468.3333333333303</v>
      </c>
      <c r="N152" s="6">
        <v>26</v>
      </c>
      <c r="O152" s="8">
        <f t="shared" si="11"/>
        <v>26.985986307231482</v>
      </c>
      <c r="Q152" s="10">
        <v>2021</v>
      </c>
      <c r="R152" s="10">
        <f t="shared" si="9"/>
        <v>12594872</v>
      </c>
      <c r="S152" s="10">
        <f t="shared" si="10"/>
        <v>13072501.66666666</v>
      </c>
    </row>
    <row r="153" spans="1:19" x14ac:dyDescent="0.25">
      <c r="A153" s="5" t="s">
        <v>178</v>
      </c>
      <c r="B153" s="6" t="s">
        <v>17</v>
      </c>
      <c r="C153" s="6" t="s">
        <v>19</v>
      </c>
      <c r="D153" s="6">
        <v>10</v>
      </c>
      <c r="E153" s="6">
        <v>7168</v>
      </c>
      <c r="F153" s="6">
        <v>5000</v>
      </c>
      <c r="G153" s="6">
        <v>0</v>
      </c>
      <c r="H153" s="6">
        <v>0</v>
      </c>
      <c r="I153" s="6">
        <v>0</v>
      </c>
      <c r="J153" s="6">
        <v>8630</v>
      </c>
      <c r="K153" s="6">
        <f t="shared" si="8"/>
        <v>8630</v>
      </c>
      <c r="L153" s="6">
        <v>3538</v>
      </c>
      <c r="M153" s="8">
        <v>6456</v>
      </c>
      <c r="N153" s="6">
        <v>26</v>
      </c>
      <c r="O153" s="8">
        <f t="shared" si="11"/>
        <v>19.450289687137889</v>
      </c>
      <c r="Q153" s="10">
        <v>2021</v>
      </c>
      <c r="R153" s="10">
        <f>Q153*(I153+J153)</f>
        <v>17441230</v>
      </c>
      <c r="S153" s="10">
        <f t="shared" si="10"/>
        <v>13047576</v>
      </c>
    </row>
    <row r="154" spans="1:19" x14ac:dyDescent="0.25">
      <c r="A154" s="5" t="s">
        <v>179</v>
      </c>
      <c r="B154" s="6" t="s">
        <v>17</v>
      </c>
      <c r="C154" s="6" t="s">
        <v>19</v>
      </c>
      <c r="D154" s="6">
        <v>10</v>
      </c>
      <c r="E154" s="6">
        <v>5200</v>
      </c>
      <c r="F154" s="6">
        <v>2000</v>
      </c>
      <c r="G154" s="6">
        <v>0</v>
      </c>
      <c r="H154" s="6">
        <v>0</v>
      </c>
      <c r="I154" s="6">
        <v>0</v>
      </c>
      <c r="J154" s="6">
        <v>6255</v>
      </c>
      <c r="K154" s="6">
        <f t="shared" si="8"/>
        <v>6255</v>
      </c>
      <c r="L154" s="6">
        <v>945</v>
      </c>
      <c r="M154" s="8">
        <v>2963.5714285714303</v>
      </c>
      <c r="N154" s="6">
        <v>26</v>
      </c>
      <c r="O154" s="8">
        <f t="shared" si="11"/>
        <v>12.31860226104831</v>
      </c>
      <c r="Q154" s="10">
        <v>2021</v>
      </c>
      <c r="R154" s="10">
        <f t="shared" si="9"/>
        <v>12641355</v>
      </c>
      <c r="S154" s="10">
        <f t="shared" si="10"/>
        <v>5989377.857142861</v>
      </c>
    </row>
    <row r="155" spans="1:19" x14ac:dyDescent="0.25">
      <c r="A155" s="5" t="s">
        <v>180</v>
      </c>
      <c r="B155" s="6" t="s">
        <v>17</v>
      </c>
      <c r="C155" s="6" t="s">
        <v>19</v>
      </c>
      <c r="D155" s="6">
        <v>10</v>
      </c>
      <c r="E155" s="6">
        <v>6000</v>
      </c>
      <c r="F155" s="6">
        <v>10000</v>
      </c>
      <c r="G155" s="6">
        <v>0</v>
      </c>
      <c r="H155" s="6">
        <v>0</v>
      </c>
      <c r="I155" s="6">
        <v>16000</v>
      </c>
      <c r="J155" s="6">
        <v>0</v>
      </c>
      <c r="K155" s="6">
        <f t="shared" si="8"/>
        <v>16000</v>
      </c>
      <c r="L155" s="6">
        <v>0</v>
      </c>
      <c r="M155" s="8">
        <v>4600</v>
      </c>
      <c r="N155" s="6">
        <v>26</v>
      </c>
      <c r="O155" s="8">
        <f t="shared" si="11"/>
        <v>7.4749999999999996</v>
      </c>
      <c r="Q155" s="10">
        <v>2846</v>
      </c>
      <c r="R155" s="10">
        <f t="shared" si="9"/>
        <v>45536000</v>
      </c>
      <c r="S155" s="10">
        <f t="shared" si="10"/>
        <v>13091600</v>
      </c>
    </row>
    <row r="156" spans="1:19" x14ac:dyDescent="0.25">
      <c r="A156" s="5" t="s">
        <v>181</v>
      </c>
      <c r="B156" s="6" t="s">
        <v>17</v>
      </c>
      <c r="C156" s="6" t="s">
        <v>19</v>
      </c>
      <c r="D156" s="6">
        <v>10</v>
      </c>
      <c r="E156" s="6">
        <v>2463</v>
      </c>
      <c r="F156" s="6">
        <v>12376</v>
      </c>
      <c r="G156" s="6">
        <v>0</v>
      </c>
      <c r="H156" s="6">
        <v>0</v>
      </c>
      <c r="I156" s="6">
        <v>8903</v>
      </c>
      <c r="J156" s="6">
        <v>0</v>
      </c>
      <c r="K156" s="6">
        <f t="shared" si="8"/>
        <v>8903</v>
      </c>
      <c r="L156" s="6">
        <v>5936</v>
      </c>
      <c r="M156" s="8">
        <v>6057.6</v>
      </c>
      <c r="N156" s="6">
        <v>26</v>
      </c>
      <c r="O156" s="8">
        <f t="shared" si="11"/>
        <v>17.690396495563295</v>
      </c>
      <c r="Q156" s="10">
        <v>7550</v>
      </c>
      <c r="R156" s="10">
        <f t="shared" si="9"/>
        <v>67217650</v>
      </c>
      <c r="S156" s="10">
        <f t="shared" si="10"/>
        <v>45734880</v>
      </c>
    </row>
    <row r="157" spans="1:19" x14ac:dyDescent="0.25">
      <c r="A157" s="5" t="s">
        <v>182</v>
      </c>
      <c r="B157" s="6" t="s">
        <v>17</v>
      </c>
      <c r="C157" s="6" t="s">
        <v>19</v>
      </c>
      <c r="D157" s="6">
        <v>10</v>
      </c>
      <c r="E157" s="6">
        <v>2900</v>
      </c>
      <c r="F157" s="6">
        <v>1900</v>
      </c>
      <c r="G157" s="6">
        <v>0</v>
      </c>
      <c r="H157" s="6">
        <v>0</v>
      </c>
      <c r="I157" s="6">
        <v>3400</v>
      </c>
      <c r="J157" s="6">
        <v>0</v>
      </c>
      <c r="K157" s="6">
        <f t="shared" si="8"/>
        <v>3400</v>
      </c>
      <c r="L157" s="6">
        <v>1400</v>
      </c>
      <c r="M157" s="8">
        <v>1931.25</v>
      </c>
      <c r="N157" s="6">
        <v>26</v>
      </c>
      <c r="O157" s="8">
        <f t="shared" si="11"/>
        <v>14.768382352941176</v>
      </c>
      <c r="Q157" s="10">
        <v>2658</v>
      </c>
      <c r="R157" s="10">
        <f t="shared" si="9"/>
        <v>9037200</v>
      </c>
      <c r="S157" s="10">
        <f t="shared" si="10"/>
        <v>5133262.5</v>
      </c>
    </row>
    <row r="158" spans="1:19" x14ac:dyDescent="0.25">
      <c r="A158" s="20" t="s">
        <v>5</v>
      </c>
      <c r="B158" s="6" t="s">
        <v>17</v>
      </c>
      <c r="C158" s="6" t="s">
        <v>19</v>
      </c>
      <c r="D158" s="6">
        <v>10</v>
      </c>
      <c r="E158" s="6">
        <v>10000</v>
      </c>
      <c r="F158" s="6">
        <v>12725</v>
      </c>
      <c r="G158" s="6">
        <v>0</v>
      </c>
      <c r="H158" s="6">
        <v>0</v>
      </c>
      <c r="I158" s="6">
        <v>0</v>
      </c>
      <c r="J158" s="6">
        <v>875</v>
      </c>
      <c r="K158" s="6">
        <f t="shared" si="8"/>
        <v>875</v>
      </c>
      <c r="L158" s="6">
        <v>21850</v>
      </c>
      <c r="M158" s="8">
        <v>20141.666666666697</v>
      </c>
      <c r="N158" s="6">
        <v>26</v>
      </c>
      <c r="O158" s="8">
        <f t="shared" si="11"/>
        <v>598.49523809523907</v>
      </c>
      <c r="Q158" s="10">
        <v>2103</v>
      </c>
      <c r="R158" s="10">
        <f t="shared" si="9"/>
        <v>1840125</v>
      </c>
      <c r="S158" s="10">
        <f t="shared" si="10"/>
        <v>42357925.000000067</v>
      </c>
    </row>
    <row r="159" spans="1:19" ht="17.25" x14ac:dyDescent="0.4">
      <c r="A159" s="17" t="s">
        <v>18</v>
      </c>
      <c r="B159" s="17"/>
      <c r="C159" s="17"/>
      <c r="D159" s="17"/>
      <c r="E159" s="18">
        <f>SUM(E2:E158)</f>
        <v>1393947</v>
      </c>
      <c r="F159" s="18">
        <f t="shared" ref="F159:M159" si="12">SUM(F2:F158)</f>
        <v>5567254</v>
      </c>
      <c r="G159" s="18">
        <f t="shared" si="12"/>
        <v>0</v>
      </c>
      <c r="H159" s="18">
        <f t="shared" si="12"/>
        <v>0</v>
      </c>
      <c r="I159" s="18">
        <f t="shared" si="12"/>
        <v>3803700</v>
      </c>
      <c r="J159" s="18">
        <f t="shared" si="12"/>
        <v>2014623</v>
      </c>
      <c r="K159" s="18">
        <f t="shared" si="8"/>
        <v>5818323</v>
      </c>
      <c r="L159" s="18">
        <f t="shared" si="12"/>
        <v>1142878</v>
      </c>
      <c r="M159" s="18">
        <f t="shared" si="12"/>
        <v>1450306.3560255961</v>
      </c>
      <c r="N159" s="18">
        <v>26</v>
      </c>
      <c r="O159" s="18">
        <f>(M159/(I159+J159))*N159</f>
        <v>6.4808992654181461</v>
      </c>
      <c r="R159" s="13">
        <f>SUM(R2:R158)</f>
        <v>13492280520</v>
      </c>
      <c r="S159" s="13">
        <f>SUM(S2:S158)</f>
        <v>3473559906.2817965</v>
      </c>
    </row>
    <row r="160" spans="1:19" x14ac:dyDescent="0.25">
      <c r="A160" s="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8"/>
    </row>
    <row r="161" spans="1:18" x14ac:dyDescent="0.25">
      <c r="A161" s="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8"/>
      <c r="Q161" s="11" t="s">
        <v>186</v>
      </c>
      <c r="R161" s="12">
        <v>5.1999999999999998E-3</v>
      </c>
    </row>
    <row r="162" spans="1:18" x14ac:dyDescent="0.25">
      <c r="A162" s="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8"/>
      <c r="Q162" s="11" t="s">
        <v>187</v>
      </c>
      <c r="R162" s="15">
        <f>(S159*R161)/R159</f>
        <v>1.3387293190273324E-3</v>
      </c>
    </row>
    <row r="163" spans="1:18" x14ac:dyDescent="0.25">
      <c r="A163" s="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8"/>
      <c r="Q163" s="11" t="s">
        <v>188</v>
      </c>
      <c r="R163" s="15">
        <v>1.5100000000000001E-3</v>
      </c>
    </row>
    <row r="164" spans="1:18" x14ac:dyDescent="0.25">
      <c r="D164" s="6"/>
      <c r="K164" s="6"/>
      <c r="Q164" s="11" t="s">
        <v>202</v>
      </c>
      <c r="R164" s="19">
        <f>(S159/R159)*N159</f>
        <v>6.693646595136661</v>
      </c>
    </row>
  </sheetData>
  <autoFilter ref="A1:S168" xr:uid="{9A729D29-DBC5-4DF8-8BBD-5FA6A3F97174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E14C-CF33-4B14-AF18-992E8C195223}">
  <dimension ref="A1:S167"/>
  <sheetViews>
    <sheetView topLeftCell="F1" workbookViewId="0">
      <pane ySplit="1" topLeftCell="A154" activePane="bottomLeft" state="frozen"/>
      <selection pane="bottomLeft" activeCell="M166" sqref="M166"/>
    </sheetView>
  </sheetViews>
  <sheetFormatPr defaultRowHeight="15" x14ac:dyDescent="0.25"/>
  <cols>
    <col min="1" max="1" width="14.28515625" style="3" customWidth="1"/>
    <col min="2" max="2" width="16.85546875" style="3" customWidth="1"/>
    <col min="3" max="3" width="9.140625" style="3"/>
    <col min="4" max="4" width="13.5703125" style="3" customWidth="1"/>
    <col min="5" max="5" width="12.85546875" style="3" customWidth="1"/>
    <col min="6" max="6" width="13.28515625" style="3" customWidth="1"/>
    <col min="7" max="8" width="9.140625" style="3"/>
    <col min="9" max="9" width="11.28515625" style="3" customWidth="1"/>
    <col min="10" max="11" width="11" style="3" customWidth="1"/>
    <col min="12" max="13" width="11.28515625" style="3" customWidth="1"/>
    <col min="14" max="16" width="9.140625" style="3"/>
    <col min="17" max="17" width="15" style="6" customWidth="1"/>
    <col min="18" max="19" width="19.140625" style="6" customWidth="1"/>
    <col min="20" max="16384" width="9.140625" style="3"/>
  </cols>
  <sheetData>
    <row r="1" spans="1:19" s="4" customFormat="1" ht="30.75" thickBot="1" x14ac:dyDescent="0.3">
      <c r="A1" s="9" t="s">
        <v>190</v>
      </c>
      <c r="B1" s="9" t="s">
        <v>189</v>
      </c>
      <c r="C1" s="9" t="s">
        <v>191</v>
      </c>
      <c r="D1" s="9" t="s">
        <v>203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221</v>
      </c>
      <c r="L1" s="9" t="s">
        <v>198</v>
      </c>
      <c r="M1" s="9" t="s">
        <v>199</v>
      </c>
      <c r="N1" s="9" t="s">
        <v>200</v>
      </c>
      <c r="O1" s="9" t="s">
        <v>201</v>
      </c>
      <c r="Q1" s="9" t="s">
        <v>183</v>
      </c>
      <c r="R1" s="9" t="s">
        <v>184</v>
      </c>
      <c r="S1" s="9" t="s">
        <v>185</v>
      </c>
    </row>
    <row r="2" spans="1:19" s="4" customFormat="1" x14ac:dyDescent="0.25">
      <c r="A2" s="5" t="s">
        <v>20</v>
      </c>
      <c r="B2" s="6" t="s">
        <v>17</v>
      </c>
      <c r="C2" s="6" t="s">
        <v>19</v>
      </c>
      <c r="D2" s="6">
        <v>10</v>
      </c>
      <c r="E2" s="6">
        <v>2410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I2+J2</f>
        <v>0</v>
      </c>
      <c r="L2" s="6">
        <v>2410</v>
      </c>
      <c r="M2" s="8">
        <v>0</v>
      </c>
      <c r="N2" s="6">
        <v>23</v>
      </c>
      <c r="O2" s="8">
        <v>0</v>
      </c>
      <c r="Q2" s="10">
        <v>2129</v>
      </c>
      <c r="R2" s="10">
        <f>Q2*(I2+J2)</f>
        <v>0</v>
      </c>
      <c r="S2" s="10">
        <f>Q2*M2</f>
        <v>0</v>
      </c>
    </row>
    <row r="3" spans="1:19" s="4" customFormat="1" x14ac:dyDescent="0.25">
      <c r="A3" s="5" t="s">
        <v>21</v>
      </c>
      <c r="B3" s="6" t="s">
        <v>16</v>
      </c>
      <c r="C3" s="6" t="s">
        <v>19</v>
      </c>
      <c r="D3" s="6">
        <v>10</v>
      </c>
      <c r="E3" s="6">
        <v>64866</v>
      </c>
      <c r="F3" s="6">
        <v>282965</v>
      </c>
      <c r="G3" s="6">
        <v>0</v>
      </c>
      <c r="H3" s="6">
        <v>0</v>
      </c>
      <c r="I3" s="6">
        <v>301155</v>
      </c>
      <c r="J3" s="6">
        <v>120</v>
      </c>
      <c r="K3" s="6">
        <f t="shared" ref="K3:K66" si="0">I3+J3</f>
        <v>301275</v>
      </c>
      <c r="L3" s="6">
        <v>46556</v>
      </c>
      <c r="M3" s="8">
        <v>71729.333333333299</v>
      </c>
      <c r="N3" s="6">
        <v>23</v>
      </c>
      <c r="O3" s="8">
        <f t="shared" ref="O3:O66" si="1">(M3/(I3+J3))*N3</f>
        <v>5.4759759909274441</v>
      </c>
      <c r="Q3" s="10">
        <v>2129</v>
      </c>
      <c r="R3" s="10">
        <f t="shared" ref="R3:R66" si="2">Q3*(I3+J3)</f>
        <v>641414475</v>
      </c>
      <c r="S3" s="10">
        <f t="shared" ref="S3:S66" si="3">Q3*M3</f>
        <v>152711750.6666666</v>
      </c>
    </row>
    <row r="4" spans="1:19" x14ac:dyDescent="0.25">
      <c r="A4" s="5" t="s">
        <v>22</v>
      </c>
      <c r="B4" s="6" t="s">
        <v>17</v>
      </c>
      <c r="C4" s="6" t="s">
        <v>19</v>
      </c>
      <c r="D4" s="6">
        <v>10</v>
      </c>
      <c r="E4" s="6">
        <v>3640</v>
      </c>
      <c r="F4" s="6">
        <v>21265</v>
      </c>
      <c r="G4" s="6">
        <v>0</v>
      </c>
      <c r="H4" s="6">
        <v>0</v>
      </c>
      <c r="I4" s="6">
        <v>24250</v>
      </c>
      <c r="J4" s="6">
        <v>0</v>
      </c>
      <c r="K4" s="6">
        <f t="shared" si="0"/>
        <v>24250</v>
      </c>
      <c r="L4" s="6">
        <v>655</v>
      </c>
      <c r="M4" s="8">
        <v>2916</v>
      </c>
      <c r="N4" s="6">
        <v>23</v>
      </c>
      <c r="O4" s="8">
        <f t="shared" si="1"/>
        <v>2.7656907216494844</v>
      </c>
      <c r="Q4" s="10">
        <v>2129</v>
      </c>
      <c r="R4" s="10">
        <f t="shared" si="2"/>
        <v>51628250</v>
      </c>
      <c r="S4" s="10">
        <f t="shared" si="3"/>
        <v>6208164</v>
      </c>
    </row>
    <row r="5" spans="1:19" x14ac:dyDescent="0.25">
      <c r="A5" s="5" t="s">
        <v>23</v>
      </c>
      <c r="B5" s="6" t="s">
        <v>17</v>
      </c>
      <c r="C5" s="6" t="s">
        <v>19</v>
      </c>
      <c r="D5" s="6">
        <v>10</v>
      </c>
      <c r="E5" s="6">
        <v>475</v>
      </c>
      <c r="F5" s="6">
        <v>1020</v>
      </c>
      <c r="G5" s="6">
        <v>0</v>
      </c>
      <c r="H5" s="6">
        <v>0</v>
      </c>
      <c r="I5" s="6">
        <v>600</v>
      </c>
      <c r="J5" s="6">
        <v>0</v>
      </c>
      <c r="K5" s="6">
        <f t="shared" si="0"/>
        <v>600</v>
      </c>
      <c r="L5" s="6">
        <v>895</v>
      </c>
      <c r="M5" s="8">
        <v>533</v>
      </c>
      <c r="N5" s="6">
        <v>23</v>
      </c>
      <c r="O5" s="8">
        <f t="shared" si="1"/>
        <v>20.431666666666665</v>
      </c>
      <c r="Q5" s="10">
        <v>2131</v>
      </c>
      <c r="R5" s="10">
        <f t="shared" si="2"/>
        <v>1278600</v>
      </c>
      <c r="S5" s="10">
        <f t="shared" si="3"/>
        <v>1135823</v>
      </c>
    </row>
    <row r="6" spans="1:19" x14ac:dyDescent="0.25">
      <c r="A6" s="5" t="s">
        <v>24</v>
      </c>
      <c r="B6" s="6" t="s">
        <v>17</v>
      </c>
      <c r="C6" s="6" t="s">
        <v>19</v>
      </c>
      <c r="D6" s="6">
        <v>10</v>
      </c>
      <c r="E6" s="6">
        <v>16400</v>
      </c>
      <c r="F6" s="6">
        <v>1525</v>
      </c>
      <c r="G6" s="6">
        <v>0</v>
      </c>
      <c r="H6" s="6">
        <v>0</v>
      </c>
      <c r="I6" s="6">
        <v>6850</v>
      </c>
      <c r="J6" s="6">
        <v>0</v>
      </c>
      <c r="K6" s="6">
        <f t="shared" si="0"/>
        <v>6850</v>
      </c>
      <c r="L6" s="6">
        <v>11075</v>
      </c>
      <c r="M6" s="8">
        <v>14929.166666666701</v>
      </c>
      <c r="N6" s="6">
        <v>23</v>
      </c>
      <c r="O6" s="8">
        <f t="shared" si="1"/>
        <v>50.127128953771404</v>
      </c>
      <c r="Q6" s="10">
        <v>2131</v>
      </c>
      <c r="R6" s="10">
        <f t="shared" si="2"/>
        <v>14597350</v>
      </c>
      <c r="S6" s="10">
        <f t="shared" si="3"/>
        <v>31814054.166666739</v>
      </c>
    </row>
    <row r="7" spans="1:19" x14ac:dyDescent="0.25">
      <c r="A7" s="5" t="s">
        <v>25</v>
      </c>
      <c r="B7" s="6" t="s">
        <v>16</v>
      </c>
      <c r="C7" s="6" t="s">
        <v>19</v>
      </c>
      <c r="D7" s="6">
        <v>10</v>
      </c>
      <c r="E7" s="6">
        <v>25604</v>
      </c>
      <c r="F7" s="6">
        <v>187000</v>
      </c>
      <c r="G7" s="6">
        <v>0</v>
      </c>
      <c r="H7" s="6">
        <v>0</v>
      </c>
      <c r="I7" s="6">
        <v>139244</v>
      </c>
      <c r="J7" s="6">
        <v>6820</v>
      </c>
      <c r="K7" s="6">
        <f t="shared" si="0"/>
        <v>146064</v>
      </c>
      <c r="L7" s="6">
        <v>66540</v>
      </c>
      <c r="M7" s="8">
        <v>83204.052631578903</v>
      </c>
      <c r="N7" s="6">
        <v>23</v>
      </c>
      <c r="O7" s="8">
        <f t="shared" si="1"/>
        <v>13.101744512859533</v>
      </c>
      <c r="Q7" s="10">
        <v>1910</v>
      </c>
      <c r="R7" s="10">
        <f>Q7*(I7+J7)</f>
        <v>278982240</v>
      </c>
      <c r="S7" s="10">
        <f>Q7*M7</f>
        <v>158919740.52631572</v>
      </c>
    </row>
    <row r="8" spans="1:19" x14ac:dyDescent="0.25">
      <c r="A8" s="5" t="s">
        <v>164</v>
      </c>
      <c r="B8" s="6" t="s">
        <v>16</v>
      </c>
      <c r="C8" s="6" t="s">
        <v>19</v>
      </c>
      <c r="D8" s="6">
        <v>10</v>
      </c>
      <c r="E8" s="6">
        <v>13950</v>
      </c>
      <c r="F8" s="6">
        <v>140125</v>
      </c>
      <c r="G8" s="6">
        <v>0</v>
      </c>
      <c r="H8" s="6">
        <v>0</v>
      </c>
      <c r="I8" s="6">
        <v>115575</v>
      </c>
      <c r="J8" s="6">
        <v>0</v>
      </c>
      <c r="K8" s="6">
        <f t="shared" si="0"/>
        <v>115575</v>
      </c>
      <c r="L8" s="6">
        <v>38500</v>
      </c>
      <c r="M8" s="8">
        <v>19031.25</v>
      </c>
      <c r="N8" s="6">
        <v>23</v>
      </c>
      <c r="O8" s="8">
        <f t="shared" si="1"/>
        <v>3.7873134328358211</v>
      </c>
      <c r="Q8" s="10">
        <v>1910</v>
      </c>
      <c r="R8" s="10">
        <f t="shared" si="2"/>
        <v>220748250</v>
      </c>
      <c r="S8" s="10">
        <f t="shared" si="3"/>
        <v>36349687.5</v>
      </c>
    </row>
    <row r="9" spans="1:19" x14ac:dyDescent="0.25">
      <c r="A9" s="5" t="s">
        <v>26</v>
      </c>
      <c r="B9" s="6" t="s">
        <v>16</v>
      </c>
      <c r="C9" s="6" t="s">
        <v>19</v>
      </c>
      <c r="D9" s="6">
        <v>10</v>
      </c>
      <c r="E9" s="6">
        <v>1915</v>
      </c>
      <c r="F9" s="6">
        <v>49103</v>
      </c>
      <c r="G9" s="6">
        <v>0</v>
      </c>
      <c r="H9" s="6">
        <v>0</v>
      </c>
      <c r="I9" s="6">
        <v>44778</v>
      </c>
      <c r="J9" s="6">
        <v>0</v>
      </c>
      <c r="K9" s="6">
        <f t="shared" si="0"/>
        <v>44778</v>
      </c>
      <c r="L9" s="6">
        <v>6240</v>
      </c>
      <c r="M9" s="8">
        <v>4937.7272727272702</v>
      </c>
      <c r="N9" s="6">
        <v>23</v>
      </c>
      <c r="O9" s="8">
        <f t="shared" si="1"/>
        <v>2.5362393870366522</v>
      </c>
      <c r="Q9" s="10">
        <v>2217</v>
      </c>
      <c r="R9" s="10">
        <f t="shared" si="2"/>
        <v>99272826</v>
      </c>
      <c r="S9" s="10">
        <f t="shared" si="3"/>
        <v>10946941.363636358</v>
      </c>
    </row>
    <row r="10" spans="1:19" x14ac:dyDescent="0.25">
      <c r="A10" s="5" t="s">
        <v>27</v>
      </c>
      <c r="B10" s="6" t="s">
        <v>17</v>
      </c>
      <c r="C10" s="6" t="s">
        <v>19</v>
      </c>
      <c r="D10" s="6">
        <v>10</v>
      </c>
      <c r="E10" s="6">
        <v>4271</v>
      </c>
      <c r="F10" s="6">
        <v>14640</v>
      </c>
      <c r="G10" s="6">
        <v>0</v>
      </c>
      <c r="H10" s="6">
        <v>0</v>
      </c>
      <c r="I10" s="6">
        <v>9171</v>
      </c>
      <c r="J10" s="6">
        <v>202</v>
      </c>
      <c r="K10" s="6">
        <f t="shared" si="0"/>
        <v>9373</v>
      </c>
      <c r="L10" s="6">
        <v>9538</v>
      </c>
      <c r="M10" s="8">
        <v>12073</v>
      </c>
      <c r="N10" s="6">
        <v>23</v>
      </c>
      <c r="O10" s="8">
        <f t="shared" si="1"/>
        <v>29.625413421529924</v>
      </c>
      <c r="Q10" s="10">
        <v>2131</v>
      </c>
      <c r="R10" s="10">
        <f t="shared" si="2"/>
        <v>19973863</v>
      </c>
      <c r="S10" s="10">
        <f t="shared" si="3"/>
        <v>25727563</v>
      </c>
    </row>
    <row r="11" spans="1:19" x14ac:dyDescent="0.25">
      <c r="A11" s="5" t="s">
        <v>28</v>
      </c>
      <c r="B11" s="6" t="s">
        <v>17</v>
      </c>
      <c r="C11" s="6" t="s">
        <v>19</v>
      </c>
      <c r="D11" s="6">
        <v>10</v>
      </c>
      <c r="E11" s="6">
        <v>3412</v>
      </c>
      <c r="F11" s="6">
        <v>0</v>
      </c>
      <c r="G11" s="6">
        <v>0</v>
      </c>
      <c r="H11" s="6">
        <v>0</v>
      </c>
      <c r="I11" s="6">
        <v>1612</v>
      </c>
      <c r="J11" s="6">
        <v>0</v>
      </c>
      <c r="K11" s="6">
        <f t="shared" si="0"/>
        <v>1612</v>
      </c>
      <c r="L11" s="6">
        <v>1800</v>
      </c>
      <c r="M11" s="8">
        <v>2068.75</v>
      </c>
      <c r="N11" s="6">
        <v>23</v>
      </c>
      <c r="O11" s="8">
        <f t="shared" si="1"/>
        <v>29.516904466501241</v>
      </c>
      <c r="Q11" s="10">
        <v>2131</v>
      </c>
      <c r="R11" s="10">
        <f t="shared" si="2"/>
        <v>3435172</v>
      </c>
      <c r="S11" s="10">
        <f t="shared" si="3"/>
        <v>4408506.25</v>
      </c>
    </row>
    <row r="12" spans="1:19" x14ac:dyDescent="0.25">
      <c r="A12" s="5" t="s">
        <v>29</v>
      </c>
      <c r="B12" s="6" t="s">
        <v>16</v>
      </c>
      <c r="C12" s="6" t="s">
        <v>19</v>
      </c>
      <c r="D12" s="6">
        <v>10</v>
      </c>
      <c r="E12" s="6">
        <v>13425</v>
      </c>
      <c r="F12" s="6">
        <v>160100</v>
      </c>
      <c r="G12" s="6">
        <v>0</v>
      </c>
      <c r="H12" s="6">
        <v>0</v>
      </c>
      <c r="I12" s="6">
        <v>128800</v>
      </c>
      <c r="J12" s="6">
        <v>15</v>
      </c>
      <c r="K12" s="6">
        <f t="shared" si="0"/>
        <v>128815</v>
      </c>
      <c r="L12" s="6">
        <v>44710</v>
      </c>
      <c r="M12" s="8">
        <v>28921.818181818198</v>
      </c>
      <c r="N12" s="6">
        <v>23</v>
      </c>
      <c r="O12" s="8">
        <f t="shared" si="1"/>
        <v>5.1640089910477709</v>
      </c>
      <c r="Q12" s="10">
        <v>1691</v>
      </c>
      <c r="R12" s="10">
        <f t="shared" si="2"/>
        <v>217826165</v>
      </c>
      <c r="S12" s="10">
        <f t="shared" si="3"/>
        <v>48906794.545454577</v>
      </c>
    </row>
    <row r="13" spans="1:19" x14ac:dyDescent="0.25">
      <c r="A13" s="5" t="s">
        <v>30</v>
      </c>
      <c r="B13" s="6" t="s">
        <v>17</v>
      </c>
      <c r="C13" s="6" t="s">
        <v>19</v>
      </c>
      <c r="D13" s="6">
        <v>10</v>
      </c>
      <c r="E13" s="6">
        <v>63780</v>
      </c>
      <c r="F13" s="6">
        <v>158750</v>
      </c>
      <c r="G13" s="6">
        <v>0</v>
      </c>
      <c r="H13" s="6">
        <v>0</v>
      </c>
      <c r="I13" s="6">
        <v>218750</v>
      </c>
      <c r="J13" s="6">
        <v>0</v>
      </c>
      <c r="K13" s="6">
        <f t="shared" si="0"/>
        <v>218750</v>
      </c>
      <c r="L13" s="6">
        <v>3780</v>
      </c>
      <c r="M13" s="8">
        <v>44951.875</v>
      </c>
      <c r="N13" s="6">
        <v>23</v>
      </c>
      <c r="O13" s="8">
        <f t="shared" si="1"/>
        <v>4.726368571428571</v>
      </c>
      <c r="Q13" s="10">
        <v>1694</v>
      </c>
      <c r="R13" s="10">
        <f t="shared" si="2"/>
        <v>370562500</v>
      </c>
      <c r="S13" s="10">
        <f t="shared" si="3"/>
        <v>76148476.25</v>
      </c>
    </row>
    <row r="14" spans="1:19" x14ac:dyDescent="0.25">
      <c r="A14" s="5" t="s">
        <v>31</v>
      </c>
      <c r="B14" s="6" t="s">
        <v>17</v>
      </c>
      <c r="C14" s="6" t="s">
        <v>19</v>
      </c>
      <c r="D14" s="6">
        <v>10</v>
      </c>
      <c r="E14" s="6">
        <v>1500</v>
      </c>
      <c r="F14" s="6">
        <v>7139</v>
      </c>
      <c r="G14" s="6">
        <v>0</v>
      </c>
      <c r="H14" s="6">
        <v>0</v>
      </c>
      <c r="I14" s="6">
        <v>8639</v>
      </c>
      <c r="J14" s="6">
        <v>0</v>
      </c>
      <c r="K14" s="6">
        <f t="shared" si="0"/>
        <v>8639</v>
      </c>
      <c r="L14" s="6">
        <v>0</v>
      </c>
      <c r="M14" s="8">
        <v>1178.1666666666702</v>
      </c>
      <c r="N14" s="6">
        <v>23</v>
      </c>
      <c r="O14" s="8">
        <f t="shared" si="1"/>
        <v>3.1366863448701716</v>
      </c>
      <c r="Q14" s="10">
        <v>1694</v>
      </c>
      <c r="R14" s="10">
        <f t="shared" si="2"/>
        <v>14634466</v>
      </c>
      <c r="S14" s="10">
        <f t="shared" si="3"/>
        <v>1995814.3333333393</v>
      </c>
    </row>
    <row r="15" spans="1:19" x14ac:dyDescent="0.25">
      <c r="A15" s="5" t="s">
        <v>32</v>
      </c>
      <c r="B15" s="6" t="s">
        <v>16</v>
      </c>
      <c r="C15" s="6" t="s">
        <v>19</v>
      </c>
      <c r="D15" s="6">
        <v>10</v>
      </c>
      <c r="E15" s="6">
        <v>7547</v>
      </c>
      <c r="F15" s="6">
        <v>46285</v>
      </c>
      <c r="G15" s="6">
        <v>0</v>
      </c>
      <c r="H15" s="6">
        <v>0</v>
      </c>
      <c r="I15" s="6">
        <v>50560</v>
      </c>
      <c r="J15" s="6">
        <v>0</v>
      </c>
      <c r="K15" s="6">
        <f t="shared" si="0"/>
        <v>50560</v>
      </c>
      <c r="L15" s="6">
        <v>3272</v>
      </c>
      <c r="M15" s="8">
        <v>11430.4375</v>
      </c>
      <c r="N15" s="6">
        <v>23</v>
      </c>
      <c r="O15" s="8">
        <f t="shared" si="1"/>
        <v>5.1997638943829116</v>
      </c>
      <c r="Q15" s="10">
        <v>1890</v>
      </c>
      <c r="R15" s="10">
        <f t="shared" si="2"/>
        <v>95558400</v>
      </c>
      <c r="S15" s="10">
        <f t="shared" si="3"/>
        <v>21603526.875</v>
      </c>
    </row>
    <row r="16" spans="1:19" x14ac:dyDescent="0.25">
      <c r="A16" s="5" t="s">
        <v>33</v>
      </c>
      <c r="B16" s="6" t="s">
        <v>16</v>
      </c>
      <c r="C16" s="6" t="s">
        <v>19</v>
      </c>
      <c r="D16" s="6">
        <v>10</v>
      </c>
      <c r="E16" s="6">
        <v>20565</v>
      </c>
      <c r="F16" s="6">
        <v>192700</v>
      </c>
      <c r="G16" s="6">
        <v>0</v>
      </c>
      <c r="H16" s="6">
        <v>0</v>
      </c>
      <c r="I16" s="6">
        <v>158210</v>
      </c>
      <c r="J16" s="6">
        <v>0</v>
      </c>
      <c r="K16" s="6">
        <f t="shared" si="0"/>
        <v>158210</v>
      </c>
      <c r="L16" s="6">
        <v>55055</v>
      </c>
      <c r="M16" s="8">
        <v>36320.833333333299</v>
      </c>
      <c r="N16" s="6">
        <v>23</v>
      </c>
      <c r="O16" s="8">
        <f t="shared" si="1"/>
        <v>5.2801919389840464</v>
      </c>
      <c r="Q16" s="10">
        <v>2216</v>
      </c>
      <c r="R16" s="10">
        <f t="shared" si="2"/>
        <v>350593360</v>
      </c>
      <c r="S16" s="10">
        <f t="shared" si="3"/>
        <v>80486966.666666597</v>
      </c>
    </row>
    <row r="17" spans="1:19" x14ac:dyDescent="0.25">
      <c r="A17" s="5" t="s">
        <v>34</v>
      </c>
      <c r="B17" s="6" t="s">
        <v>17</v>
      </c>
      <c r="C17" s="6" t="s">
        <v>19</v>
      </c>
      <c r="D17" s="6">
        <v>10</v>
      </c>
      <c r="E17" s="6">
        <v>28755</v>
      </c>
      <c r="F17" s="6">
        <v>208475</v>
      </c>
      <c r="G17" s="6">
        <v>0</v>
      </c>
      <c r="H17" s="6">
        <v>0</v>
      </c>
      <c r="I17" s="6">
        <v>0</v>
      </c>
      <c r="J17" s="6">
        <v>168325</v>
      </c>
      <c r="K17" s="6">
        <f t="shared" si="0"/>
        <v>168325</v>
      </c>
      <c r="L17" s="6">
        <v>68905</v>
      </c>
      <c r="M17" s="8">
        <v>60303.611111111102</v>
      </c>
      <c r="N17" s="6">
        <v>23</v>
      </c>
      <c r="O17" s="8">
        <f t="shared" si="1"/>
        <v>8.2399112167268989</v>
      </c>
      <c r="Q17" s="10">
        <v>2846</v>
      </c>
      <c r="R17" s="10">
        <f t="shared" si="2"/>
        <v>479052950</v>
      </c>
      <c r="S17" s="10">
        <f t="shared" si="3"/>
        <v>171624077.22222221</v>
      </c>
    </row>
    <row r="18" spans="1:19" x14ac:dyDescent="0.25">
      <c r="A18" s="5" t="s">
        <v>35</v>
      </c>
      <c r="B18" s="6" t="s">
        <v>16</v>
      </c>
      <c r="C18" s="6" t="s">
        <v>19</v>
      </c>
      <c r="D18" s="6">
        <v>10</v>
      </c>
      <c r="E18" s="6">
        <v>5358</v>
      </c>
      <c r="F18" s="6">
        <v>111250</v>
      </c>
      <c r="G18" s="6">
        <v>0</v>
      </c>
      <c r="H18" s="6">
        <v>0</v>
      </c>
      <c r="I18" s="6">
        <v>100000</v>
      </c>
      <c r="J18" s="6">
        <v>60</v>
      </c>
      <c r="K18" s="6">
        <f t="shared" si="0"/>
        <v>100060</v>
      </c>
      <c r="L18" s="6">
        <v>16548</v>
      </c>
      <c r="M18" s="8">
        <v>19703</v>
      </c>
      <c r="N18" s="6">
        <v>23</v>
      </c>
      <c r="O18" s="8">
        <f t="shared" si="1"/>
        <v>4.528972616430142</v>
      </c>
      <c r="Q18" s="10">
        <v>2129</v>
      </c>
      <c r="R18" s="10">
        <f t="shared" si="2"/>
        <v>213027740</v>
      </c>
      <c r="S18" s="10">
        <f t="shared" si="3"/>
        <v>41947687</v>
      </c>
    </row>
    <row r="19" spans="1:19" x14ac:dyDescent="0.25">
      <c r="A19" s="5" t="s">
        <v>36</v>
      </c>
      <c r="B19" s="6" t="s">
        <v>17</v>
      </c>
      <c r="C19" s="6" t="s">
        <v>19</v>
      </c>
      <c r="D19" s="6">
        <v>10</v>
      </c>
      <c r="E19" s="6">
        <v>575</v>
      </c>
      <c r="F19" s="6">
        <v>4200</v>
      </c>
      <c r="G19" s="6">
        <v>0</v>
      </c>
      <c r="H19" s="6">
        <v>0</v>
      </c>
      <c r="I19" s="6">
        <v>1750</v>
      </c>
      <c r="J19" s="6">
        <v>0</v>
      </c>
      <c r="K19" s="6">
        <f t="shared" si="0"/>
        <v>1750</v>
      </c>
      <c r="L19" s="6">
        <v>3025</v>
      </c>
      <c r="M19" s="8">
        <v>4008.3333333333298</v>
      </c>
      <c r="N19" s="6">
        <v>23</v>
      </c>
      <c r="O19" s="8">
        <f t="shared" si="1"/>
        <v>52.680952380952334</v>
      </c>
      <c r="Q19" s="10">
        <v>2129</v>
      </c>
      <c r="R19" s="10">
        <f t="shared" si="2"/>
        <v>3725750</v>
      </c>
      <c r="S19" s="10">
        <f t="shared" si="3"/>
        <v>8533741.6666666586</v>
      </c>
    </row>
    <row r="20" spans="1:19" x14ac:dyDescent="0.25">
      <c r="A20" s="5" t="s">
        <v>37</v>
      </c>
      <c r="B20" s="6" t="s">
        <v>16</v>
      </c>
      <c r="C20" s="6" t="s">
        <v>19</v>
      </c>
      <c r="D20" s="6">
        <v>10</v>
      </c>
      <c r="E20" s="6">
        <v>24577</v>
      </c>
      <c r="F20" s="6">
        <v>78000</v>
      </c>
      <c r="G20" s="6">
        <v>0</v>
      </c>
      <c r="H20" s="6">
        <v>0</v>
      </c>
      <c r="I20" s="6">
        <v>0</v>
      </c>
      <c r="J20" s="6">
        <v>81418</v>
      </c>
      <c r="K20" s="6">
        <f t="shared" si="0"/>
        <v>81418</v>
      </c>
      <c r="L20" s="6">
        <v>21159</v>
      </c>
      <c r="M20" s="8">
        <v>25804.125</v>
      </c>
      <c r="N20" s="6">
        <v>23</v>
      </c>
      <c r="O20" s="8">
        <f t="shared" si="1"/>
        <v>7.2894799061632565</v>
      </c>
      <c r="Q20" s="10">
        <v>2263</v>
      </c>
      <c r="R20" s="10">
        <f t="shared" si="2"/>
        <v>184248934</v>
      </c>
      <c r="S20" s="10">
        <f t="shared" si="3"/>
        <v>58394734.875</v>
      </c>
    </row>
    <row r="21" spans="1:19" x14ac:dyDescent="0.25">
      <c r="A21" s="5" t="s">
        <v>38</v>
      </c>
      <c r="B21" s="6" t="s">
        <v>17</v>
      </c>
      <c r="C21" s="6" t="s">
        <v>19</v>
      </c>
      <c r="D21" s="6">
        <v>10</v>
      </c>
      <c r="E21" s="6">
        <v>14019</v>
      </c>
      <c r="F21" s="6">
        <v>42976</v>
      </c>
      <c r="G21" s="6">
        <v>0</v>
      </c>
      <c r="H21" s="6">
        <v>0</v>
      </c>
      <c r="I21" s="6">
        <v>0</v>
      </c>
      <c r="J21" s="6">
        <v>46659</v>
      </c>
      <c r="K21" s="6">
        <f t="shared" si="0"/>
        <v>46659</v>
      </c>
      <c r="L21" s="6">
        <v>10336</v>
      </c>
      <c r="M21" s="8">
        <v>9906.8125</v>
      </c>
      <c r="N21" s="6">
        <v>23</v>
      </c>
      <c r="O21" s="8">
        <f t="shared" si="1"/>
        <v>4.8834455839173581</v>
      </c>
      <c r="Q21" s="10">
        <v>2263</v>
      </c>
      <c r="R21" s="10">
        <f t="shared" si="2"/>
        <v>105589317</v>
      </c>
      <c r="S21" s="10">
        <f t="shared" si="3"/>
        <v>22419116.6875</v>
      </c>
    </row>
    <row r="22" spans="1:19" x14ac:dyDescent="0.25">
      <c r="A22" s="5" t="s">
        <v>39</v>
      </c>
      <c r="B22" s="6" t="s">
        <v>17</v>
      </c>
      <c r="C22" s="6" t="s">
        <v>19</v>
      </c>
      <c r="D22" s="6">
        <v>10</v>
      </c>
      <c r="E22" s="6">
        <v>2300</v>
      </c>
      <c r="F22" s="6">
        <v>4000</v>
      </c>
      <c r="G22" s="6">
        <v>0</v>
      </c>
      <c r="H22" s="6">
        <v>0</v>
      </c>
      <c r="I22" s="6">
        <v>0</v>
      </c>
      <c r="J22" s="6">
        <v>2000</v>
      </c>
      <c r="K22" s="6">
        <f t="shared" si="0"/>
        <v>2000</v>
      </c>
      <c r="L22" s="6">
        <v>4300</v>
      </c>
      <c r="M22" s="8">
        <v>5050</v>
      </c>
      <c r="N22" s="6">
        <v>23</v>
      </c>
      <c r="O22" s="8">
        <f t="shared" si="1"/>
        <v>58.074999999999996</v>
      </c>
      <c r="Q22" s="10">
        <v>2732</v>
      </c>
      <c r="R22" s="10">
        <f t="shared" si="2"/>
        <v>5464000</v>
      </c>
      <c r="S22" s="10">
        <f t="shared" si="3"/>
        <v>13796600</v>
      </c>
    </row>
    <row r="23" spans="1:19" x14ac:dyDescent="0.25">
      <c r="A23" s="5" t="s">
        <v>40</v>
      </c>
      <c r="B23" s="6" t="s">
        <v>17</v>
      </c>
      <c r="C23" s="6" t="s">
        <v>19</v>
      </c>
      <c r="D23" s="6">
        <v>10</v>
      </c>
      <c r="E23" s="6">
        <v>6246</v>
      </c>
      <c r="F23" s="6">
        <v>6325</v>
      </c>
      <c r="G23" s="6">
        <v>0</v>
      </c>
      <c r="H23" s="6">
        <v>0</v>
      </c>
      <c r="I23" s="6">
        <v>0</v>
      </c>
      <c r="J23" s="6">
        <v>4062</v>
      </c>
      <c r="K23" s="6">
        <f t="shared" si="0"/>
        <v>4062</v>
      </c>
      <c r="L23" s="6">
        <v>8509</v>
      </c>
      <c r="M23" s="8">
        <v>4430.75</v>
      </c>
      <c r="N23" s="6">
        <v>23</v>
      </c>
      <c r="O23" s="8">
        <f t="shared" si="1"/>
        <v>25.087949286065978</v>
      </c>
      <c r="Q23" s="10">
        <v>2962</v>
      </c>
      <c r="R23" s="10">
        <f t="shared" si="2"/>
        <v>12031644</v>
      </c>
      <c r="S23" s="10">
        <f t="shared" si="3"/>
        <v>13123881.5</v>
      </c>
    </row>
    <row r="24" spans="1:19" x14ac:dyDescent="0.25">
      <c r="A24" s="5" t="s">
        <v>41</v>
      </c>
      <c r="B24" s="6" t="s">
        <v>17</v>
      </c>
      <c r="C24" s="6" t="s">
        <v>19</v>
      </c>
      <c r="D24" s="6">
        <v>10</v>
      </c>
      <c r="E24" s="6">
        <v>124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si="0"/>
        <v>0</v>
      </c>
      <c r="L24" s="6">
        <v>124</v>
      </c>
      <c r="M24" s="8">
        <v>0</v>
      </c>
      <c r="N24" s="6">
        <v>23</v>
      </c>
      <c r="O24" s="8">
        <v>0</v>
      </c>
      <c r="Q24" s="10">
        <v>2263</v>
      </c>
      <c r="R24" s="10">
        <f t="shared" si="2"/>
        <v>0</v>
      </c>
      <c r="S24" s="10">
        <f t="shared" si="3"/>
        <v>0</v>
      </c>
    </row>
    <row r="25" spans="1:19" x14ac:dyDescent="0.25">
      <c r="A25" s="5" t="s">
        <v>42</v>
      </c>
      <c r="B25" s="6" t="s">
        <v>17</v>
      </c>
      <c r="C25" s="6" t="s">
        <v>19</v>
      </c>
      <c r="D25" s="6">
        <v>10</v>
      </c>
      <c r="E25" s="6">
        <v>770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f t="shared" si="0"/>
        <v>0</v>
      </c>
      <c r="L25" s="6">
        <v>770</v>
      </c>
      <c r="M25" s="8">
        <v>0</v>
      </c>
      <c r="N25" s="6">
        <v>23</v>
      </c>
      <c r="O25" s="8">
        <v>0</v>
      </c>
      <c r="Q25" s="10">
        <v>2263</v>
      </c>
      <c r="R25" s="10">
        <f t="shared" si="2"/>
        <v>0</v>
      </c>
      <c r="S25" s="10">
        <f t="shared" si="3"/>
        <v>0</v>
      </c>
    </row>
    <row r="26" spans="1:19" x14ac:dyDescent="0.25">
      <c r="A26" s="5" t="s">
        <v>43</v>
      </c>
      <c r="B26" s="6" t="s">
        <v>17</v>
      </c>
      <c r="C26" s="6" t="s">
        <v>19</v>
      </c>
      <c r="D26" s="6">
        <v>10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f t="shared" si="0"/>
        <v>0</v>
      </c>
      <c r="L26" s="6">
        <v>0</v>
      </c>
      <c r="M26" s="8">
        <v>0</v>
      </c>
      <c r="N26" s="6">
        <v>23</v>
      </c>
      <c r="O26" s="8">
        <v>0</v>
      </c>
      <c r="Q26" s="10">
        <v>2268</v>
      </c>
      <c r="R26" s="10">
        <f t="shared" si="2"/>
        <v>0</v>
      </c>
      <c r="S26" s="10">
        <f t="shared" si="3"/>
        <v>0</v>
      </c>
    </row>
    <row r="27" spans="1:19" x14ac:dyDescent="0.25">
      <c r="A27" s="5" t="s">
        <v>165</v>
      </c>
      <c r="B27" s="6" t="s">
        <v>16</v>
      </c>
      <c r="C27" s="6" t="s">
        <v>19</v>
      </c>
      <c r="D27" s="6">
        <v>10</v>
      </c>
      <c r="E27" s="6">
        <v>7505</v>
      </c>
      <c r="F27" s="6">
        <v>115000</v>
      </c>
      <c r="G27" s="6">
        <v>0</v>
      </c>
      <c r="H27" s="6">
        <v>0</v>
      </c>
      <c r="I27" s="6">
        <v>113500</v>
      </c>
      <c r="J27" s="6">
        <v>0</v>
      </c>
      <c r="K27" s="6">
        <f t="shared" si="0"/>
        <v>113500</v>
      </c>
      <c r="L27" s="6">
        <v>9005</v>
      </c>
      <c r="M27" s="8">
        <v>12114.375</v>
      </c>
      <c r="N27" s="6">
        <v>23</v>
      </c>
      <c r="O27" s="8">
        <f t="shared" si="1"/>
        <v>2.4548953744493391</v>
      </c>
      <c r="Q27" s="10">
        <v>2268</v>
      </c>
      <c r="R27" s="10">
        <f t="shared" si="2"/>
        <v>257418000</v>
      </c>
      <c r="S27" s="10">
        <f t="shared" si="3"/>
        <v>27475402.5</v>
      </c>
    </row>
    <row r="28" spans="1:19" x14ac:dyDescent="0.25">
      <c r="A28" s="5" t="s">
        <v>44</v>
      </c>
      <c r="B28" s="6" t="s">
        <v>17</v>
      </c>
      <c r="C28" s="6" t="s">
        <v>19</v>
      </c>
      <c r="D28" s="6">
        <v>10</v>
      </c>
      <c r="E28" s="6">
        <v>2767</v>
      </c>
      <c r="F28" s="6">
        <v>13178</v>
      </c>
      <c r="G28" s="6">
        <v>0</v>
      </c>
      <c r="H28" s="6">
        <v>0</v>
      </c>
      <c r="I28" s="6">
        <v>14903</v>
      </c>
      <c r="J28" s="6">
        <v>0</v>
      </c>
      <c r="K28" s="6">
        <f t="shared" si="0"/>
        <v>14903</v>
      </c>
      <c r="L28" s="6">
        <v>1042</v>
      </c>
      <c r="M28" s="8">
        <v>4188</v>
      </c>
      <c r="N28" s="6">
        <v>23</v>
      </c>
      <c r="O28" s="8">
        <f t="shared" si="1"/>
        <v>6.4633966315506948</v>
      </c>
      <c r="Q28" s="10">
        <v>1956</v>
      </c>
      <c r="R28" s="10">
        <f t="shared" si="2"/>
        <v>29150268</v>
      </c>
      <c r="S28" s="10">
        <f t="shared" si="3"/>
        <v>8191728</v>
      </c>
    </row>
    <row r="29" spans="1:19" x14ac:dyDescent="0.25">
      <c r="A29" s="5" t="s">
        <v>45</v>
      </c>
      <c r="B29" s="6" t="s">
        <v>16</v>
      </c>
      <c r="C29" s="6" t="s">
        <v>19</v>
      </c>
      <c r="D29" s="6">
        <v>10</v>
      </c>
      <c r="E29" s="6">
        <v>41909</v>
      </c>
      <c r="F29" s="6">
        <v>67500</v>
      </c>
      <c r="G29" s="6">
        <v>0</v>
      </c>
      <c r="H29" s="6">
        <v>0</v>
      </c>
      <c r="I29" s="6">
        <v>0</v>
      </c>
      <c r="J29" s="6">
        <v>92514</v>
      </c>
      <c r="K29" s="6">
        <f t="shared" si="0"/>
        <v>92514</v>
      </c>
      <c r="L29" s="6">
        <v>16895</v>
      </c>
      <c r="M29" s="8">
        <v>28627.055555555598</v>
      </c>
      <c r="N29" s="6">
        <v>23</v>
      </c>
      <c r="O29" s="8">
        <f t="shared" si="1"/>
        <v>7.1170015108824476</v>
      </c>
      <c r="Q29" s="10">
        <v>2031</v>
      </c>
      <c r="R29" s="10">
        <f t="shared" si="2"/>
        <v>187895934</v>
      </c>
      <c r="S29" s="10">
        <f t="shared" si="3"/>
        <v>58141549.833333418</v>
      </c>
    </row>
    <row r="30" spans="1:19" x14ac:dyDescent="0.25">
      <c r="A30" s="5" t="s">
        <v>46</v>
      </c>
      <c r="B30" s="6" t="s">
        <v>17</v>
      </c>
      <c r="C30" s="6" t="s">
        <v>19</v>
      </c>
      <c r="D30" s="6">
        <v>10</v>
      </c>
      <c r="E30" s="6">
        <v>2740</v>
      </c>
      <c r="F30" s="6">
        <v>0</v>
      </c>
      <c r="G30" s="6">
        <v>0</v>
      </c>
      <c r="H30" s="6">
        <v>0</v>
      </c>
      <c r="I30" s="6">
        <v>400</v>
      </c>
      <c r="J30" s="6">
        <v>0</v>
      </c>
      <c r="K30" s="6">
        <f t="shared" si="0"/>
        <v>400</v>
      </c>
      <c r="L30" s="6">
        <v>2340</v>
      </c>
      <c r="M30" s="8">
        <v>2473.3333333333298</v>
      </c>
      <c r="N30" s="6">
        <v>23</v>
      </c>
      <c r="O30" s="8">
        <f t="shared" si="1"/>
        <v>142.21666666666647</v>
      </c>
      <c r="Q30" s="10">
        <v>2179</v>
      </c>
      <c r="R30" s="10">
        <f t="shared" si="2"/>
        <v>871600</v>
      </c>
      <c r="S30" s="10">
        <f t="shared" si="3"/>
        <v>5389393.3333333256</v>
      </c>
    </row>
    <row r="31" spans="1:19" x14ac:dyDescent="0.25">
      <c r="A31" s="5" t="s">
        <v>47</v>
      </c>
      <c r="B31" s="6" t="s">
        <v>17</v>
      </c>
      <c r="C31" s="6" t="s">
        <v>19</v>
      </c>
      <c r="D31" s="6">
        <v>10</v>
      </c>
      <c r="E31" s="6">
        <v>4508</v>
      </c>
      <c r="F31" s="6">
        <v>0</v>
      </c>
      <c r="G31" s="6">
        <v>0</v>
      </c>
      <c r="H31" s="6">
        <v>0</v>
      </c>
      <c r="I31" s="6">
        <v>1475</v>
      </c>
      <c r="J31" s="6">
        <v>0</v>
      </c>
      <c r="K31" s="6">
        <f t="shared" si="0"/>
        <v>1475</v>
      </c>
      <c r="L31" s="6">
        <v>3033</v>
      </c>
      <c r="M31" s="8">
        <v>3033</v>
      </c>
      <c r="N31" s="6">
        <v>23</v>
      </c>
      <c r="O31" s="8">
        <f t="shared" si="1"/>
        <v>47.294237288135591</v>
      </c>
      <c r="Q31" s="10">
        <v>2179</v>
      </c>
      <c r="R31" s="10">
        <f t="shared" si="2"/>
        <v>3214025</v>
      </c>
      <c r="S31" s="10">
        <f t="shared" si="3"/>
        <v>6608907</v>
      </c>
    </row>
    <row r="32" spans="1:19" x14ac:dyDescent="0.25">
      <c r="A32" s="5" t="s">
        <v>48</v>
      </c>
      <c r="B32" s="6" t="s">
        <v>17</v>
      </c>
      <c r="C32" s="6" t="s">
        <v>19</v>
      </c>
      <c r="D32" s="6">
        <v>10</v>
      </c>
      <c r="E32" s="6">
        <v>1495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f t="shared" si="0"/>
        <v>0</v>
      </c>
      <c r="L32" s="6">
        <v>1495</v>
      </c>
      <c r="M32" s="8">
        <v>0</v>
      </c>
      <c r="N32" s="6">
        <v>23</v>
      </c>
      <c r="O32" s="8">
        <v>0</v>
      </c>
      <c r="Q32" s="10">
        <v>2179</v>
      </c>
      <c r="R32" s="10">
        <f t="shared" si="2"/>
        <v>0</v>
      </c>
      <c r="S32" s="10">
        <f t="shared" si="3"/>
        <v>0</v>
      </c>
    </row>
    <row r="33" spans="1:19" x14ac:dyDescent="0.25">
      <c r="A33" s="5" t="s">
        <v>49</v>
      </c>
      <c r="B33" s="6" t="s">
        <v>16</v>
      </c>
      <c r="C33" s="6" t="s">
        <v>19</v>
      </c>
      <c r="D33" s="6">
        <v>10</v>
      </c>
      <c r="E33" s="6">
        <v>18383</v>
      </c>
      <c r="F33" s="6">
        <v>70075</v>
      </c>
      <c r="G33" s="6">
        <v>0</v>
      </c>
      <c r="H33" s="6">
        <v>0</v>
      </c>
      <c r="I33" s="6">
        <v>82575</v>
      </c>
      <c r="J33" s="6">
        <v>0</v>
      </c>
      <c r="K33" s="6">
        <f t="shared" si="0"/>
        <v>82575</v>
      </c>
      <c r="L33" s="6">
        <v>5883</v>
      </c>
      <c r="M33" s="8">
        <v>23240.352941176501</v>
      </c>
      <c r="N33" s="6">
        <v>23</v>
      </c>
      <c r="O33" s="8">
        <f t="shared" si="1"/>
        <v>6.4732439315417452</v>
      </c>
      <c r="Q33" s="10">
        <v>2179</v>
      </c>
      <c r="R33" s="10">
        <f t="shared" si="2"/>
        <v>179930925</v>
      </c>
      <c r="S33" s="10">
        <f t="shared" si="3"/>
        <v>50640729.058823593</v>
      </c>
    </row>
    <row r="34" spans="1:19" x14ac:dyDescent="0.25">
      <c r="A34" s="5" t="s">
        <v>166</v>
      </c>
      <c r="B34" s="6" t="s">
        <v>17</v>
      </c>
      <c r="C34" s="6" t="s">
        <v>19</v>
      </c>
      <c r="D34" s="6">
        <v>10</v>
      </c>
      <c r="E34" s="6">
        <v>1250</v>
      </c>
      <c r="F34" s="6">
        <v>2100</v>
      </c>
      <c r="G34" s="6">
        <v>0</v>
      </c>
      <c r="H34" s="6">
        <v>0</v>
      </c>
      <c r="I34" s="6">
        <v>475</v>
      </c>
      <c r="J34" s="6">
        <v>0</v>
      </c>
      <c r="K34" s="6">
        <f t="shared" si="0"/>
        <v>475</v>
      </c>
      <c r="L34" s="6">
        <v>2875</v>
      </c>
      <c r="M34" s="8">
        <v>1975</v>
      </c>
      <c r="N34" s="6">
        <v>23</v>
      </c>
      <c r="O34" s="8">
        <f t="shared" si="1"/>
        <v>95.631578947368425</v>
      </c>
      <c r="Q34" s="10">
        <v>3145</v>
      </c>
      <c r="R34" s="10">
        <f t="shared" si="2"/>
        <v>1493875</v>
      </c>
      <c r="S34" s="10">
        <f t="shared" si="3"/>
        <v>6211375</v>
      </c>
    </row>
    <row r="35" spans="1:19" x14ac:dyDescent="0.25">
      <c r="A35" s="5" t="s">
        <v>50</v>
      </c>
      <c r="B35" s="6" t="s">
        <v>17</v>
      </c>
      <c r="C35" s="6" t="s">
        <v>19</v>
      </c>
      <c r="D35" s="6">
        <v>10</v>
      </c>
      <c r="E35" s="6">
        <v>16487</v>
      </c>
      <c r="F35" s="6">
        <v>22309</v>
      </c>
      <c r="G35" s="6">
        <v>0</v>
      </c>
      <c r="H35" s="6">
        <v>0</v>
      </c>
      <c r="I35" s="6">
        <v>33659</v>
      </c>
      <c r="J35" s="6">
        <v>0</v>
      </c>
      <c r="K35" s="6">
        <f t="shared" si="0"/>
        <v>33659</v>
      </c>
      <c r="L35" s="6">
        <v>5137</v>
      </c>
      <c r="M35" s="8">
        <v>7657</v>
      </c>
      <c r="N35" s="6">
        <v>23</v>
      </c>
      <c r="O35" s="8">
        <f t="shared" si="1"/>
        <v>5.2322112956415818</v>
      </c>
      <c r="Q35" s="10">
        <v>2179</v>
      </c>
      <c r="R35" s="10">
        <f t="shared" si="2"/>
        <v>73342961</v>
      </c>
      <c r="S35" s="10">
        <f t="shared" si="3"/>
        <v>16684603</v>
      </c>
    </row>
    <row r="36" spans="1:19" x14ac:dyDescent="0.25">
      <c r="A36" s="5" t="s">
        <v>51</v>
      </c>
      <c r="B36" s="6" t="s">
        <v>17</v>
      </c>
      <c r="C36" s="6" t="s">
        <v>19</v>
      </c>
      <c r="D36" s="6">
        <v>10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f t="shared" si="0"/>
        <v>0</v>
      </c>
      <c r="L36" s="6">
        <v>0</v>
      </c>
      <c r="M36" s="8">
        <v>0</v>
      </c>
      <c r="N36" s="6">
        <v>23</v>
      </c>
      <c r="O36" s="8">
        <v>0</v>
      </c>
      <c r="Q36" s="10">
        <v>2268</v>
      </c>
      <c r="R36" s="10">
        <f t="shared" si="2"/>
        <v>0</v>
      </c>
      <c r="S36" s="10">
        <f t="shared" si="3"/>
        <v>0</v>
      </c>
    </row>
    <row r="37" spans="1:19" x14ac:dyDescent="0.25">
      <c r="A37" s="5" t="s">
        <v>167</v>
      </c>
      <c r="B37" s="6" t="s">
        <v>17</v>
      </c>
      <c r="C37" s="6" t="s">
        <v>19</v>
      </c>
      <c r="D37" s="6">
        <v>10</v>
      </c>
      <c r="E37" s="6">
        <v>16250</v>
      </c>
      <c r="F37" s="6">
        <v>27500</v>
      </c>
      <c r="G37" s="6">
        <v>0</v>
      </c>
      <c r="H37" s="6">
        <v>0</v>
      </c>
      <c r="I37" s="6">
        <v>35000</v>
      </c>
      <c r="J37" s="6">
        <v>0</v>
      </c>
      <c r="K37" s="6">
        <f t="shared" si="0"/>
        <v>35000</v>
      </c>
      <c r="L37" s="6">
        <v>8750</v>
      </c>
      <c r="M37" s="8">
        <v>10694.4444444444</v>
      </c>
      <c r="N37" s="6">
        <v>23</v>
      </c>
      <c r="O37" s="8">
        <f t="shared" si="1"/>
        <v>7.0277777777777493</v>
      </c>
      <c r="Q37" s="10">
        <v>2268</v>
      </c>
      <c r="R37" s="10">
        <f t="shared" si="2"/>
        <v>79380000</v>
      </c>
      <c r="S37" s="10">
        <f t="shared" si="3"/>
        <v>24254999.999999899</v>
      </c>
    </row>
    <row r="38" spans="1:19" x14ac:dyDescent="0.25">
      <c r="A38" s="5" t="s">
        <v>52</v>
      </c>
      <c r="B38" s="6" t="s">
        <v>17</v>
      </c>
      <c r="C38" s="6" t="s">
        <v>19</v>
      </c>
      <c r="D38" s="6">
        <v>10</v>
      </c>
      <c r="E38" s="6">
        <v>5712</v>
      </c>
      <c r="F38" s="6">
        <v>0</v>
      </c>
      <c r="G38" s="6">
        <v>0</v>
      </c>
      <c r="H38" s="6">
        <v>0</v>
      </c>
      <c r="I38" s="6">
        <v>4591</v>
      </c>
      <c r="J38" s="6">
        <v>0</v>
      </c>
      <c r="K38" s="6">
        <f t="shared" si="0"/>
        <v>4591</v>
      </c>
      <c r="L38" s="6">
        <v>1121</v>
      </c>
      <c r="M38" s="8">
        <v>3109.6666666666702</v>
      </c>
      <c r="N38" s="6">
        <v>23</v>
      </c>
      <c r="O38" s="8">
        <f t="shared" si="1"/>
        <v>15.57881362085241</v>
      </c>
      <c r="Q38" s="10">
        <v>1956</v>
      </c>
      <c r="R38" s="10">
        <f t="shared" si="2"/>
        <v>8979996</v>
      </c>
      <c r="S38" s="10">
        <f t="shared" si="3"/>
        <v>6082508.0000000065</v>
      </c>
    </row>
    <row r="39" spans="1:19" x14ac:dyDescent="0.25">
      <c r="A39" s="5" t="s">
        <v>53</v>
      </c>
      <c r="B39" s="6" t="s">
        <v>17</v>
      </c>
      <c r="C39" s="6" t="s">
        <v>19</v>
      </c>
      <c r="D39" s="6">
        <v>10</v>
      </c>
      <c r="E39" s="6">
        <v>5660</v>
      </c>
      <c r="F39" s="6">
        <v>0</v>
      </c>
      <c r="G39" s="6">
        <v>0</v>
      </c>
      <c r="H39" s="6">
        <v>0</v>
      </c>
      <c r="I39" s="6">
        <v>5575</v>
      </c>
      <c r="J39" s="6">
        <v>0</v>
      </c>
      <c r="K39" s="6">
        <f t="shared" si="0"/>
        <v>5575</v>
      </c>
      <c r="L39" s="6">
        <v>85</v>
      </c>
      <c r="M39" s="8">
        <v>2122.5</v>
      </c>
      <c r="N39" s="6">
        <v>23</v>
      </c>
      <c r="O39" s="8">
        <f t="shared" si="1"/>
        <v>8.7565022421524663</v>
      </c>
      <c r="Q39" s="10">
        <v>2218</v>
      </c>
      <c r="R39" s="10">
        <f t="shared" si="2"/>
        <v>12365350</v>
      </c>
      <c r="S39" s="10">
        <f t="shared" si="3"/>
        <v>4707705</v>
      </c>
    </row>
    <row r="40" spans="1:19" x14ac:dyDescent="0.25">
      <c r="A40" s="5" t="s">
        <v>168</v>
      </c>
      <c r="B40" s="6" t="s">
        <v>17</v>
      </c>
      <c r="C40" s="6" t="s">
        <v>19</v>
      </c>
      <c r="D40" s="6">
        <v>10</v>
      </c>
      <c r="E40" s="6">
        <v>8000</v>
      </c>
      <c r="F40" s="6">
        <v>5925</v>
      </c>
      <c r="G40" s="6">
        <v>0</v>
      </c>
      <c r="H40" s="6">
        <v>0</v>
      </c>
      <c r="I40" s="6">
        <v>11025</v>
      </c>
      <c r="J40" s="6">
        <v>0</v>
      </c>
      <c r="K40" s="6">
        <f t="shared" si="0"/>
        <v>11025</v>
      </c>
      <c r="L40" s="6">
        <v>2900</v>
      </c>
      <c r="M40" s="8">
        <v>4383.3333333333303</v>
      </c>
      <c r="N40" s="6">
        <v>23</v>
      </c>
      <c r="O40" s="8">
        <f t="shared" si="1"/>
        <v>9.1443688586545662</v>
      </c>
      <c r="Q40" s="10">
        <v>2218</v>
      </c>
      <c r="R40" s="10">
        <f t="shared" si="2"/>
        <v>24453450</v>
      </c>
      <c r="S40" s="10">
        <f t="shared" si="3"/>
        <v>9722233.3333333265</v>
      </c>
    </row>
    <row r="41" spans="1:19" x14ac:dyDescent="0.25">
      <c r="A41" s="5" t="s">
        <v>54</v>
      </c>
      <c r="B41" s="6" t="s">
        <v>17</v>
      </c>
      <c r="C41" s="6" t="s">
        <v>19</v>
      </c>
      <c r="D41" s="6">
        <v>10</v>
      </c>
      <c r="E41" s="6">
        <v>88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f t="shared" si="0"/>
        <v>0</v>
      </c>
      <c r="L41" s="6">
        <v>88</v>
      </c>
      <c r="M41" s="8">
        <v>0</v>
      </c>
      <c r="N41" s="6">
        <v>23</v>
      </c>
      <c r="O41" s="8">
        <v>0</v>
      </c>
      <c r="Q41" s="10">
        <v>2218</v>
      </c>
      <c r="R41" s="10">
        <f t="shared" si="2"/>
        <v>0</v>
      </c>
      <c r="S41" s="10">
        <f t="shared" si="3"/>
        <v>0</v>
      </c>
    </row>
    <row r="42" spans="1:19" x14ac:dyDescent="0.25">
      <c r="A42" s="5" t="s">
        <v>55</v>
      </c>
      <c r="B42" s="6" t="s">
        <v>17</v>
      </c>
      <c r="C42" s="6" t="s">
        <v>19</v>
      </c>
      <c r="D42" s="6">
        <v>10</v>
      </c>
      <c r="E42" s="6">
        <v>150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f t="shared" si="0"/>
        <v>0</v>
      </c>
      <c r="L42" s="6">
        <v>150</v>
      </c>
      <c r="M42" s="8">
        <v>0</v>
      </c>
      <c r="N42" s="6">
        <v>23</v>
      </c>
      <c r="O42" s="8">
        <v>0</v>
      </c>
      <c r="Q42" s="10">
        <v>2245</v>
      </c>
      <c r="R42" s="10">
        <f t="shared" si="2"/>
        <v>0</v>
      </c>
      <c r="S42" s="10">
        <f t="shared" si="3"/>
        <v>0</v>
      </c>
    </row>
    <row r="43" spans="1:19" x14ac:dyDescent="0.25">
      <c r="A43" s="5" t="s">
        <v>56</v>
      </c>
      <c r="B43" s="6" t="s">
        <v>16</v>
      </c>
      <c r="C43" s="6" t="s">
        <v>19</v>
      </c>
      <c r="D43" s="6">
        <v>10</v>
      </c>
      <c r="E43" s="6">
        <v>6450</v>
      </c>
      <c r="F43" s="6">
        <v>139600</v>
      </c>
      <c r="G43" s="6">
        <v>0</v>
      </c>
      <c r="H43" s="6">
        <v>0</v>
      </c>
      <c r="I43" s="6">
        <v>96600</v>
      </c>
      <c r="J43" s="6">
        <v>29508</v>
      </c>
      <c r="K43" s="6">
        <f t="shared" si="0"/>
        <v>126108</v>
      </c>
      <c r="L43" s="6">
        <v>19942</v>
      </c>
      <c r="M43" s="8">
        <v>16091.368421052601</v>
      </c>
      <c r="N43" s="6">
        <v>23</v>
      </c>
      <c r="O43" s="8">
        <f t="shared" si="1"/>
        <v>2.9347977422860549</v>
      </c>
      <c r="Q43" s="10">
        <v>2245</v>
      </c>
      <c r="R43" s="10">
        <f t="shared" si="2"/>
        <v>283112460</v>
      </c>
      <c r="S43" s="10">
        <f t="shared" si="3"/>
        <v>36125122.105263092</v>
      </c>
    </row>
    <row r="44" spans="1:19" x14ac:dyDescent="0.25">
      <c r="A44" s="5" t="s">
        <v>57</v>
      </c>
      <c r="B44" s="6" t="s">
        <v>16</v>
      </c>
      <c r="C44" s="6" t="s">
        <v>19</v>
      </c>
      <c r="D44" s="6">
        <v>10</v>
      </c>
      <c r="E44" s="6">
        <v>17770</v>
      </c>
      <c r="F44" s="6">
        <v>117400</v>
      </c>
      <c r="G44" s="6">
        <v>0</v>
      </c>
      <c r="H44" s="6">
        <v>0</v>
      </c>
      <c r="I44" s="6">
        <v>0</v>
      </c>
      <c r="J44" s="6">
        <v>118770</v>
      </c>
      <c r="K44" s="6">
        <f t="shared" si="0"/>
        <v>118770</v>
      </c>
      <c r="L44" s="6">
        <v>16400</v>
      </c>
      <c r="M44" s="8">
        <v>14545.294117647101</v>
      </c>
      <c r="N44" s="6">
        <v>23</v>
      </c>
      <c r="O44" s="8">
        <f t="shared" si="1"/>
        <v>2.8167194132010045</v>
      </c>
      <c r="Q44" s="10">
        <v>1419</v>
      </c>
      <c r="R44" s="10">
        <f t="shared" si="2"/>
        <v>168534630</v>
      </c>
      <c r="S44" s="10">
        <f t="shared" si="3"/>
        <v>20639772.352941237</v>
      </c>
    </row>
    <row r="45" spans="1:19" x14ac:dyDescent="0.25">
      <c r="A45" s="5" t="s">
        <v>58</v>
      </c>
      <c r="B45" s="6" t="s">
        <v>17</v>
      </c>
      <c r="C45" s="6" t="s">
        <v>19</v>
      </c>
      <c r="D45" s="6">
        <v>10</v>
      </c>
      <c r="E45" s="6">
        <v>2709</v>
      </c>
      <c r="F45" s="6">
        <v>0</v>
      </c>
      <c r="G45" s="6">
        <v>0</v>
      </c>
      <c r="H45" s="6">
        <v>0</v>
      </c>
      <c r="I45" s="6">
        <v>0</v>
      </c>
      <c r="J45" s="6">
        <v>1179</v>
      </c>
      <c r="K45" s="6">
        <f t="shared" si="0"/>
        <v>1179</v>
      </c>
      <c r="L45" s="6">
        <v>1530</v>
      </c>
      <c r="M45" s="8">
        <v>1530</v>
      </c>
      <c r="N45" s="6">
        <v>23</v>
      </c>
      <c r="O45" s="8">
        <f t="shared" si="1"/>
        <v>29.847328244274809</v>
      </c>
      <c r="Q45" s="10">
        <v>2765</v>
      </c>
      <c r="R45" s="10">
        <f t="shared" si="2"/>
        <v>3259935</v>
      </c>
      <c r="S45" s="10">
        <f t="shared" si="3"/>
        <v>4230450</v>
      </c>
    </row>
    <row r="46" spans="1:19" x14ac:dyDescent="0.25">
      <c r="A46" s="5" t="s">
        <v>59</v>
      </c>
      <c r="B46" s="6" t="s">
        <v>17</v>
      </c>
      <c r="C46" s="6" t="s">
        <v>19</v>
      </c>
      <c r="D46" s="6">
        <v>10</v>
      </c>
      <c r="E46" s="6">
        <v>33728</v>
      </c>
      <c r="F46" s="6">
        <v>0</v>
      </c>
      <c r="G46" s="6">
        <v>0</v>
      </c>
      <c r="H46" s="6">
        <v>0</v>
      </c>
      <c r="I46" s="6">
        <v>0</v>
      </c>
      <c r="J46" s="6">
        <v>4762</v>
      </c>
      <c r="K46" s="6">
        <f t="shared" si="0"/>
        <v>4762</v>
      </c>
      <c r="L46" s="6">
        <v>28966</v>
      </c>
      <c r="M46" s="8">
        <v>31489.600000000002</v>
      </c>
      <c r="N46" s="6">
        <v>23</v>
      </c>
      <c r="O46" s="8">
        <f t="shared" si="1"/>
        <v>152.0917261654767</v>
      </c>
      <c r="Q46" s="10">
        <v>4592</v>
      </c>
      <c r="R46" s="10">
        <f t="shared" si="2"/>
        <v>21867104</v>
      </c>
      <c r="S46" s="10">
        <f t="shared" si="3"/>
        <v>144600243.20000002</v>
      </c>
    </row>
    <row r="47" spans="1:19" x14ac:dyDescent="0.25">
      <c r="A47" s="5" t="s">
        <v>60</v>
      </c>
      <c r="B47" s="6" t="s">
        <v>17</v>
      </c>
      <c r="C47" s="6" t="s">
        <v>19</v>
      </c>
      <c r="D47" s="6">
        <v>10</v>
      </c>
      <c r="E47" s="6">
        <v>11662</v>
      </c>
      <c r="F47" s="6">
        <v>25386</v>
      </c>
      <c r="G47" s="6">
        <v>0</v>
      </c>
      <c r="H47" s="6">
        <v>0</v>
      </c>
      <c r="I47" s="6">
        <v>0</v>
      </c>
      <c r="J47" s="6">
        <v>33298</v>
      </c>
      <c r="K47" s="6">
        <f t="shared" si="0"/>
        <v>33298</v>
      </c>
      <c r="L47" s="6">
        <v>3750</v>
      </c>
      <c r="M47" s="8">
        <v>5610</v>
      </c>
      <c r="N47" s="6">
        <v>23</v>
      </c>
      <c r="O47" s="8">
        <f t="shared" si="1"/>
        <v>3.8750075079584363</v>
      </c>
      <c r="Q47" s="10">
        <v>2297</v>
      </c>
      <c r="R47" s="10">
        <f t="shared" si="2"/>
        <v>76485506</v>
      </c>
      <c r="S47" s="10">
        <f t="shared" si="3"/>
        <v>12886170</v>
      </c>
    </row>
    <row r="48" spans="1:19" x14ac:dyDescent="0.25">
      <c r="A48" s="5" t="s">
        <v>61</v>
      </c>
      <c r="B48" s="6" t="s">
        <v>17</v>
      </c>
      <c r="C48" s="6" t="s">
        <v>19</v>
      </c>
      <c r="D48" s="6">
        <v>10</v>
      </c>
      <c r="E48" s="6">
        <v>1728</v>
      </c>
      <c r="F48" s="6">
        <v>875</v>
      </c>
      <c r="G48" s="6">
        <v>0</v>
      </c>
      <c r="H48" s="6">
        <v>0</v>
      </c>
      <c r="I48" s="6">
        <v>0</v>
      </c>
      <c r="J48" s="6">
        <v>1953</v>
      </c>
      <c r="K48" s="6">
        <f t="shared" si="0"/>
        <v>1953</v>
      </c>
      <c r="L48" s="6">
        <v>650</v>
      </c>
      <c r="M48" s="8">
        <v>1093.75</v>
      </c>
      <c r="N48" s="6">
        <v>23</v>
      </c>
      <c r="O48" s="8">
        <f t="shared" si="1"/>
        <v>12.880824372759855</v>
      </c>
      <c r="Q48" s="10">
        <v>2616</v>
      </c>
      <c r="R48" s="10">
        <f t="shared" si="2"/>
        <v>5109048</v>
      </c>
      <c r="S48" s="10">
        <f t="shared" si="3"/>
        <v>2861250</v>
      </c>
    </row>
    <row r="49" spans="1:19" x14ac:dyDescent="0.25">
      <c r="A49" s="5" t="s">
        <v>63</v>
      </c>
      <c r="B49" s="6" t="s">
        <v>17</v>
      </c>
      <c r="C49" s="6" t="s">
        <v>19</v>
      </c>
      <c r="D49" s="6">
        <v>10</v>
      </c>
      <c r="E49" s="6">
        <v>9064</v>
      </c>
      <c r="F49" s="6">
        <v>81600</v>
      </c>
      <c r="G49" s="6">
        <v>0</v>
      </c>
      <c r="H49" s="6">
        <v>0</v>
      </c>
      <c r="I49" s="6">
        <v>0</v>
      </c>
      <c r="J49" s="6">
        <v>67850</v>
      </c>
      <c r="K49" s="6">
        <f t="shared" si="0"/>
        <v>67850</v>
      </c>
      <c r="L49" s="6">
        <v>22814</v>
      </c>
      <c r="M49" s="8">
        <v>18654.277777777799</v>
      </c>
      <c r="N49" s="6">
        <v>23</v>
      </c>
      <c r="O49" s="8">
        <f t="shared" si="1"/>
        <v>6.3234839924670503</v>
      </c>
      <c r="Q49" s="10">
        <v>1968</v>
      </c>
      <c r="R49" s="10">
        <f t="shared" si="2"/>
        <v>133528800</v>
      </c>
      <c r="S49" s="10">
        <f t="shared" si="3"/>
        <v>36711618.666666709</v>
      </c>
    </row>
    <row r="50" spans="1:19" x14ac:dyDescent="0.25">
      <c r="A50" s="5" t="s">
        <v>64</v>
      </c>
      <c r="B50" s="6" t="s">
        <v>17</v>
      </c>
      <c r="C50" s="6" t="s">
        <v>19</v>
      </c>
      <c r="D50" s="6">
        <v>10</v>
      </c>
      <c r="E50" s="6">
        <v>6420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f t="shared" si="0"/>
        <v>0</v>
      </c>
      <c r="L50" s="6">
        <v>6420</v>
      </c>
      <c r="M50" s="8">
        <v>0</v>
      </c>
      <c r="N50" s="6">
        <v>23</v>
      </c>
      <c r="O50" s="8">
        <v>0</v>
      </c>
      <c r="Q50" s="10">
        <v>2503</v>
      </c>
      <c r="R50" s="10">
        <f t="shared" si="2"/>
        <v>0</v>
      </c>
      <c r="S50" s="10">
        <f t="shared" si="3"/>
        <v>0</v>
      </c>
    </row>
    <row r="51" spans="1:19" x14ac:dyDescent="0.25">
      <c r="A51" s="5" t="s">
        <v>65</v>
      </c>
      <c r="B51" s="6" t="s">
        <v>17</v>
      </c>
      <c r="C51" s="6" t="s">
        <v>19</v>
      </c>
      <c r="D51" s="6">
        <v>10</v>
      </c>
      <c r="E51" s="6">
        <v>24890</v>
      </c>
      <c r="F51" s="6">
        <v>151250</v>
      </c>
      <c r="G51" s="6">
        <v>0</v>
      </c>
      <c r="H51" s="6">
        <v>0</v>
      </c>
      <c r="I51" s="6">
        <v>0</v>
      </c>
      <c r="J51" s="6">
        <v>130000</v>
      </c>
      <c r="K51" s="6">
        <f t="shared" si="0"/>
        <v>130000</v>
      </c>
      <c r="L51" s="6">
        <v>46140</v>
      </c>
      <c r="M51" s="8">
        <v>53047.8947368421</v>
      </c>
      <c r="N51" s="6">
        <v>23</v>
      </c>
      <c r="O51" s="8">
        <f t="shared" si="1"/>
        <v>9.3853967611336024</v>
      </c>
      <c r="Q51" s="10">
        <v>2503</v>
      </c>
      <c r="R51" s="10">
        <f t="shared" si="2"/>
        <v>325390000</v>
      </c>
      <c r="S51" s="10">
        <f t="shared" si="3"/>
        <v>132778880.52631578</v>
      </c>
    </row>
    <row r="52" spans="1:19" x14ac:dyDescent="0.25">
      <c r="A52" s="5" t="s">
        <v>66</v>
      </c>
      <c r="B52" s="6" t="s">
        <v>17</v>
      </c>
      <c r="C52" s="6" t="s">
        <v>19</v>
      </c>
      <c r="D52" s="6">
        <v>10</v>
      </c>
      <c r="E52" s="6">
        <v>311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f t="shared" si="0"/>
        <v>0</v>
      </c>
      <c r="L52" s="6">
        <v>311</v>
      </c>
      <c r="M52" s="8">
        <v>0</v>
      </c>
      <c r="N52" s="6">
        <v>23</v>
      </c>
      <c r="O52" s="8">
        <v>0</v>
      </c>
      <c r="Q52" s="10">
        <v>2103</v>
      </c>
      <c r="R52" s="10">
        <f t="shared" si="2"/>
        <v>0</v>
      </c>
      <c r="S52" s="10">
        <f t="shared" si="3"/>
        <v>0</v>
      </c>
    </row>
    <row r="53" spans="1:19" x14ac:dyDescent="0.25">
      <c r="A53" s="5" t="s">
        <v>67</v>
      </c>
      <c r="B53" s="6" t="s">
        <v>17</v>
      </c>
      <c r="C53" s="6" t="s">
        <v>19</v>
      </c>
      <c r="D53" s="6">
        <v>10</v>
      </c>
      <c r="E53" s="6">
        <v>29004</v>
      </c>
      <c r="F53" s="6">
        <v>0</v>
      </c>
      <c r="G53" s="6">
        <v>0</v>
      </c>
      <c r="H53" s="6">
        <v>0</v>
      </c>
      <c r="I53" s="6">
        <v>0</v>
      </c>
      <c r="J53" s="6">
        <v>16575</v>
      </c>
      <c r="K53" s="6">
        <f t="shared" si="0"/>
        <v>16575</v>
      </c>
      <c r="L53" s="6">
        <v>12429</v>
      </c>
      <c r="M53" s="8">
        <v>19124</v>
      </c>
      <c r="N53" s="6">
        <v>23</v>
      </c>
      <c r="O53" s="8">
        <f t="shared" si="1"/>
        <v>26.53707390648567</v>
      </c>
      <c r="Q53" s="10">
        <v>2802</v>
      </c>
      <c r="R53" s="10">
        <f t="shared" si="2"/>
        <v>46443150</v>
      </c>
      <c r="S53" s="10">
        <f t="shared" si="3"/>
        <v>53585448</v>
      </c>
    </row>
    <row r="54" spans="1:19" x14ac:dyDescent="0.25">
      <c r="A54" s="5" t="s">
        <v>68</v>
      </c>
      <c r="B54" s="6" t="s">
        <v>17</v>
      </c>
      <c r="C54" s="6" t="s">
        <v>19</v>
      </c>
      <c r="D54" s="6">
        <v>10</v>
      </c>
      <c r="E54" s="6">
        <v>3750</v>
      </c>
      <c r="F54" s="6">
        <v>110000</v>
      </c>
      <c r="G54" s="6">
        <v>0</v>
      </c>
      <c r="H54" s="6">
        <v>0</v>
      </c>
      <c r="I54" s="6">
        <v>78750</v>
      </c>
      <c r="J54" s="6">
        <v>0</v>
      </c>
      <c r="K54" s="6">
        <f t="shared" si="0"/>
        <v>78750</v>
      </c>
      <c r="L54" s="6">
        <v>35000</v>
      </c>
      <c r="M54" s="8">
        <v>23157.8947368421</v>
      </c>
      <c r="N54" s="6">
        <v>23</v>
      </c>
      <c r="O54" s="8">
        <f t="shared" si="1"/>
        <v>6.7635756056808676</v>
      </c>
      <c r="Q54" s="10">
        <v>2126</v>
      </c>
      <c r="R54" s="10">
        <f t="shared" si="2"/>
        <v>167422500</v>
      </c>
      <c r="S54" s="10">
        <f t="shared" si="3"/>
        <v>49233684.210526302</v>
      </c>
    </row>
    <row r="55" spans="1:19" x14ac:dyDescent="0.25">
      <c r="A55" s="5" t="s">
        <v>69</v>
      </c>
      <c r="B55" s="6" t="s">
        <v>16</v>
      </c>
      <c r="C55" s="6" t="s">
        <v>19</v>
      </c>
      <c r="D55" s="6">
        <v>10</v>
      </c>
      <c r="E55" s="6">
        <v>9570</v>
      </c>
      <c r="F55" s="6">
        <v>84275</v>
      </c>
      <c r="G55" s="6">
        <v>0</v>
      </c>
      <c r="H55" s="6">
        <v>0</v>
      </c>
      <c r="I55" s="6">
        <v>44000</v>
      </c>
      <c r="J55" s="6">
        <v>17985</v>
      </c>
      <c r="K55" s="6">
        <f t="shared" si="0"/>
        <v>61985</v>
      </c>
      <c r="L55" s="6">
        <v>31860</v>
      </c>
      <c r="M55" s="8">
        <v>26273.5</v>
      </c>
      <c r="N55" s="6">
        <v>23</v>
      </c>
      <c r="O55" s="8">
        <f t="shared" si="1"/>
        <v>9.7489795918367346</v>
      </c>
      <c r="Q55" s="10">
        <v>2846</v>
      </c>
      <c r="R55" s="10">
        <f t="shared" si="2"/>
        <v>176409310</v>
      </c>
      <c r="S55" s="10">
        <f t="shared" si="3"/>
        <v>74774381</v>
      </c>
    </row>
    <row r="56" spans="1:19" x14ac:dyDescent="0.25">
      <c r="A56" s="5" t="s">
        <v>0</v>
      </c>
      <c r="B56" s="6" t="s">
        <v>17</v>
      </c>
      <c r="C56" s="6" t="s">
        <v>19</v>
      </c>
      <c r="D56" s="6">
        <v>10</v>
      </c>
      <c r="E56" s="6">
        <v>3250</v>
      </c>
      <c r="F56" s="6">
        <v>30575</v>
      </c>
      <c r="G56" s="6">
        <v>0</v>
      </c>
      <c r="H56" s="6">
        <v>0</v>
      </c>
      <c r="I56" s="6">
        <v>15100</v>
      </c>
      <c r="J56" s="6">
        <v>0</v>
      </c>
      <c r="K56" s="6">
        <f t="shared" si="0"/>
        <v>15100</v>
      </c>
      <c r="L56" s="6">
        <v>18725</v>
      </c>
      <c r="M56" s="8">
        <v>7133.3333333333303</v>
      </c>
      <c r="N56" s="6">
        <v>23</v>
      </c>
      <c r="O56" s="8">
        <f t="shared" si="1"/>
        <v>10.865342163355404</v>
      </c>
      <c r="Q56" s="10">
        <v>2514</v>
      </c>
      <c r="R56" s="10">
        <f t="shared" si="2"/>
        <v>37961400</v>
      </c>
      <c r="S56" s="10">
        <f t="shared" si="3"/>
        <v>17933199.999999993</v>
      </c>
    </row>
    <row r="57" spans="1:19" x14ac:dyDescent="0.25">
      <c r="A57" s="5" t="s">
        <v>71</v>
      </c>
      <c r="B57" s="6" t="s">
        <v>17</v>
      </c>
      <c r="C57" s="6" t="s">
        <v>19</v>
      </c>
      <c r="D57" s="6">
        <v>10</v>
      </c>
      <c r="E57" s="6">
        <v>9063</v>
      </c>
      <c r="F57" s="6">
        <v>22380</v>
      </c>
      <c r="G57" s="6">
        <v>0</v>
      </c>
      <c r="H57" s="6">
        <v>0</v>
      </c>
      <c r="I57" s="6">
        <v>21340</v>
      </c>
      <c r="J57" s="6">
        <v>0</v>
      </c>
      <c r="K57" s="6">
        <f t="shared" si="0"/>
        <v>21340</v>
      </c>
      <c r="L57" s="6">
        <v>10103</v>
      </c>
      <c r="M57" s="8">
        <v>5627.285714285711</v>
      </c>
      <c r="N57" s="6">
        <v>23</v>
      </c>
      <c r="O57" s="8">
        <f t="shared" si="1"/>
        <v>6.0650220913107473</v>
      </c>
      <c r="Q57" s="10">
        <v>1956</v>
      </c>
      <c r="R57" s="10">
        <f t="shared" si="2"/>
        <v>41741040</v>
      </c>
      <c r="S57" s="10">
        <f t="shared" si="3"/>
        <v>11006970.857142851</v>
      </c>
    </row>
    <row r="58" spans="1:19" x14ac:dyDescent="0.25">
      <c r="A58" s="5" t="s">
        <v>72</v>
      </c>
      <c r="B58" s="6" t="s">
        <v>17</v>
      </c>
      <c r="C58" s="6" t="s">
        <v>19</v>
      </c>
      <c r="D58" s="6">
        <v>10</v>
      </c>
      <c r="E58" s="6">
        <v>17461</v>
      </c>
      <c r="F58" s="6">
        <v>14090</v>
      </c>
      <c r="G58" s="6">
        <v>0</v>
      </c>
      <c r="H58" s="6">
        <v>0</v>
      </c>
      <c r="I58" s="6">
        <v>0</v>
      </c>
      <c r="J58" s="6">
        <v>14915</v>
      </c>
      <c r="K58" s="6">
        <f t="shared" si="0"/>
        <v>14915</v>
      </c>
      <c r="L58" s="6">
        <v>16636</v>
      </c>
      <c r="M58" s="8">
        <v>18659.125</v>
      </c>
      <c r="N58" s="6">
        <v>23</v>
      </c>
      <c r="O58" s="8">
        <f t="shared" si="1"/>
        <v>28.773709353000338</v>
      </c>
      <c r="Q58" s="10">
        <v>3391</v>
      </c>
      <c r="R58" s="10">
        <f t="shared" si="2"/>
        <v>50576765</v>
      </c>
      <c r="S58" s="10">
        <f t="shared" si="3"/>
        <v>63273092.875</v>
      </c>
    </row>
    <row r="59" spans="1:19" x14ac:dyDescent="0.25">
      <c r="A59" s="5" t="s">
        <v>73</v>
      </c>
      <c r="B59" s="6" t="s">
        <v>17</v>
      </c>
      <c r="C59" s="6" t="s">
        <v>19</v>
      </c>
      <c r="D59" s="6">
        <v>10</v>
      </c>
      <c r="E59" s="6">
        <v>2175</v>
      </c>
      <c r="F59" s="6">
        <v>36490</v>
      </c>
      <c r="G59" s="6">
        <v>0</v>
      </c>
      <c r="H59" s="6">
        <v>0</v>
      </c>
      <c r="I59" s="6">
        <v>0</v>
      </c>
      <c r="J59" s="6">
        <v>24990</v>
      </c>
      <c r="K59" s="6">
        <f t="shared" si="0"/>
        <v>24990</v>
      </c>
      <c r="L59" s="6">
        <v>13675</v>
      </c>
      <c r="M59" s="8">
        <v>5241.4285714285697</v>
      </c>
      <c r="N59" s="6">
        <v>23</v>
      </c>
      <c r="O59" s="8">
        <f t="shared" si="1"/>
        <v>4.8240439032755944</v>
      </c>
      <c r="Q59" s="10">
        <v>3549</v>
      </c>
      <c r="R59" s="10">
        <f t="shared" si="2"/>
        <v>88689510</v>
      </c>
      <c r="S59" s="10">
        <f t="shared" si="3"/>
        <v>18601829.999999993</v>
      </c>
    </row>
    <row r="60" spans="1:19" x14ac:dyDescent="0.25">
      <c r="A60" s="5" t="s">
        <v>74</v>
      </c>
      <c r="B60" s="6" t="s">
        <v>17</v>
      </c>
      <c r="C60" s="6" t="s">
        <v>19</v>
      </c>
      <c r="D60" s="6">
        <v>10</v>
      </c>
      <c r="E60" s="6">
        <v>10370</v>
      </c>
      <c r="F60" s="6">
        <v>44348</v>
      </c>
      <c r="G60" s="6">
        <v>0</v>
      </c>
      <c r="H60" s="6">
        <v>0</v>
      </c>
      <c r="I60" s="6">
        <v>33650</v>
      </c>
      <c r="J60" s="6">
        <v>0</v>
      </c>
      <c r="K60" s="6">
        <f t="shared" si="0"/>
        <v>33650</v>
      </c>
      <c r="L60" s="6">
        <v>21068</v>
      </c>
      <c r="M60" s="8">
        <v>21243.166666666697</v>
      </c>
      <c r="N60" s="6">
        <v>23</v>
      </c>
      <c r="O60" s="8">
        <f t="shared" si="1"/>
        <v>14.519846458642913</v>
      </c>
      <c r="Q60" s="10">
        <v>2129</v>
      </c>
      <c r="R60" s="10">
        <f t="shared" si="2"/>
        <v>71640850</v>
      </c>
      <c r="S60" s="10">
        <f t="shared" si="3"/>
        <v>45226701.833333395</v>
      </c>
    </row>
    <row r="61" spans="1:19" x14ac:dyDescent="0.25">
      <c r="A61" s="5" t="s">
        <v>75</v>
      </c>
      <c r="B61" s="6" t="s">
        <v>17</v>
      </c>
      <c r="C61" s="6" t="s">
        <v>19</v>
      </c>
      <c r="D61" s="6">
        <v>10</v>
      </c>
      <c r="E61" s="6">
        <v>3707</v>
      </c>
      <c r="F61" s="6">
        <v>9233</v>
      </c>
      <c r="G61" s="6">
        <v>0</v>
      </c>
      <c r="H61" s="6">
        <v>0</v>
      </c>
      <c r="I61" s="6">
        <v>9983</v>
      </c>
      <c r="J61" s="6">
        <v>0</v>
      </c>
      <c r="K61" s="6">
        <f t="shared" si="0"/>
        <v>9983</v>
      </c>
      <c r="L61" s="6">
        <v>2957</v>
      </c>
      <c r="M61" s="8">
        <v>6129.1666666666697</v>
      </c>
      <c r="N61" s="6">
        <v>23</v>
      </c>
      <c r="O61" s="8">
        <f t="shared" si="1"/>
        <v>14.121089184947753</v>
      </c>
      <c r="Q61" s="10">
        <v>2129</v>
      </c>
      <c r="R61" s="10">
        <f t="shared" si="2"/>
        <v>21253807</v>
      </c>
      <c r="S61" s="10">
        <f t="shared" si="3"/>
        <v>13048995.83333334</v>
      </c>
    </row>
    <row r="62" spans="1:19" x14ac:dyDescent="0.25">
      <c r="A62" s="5" t="s">
        <v>76</v>
      </c>
      <c r="B62" s="6" t="s">
        <v>17</v>
      </c>
      <c r="C62" s="6" t="s">
        <v>19</v>
      </c>
      <c r="D62" s="6">
        <v>10</v>
      </c>
      <c r="E62" s="6">
        <v>1469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f t="shared" si="0"/>
        <v>0</v>
      </c>
      <c r="L62" s="6">
        <v>1469</v>
      </c>
      <c r="M62" s="8">
        <v>0</v>
      </c>
      <c r="N62" s="6">
        <v>23</v>
      </c>
      <c r="O62" s="8">
        <v>0</v>
      </c>
      <c r="Q62" s="10">
        <v>2131</v>
      </c>
      <c r="R62" s="10">
        <f t="shared" si="2"/>
        <v>0</v>
      </c>
      <c r="S62" s="10">
        <f t="shared" si="3"/>
        <v>0</v>
      </c>
    </row>
    <row r="63" spans="1:19" x14ac:dyDescent="0.25">
      <c r="A63" s="5" t="s">
        <v>77</v>
      </c>
      <c r="B63" s="6" t="s">
        <v>17</v>
      </c>
      <c r="C63" s="6" t="s">
        <v>19</v>
      </c>
      <c r="D63" s="6">
        <v>10</v>
      </c>
      <c r="E63" s="6">
        <v>6686</v>
      </c>
      <c r="F63" s="6">
        <v>0</v>
      </c>
      <c r="G63" s="6">
        <v>0</v>
      </c>
      <c r="H63" s="6">
        <v>0</v>
      </c>
      <c r="I63" s="6">
        <v>3575</v>
      </c>
      <c r="J63" s="6">
        <v>0</v>
      </c>
      <c r="K63" s="6">
        <f t="shared" si="0"/>
        <v>3575</v>
      </c>
      <c r="L63" s="6">
        <v>3111</v>
      </c>
      <c r="M63" s="8">
        <v>4877.6666666666697</v>
      </c>
      <c r="N63" s="6">
        <v>23</v>
      </c>
      <c r="O63" s="8">
        <f t="shared" si="1"/>
        <v>31.380792540792562</v>
      </c>
      <c r="Q63" s="10">
        <v>2131</v>
      </c>
      <c r="R63" s="10">
        <f t="shared" si="2"/>
        <v>7618325</v>
      </c>
      <c r="S63" s="10">
        <f t="shared" si="3"/>
        <v>10394307.666666673</v>
      </c>
    </row>
    <row r="64" spans="1:19" x14ac:dyDescent="0.25">
      <c r="A64" s="5" t="s">
        <v>78</v>
      </c>
      <c r="B64" s="6" t="s">
        <v>17</v>
      </c>
      <c r="C64" s="6" t="s">
        <v>19</v>
      </c>
      <c r="D64" s="6">
        <v>10</v>
      </c>
      <c r="E64" s="6">
        <v>27662</v>
      </c>
      <c r="F64" s="6">
        <v>11575</v>
      </c>
      <c r="G64" s="6">
        <v>0</v>
      </c>
      <c r="H64" s="6">
        <v>0</v>
      </c>
      <c r="I64" s="6">
        <v>26250</v>
      </c>
      <c r="J64" s="6">
        <v>0</v>
      </c>
      <c r="K64" s="6">
        <f t="shared" si="0"/>
        <v>26250</v>
      </c>
      <c r="L64" s="6">
        <v>12987</v>
      </c>
      <c r="M64" s="8">
        <v>27058.1538461538</v>
      </c>
      <c r="N64" s="6">
        <v>23</v>
      </c>
      <c r="O64" s="8">
        <f t="shared" si="1"/>
        <v>23.708096703296661</v>
      </c>
      <c r="Q64" s="10">
        <v>2245</v>
      </c>
      <c r="R64" s="10">
        <f t="shared" si="2"/>
        <v>58931250</v>
      </c>
      <c r="S64" s="10">
        <f t="shared" si="3"/>
        <v>60745555.38461528</v>
      </c>
    </row>
    <row r="65" spans="1:19" x14ac:dyDescent="0.25">
      <c r="A65" s="5" t="s">
        <v>79</v>
      </c>
      <c r="B65" s="6" t="s">
        <v>17</v>
      </c>
      <c r="C65" s="6" t="s">
        <v>19</v>
      </c>
      <c r="D65" s="6">
        <v>10</v>
      </c>
      <c r="E65" s="6">
        <v>9723</v>
      </c>
      <c r="F65" s="6">
        <v>14114</v>
      </c>
      <c r="G65" s="6">
        <v>0</v>
      </c>
      <c r="H65" s="6">
        <v>0</v>
      </c>
      <c r="I65" s="6">
        <v>22964</v>
      </c>
      <c r="J65" s="6">
        <v>0</v>
      </c>
      <c r="K65" s="6">
        <f t="shared" si="0"/>
        <v>22964</v>
      </c>
      <c r="L65" s="6">
        <v>873</v>
      </c>
      <c r="M65" s="8">
        <v>10650.5</v>
      </c>
      <c r="N65" s="6">
        <v>23</v>
      </c>
      <c r="O65" s="8">
        <f t="shared" si="1"/>
        <v>10.667196481449224</v>
      </c>
      <c r="Q65" s="10">
        <v>2121</v>
      </c>
      <c r="R65" s="10">
        <f t="shared" si="2"/>
        <v>48706644</v>
      </c>
      <c r="S65" s="10">
        <f t="shared" si="3"/>
        <v>22589710.5</v>
      </c>
    </row>
    <row r="66" spans="1:19" x14ac:dyDescent="0.25">
      <c r="A66" s="2" t="s">
        <v>6</v>
      </c>
      <c r="B66" s="6" t="s">
        <v>17</v>
      </c>
      <c r="C66" s="6" t="s">
        <v>19</v>
      </c>
      <c r="D66" s="6">
        <v>10</v>
      </c>
      <c r="E66" s="6">
        <v>0</v>
      </c>
      <c r="F66" s="6">
        <v>32315</v>
      </c>
      <c r="G66" s="6">
        <v>0</v>
      </c>
      <c r="H66" s="6">
        <v>0</v>
      </c>
      <c r="I66" s="6">
        <v>15490</v>
      </c>
      <c r="J66" s="6">
        <v>0</v>
      </c>
      <c r="K66" s="6">
        <f t="shared" si="0"/>
        <v>15490</v>
      </c>
      <c r="L66" s="6">
        <v>16825</v>
      </c>
      <c r="M66" s="8">
        <v>14735.833333333299</v>
      </c>
      <c r="N66" s="6">
        <v>23</v>
      </c>
      <c r="O66" s="8">
        <f t="shared" si="1"/>
        <v>21.880191521411614</v>
      </c>
      <c r="Q66" s="10">
        <v>2121</v>
      </c>
      <c r="R66" s="10">
        <f t="shared" si="2"/>
        <v>32854290</v>
      </c>
      <c r="S66" s="10">
        <f t="shared" si="3"/>
        <v>31254702.499999929</v>
      </c>
    </row>
    <row r="67" spans="1:19" x14ac:dyDescent="0.25">
      <c r="A67" s="5" t="s">
        <v>80</v>
      </c>
      <c r="B67" s="6" t="s">
        <v>17</v>
      </c>
      <c r="C67" s="6" t="s">
        <v>19</v>
      </c>
      <c r="D67" s="6">
        <v>10</v>
      </c>
      <c r="E67" s="6">
        <v>1200</v>
      </c>
      <c r="F67" s="6">
        <v>0</v>
      </c>
      <c r="G67" s="6">
        <v>0</v>
      </c>
      <c r="H67" s="6">
        <v>0</v>
      </c>
      <c r="I67" s="6">
        <v>1200</v>
      </c>
      <c r="J67" s="6">
        <v>0</v>
      </c>
      <c r="K67" s="6">
        <f t="shared" ref="K67:K130" si="4">I67+J67</f>
        <v>1200</v>
      </c>
      <c r="L67" s="6">
        <v>0</v>
      </c>
      <c r="M67" s="8">
        <v>416.66666666666703</v>
      </c>
      <c r="N67" s="6">
        <v>23</v>
      </c>
      <c r="O67" s="8">
        <f t="shared" ref="O67:O130" si="5">(M67/(I67+J67))*N67</f>
        <v>7.9861111111111187</v>
      </c>
      <c r="Q67" s="10">
        <v>2131</v>
      </c>
      <c r="R67" s="10">
        <f t="shared" ref="R67:R130" si="6">Q67*(I67+J67)</f>
        <v>2557200</v>
      </c>
      <c r="S67" s="10">
        <f t="shared" ref="S67:S130" si="7">Q67*M67</f>
        <v>887916.66666666744</v>
      </c>
    </row>
    <row r="68" spans="1:19" x14ac:dyDescent="0.25">
      <c r="A68" s="2" t="s">
        <v>7</v>
      </c>
      <c r="B68" s="6" t="s">
        <v>17</v>
      </c>
      <c r="C68" s="6" t="s">
        <v>19</v>
      </c>
      <c r="D68" s="6">
        <v>10</v>
      </c>
      <c r="E68" s="6">
        <v>0</v>
      </c>
      <c r="F68" s="6">
        <v>2100</v>
      </c>
      <c r="G68" s="6">
        <v>0</v>
      </c>
      <c r="H68" s="6">
        <v>0</v>
      </c>
      <c r="I68" s="6">
        <v>1050</v>
      </c>
      <c r="J68" s="6">
        <v>0</v>
      </c>
      <c r="K68" s="6">
        <f t="shared" si="4"/>
        <v>1050</v>
      </c>
      <c r="L68" s="6">
        <v>1050</v>
      </c>
      <c r="M68" s="8">
        <v>1050</v>
      </c>
      <c r="N68" s="6">
        <v>23</v>
      </c>
      <c r="O68" s="8">
        <f t="shared" si="5"/>
        <v>23</v>
      </c>
      <c r="Q68" s="10">
        <v>2121</v>
      </c>
      <c r="R68" s="10">
        <f t="shared" si="6"/>
        <v>2227050</v>
      </c>
      <c r="S68" s="10">
        <f t="shared" si="7"/>
        <v>2227050</v>
      </c>
    </row>
    <row r="69" spans="1:19" x14ac:dyDescent="0.25">
      <c r="A69" s="5" t="s">
        <v>81</v>
      </c>
      <c r="B69" s="6" t="s">
        <v>17</v>
      </c>
      <c r="C69" s="6" t="s">
        <v>19</v>
      </c>
      <c r="D69" s="6">
        <v>10</v>
      </c>
      <c r="E69" s="6">
        <v>1921</v>
      </c>
      <c r="F69" s="6">
        <v>1050</v>
      </c>
      <c r="G69" s="6">
        <v>0</v>
      </c>
      <c r="H69" s="6">
        <v>0</v>
      </c>
      <c r="I69" s="6">
        <v>0</v>
      </c>
      <c r="J69" s="6">
        <v>2441</v>
      </c>
      <c r="K69" s="6">
        <f t="shared" si="4"/>
        <v>2441</v>
      </c>
      <c r="L69" s="6">
        <v>530</v>
      </c>
      <c r="M69" s="8">
        <v>1628</v>
      </c>
      <c r="N69" s="6">
        <v>23</v>
      </c>
      <c r="O69" s="8">
        <f t="shared" si="5"/>
        <v>15.339614911921345</v>
      </c>
      <c r="Q69" s="10">
        <v>4592</v>
      </c>
      <c r="R69" s="10">
        <f t="shared" si="6"/>
        <v>11209072</v>
      </c>
      <c r="S69" s="10">
        <f t="shared" si="7"/>
        <v>7475776</v>
      </c>
    </row>
    <row r="70" spans="1:19" x14ac:dyDescent="0.25">
      <c r="A70" s="5" t="s">
        <v>82</v>
      </c>
      <c r="B70" s="6" t="s">
        <v>17</v>
      </c>
      <c r="C70" s="6" t="s">
        <v>19</v>
      </c>
      <c r="D70" s="6">
        <v>10</v>
      </c>
      <c r="E70" s="6">
        <v>9344</v>
      </c>
      <c r="F70" s="6">
        <v>3700</v>
      </c>
      <c r="G70" s="6">
        <v>0</v>
      </c>
      <c r="H70" s="6">
        <v>0</v>
      </c>
      <c r="I70" s="6">
        <v>0</v>
      </c>
      <c r="J70" s="6">
        <v>10600</v>
      </c>
      <c r="K70" s="6">
        <f t="shared" si="4"/>
        <v>10600</v>
      </c>
      <c r="L70" s="6">
        <v>2444</v>
      </c>
      <c r="M70" s="8">
        <v>4344</v>
      </c>
      <c r="N70" s="6">
        <v>23</v>
      </c>
      <c r="O70" s="8">
        <f t="shared" si="5"/>
        <v>9.4256603773584899</v>
      </c>
      <c r="Q70" s="10">
        <v>2297</v>
      </c>
      <c r="R70" s="10">
        <f t="shared" si="6"/>
        <v>24348200</v>
      </c>
      <c r="S70" s="10">
        <f t="shared" si="7"/>
        <v>9978168</v>
      </c>
    </row>
    <row r="71" spans="1:19" x14ac:dyDescent="0.25">
      <c r="A71" s="5" t="s">
        <v>83</v>
      </c>
      <c r="B71" s="6" t="s">
        <v>17</v>
      </c>
      <c r="C71" s="6" t="s">
        <v>19</v>
      </c>
      <c r="D71" s="6">
        <v>10</v>
      </c>
      <c r="E71" s="6">
        <v>1375</v>
      </c>
      <c r="F71" s="6">
        <v>0</v>
      </c>
      <c r="G71" s="6">
        <v>0</v>
      </c>
      <c r="H71" s="6">
        <v>0</v>
      </c>
      <c r="I71" s="6">
        <v>0</v>
      </c>
      <c r="J71" s="6">
        <v>525</v>
      </c>
      <c r="K71" s="6">
        <f t="shared" si="4"/>
        <v>525</v>
      </c>
      <c r="L71" s="6">
        <v>850</v>
      </c>
      <c r="M71" s="8">
        <v>1083.3333333333301</v>
      </c>
      <c r="N71" s="6">
        <v>23</v>
      </c>
      <c r="O71" s="8">
        <f t="shared" si="5"/>
        <v>47.46031746031732</v>
      </c>
      <c r="Q71" s="10">
        <v>4592</v>
      </c>
      <c r="R71" s="10">
        <f t="shared" si="6"/>
        <v>2410800</v>
      </c>
      <c r="S71" s="10">
        <f t="shared" si="7"/>
        <v>4974666.6666666521</v>
      </c>
    </row>
    <row r="72" spans="1:19" x14ac:dyDescent="0.25">
      <c r="A72" s="5" t="s">
        <v>84</v>
      </c>
      <c r="B72" s="6" t="s">
        <v>16</v>
      </c>
      <c r="C72" s="6" t="s">
        <v>19</v>
      </c>
      <c r="D72" s="6">
        <v>10</v>
      </c>
      <c r="E72" s="6">
        <v>19290</v>
      </c>
      <c r="F72" s="6">
        <v>81475</v>
      </c>
      <c r="G72" s="6">
        <v>0</v>
      </c>
      <c r="H72" s="6">
        <v>0</v>
      </c>
      <c r="I72" s="6">
        <v>0</v>
      </c>
      <c r="J72" s="6">
        <v>97384</v>
      </c>
      <c r="K72" s="6">
        <f t="shared" si="4"/>
        <v>97384</v>
      </c>
      <c r="L72" s="6">
        <v>3381</v>
      </c>
      <c r="M72" s="8">
        <v>18712.8125</v>
      </c>
      <c r="N72" s="6">
        <v>23</v>
      </c>
      <c r="O72" s="8">
        <f t="shared" si="5"/>
        <v>4.4195626334921547</v>
      </c>
      <c r="Q72" s="10">
        <v>1419</v>
      </c>
      <c r="R72" s="10">
        <f t="shared" si="6"/>
        <v>138187896</v>
      </c>
      <c r="S72" s="10">
        <f t="shared" si="7"/>
        <v>26553480.9375</v>
      </c>
    </row>
    <row r="73" spans="1:19" x14ac:dyDescent="0.25">
      <c r="A73" s="5" t="s">
        <v>85</v>
      </c>
      <c r="B73" s="6" t="s">
        <v>17</v>
      </c>
      <c r="C73" s="6" t="s">
        <v>19</v>
      </c>
      <c r="D73" s="6">
        <v>10</v>
      </c>
      <c r="E73" s="6">
        <v>3192</v>
      </c>
      <c r="F73" s="6">
        <v>0</v>
      </c>
      <c r="G73" s="6">
        <v>0</v>
      </c>
      <c r="H73" s="6">
        <v>0</v>
      </c>
      <c r="I73" s="6">
        <v>0</v>
      </c>
      <c r="J73" s="6">
        <v>500</v>
      </c>
      <c r="K73" s="6">
        <f t="shared" si="4"/>
        <v>500</v>
      </c>
      <c r="L73" s="6">
        <v>2692</v>
      </c>
      <c r="M73" s="8">
        <v>2892</v>
      </c>
      <c r="N73" s="6">
        <v>23</v>
      </c>
      <c r="O73" s="8">
        <f t="shared" si="5"/>
        <v>133.03199999999998</v>
      </c>
      <c r="Q73" s="10">
        <v>4592</v>
      </c>
      <c r="R73" s="10">
        <f t="shared" si="6"/>
        <v>2296000</v>
      </c>
      <c r="S73" s="10">
        <f t="shared" si="7"/>
        <v>13280064</v>
      </c>
    </row>
    <row r="74" spans="1:19" x14ac:dyDescent="0.25">
      <c r="A74" s="5" t="s">
        <v>1</v>
      </c>
      <c r="B74" s="6" t="s">
        <v>17</v>
      </c>
      <c r="C74" s="6" t="s">
        <v>19</v>
      </c>
      <c r="D74" s="6">
        <v>10</v>
      </c>
      <c r="E74" s="6">
        <v>3025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f t="shared" si="4"/>
        <v>0</v>
      </c>
      <c r="L74" s="6">
        <v>3025</v>
      </c>
      <c r="M74" s="8">
        <v>0</v>
      </c>
      <c r="N74" s="6">
        <v>23</v>
      </c>
      <c r="O74" s="8">
        <v>0</v>
      </c>
      <c r="Q74" s="10">
        <v>2103</v>
      </c>
      <c r="R74" s="10">
        <f t="shared" si="6"/>
        <v>0</v>
      </c>
      <c r="S74" s="10">
        <f t="shared" si="7"/>
        <v>0</v>
      </c>
    </row>
    <row r="75" spans="1:19" x14ac:dyDescent="0.25">
      <c r="A75" s="5" t="s">
        <v>87</v>
      </c>
      <c r="B75" s="6" t="s">
        <v>17</v>
      </c>
      <c r="C75" s="6" t="s">
        <v>19</v>
      </c>
      <c r="D75" s="6">
        <v>10</v>
      </c>
      <c r="E75" s="6">
        <v>16575</v>
      </c>
      <c r="F75" s="6">
        <v>0</v>
      </c>
      <c r="G75" s="6">
        <v>0</v>
      </c>
      <c r="H75" s="6">
        <v>0</v>
      </c>
      <c r="I75" s="6">
        <v>0</v>
      </c>
      <c r="J75" s="6">
        <v>5075</v>
      </c>
      <c r="K75" s="6">
        <f t="shared" si="4"/>
        <v>5075</v>
      </c>
      <c r="L75" s="6">
        <v>11500</v>
      </c>
      <c r="M75" s="8">
        <v>12750</v>
      </c>
      <c r="N75" s="6">
        <v>23</v>
      </c>
      <c r="O75" s="8">
        <f t="shared" si="5"/>
        <v>57.783251231527089</v>
      </c>
      <c r="Q75" s="10">
        <v>2103</v>
      </c>
      <c r="R75" s="10">
        <f t="shared" si="6"/>
        <v>10672725</v>
      </c>
      <c r="S75" s="10">
        <f t="shared" si="7"/>
        <v>26813250</v>
      </c>
    </row>
    <row r="76" spans="1:19" x14ac:dyDescent="0.25">
      <c r="A76" s="5" t="s">
        <v>88</v>
      </c>
      <c r="B76" s="6" t="s">
        <v>17</v>
      </c>
      <c r="C76" s="6" t="s">
        <v>19</v>
      </c>
      <c r="D76" s="6">
        <v>10</v>
      </c>
      <c r="E76" s="6">
        <v>2064</v>
      </c>
      <c r="F76" s="6">
        <v>3030</v>
      </c>
      <c r="G76" s="6">
        <v>0</v>
      </c>
      <c r="H76" s="6">
        <v>0</v>
      </c>
      <c r="I76" s="6">
        <v>0</v>
      </c>
      <c r="J76" s="6">
        <v>2220</v>
      </c>
      <c r="K76" s="6">
        <f t="shared" si="4"/>
        <v>2220</v>
      </c>
      <c r="L76" s="6">
        <v>2874</v>
      </c>
      <c r="M76" s="8">
        <v>2356.5</v>
      </c>
      <c r="N76" s="6">
        <v>23</v>
      </c>
      <c r="O76" s="8">
        <f t="shared" si="5"/>
        <v>24.414189189189191</v>
      </c>
      <c r="Q76" s="10">
        <v>4592</v>
      </c>
      <c r="R76" s="10">
        <f t="shared" si="6"/>
        <v>10194240</v>
      </c>
      <c r="S76" s="10">
        <f t="shared" si="7"/>
        <v>10821048</v>
      </c>
    </row>
    <row r="77" spans="1:19" x14ac:dyDescent="0.25">
      <c r="A77" s="5" t="s">
        <v>89</v>
      </c>
      <c r="B77" s="6" t="s">
        <v>17</v>
      </c>
      <c r="C77" s="6" t="s">
        <v>19</v>
      </c>
      <c r="D77" s="6">
        <v>10</v>
      </c>
      <c r="E77" s="6">
        <v>3257</v>
      </c>
      <c r="F77" s="6">
        <v>0</v>
      </c>
      <c r="G77" s="6">
        <v>0</v>
      </c>
      <c r="H77" s="6">
        <v>0</v>
      </c>
      <c r="I77" s="6">
        <v>0</v>
      </c>
      <c r="J77" s="6">
        <v>1745</v>
      </c>
      <c r="K77" s="6">
        <f t="shared" si="4"/>
        <v>1745</v>
      </c>
      <c r="L77" s="6">
        <v>1512</v>
      </c>
      <c r="M77" s="8">
        <v>1712</v>
      </c>
      <c r="N77" s="6">
        <v>23</v>
      </c>
      <c r="O77" s="8">
        <f t="shared" si="5"/>
        <v>22.565042979942692</v>
      </c>
      <c r="Q77" s="10">
        <v>2297</v>
      </c>
      <c r="R77" s="10">
        <f t="shared" si="6"/>
        <v>4008265</v>
      </c>
      <c r="S77" s="10">
        <f t="shared" si="7"/>
        <v>3932464</v>
      </c>
    </row>
    <row r="78" spans="1:19" x14ac:dyDescent="0.25">
      <c r="A78" s="5" t="s">
        <v>90</v>
      </c>
      <c r="B78" s="6" t="s">
        <v>17</v>
      </c>
      <c r="C78" s="6" t="s">
        <v>19</v>
      </c>
      <c r="D78" s="6">
        <v>10</v>
      </c>
      <c r="E78" s="6">
        <v>950</v>
      </c>
      <c r="F78" s="6">
        <v>1042</v>
      </c>
      <c r="G78" s="6">
        <v>0</v>
      </c>
      <c r="H78" s="6">
        <v>0</v>
      </c>
      <c r="I78" s="6">
        <v>0</v>
      </c>
      <c r="J78" s="6">
        <v>275</v>
      </c>
      <c r="K78" s="6">
        <f t="shared" si="4"/>
        <v>275</v>
      </c>
      <c r="L78" s="6">
        <v>1717</v>
      </c>
      <c r="M78" s="8">
        <v>1435.2</v>
      </c>
      <c r="N78" s="6">
        <v>23</v>
      </c>
      <c r="O78" s="8">
        <f t="shared" si="5"/>
        <v>120.0349090909091</v>
      </c>
      <c r="Q78" s="10">
        <v>2616</v>
      </c>
      <c r="R78" s="10">
        <f t="shared" si="6"/>
        <v>719400</v>
      </c>
      <c r="S78" s="10">
        <f t="shared" si="7"/>
        <v>3754483.2</v>
      </c>
    </row>
    <row r="79" spans="1:19" x14ac:dyDescent="0.25">
      <c r="A79" s="5" t="s">
        <v>91</v>
      </c>
      <c r="B79" s="6" t="s">
        <v>16</v>
      </c>
      <c r="C79" s="6" t="s">
        <v>19</v>
      </c>
      <c r="D79" s="6">
        <v>10</v>
      </c>
      <c r="E79" s="6">
        <v>27325</v>
      </c>
      <c r="F79" s="6">
        <v>26000</v>
      </c>
      <c r="G79" s="6">
        <v>0</v>
      </c>
      <c r="H79" s="6">
        <v>0</v>
      </c>
      <c r="I79" s="6">
        <v>0</v>
      </c>
      <c r="J79" s="6">
        <v>39500</v>
      </c>
      <c r="K79" s="6">
        <f t="shared" si="4"/>
        <v>39500</v>
      </c>
      <c r="L79" s="6">
        <v>13825</v>
      </c>
      <c r="M79" s="8">
        <v>22597.727272727301</v>
      </c>
      <c r="N79" s="6">
        <v>23</v>
      </c>
      <c r="O79" s="8">
        <f t="shared" si="5"/>
        <v>13.158170310701973</v>
      </c>
      <c r="Q79" s="10">
        <v>1419</v>
      </c>
      <c r="R79" s="10">
        <f t="shared" si="6"/>
        <v>56050500</v>
      </c>
      <c r="S79" s="10">
        <f t="shared" si="7"/>
        <v>32066175.000000041</v>
      </c>
    </row>
    <row r="80" spans="1:19" x14ac:dyDescent="0.25">
      <c r="A80" s="5" t="s">
        <v>92</v>
      </c>
      <c r="B80" s="6" t="s">
        <v>17</v>
      </c>
      <c r="C80" s="6" t="s">
        <v>19</v>
      </c>
      <c r="D80" s="6">
        <v>10</v>
      </c>
      <c r="E80" s="6">
        <v>1058</v>
      </c>
      <c r="F80" s="6">
        <v>0</v>
      </c>
      <c r="G80" s="6">
        <v>0</v>
      </c>
      <c r="H80" s="6">
        <v>0</v>
      </c>
      <c r="I80" s="6">
        <v>0</v>
      </c>
      <c r="J80" s="6">
        <v>435</v>
      </c>
      <c r="K80" s="6">
        <f t="shared" si="4"/>
        <v>435</v>
      </c>
      <c r="L80" s="6">
        <v>623</v>
      </c>
      <c r="M80" s="8">
        <v>773</v>
      </c>
      <c r="N80" s="6">
        <v>23</v>
      </c>
      <c r="O80" s="8">
        <f t="shared" si="5"/>
        <v>40.871264367816096</v>
      </c>
      <c r="Q80" s="10">
        <v>2616</v>
      </c>
      <c r="R80" s="10">
        <f t="shared" si="6"/>
        <v>1137960</v>
      </c>
      <c r="S80" s="10">
        <f t="shared" si="7"/>
        <v>2022168</v>
      </c>
    </row>
    <row r="81" spans="1:19" x14ac:dyDescent="0.25">
      <c r="A81" s="5" t="s">
        <v>93</v>
      </c>
      <c r="B81" s="6" t="s">
        <v>17</v>
      </c>
      <c r="C81" s="6" t="s">
        <v>19</v>
      </c>
      <c r="D81" s="6">
        <v>10</v>
      </c>
      <c r="E81" s="6">
        <v>360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f t="shared" si="4"/>
        <v>0</v>
      </c>
      <c r="L81" s="6">
        <v>360</v>
      </c>
      <c r="M81" s="8">
        <v>0</v>
      </c>
      <c r="N81" s="6">
        <v>23</v>
      </c>
      <c r="O81" s="8">
        <v>0</v>
      </c>
      <c r="Q81" s="10">
        <v>7550</v>
      </c>
      <c r="R81" s="10">
        <f t="shared" si="6"/>
        <v>0</v>
      </c>
      <c r="S81" s="10">
        <f t="shared" si="7"/>
        <v>0</v>
      </c>
    </row>
    <row r="82" spans="1:19" x14ac:dyDescent="0.25">
      <c r="A82" s="5" t="s">
        <v>94</v>
      </c>
      <c r="B82" s="6" t="s">
        <v>17</v>
      </c>
      <c r="C82" s="6" t="s">
        <v>19</v>
      </c>
      <c r="D82" s="6">
        <v>10</v>
      </c>
      <c r="E82" s="6">
        <v>5907</v>
      </c>
      <c r="F82" s="6">
        <v>38305</v>
      </c>
      <c r="G82" s="6">
        <v>0</v>
      </c>
      <c r="H82" s="6">
        <v>0</v>
      </c>
      <c r="I82" s="6">
        <v>32730</v>
      </c>
      <c r="J82" s="6">
        <v>0</v>
      </c>
      <c r="K82" s="6">
        <f t="shared" si="4"/>
        <v>32730</v>
      </c>
      <c r="L82" s="6">
        <v>11482</v>
      </c>
      <c r="M82" s="8">
        <v>12938.388888888901</v>
      </c>
      <c r="N82" s="6">
        <v>23</v>
      </c>
      <c r="O82" s="8">
        <f t="shared" si="5"/>
        <v>9.0920545201480216</v>
      </c>
      <c r="Q82" s="10">
        <v>7550</v>
      </c>
      <c r="R82" s="10">
        <f t="shared" si="6"/>
        <v>247111500</v>
      </c>
      <c r="S82" s="10">
        <f t="shared" si="7"/>
        <v>97684836.111111209</v>
      </c>
    </row>
    <row r="83" spans="1:19" x14ac:dyDescent="0.25">
      <c r="A83" s="5" t="s">
        <v>95</v>
      </c>
      <c r="B83" s="6" t="s">
        <v>17</v>
      </c>
      <c r="C83" s="6" t="s">
        <v>19</v>
      </c>
      <c r="D83" s="6">
        <v>10</v>
      </c>
      <c r="E83" s="6">
        <v>3864</v>
      </c>
      <c r="F83" s="6">
        <v>1050</v>
      </c>
      <c r="G83" s="6">
        <v>0</v>
      </c>
      <c r="H83" s="6">
        <v>0</v>
      </c>
      <c r="I83" s="6">
        <v>0</v>
      </c>
      <c r="J83" s="6">
        <v>2984</v>
      </c>
      <c r="K83" s="6">
        <f t="shared" si="4"/>
        <v>2984</v>
      </c>
      <c r="L83" s="6">
        <v>1930</v>
      </c>
      <c r="M83" s="8">
        <v>2991.2000000000003</v>
      </c>
      <c r="N83" s="6">
        <v>23</v>
      </c>
      <c r="O83" s="8">
        <f t="shared" si="5"/>
        <v>23.05549597855228</v>
      </c>
      <c r="Q83" s="10">
        <v>4592</v>
      </c>
      <c r="R83" s="10">
        <f t="shared" si="6"/>
        <v>13702528</v>
      </c>
      <c r="S83" s="10">
        <f t="shared" si="7"/>
        <v>13735590.4</v>
      </c>
    </row>
    <row r="84" spans="1:19" x14ac:dyDescent="0.25">
      <c r="A84" s="5" t="s">
        <v>96</v>
      </c>
      <c r="B84" s="6" t="s">
        <v>17</v>
      </c>
      <c r="C84" s="6" t="s">
        <v>19</v>
      </c>
      <c r="D84" s="6">
        <v>10</v>
      </c>
      <c r="E84" s="6">
        <v>4080</v>
      </c>
      <c r="F84" s="6">
        <v>5018</v>
      </c>
      <c r="G84" s="6">
        <v>0</v>
      </c>
      <c r="H84" s="6">
        <v>0</v>
      </c>
      <c r="I84" s="6">
        <v>0</v>
      </c>
      <c r="J84" s="6">
        <v>7096</v>
      </c>
      <c r="K84" s="6">
        <f t="shared" si="4"/>
        <v>7096</v>
      </c>
      <c r="L84" s="6">
        <v>2002</v>
      </c>
      <c r="M84" s="8">
        <v>3200.625</v>
      </c>
      <c r="N84" s="6">
        <v>23</v>
      </c>
      <c r="O84" s="8">
        <f t="shared" si="5"/>
        <v>10.374066375422773</v>
      </c>
      <c r="Q84" s="10">
        <v>2297</v>
      </c>
      <c r="R84" s="10">
        <f t="shared" si="6"/>
        <v>16299512</v>
      </c>
      <c r="S84" s="10">
        <f t="shared" si="7"/>
        <v>7351835.625</v>
      </c>
    </row>
    <row r="85" spans="1:19" x14ac:dyDescent="0.25">
      <c r="A85" s="5" t="s">
        <v>97</v>
      </c>
      <c r="B85" s="6" t="s">
        <v>17</v>
      </c>
      <c r="C85" s="6" t="s">
        <v>19</v>
      </c>
      <c r="D85" s="6">
        <v>10</v>
      </c>
      <c r="E85" s="6">
        <v>650</v>
      </c>
      <c r="F85" s="6">
        <v>0</v>
      </c>
      <c r="G85" s="6">
        <v>0</v>
      </c>
      <c r="H85" s="6">
        <v>0</v>
      </c>
      <c r="I85" s="6">
        <v>0</v>
      </c>
      <c r="J85" s="6">
        <v>225</v>
      </c>
      <c r="K85" s="6">
        <f t="shared" si="4"/>
        <v>225</v>
      </c>
      <c r="L85" s="6">
        <v>425</v>
      </c>
      <c r="M85" s="8">
        <v>437.5</v>
      </c>
      <c r="N85" s="6">
        <v>23</v>
      </c>
      <c r="O85" s="8">
        <f t="shared" si="5"/>
        <v>44.722222222222221</v>
      </c>
      <c r="Q85" s="10">
        <v>2616</v>
      </c>
      <c r="R85" s="10">
        <f t="shared" si="6"/>
        <v>588600</v>
      </c>
      <c r="S85" s="10">
        <f t="shared" si="7"/>
        <v>1144500</v>
      </c>
    </row>
    <row r="86" spans="1:19" x14ac:dyDescent="0.25">
      <c r="A86" s="5" t="s">
        <v>98</v>
      </c>
      <c r="B86" s="6" t="s">
        <v>16</v>
      </c>
      <c r="C86" s="6" t="s">
        <v>19</v>
      </c>
      <c r="D86" s="6">
        <v>10</v>
      </c>
      <c r="E86" s="6">
        <v>15990</v>
      </c>
      <c r="F86" s="6">
        <v>36500</v>
      </c>
      <c r="G86" s="6">
        <v>0</v>
      </c>
      <c r="H86" s="6">
        <v>0</v>
      </c>
      <c r="I86" s="6">
        <v>0</v>
      </c>
      <c r="J86" s="6">
        <v>37500</v>
      </c>
      <c r="K86" s="6">
        <f t="shared" si="4"/>
        <v>37500</v>
      </c>
      <c r="L86" s="6">
        <v>14990</v>
      </c>
      <c r="M86" s="8">
        <v>10450.416666666701</v>
      </c>
      <c r="N86" s="6">
        <v>23</v>
      </c>
      <c r="O86" s="8">
        <f t="shared" si="5"/>
        <v>6.4095888888889103</v>
      </c>
      <c r="Q86" s="10">
        <v>1419</v>
      </c>
      <c r="R86" s="10">
        <f t="shared" si="6"/>
        <v>53212500</v>
      </c>
      <c r="S86" s="10">
        <f t="shared" si="7"/>
        <v>14829141.250000048</v>
      </c>
    </row>
    <row r="87" spans="1:19" x14ac:dyDescent="0.25">
      <c r="A87" s="5" t="s">
        <v>99</v>
      </c>
      <c r="B87" s="6" t="s">
        <v>17</v>
      </c>
      <c r="C87" s="6" t="s">
        <v>19</v>
      </c>
      <c r="D87" s="6">
        <v>10</v>
      </c>
      <c r="E87" s="6">
        <v>1461</v>
      </c>
      <c r="F87" s="6">
        <v>0</v>
      </c>
      <c r="G87" s="6">
        <v>0</v>
      </c>
      <c r="H87" s="6">
        <v>0</v>
      </c>
      <c r="I87" s="6">
        <v>0</v>
      </c>
      <c r="J87" s="6">
        <v>150</v>
      </c>
      <c r="K87" s="6">
        <f t="shared" si="4"/>
        <v>150</v>
      </c>
      <c r="L87" s="6">
        <v>1311</v>
      </c>
      <c r="M87" s="8">
        <v>1311</v>
      </c>
      <c r="N87" s="6">
        <v>23</v>
      </c>
      <c r="O87" s="8">
        <f t="shared" si="5"/>
        <v>201.02</v>
      </c>
      <c r="Q87" s="10">
        <v>2616</v>
      </c>
      <c r="R87" s="10">
        <f t="shared" si="6"/>
        <v>392400</v>
      </c>
      <c r="S87" s="10">
        <f t="shared" si="7"/>
        <v>3429576</v>
      </c>
    </row>
    <row r="88" spans="1:19" x14ac:dyDescent="0.25">
      <c r="A88" s="5" t="s">
        <v>100</v>
      </c>
      <c r="B88" s="6" t="s">
        <v>17</v>
      </c>
      <c r="C88" s="6" t="s">
        <v>19</v>
      </c>
      <c r="D88" s="6">
        <v>10</v>
      </c>
      <c r="E88" s="6">
        <v>1585</v>
      </c>
      <c r="F88" s="6">
        <v>1050</v>
      </c>
      <c r="G88" s="6">
        <v>0</v>
      </c>
      <c r="H88" s="6">
        <v>0</v>
      </c>
      <c r="I88" s="6">
        <v>0</v>
      </c>
      <c r="J88" s="6">
        <v>1110</v>
      </c>
      <c r="K88" s="6">
        <f t="shared" si="4"/>
        <v>1110</v>
      </c>
      <c r="L88" s="6">
        <v>1525</v>
      </c>
      <c r="M88" s="8">
        <v>1421.6666666666702</v>
      </c>
      <c r="N88" s="6">
        <v>23</v>
      </c>
      <c r="O88" s="8">
        <f t="shared" si="5"/>
        <v>29.45795795795803</v>
      </c>
      <c r="Q88" s="10">
        <v>4592</v>
      </c>
      <c r="R88" s="10">
        <f t="shared" si="6"/>
        <v>5097120</v>
      </c>
      <c r="S88" s="10">
        <f t="shared" si="7"/>
        <v>6528293.3333333498</v>
      </c>
    </row>
    <row r="89" spans="1:19" x14ac:dyDescent="0.25">
      <c r="A89" s="5" t="s">
        <v>101</v>
      </c>
      <c r="B89" s="6" t="s">
        <v>17</v>
      </c>
      <c r="C89" s="6" t="s">
        <v>19</v>
      </c>
      <c r="D89" s="6">
        <v>10</v>
      </c>
      <c r="E89" s="6">
        <v>16540</v>
      </c>
      <c r="F89" s="6">
        <v>0</v>
      </c>
      <c r="G89" s="6">
        <v>0</v>
      </c>
      <c r="H89" s="6">
        <v>0</v>
      </c>
      <c r="I89" s="6">
        <v>0</v>
      </c>
      <c r="J89" s="6">
        <v>2125</v>
      </c>
      <c r="K89" s="6">
        <f t="shared" si="4"/>
        <v>2125</v>
      </c>
      <c r="L89" s="6">
        <v>14415</v>
      </c>
      <c r="M89" s="8">
        <v>14915</v>
      </c>
      <c r="N89" s="6">
        <v>23</v>
      </c>
      <c r="O89" s="8">
        <f t="shared" si="5"/>
        <v>161.43294117647059</v>
      </c>
      <c r="Q89" s="10">
        <v>2297</v>
      </c>
      <c r="R89" s="10">
        <f t="shared" si="6"/>
        <v>4881125</v>
      </c>
      <c r="S89" s="10">
        <f t="shared" si="7"/>
        <v>34259755</v>
      </c>
    </row>
    <row r="90" spans="1:19" x14ac:dyDescent="0.25">
      <c r="A90" s="5" t="s">
        <v>102</v>
      </c>
      <c r="B90" s="6" t="s">
        <v>17</v>
      </c>
      <c r="C90" s="6" t="s">
        <v>19</v>
      </c>
      <c r="D90" s="6">
        <v>10</v>
      </c>
      <c r="E90" s="6">
        <v>1800</v>
      </c>
      <c r="F90" s="6">
        <v>0</v>
      </c>
      <c r="G90" s="6">
        <v>0</v>
      </c>
      <c r="H90" s="6">
        <v>0</v>
      </c>
      <c r="I90" s="6">
        <v>0</v>
      </c>
      <c r="J90" s="6">
        <v>425</v>
      </c>
      <c r="K90" s="6">
        <f t="shared" si="4"/>
        <v>425</v>
      </c>
      <c r="L90" s="6">
        <v>1375</v>
      </c>
      <c r="M90" s="8">
        <v>1487.5</v>
      </c>
      <c r="N90" s="6">
        <v>23</v>
      </c>
      <c r="O90" s="8">
        <f t="shared" si="5"/>
        <v>80.5</v>
      </c>
      <c r="Q90" s="10">
        <v>2616</v>
      </c>
      <c r="R90" s="10">
        <f t="shared" si="6"/>
        <v>1111800</v>
      </c>
      <c r="S90" s="10">
        <f t="shared" si="7"/>
        <v>3891300</v>
      </c>
    </row>
    <row r="91" spans="1:19" x14ac:dyDescent="0.25">
      <c r="A91" s="5" t="s">
        <v>103</v>
      </c>
      <c r="B91" s="6" t="s">
        <v>16</v>
      </c>
      <c r="C91" s="6" t="s">
        <v>19</v>
      </c>
      <c r="D91" s="6">
        <v>10</v>
      </c>
      <c r="E91" s="6">
        <v>6100</v>
      </c>
      <c r="F91" s="6">
        <v>43000</v>
      </c>
      <c r="G91" s="6">
        <v>0</v>
      </c>
      <c r="H91" s="6">
        <v>0</v>
      </c>
      <c r="I91" s="6">
        <v>0</v>
      </c>
      <c r="J91" s="6">
        <v>41650</v>
      </c>
      <c r="K91" s="6">
        <f t="shared" si="4"/>
        <v>41650</v>
      </c>
      <c r="L91" s="6">
        <v>7450</v>
      </c>
      <c r="M91" s="8">
        <v>14643.333333333299</v>
      </c>
      <c r="N91" s="6">
        <v>23</v>
      </c>
      <c r="O91" s="8">
        <f t="shared" si="5"/>
        <v>8.0863545418167089</v>
      </c>
      <c r="Q91" s="10">
        <v>1419</v>
      </c>
      <c r="R91" s="10">
        <f t="shared" si="6"/>
        <v>59101350</v>
      </c>
      <c r="S91" s="10">
        <f t="shared" si="7"/>
        <v>20778889.999999952</v>
      </c>
    </row>
    <row r="92" spans="1:19" x14ac:dyDescent="0.25">
      <c r="A92" s="5" t="s">
        <v>104</v>
      </c>
      <c r="B92" s="6" t="s">
        <v>17</v>
      </c>
      <c r="C92" s="6" t="s">
        <v>19</v>
      </c>
      <c r="D92" s="6">
        <v>10</v>
      </c>
      <c r="E92" s="6">
        <v>239</v>
      </c>
      <c r="F92" s="6">
        <v>1050</v>
      </c>
      <c r="G92" s="6">
        <v>0</v>
      </c>
      <c r="H92" s="6">
        <v>0</v>
      </c>
      <c r="I92" s="6">
        <v>0</v>
      </c>
      <c r="J92" s="6">
        <v>550</v>
      </c>
      <c r="K92" s="6">
        <f t="shared" si="4"/>
        <v>550</v>
      </c>
      <c r="L92" s="6">
        <v>739</v>
      </c>
      <c r="M92" s="8">
        <v>764</v>
      </c>
      <c r="N92" s="6">
        <v>23</v>
      </c>
      <c r="O92" s="8">
        <f t="shared" si="5"/>
        <v>31.949090909090909</v>
      </c>
      <c r="Q92" s="10">
        <v>1419</v>
      </c>
      <c r="R92" s="10">
        <f t="shared" si="6"/>
        <v>780450</v>
      </c>
      <c r="S92" s="10">
        <f t="shared" si="7"/>
        <v>1084116</v>
      </c>
    </row>
    <row r="93" spans="1:19" x14ac:dyDescent="0.25">
      <c r="A93" s="5" t="s">
        <v>105</v>
      </c>
      <c r="B93" s="6" t="s">
        <v>17</v>
      </c>
      <c r="C93" s="6" t="s">
        <v>19</v>
      </c>
      <c r="D93" s="6">
        <v>10</v>
      </c>
      <c r="E93" s="6">
        <v>11676</v>
      </c>
      <c r="F93" s="6">
        <v>24747</v>
      </c>
      <c r="G93" s="6">
        <v>0</v>
      </c>
      <c r="H93" s="6">
        <v>0</v>
      </c>
      <c r="I93" s="6">
        <v>0</v>
      </c>
      <c r="J93" s="6">
        <v>22222</v>
      </c>
      <c r="K93" s="6">
        <f t="shared" si="4"/>
        <v>22222</v>
      </c>
      <c r="L93" s="6">
        <v>14201</v>
      </c>
      <c r="M93" s="8">
        <v>11803.75</v>
      </c>
      <c r="N93" s="6">
        <v>23</v>
      </c>
      <c r="O93" s="8">
        <f t="shared" si="5"/>
        <v>12.217003420034201</v>
      </c>
      <c r="Q93" s="10">
        <v>1968</v>
      </c>
      <c r="R93" s="10">
        <f t="shared" si="6"/>
        <v>43732896</v>
      </c>
      <c r="S93" s="10">
        <f t="shared" si="7"/>
        <v>23229780</v>
      </c>
    </row>
    <row r="94" spans="1:19" x14ac:dyDescent="0.25">
      <c r="A94" s="5" t="s">
        <v>108</v>
      </c>
      <c r="B94" s="6" t="s">
        <v>17</v>
      </c>
      <c r="C94" s="6" t="s">
        <v>19</v>
      </c>
      <c r="D94" s="6">
        <v>10</v>
      </c>
      <c r="E94" s="6">
        <v>12630</v>
      </c>
      <c r="F94" s="6">
        <v>7300</v>
      </c>
      <c r="G94" s="6">
        <v>0</v>
      </c>
      <c r="H94" s="6">
        <v>0</v>
      </c>
      <c r="I94" s="6">
        <v>7575</v>
      </c>
      <c r="J94" s="6">
        <v>0</v>
      </c>
      <c r="K94" s="6">
        <f t="shared" si="4"/>
        <v>7575</v>
      </c>
      <c r="L94" s="6">
        <v>12355</v>
      </c>
      <c r="M94" s="8">
        <v>9623.75</v>
      </c>
      <c r="N94" s="6">
        <v>23</v>
      </c>
      <c r="O94" s="8">
        <f t="shared" si="5"/>
        <v>29.220627062706274</v>
      </c>
      <c r="Q94" s="10">
        <v>1968</v>
      </c>
      <c r="R94" s="10">
        <f t="shared" si="6"/>
        <v>14907600</v>
      </c>
      <c r="S94" s="10">
        <f t="shared" si="7"/>
        <v>18939540</v>
      </c>
    </row>
    <row r="95" spans="1:19" x14ac:dyDescent="0.25">
      <c r="A95" s="5" t="s">
        <v>2</v>
      </c>
      <c r="B95" s="6" t="s">
        <v>17</v>
      </c>
      <c r="C95" s="6" t="s">
        <v>19</v>
      </c>
      <c r="D95" s="6">
        <v>10</v>
      </c>
      <c r="E95" s="6">
        <v>8172</v>
      </c>
      <c r="F95" s="6">
        <v>11730</v>
      </c>
      <c r="G95" s="6">
        <v>0</v>
      </c>
      <c r="H95" s="6">
        <v>0</v>
      </c>
      <c r="I95" s="6">
        <v>8662</v>
      </c>
      <c r="J95" s="6">
        <v>0</v>
      </c>
      <c r="K95" s="6">
        <f t="shared" si="4"/>
        <v>8662</v>
      </c>
      <c r="L95" s="6">
        <v>11240</v>
      </c>
      <c r="M95" s="8">
        <v>10830.75</v>
      </c>
      <c r="N95" s="6">
        <v>23</v>
      </c>
      <c r="O95" s="8">
        <f t="shared" si="5"/>
        <v>28.758629646732857</v>
      </c>
      <c r="Q95" s="10">
        <v>2157</v>
      </c>
      <c r="R95" s="10">
        <f t="shared" si="6"/>
        <v>18683934</v>
      </c>
      <c r="S95" s="10">
        <f t="shared" si="7"/>
        <v>23361927.75</v>
      </c>
    </row>
    <row r="96" spans="1:19" x14ac:dyDescent="0.25">
      <c r="A96" s="5" t="s">
        <v>110</v>
      </c>
      <c r="B96" s="6" t="s">
        <v>17</v>
      </c>
      <c r="C96" s="6" t="s">
        <v>19</v>
      </c>
      <c r="D96" s="6">
        <v>10</v>
      </c>
      <c r="E96" s="6">
        <v>2575</v>
      </c>
      <c r="F96" s="6">
        <v>7014</v>
      </c>
      <c r="G96" s="6">
        <v>0</v>
      </c>
      <c r="H96" s="6">
        <v>0</v>
      </c>
      <c r="I96" s="6">
        <v>0</v>
      </c>
      <c r="J96" s="6">
        <v>5325</v>
      </c>
      <c r="K96" s="6">
        <f t="shared" si="4"/>
        <v>5325</v>
      </c>
      <c r="L96" s="6">
        <v>4264</v>
      </c>
      <c r="M96" s="8">
        <v>2662.8</v>
      </c>
      <c r="N96" s="6">
        <v>23</v>
      </c>
      <c r="O96" s="8">
        <f t="shared" si="5"/>
        <v>11.501295774647888</v>
      </c>
      <c r="Q96" s="10">
        <v>2031</v>
      </c>
      <c r="R96" s="10">
        <f t="shared" si="6"/>
        <v>10815075</v>
      </c>
      <c r="S96" s="10">
        <f t="shared" si="7"/>
        <v>5408146.8000000007</v>
      </c>
    </row>
    <row r="97" spans="1:19" x14ac:dyDescent="0.25">
      <c r="A97" s="5" t="s">
        <v>111</v>
      </c>
      <c r="B97" s="6" t="s">
        <v>17</v>
      </c>
      <c r="C97" s="6" t="s">
        <v>19</v>
      </c>
      <c r="D97" s="6">
        <v>10</v>
      </c>
      <c r="E97" s="6">
        <v>6683</v>
      </c>
      <c r="F97" s="6">
        <v>10444</v>
      </c>
      <c r="G97" s="6">
        <v>0</v>
      </c>
      <c r="H97" s="6">
        <v>0</v>
      </c>
      <c r="I97" s="6">
        <v>0</v>
      </c>
      <c r="J97" s="6">
        <v>10137</v>
      </c>
      <c r="K97" s="6">
        <f t="shared" si="4"/>
        <v>10137</v>
      </c>
      <c r="L97" s="6">
        <v>6990</v>
      </c>
      <c r="M97" s="8">
        <v>6646</v>
      </c>
      <c r="N97" s="6">
        <v>23</v>
      </c>
      <c r="O97" s="8">
        <f t="shared" si="5"/>
        <v>15.079214757817894</v>
      </c>
      <c r="Q97" s="10">
        <v>2031</v>
      </c>
      <c r="R97" s="10">
        <f t="shared" si="6"/>
        <v>20588247</v>
      </c>
      <c r="S97" s="10">
        <f t="shared" si="7"/>
        <v>13498026</v>
      </c>
    </row>
    <row r="98" spans="1:19" x14ac:dyDescent="0.25">
      <c r="A98" s="5" t="s">
        <v>112</v>
      </c>
      <c r="B98" s="6" t="s">
        <v>17</v>
      </c>
      <c r="C98" s="6" t="s">
        <v>19</v>
      </c>
      <c r="D98" s="6">
        <v>10</v>
      </c>
      <c r="E98" s="6">
        <v>575</v>
      </c>
      <c r="F98" s="6">
        <v>1050</v>
      </c>
      <c r="G98" s="6">
        <v>0</v>
      </c>
      <c r="H98" s="6">
        <v>0</v>
      </c>
      <c r="I98" s="6">
        <v>0</v>
      </c>
      <c r="J98" s="6">
        <v>1050</v>
      </c>
      <c r="K98" s="6">
        <f t="shared" si="4"/>
        <v>1050</v>
      </c>
      <c r="L98" s="6">
        <v>575</v>
      </c>
      <c r="M98" s="8">
        <v>1100</v>
      </c>
      <c r="N98" s="6">
        <v>23</v>
      </c>
      <c r="O98" s="8">
        <f t="shared" si="5"/>
        <v>24.095238095238095</v>
      </c>
      <c r="Q98" s="10">
        <v>2642</v>
      </c>
      <c r="R98" s="10">
        <f t="shared" si="6"/>
        <v>2774100</v>
      </c>
      <c r="S98" s="10">
        <f t="shared" si="7"/>
        <v>2906200</v>
      </c>
    </row>
    <row r="99" spans="1:19" x14ac:dyDescent="0.25">
      <c r="A99" s="5" t="s">
        <v>113</v>
      </c>
      <c r="B99" s="6" t="s">
        <v>17</v>
      </c>
      <c r="C99" s="6" t="s">
        <v>19</v>
      </c>
      <c r="D99" s="6">
        <v>10</v>
      </c>
      <c r="E99" s="6">
        <v>600</v>
      </c>
      <c r="F99" s="6">
        <v>3525</v>
      </c>
      <c r="G99" s="6">
        <v>0</v>
      </c>
      <c r="H99" s="6">
        <v>0</v>
      </c>
      <c r="I99" s="6">
        <v>0</v>
      </c>
      <c r="J99" s="6">
        <v>1525</v>
      </c>
      <c r="K99" s="6">
        <f t="shared" si="4"/>
        <v>1525</v>
      </c>
      <c r="L99" s="6">
        <v>2600</v>
      </c>
      <c r="M99" s="8">
        <v>3108.3333333333298</v>
      </c>
      <c r="N99" s="6">
        <v>23</v>
      </c>
      <c r="O99" s="8">
        <f t="shared" si="5"/>
        <v>46.879781420764971</v>
      </c>
      <c r="Q99" s="10">
        <v>2642</v>
      </c>
      <c r="R99" s="10">
        <f t="shared" si="6"/>
        <v>4029050</v>
      </c>
      <c r="S99" s="10">
        <f t="shared" si="7"/>
        <v>8212216.6666666577</v>
      </c>
    </row>
    <row r="100" spans="1:19" x14ac:dyDescent="0.25">
      <c r="A100" s="5" t="s">
        <v>114</v>
      </c>
      <c r="B100" s="6" t="s">
        <v>17</v>
      </c>
      <c r="C100" s="6" t="s">
        <v>19</v>
      </c>
      <c r="D100" s="6">
        <v>10</v>
      </c>
      <c r="E100" s="6">
        <v>675</v>
      </c>
      <c r="F100" s="6">
        <v>0</v>
      </c>
      <c r="G100" s="6">
        <v>0</v>
      </c>
      <c r="H100" s="6">
        <v>0</v>
      </c>
      <c r="I100" s="6">
        <v>0</v>
      </c>
      <c r="J100" s="6">
        <v>50</v>
      </c>
      <c r="K100" s="6">
        <f t="shared" si="4"/>
        <v>50</v>
      </c>
      <c r="L100" s="6">
        <v>625</v>
      </c>
      <c r="M100" s="8">
        <v>625</v>
      </c>
      <c r="N100" s="6">
        <v>23</v>
      </c>
      <c r="O100" s="8">
        <f t="shared" si="5"/>
        <v>287.5</v>
      </c>
      <c r="Q100" s="10">
        <v>2488</v>
      </c>
      <c r="R100" s="10">
        <f t="shared" si="6"/>
        <v>124400</v>
      </c>
      <c r="S100" s="10">
        <f t="shared" si="7"/>
        <v>1555000</v>
      </c>
    </row>
    <row r="101" spans="1:19" x14ac:dyDescent="0.25">
      <c r="A101" s="5" t="s">
        <v>115</v>
      </c>
      <c r="B101" s="6" t="s">
        <v>17</v>
      </c>
      <c r="C101" s="6" t="s">
        <v>19</v>
      </c>
      <c r="D101" s="6">
        <v>10</v>
      </c>
      <c r="E101" s="6">
        <v>0</v>
      </c>
      <c r="F101" s="6">
        <v>2050</v>
      </c>
      <c r="G101" s="6">
        <v>0</v>
      </c>
      <c r="H101" s="6">
        <v>0</v>
      </c>
      <c r="I101" s="6">
        <v>0</v>
      </c>
      <c r="J101" s="6">
        <v>2050</v>
      </c>
      <c r="K101" s="6">
        <f t="shared" si="4"/>
        <v>2050</v>
      </c>
      <c r="L101" s="6">
        <v>0</v>
      </c>
      <c r="M101" s="8">
        <v>350</v>
      </c>
      <c r="N101" s="6">
        <v>23</v>
      </c>
      <c r="O101" s="8">
        <f t="shared" si="5"/>
        <v>3.9268292682926833</v>
      </c>
      <c r="Q101" s="10">
        <v>2431</v>
      </c>
      <c r="R101" s="10">
        <f t="shared" si="6"/>
        <v>4983550</v>
      </c>
      <c r="S101" s="10">
        <f t="shared" si="7"/>
        <v>850850</v>
      </c>
    </row>
    <row r="102" spans="1:19" x14ac:dyDescent="0.25">
      <c r="A102" s="5" t="s">
        <v>116</v>
      </c>
      <c r="B102" s="6" t="s">
        <v>17</v>
      </c>
      <c r="C102" s="6" t="s">
        <v>19</v>
      </c>
      <c r="D102" s="6">
        <v>10</v>
      </c>
      <c r="E102" s="6">
        <v>1610</v>
      </c>
      <c r="F102" s="6">
        <v>9210</v>
      </c>
      <c r="G102" s="6">
        <v>0</v>
      </c>
      <c r="H102" s="6">
        <v>0</v>
      </c>
      <c r="I102" s="6">
        <v>0</v>
      </c>
      <c r="J102" s="6">
        <v>4640</v>
      </c>
      <c r="K102" s="6">
        <f t="shared" si="4"/>
        <v>4640</v>
      </c>
      <c r="L102" s="6">
        <v>6180</v>
      </c>
      <c r="M102" s="8">
        <v>3668.6666666666702</v>
      </c>
      <c r="N102" s="6">
        <v>23</v>
      </c>
      <c r="O102" s="8">
        <f t="shared" si="5"/>
        <v>18.185201149425303</v>
      </c>
      <c r="Q102" s="10">
        <v>4592</v>
      </c>
      <c r="R102" s="10">
        <f t="shared" si="6"/>
        <v>21306880</v>
      </c>
      <c r="S102" s="10">
        <f t="shared" si="7"/>
        <v>16846517.333333351</v>
      </c>
    </row>
    <row r="103" spans="1:19" x14ac:dyDescent="0.25">
      <c r="A103" s="5" t="s">
        <v>117</v>
      </c>
      <c r="B103" s="6" t="s">
        <v>17</v>
      </c>
      <c r="C103" s="6" t="s">
        <v>19</v>
      </c>
      <c r="D103" s="6">
        <v>10</v>
      </c>
      <c r="E103" s="6">
        <v>1650</v>
      </c>
      <c r="F103" s="6">
        <v>3000</v>
      </c>
      <c r="G103" s="6">
        <v>0</v>
      </c>
      <c r="H103" s="6">
        <v>0</v>
      </c>
      <c r="I103" s="6">
        <v>0</v>
      </c>
      <c r="J103" s="6">
        <v>1575</v>
      </c>
      <c r="K103" s="6">
        <f t="shared" si="4"/>
        <v>1575</v>
      </c>
      <c r="L103" s="6">
        <v>3075</v>
      </c>
      <c r="M103" s="8">
        <v>2125</v>
      </c>
      <c r="N103" s="6">
        <v>23</v>
      </c>
      <c r="O103" s="8">
        <f t="shared" si="5"/>
        <v>31.031746031746035</v>
      </c>
      <c r="Q103" s="10">
        <v>2297</v>
      </c>
      <c r="R103" s="10">
        <f t="shared" si="6"/>
        <v>3617775</v>
      </c>
      <c r="S103" s="10">
        <f t="shared" si="7"/>
        <v>4881125</v>
      </c>
    </row>
    <row r="104" spans="1:19" x14ac:dyDescent="0.25">
      <c r="A104" s="5" t="s">
        <v>118</v>
      </c>
      <c r="B104" s="6" t="s">
        <v>17</v>
      </c>
      <c r="C104" s="6" t="s">
        <v>19</v>
      </c>
      <c r="D104" s="6">
        <v>10</v>
      </c>
      <c r="E104" s="6">
        <v>1475</v>
      </c>
      <c r="F104" s="6">
        <v>0</v>
      </c>
      <c r="G104" s="6">
        <v>0</v>
      </c>
      <c r="H104" s="6">
        <v>0</v>
      </c>
      <c r="I104" s="6">
        <v>0</v>
      </c>
      <c r="J104" s="6">
        <v>375</v>
      </c>
      <c r="K104" s="6">
        <f t="shared" si="4"/>
        <v>375</v>
      </c>
      <c r="L104" s="6">
        <v>1100</v>
      </c>
      <c r="M104" s="8">
        <v>1100</v>
      </c>
      <c r="N104" s="6">
        <v>23</v>
      </c>
      <c r="O104" s="8">
        <f t="shared" si="5"/>
        <v>67.466666666666669</v>
      </c>
      <c r="Q104" s="10">
        <v>2616</v>
      </c>
      <c r="R104" s="10">
        <f t="shared" si="6"/>
        <v>981000</v>
      </c>
      <c r="S104" s="10">
        <f t="shared" si="7"/>
        <v>2877600</v>
      </c>
    </row>
    <row r="105" spans="1:19" x14ac:dyDescent="0.25">
      <c r="A105" s="5" t="s">
        <v>119</v>
      </c>
      <c r="B105" s="6" t="s">
        <v>17</v>
      </c>
      <c r="C105" s="6" t="s">
        <v>19</v>
      </c>
      <c r="D105" s="6">
        <v>10</v>
      </c>
      <c r="E105" s="6">
        <v>7554</v>
      </c>
      <c r="F105" s="6">
        <v>11194</v>
      </c>
      <c r="G105" s="6">
        <v>0</v>
      </c>
      <c r="H105" s="6">
        <v>0</v>
      </c>
      <c r="I105" s="6">
        <v>0</v>
      </c>
      <c r="J105" s="6">
        <v>10489</v>
      </c>
      <c r="K105" s="6">
        <f t="shared" si="4"/>
        <v>10489</v>
      </c>
      <c r="L105" s="6">
        <v>8259</v>
      </c>
      <c r="M105" s="8">
        <v>7035</v>
      </c>
      <c r="N105" s="6">
        <v>23</v>
      </c>
      <c r="O105" s="8">
        <f t="shared" si="5"/>
        <v>15.426160739822672</v>
      </c>
      <c r="Q105" s="10">
        <v>1419</v>
      </c>
      <c r="R105" s="10">
        <f t="shared" si="6"/>
        <v>14883891</v>
      </c>
      <c r="S105" s="10">
        <f t="shared" si="7"/>
        <v>9982665</v>
      </c>
    </row>
    <row r="106" spans="1:19" x14ac:dyDescent="0.25">
      <c r="A106" s="5" t="s">
        <v>120</v>
      </c>
      <c r="B106" s="6" t="s">
        <v>17</v>
      </c>
      <c r="C106" s="6" t="s">
        <v>19</v>
      </c>
      <c r="D106" s="6">
        <v>10</v>
      </c>
      <c r="E106" s="6">
        <v>950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f t="shared" si="4"/>
        <v>0</v>
      </c>
      <c r="L106" s="6">
        <v>950</v>
      </c>
      <c r="M106" s="8">
        <v>0</v>
      </c>
      <c r="N106" s="6">
        <v>23</v>
      </c>
      <c r="O106" s="8">
        <v>0</v>
      </c>
      <c r="Q106" s="10">
        <v>2616</v>
      </c>
      <c r="R106" s="10">
        <f t="shared" si="6"/>
        <v>0</v>
      </c>
      <c r="S106" s="10">
        <f t="shared" si="7"/>
        <v>0</v>
      </c>
    </row>
    <row r="107" spans="1:19" x14ac:dyDescent="0.25">
      <c r="A107" s="5" t="s">
        <v>121</v>
      </c>
      <c r="B107" s="6" t="s">
        <v>17</v>
      </c>
      <c r="C107" s="6" t="s">
        <v>19</v>
      </c>
      <c r="D107" s="6">
        <v>10</v>
      </c>
      <c r="E107" s="6">
        <v>5756</v>
      </c>
      <c r="F107" s="6">
        <v>5089</v>
      </c>
      <c r="G107" s="6">
        <v>0</v>
      </c>
      <c r="H107" s="6">
        <v>0</v>
      </c>
      <c r="I107" s="6">
        <v>5075</v>
      </c>
      <c r="J107" s="6">
        <v>0</v>
      </c>
      <c r="K107" s="6">
        <f t="shared" si="4"/>
        <v>5075</v>
      </c>
      <c r="L107" s="6">
        <v>5770</v>
      </c>
      <c r="M107" s="8">
        <v>5013</v>
      </c>
      <c r="N107" s="6">
        <v>23</v>
      </c>
      <c r="O107" s="8">
        <f t="shared" si="5"/>
        <v>22.719014778325125</v>
      </c>
      <c r="Q107" s="10">
        <v>2246</v>
      </c>
      <c r="R107" s="10">
        <f t="shared" si="6"/>
        <v>11398450</v>
      </c>
      <c r="S107" s="10">
        <f t="shared" si="7"/>
        <v>11259198</v>
      </c>
    </row>
    <row r="108" spans="1:19" x14ac:dyDescent="0.25">
      <c r="A108" s="5" t="s">
        <v>122</v>
      </c>
      <c r="B108" s="6" t="s">
        <v>17</v>
      </c>
      <c r="C108" s="6" t="s">
        <v>19</v>
      </c>
      <c r="D108" s="6">
        <v>10</v>
      </c>
      <c r="E108" s="6">
        <v>1566</v>
      </c>
      <c r="F108" s="6">
        <v>9930</v>
      </c>
      <c r="G108" s="6">
        <v>0</v>
      </c>
      <c r="H108" s="6">
        <v>0</v>
      </c>
      <c r="I108" s="6">
        <v>5805</v>
      </c>
      <c r="J108" s="6">
        <v>0</v>
      </c>
      <c r="K108" s="6">
        <f t="shared" si="4"/>
        <v>5805</v>
      </c>
      <c r="L108" s="6">
        <v>5691</v>
      </c>
      <c r="M108" s="8">
        <v>4022.25</v>
      </c>
      <c r="N108" s="6">
        <v>23</v>
      </c>
      <c r="O108" s="8">
        <f t="shared" si="5"/>
        <v>15.93656330749354</v>
      </c>
      <c r="Q108" s="10">
        <v>2355</v>
      </c>
      <c r="R108" s="10">
        <f t="shared" si="6"/>
        <v>13670775</v>
      </c>
      <c r="S108" s="10">
        <f t="shared" si="7"/>
        <v>9472398.75</v>
      </c>
    </row>
    <row r="109" spans="1:19" x14ac:dyDescent="0.25">
      <c r="A109" s="5" t="s">
        <v>123</v>
      </c>
      <c r="B109" s="6" t="s">
        <v>17</v>
      </c>
      <c r="C109" s="6" t="s">
        <v>19</v>
      </c>
      <c r="D109" s="6">
        <v>10</v>
      </c>
      <c r="E109" s="6">
        <v>3716</v>
      </c>
      <c r="F109" s="6">
        <v>8133</v>
      </c>
      <c r="G109" s="6">
        <v>0</v>
      </c>
      <c r="H109" s="6">
        <v>0</v>
      </c>
      <c r="I109" s="6">
        <v>0</v>
      </c>
      <c r="J109" s="6">
        <v>10574</v>
      </c>
      <c r="K109" s="6">
        <f t="shared" si="4"/>
        <v>10574</v>
      </c>
      <c r="L109" s="6">
        <v>1275</v>
      </c>
      <c r="M109" s="8">
        <v>4580.7777777777801</v>
      </c>
      <c r="N109" s="6">
        <v>23</v>
      </c>
      <c r="O109" s="8">
        <f t="shared" si="5"/>
        <v>9.9638631444003174</v>
      </c>
      <c r="Q109" s="10">
        <v>2031</v>
      </c>
      <c r="R109" s="10">
        <f t="shared" si="6"/>
        <v>21475794</v>
      </c>
      <c r="S109" s="10">
        <f t="shared" si="7"/>
        <v>9303559.6666666716</v>
      </c>
    </row>
    <row r="110" spans="1:19" x14ac:dyDescent="0.25">
      <c r="A110" s="5" t="s">
        <v>124</v>
      </c>
      <c r="B110" s="6" t="s">
        <v>17</v>
      </c>
      <c r="C110" s="6" t="s">
        <v>19</v>
      </c>
      <c r="D110" s="6">
        <v>10</v>
      </c>
      <c r="E110" s="6">
        <v>2300</v>
      </c>
      <c r="F110" s="6">
        <v>2000</v>
      </c>
      <c r="G110" s="6">
        <v>0</v>
      </c>
      <c r="H110" s="6">
        <v>0</v>
      </c>
      <c r="I110" s="6">
        <v>1975</v>
      </c>
      <c r="J110" s="6">
        <v>0</v>
      </c>
      <c r="K110" s="6">
        <f t="shared" si="4"/>
        <v>1975</v>
      </c>
      <c r="L110" s="6">
        <v>2325</v>
      </c>
      <c r="M110" s="8">
        <v>3312.5</v>
      </c>
      <c r="N110" s="6">
        <v>23</v>
      </c>
      <c r="O110" s="8">
        <f t="shared" si="5"/>
        <v>38.575949367088612</v>
      </c>
      <c r="Q110" s="10">
        <v>2108</v>
      </c>
      <c r="R110" s="10">
        <f t="shared" si="6"/>
        <v>4163300</v>
      </c>
      <c r="S110" s="10">
        <f t="shared" si="7"/>
        <v>6982750</v>
      </c>
    </row>
    <row r="111" spans="1:19" x14ac:dyDescent="0.25">
      <c r="A111" s="5" t="s">
        <v>125</v>
      </c>
      <c r="B111" s="6" t="s">
        <v>17</v>
      </c>
      <c r="C111" s="6" t="s">
        <v>19</v>
      </c>
      <c r="D111" s="6">
        <v>10</v>
      </c>
      <c r="E111" s="6">
        <v>1500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f t="shared" si="4"/>
        <v>0</v>
      </c>
      <c r="L111" s="6">
        <v>1500</v>
      </c>
      <c r="M111" s="8">
        <v>0</v>
      </c>
      <c r="N111" s="6">
        <v>23</v>
      </c>
      <c r="O111" s="8">
        <v>0</v>
      </c>
      <c r="Q111" s="10">
        <v>2173</v>
      </c>
      <c r="R111" s="10">
        <f t="shared" si="6"/>
        <v>0</v>
      </c>
      <c r="S111" s="10">
        <f t="shared" si="7"/>
        <v>0</v>
      </c>
    </row>
    <row r="112" spans="1:19" x14ac:dyDescent="0.25">
      <c r="A112" s="5" t="s">
        <v>127</v>
      </c>
      <c r="B112" s="6" t="s">
        <v>17</v>
      </c>
      <c r="C112" s="6" t="s">
        <v>19</v>
      </c>
      <c r="D112" s="6">
        <v>10</v>
      </c>
      <c r="E112" s="6">
        <v>175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f t="shared" si="4"/>
        <v>0</v>
      </c>
      <c r="L112" s="6">
        <v>175</v>
      </c>
      <c r="M112" s="8">
        <v>0</v>
      </c>
      <c r="N112" s="6">
        <v>23</v>
      </c>
      <c r="O112" s="8">
        <v>0</v>
      </c>
      <c r="Q112" s="10">
        <v>1993</v>
      </c>
      <c r="R112" s="10">
        <f t="shared" si="6"/>
        <v>0</v>
      </c>
      <c r="S112" s="10">
        <f t="shared" si="7"/>
        <v>0</v>
      </c>
    </row>
    <row r="113" spans="1:19" x14ac:dyDescent="0.25">
      <c r="A113" s="5" t="s">
        <v>128</v>
      </c>
      <c r="B113" s="6" t="s">
        <v>17</v>
      </c>
      <c r="C113" s="6" t="s">
        <v>19</v>
      </c>
      <c r="D113" s="6">
        <v>10</v>
      </c>
      <c r="E113" s="6">
        <v>60</v>
      </c>
      <c r="F113" s="6">
        <v>1045</v>
      </c>
      <c r="G113" s="6">
        <v>0</v>
      </c>
      <c r="H113" s="6">
        <v>0</v>
      </c>
      <c r="I113" s="6">
        <v>0</v>
      </c>
      <c r="J113" s="6">
        <v>600</v>
      </c>
      <c r="K113" s="6">
        <f t="shared" si="4"/>
        <v>600</v>
      </c>
      <c r="L113" s="6">
        <v>505</v>
      </c>
      <c r="M113" s="8">
        <v>805</v>
      </c>
      <c r="N113" s="6">
        <v>23</v>
      </c>
      <c r="O113" s="8">
        <f t="shared" si="5"/>
        <v>30.858333333333331</v>
      </c>
      <c r="Q113" s="10">
        <v>2205</v>
      </c>
      <c r="R113" s="10">
        <f t="shared" si="6"/>
        <v>1323000</v>
      </c>
      <c r="S113" s="10">
        <f t="shared" si="7"/>
        <v>1775025</v>
      </c>
    </row>
    <row r="114" spans="1:19" x14ac:dyDescent="0.25">
      <c r="A114" s="5" t="s">
        <v>129</v>
      </c>
      <c r="B114" s="6" t="s">
        <v>17</v>
      </c>
      <c r="C114" s="6" t="s">
        <v>19</v>
      </c>
      <c r="D114" s="6">
        <v>10</v>
      </c>
      <c r="E114" s="6">
        <v>600</v>
      </c>
      <c r="F114" s="6">
        <v>2100</v>
      </c>
      <c r="G114" s="6">
        <v>0</v>
      </c>
      <c r="H114" s="6">
        <v>0</v>
      </c>
      <c r="I114" s="6">
        <v>1125</v>
      </c>
      <c r="J114" s="6">
        <v>0</v>
      </c>
      <c r="K114" s="6">
        <f t="shared" si="4"/>
        <v>1125</v>
      </c>
      <c r="L114" s="6">
        <v>1575</v>
      </c>
      <c r="M114" s="8">
        <v>2200</v>
      </c>
      <c r="N114" s="6">
        <v>23</v>
      </c>
      <c r="O114" s="8">
        <f t="shared" si="5"/>
        <v>44.977777777777774</v>
      </c>
      <c r="Q114" s="10">
        <v>2503</v>
      </c>
      <c r="R114" s="10">
        <f t="shared" si="6"/>
        <v>2815875</v>
      </c>
      <c r="S114" s="10">
        <f t="shared" si="7"/>
        <v>5506600</v>
      </c>
    </row>
    <row r="115" spans="1:19" x14ac:dyDescent="0.25">
      <c r="A115" s="5" t="s">
        <v>130</v>
      </c>
      <c r="B115" s="6" t="s">
        <v>17</v>
      </c>
      <c r="C115" s="6" t="s">
        <v>19</v>
      </c>
      <c r="D115" s="6">
        <v>10</v>
      </c>
      <c r="E115" s="6">
        <v>7150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f t="shared" si="4"/>
        <v>0</v>
      </c>
      <c r="L115" s="6">
        <v>7150</v>
      </c>
      <c r="M115" s="8">
        <v>0</v>
      </c>
      <c r="N115" s="6">
        <v>23</v>
      </c>
      <c r="O115" s="8">
        <v>0</v>
      </c>
      <c r="Q115" s="10">
        <v>2355</v>
      </c>
      <c r="R115" s="10">
        <f t="shared" si="6"/>
        <v>0</v>
      </c>
      <c r="S115" s="10">
        <f t="shared" si="7"/>
        <v>0</v>
      </c>
    </row>
    <row r="116" spans="1:19" x14ac:dyDescent="0.25">
      <c r="A116" s="5" t="s">
        <v>131</v>
      </c>
      <c r="B116" s="6" t="s">
        <v>17</v>
      </c>
      <c r="C116" s="6" t="s">
        <v>19</v>
      </c>
      <c r="D116" s="6">
        <v>10</v>
      </c>
      <c r="E116" s="6">
        <v>715</v>
      </c>
      <c r="F116" s="6">
        <v>3055</v>
      </c>
      <c r="G116" s="6">
        <v>0</v>
      </c>
      <c r="H116" s="6">
        <v>0</v>
      </c>
      <c r="I116" s="6">
        <v>2725</v>
      </c>
      <c r="J116" s="6">
        <v>0</v>
      </c>
      <c r="K116" s="6">
        <f t="shared" si="4"/>
        <v>2725</v>
      </c>
      <c r="L116" s="6">
        <v>1045</v>
      </c>
      <c r="M116" s="8">
        <v>1890</v>
      </c>
      <c r="N116" s="6">
        <v>23</v>
      </c>
      <c r="O116" s="8">
        <f t="shared" si="5"/>
        <v>15.952293577981653</v>
      </c>
      <c r="Q116" s="10">
        <v>2216</v>
      </c>
      <c r="R116" s="10">
        <f t="shared" si="6"/>
        <v>6038600</v>
      </c>
      <c r="S116" s="10">
        <f t="shared" si="7"/>
        <v>4188240</v>
      </c>
    </row>
    <row r="117" spans="1:19" x14ac:dyDescent="0.25">
      <c r="A117" s="5" t="s">
        <v>132</v>
      </c>
      <c r="B117" s="6" t="s">
        <v>17</v>
      </c>
      <c r="C117" s="6" t="s">
        <v>19</v>
      </c>
      <c r="D117" s="6">
        <v>10</v>
      </c>
      <c r="E117" s="6">
        <v>1575</v>
      </c>
      <c r="F117" s="6">
        <v>1575</v>
      </c>
      <c r="G117" s="6">
        <v>0</v>
      </c>
      <c r="H117" s="6">
        <v>0</v>
      </c>
      <c r="I117" s="6">
        <v>400</v>
      </c>
      <c r="J117" s="6">
        <v>0</v>
      </c>
      <c r="K117" s="6">
        <f t="shared" si="4"/>
        <v>400</v>
      </c>
      <c r="L117" s="6">
        <v>2750</v>
      </c>
      <c r="M117" s="8">
        <v>1741.25</v>
      </c>
      <c r="N117" s="6">
        <v>23</v>
      </c>
      <c r="O117" s="8">
        <f t="shared" si="5"/>
        <v>100.121875</v>
      </c>
      <c r="Q117" s="10">
        <v>1968</v>
      </c>
      <c r="R117" s="10">
        <f t="shared" si="6"/>
        <v>787200</v>
      </c>
      <c r="S117" s="10">
        <f t="shared" si="7"/>
        <v>3426780</v>
      </c>
    </row>
    <row r="118" spans="1:19" x14ac:dyDescent="0.25">
      <c r="A118" s="5" t="s">
        <v>3</v>
      </c>
      <c r="B118" s="6" t="s">
        <v>17</v>
      </c>
      <c r="C118" s="6" t="s">
        <v>19</v>
      </c>
      <c r="D118" s="6">
        <v>10</v>
      </c>
      <c r="E118" s="6">
        <v>700</v>
      </c>
      <c r="F118" s="6">
        <v>2850</v>
      </c>
      <c r="G118" s="6">
        <v>0</v>
      </c>
      <c r="H118" s="6">
        <v>0</v>
      </c>
      <c r="I118" s="6">
        <v>0</v>
      </c>
      <c r="J118" s="6">
        <v>2300</v>
      </c>
      <c r="K118" s="6">
        <f t="shared" si="4"/>
        <v>2300</v>
      </c>
      <c r="L118" s="6">
        <v>1250</v>
      </c>
      <c r="M118" s="8">
        <v>416.66666666666703</v>
      </c>
      <c r="N118" s="6">
        <v>23</v>
      </c>
      <c r="O118" s="8">
        <f t="shared" si="5"/>
        <v>4.1666666666666705</v>
      </c>
      <c r="Q118" s="10">
        <v>2297</v>
      </c>
      <c r="R118" s="10">
        <f t="shared" si="6"/>
        <v>5283100</v>
      </c>
      <c r="S118" s="10">
        <f t="shared" si="7"/>
        <v>957083.33333333419</v>
      </c>
    </row>
    <row r="119" spans="1:19" x14ac:dyDescent="0.25">
      <c r="A119" s="5" t="s">
        <v>4</v>
      </c>
      <c r="B119" s="6" t="s">
        <v>17</v>
      </c>
      <c r="C119" s="6" t="s">
        <v>19</v>
      </c>
      <c r="D119" s="6">
        <v>10</v>
      </c>
      <c r="E119" s="6">
        <v>1800</v>
      </c>
      <c r="F119" s="6">
        <v>3000</v>
      </c>
      <c r="G119" s="6">
        <v>0</v>
      </c>
      <c r="H119" s="6">
        <v>0</v>
      </c>
      <c r="I119" s="6">
        <v>0</v>
      </c>
      <c r="J119" s="6">
        <v>3300</v>
      </c>
      <c r="K119" s="6">
        <f t="shared" si="4"/>
        <v>3300</v>
      </c>
      <c r="L119" s="6">
        <v>1500</v>
      </c>
      <c r="M119" s="8">
        <v>750</v>
      </c>
      <c r="N119" s="6">
        <v>23</v>
      </c>
      <c r="O119" s="8">
        <f t="shared" si="5"/>
        <v>5.2272727272727275</v>
      </c>
      <c r="Q119" s="10">
        <v>2616</v>
      </c>
      <c r="R119" s="10">
        <f t="shared" si="6"/>
        <v>8632800</v>
      </c>
      <c r="S119" s="10">
        <f t="shared" si="7"/>
        <v>1962000</v>
      </c>
    </row>
    <row r="120" spans="1:19" x14ac:dyDescent="0.25">
      <c r="A120" s="5" t="s">
        <v>136</v>
      </c>
      <c r="B120" s="6" t="s">
        <v>17</v>
      </c>
      <c r="C120" s="6" t="s">
        <v>19</v>
      </c>
      <c r="D120" s="6">
        <v>10</v>
      </c>
      <c r="E120" s="6">
        <v>4171</v>
      </c>
      <c r="F120" s="6">
        <v>525</v>
      </c>
      <c r="G120" s="6">
        <v>0</v>
      </c>
      <c r="H120" s="6">
        <v>0</v>
      </c>
      <c r="I120" s="6">
        <v>0</v>
      </c>
      <c r="J120" s="6">
        <v>0</v>
      </c>
      <c r="K120" s="6">
        <f t="shared" si="4"/>
        <v>0</v>
      </c>
      <c r="L120" s="6">
        <v>4696</v>
      </c>
      <c r="M120" s="8">
        <v>4696</v>
      </c>
      <c r="N120" s="6">
        <v>23</v>
      </c>
      <c r="O120" s="8">
        <v>0</v>
      </c>
      <c r="Q120" s="10">
        <v>2355</v>
      </c>
      <c r="R120" s="10">
        <f t="shared" si="6"/>
        <v>0</v>
      </c>
      <c r="S120" s="10">
        <f t="shared" si="7"/>
        <v>11059080</v>
      </c>
    </row>
    <row r="121" spans="1:19" x14ac:dyDescent="0.25">
      <c r="A121" s="5" t="s">
        <v>137</v>
      </c>
      <c r="B121" s="6" t="s">
        <v>17</v>
      </c>
      <c r="C121" s="6" t="s">
        <v>19</v>
      </c>
      <c r="D121" s="6">
        <v>10</v>
      </c>
      <c r="E121" s="6">
        <v>900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f t="shared" si="4"/>
        <v>0</v>
      </c>
      <c r="L121" s="6">
        <v>900</v>
      </c>
      <c r="M121" s="8">
        <v>0</v>
      </c>
      <c r="N121" s="6">
        <v>23</v>
      </c>
      <c r="O121" s="8">
        <v>0</v>
      </c>
      <c r="Q121" s="10">
        <v>2372</v>
      </c>
      <c r="R121" s="10">
        <f t="shared" si="6"/>
        <v>0</v>
      </c>
      <c r="S121" s="10">
        <f t="shared" si="7"/>
        <v>0</v>
      </c>
    </row>
    <row r="122" spans="1:19" x14ac:dyDescent="0.25">
      <c r="A122" s="5" t="s">
        <v>138</v>
      </c>
      <c r="B122" s="6" t="s">
        <v>17</v>
      </c>
      <c r="C122" s="6" t="s">
        <v>19</v>
      </c>
      <c r="D122" s="6">
        <v>10</v>
      </c>
      <c r="E122" s="6">
        <v>1000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f t="shared" si="4"/>
        <v>0</v>
      </c>
      <c r="L122" s="6">
        <v>1000</v>
      </c>
      <c r="M122" s="8">
        <v>0</v>
      </c>
      <c r="N122" s="6">
        <v>23</v>
      </c>
      <c r="O122" s="8">
        <v>0</v>
      </c>
      <c r="Q122" s="10">
        <v>3482</v>
      </c>
      <c r="R122" s="10">
        <f t="shared" si="6"/>
        <v>0</v>
      </c>
      <c r="S122" s="10">
        <f t="shared" si="7"/>
        <v>0</v>
      </c>
    </row>
    <row r="123" spans="1:19" x14ac:dyDescent="0.25">
      <c r="A123" s="5" t="s">
        <v>139</v>
      </c>
      <c r="B123" s="6" t="s">
        <v>17</v>
      </c>
      <c r="C123" s="6" t="s">
        <v>19</v>
      </c>
      <c r="D123" s="6">
        <v>10</v>
      </c>
      <c r="E123" s="6">
        <v>1750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f t="shared" si="4"/>
        <v>0</v>
      </c>
      <c r="L123" s="6">
        <v>1750</v>
      </c>
      <c r="M123" s="8">
        <v>0</v>
      </c>
      <c r="N123" s="6">
        <v>23</v>
      </c>
      <c r="O123" s="8">
        <v>0</v>
      </c>
      <c r="Q123" s="10">
        <v>2555</v>
      </c>
      <c r="R123" s="10">
        <f t="shared" si="6"/>
        <v>0</v>
      </c>
      <c r="S123" s="10">
        <f t="shared" si="7"/>
        <v>0</v>
      </c>
    </row>
    <row r="124" spans="1:19" x14ac:dyDescent="0.25">
      <c r="A124" s="5" t="s">
        <v>140</v>
      </c>
      <c r="B124" s="6" t="s">
        <v>17</v>
      </c>
      <c r="C124" s="6" t="s">
        <v>19</v>
      </c>
      <c r="D124" s="6">
        <v>10</v>
      </c>
      <c r="E124" s="6">
        <v>1825</v>
      </c>
      <c r="F124" s="6">
        <v>0</v>
      </c>
      <c r="G124" s="6">
        <v>0</v>
      </c>
      <c r="H124" s="6">
        <v>0</v>
      </c>
      <c r="I124" s="6">
        <v>200</v>
      </c>
      <c r="J124" s="6">
        <v>0</v>
      </c>
      <c r="K124" s="6">
        <f t="shared" si="4"/>
        <v>200</v>
      </c>
      <c r="L124" s="6">
        <v>1625</v>
      </c>
      <c r="M124" s="8">
        <v>1700</v>
      </c>
      <c r="N124" s="6">
        <v>23</v>
      </c>
      <c r="O124" s="8">
        <f t="shared" si="5"/>
        <v>195.5</v>
      </c>
      <c r="Q124" s="10">
        <v>3665</v>
      </c>
      <c r="R124" s="10">
        <f t="shared" si="6"/>
        <v>733000</v>
      </c>
      <c r="S124" s="10">
        <f t="shared" si="7"/>
        <v>6230500</v>
      </c>
    </row>
    <row r="125" spans="1:19" x14ac:dyDescent="0.25">
      <c r="A125" s="5" t="s">
        <v>141</v>
      </c>
      <c r="B125" s="6" t="s">
        <v>17</v>
      </c>
      <c r="C125" s="6" t="s">
        <v>19</v>
      </c>
      <c r="D125" s="6">
        <v>10</v>
      </c>
      <c r="E125" s="6">
        <v>1075</v>
      </c>
      <c r="F125" s="6">
        <v>1575</v>
      </c>
      <c r="G125" s="6">
        <v>0</v>
      </c>
      <c r="H125" s="6">
        <v>0</v>
      </c>
      <c r="I125" s="6">
        <v>0</v>
      </c>
      <c r="J125" s="6">
        <v>0</v>
      </c>
      <c r="K125" s="6">
        <f t="shared" si="4"/>
        <v>0</v>
      </c>
      <c r="L125" s="6">
        <v>2650</v>
      </c>
      <c r="M125" s="8">
        <v>2650</v>
      </c>
      <c r="N125" s="6">
        <v>23</v>
      </c>
      <c r="O125" s="8">
        <v>0</v>
      </c>
      <c r="Q125" s="10">
        <v>1904</v>
      </c>
      <c r="R125" s="10">
        <f t="shared" si="6"/>
        <v>0</v>
      </c>
      <c r="S125" s="10">
        <f t="shared" si="7"/>
        <v>5045600</v>
      </c>
    </row>
    <row r="126" spans="1:19" x14ac:dyDescent="0.25">
      <c r="A126" s="5" t="s">
        <v>142</v>
      </c>
      <c r="B126" s="6" t="s">
        <v>17</v>
      </c>
      <c r="C126" s="6" t="s">
        <v>19</v>
      </c>
      <c r="D126" s="6">
        <v>10</v>
      </c>
      <c r="E126" s="6">
        <v>4900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f t="shared" si="4"/>
        <v>0</v>
      </c>
      <c r="L126" s="6">
        <v>4900</v>
      </c>
      <c r="M126" s="8">
        <v>0</v>
      </c>
      <c r="N126" s="6">
        <v>23</v>
      </c>
      <c r="O126" s="8">
        <v>0</v>
      </c>
      <c r="Q126" s="10">
        <v>994</v>
      </c>
      <c r="R126" s="10">
        <f t="shared" si="6"/>
        <v>0</v>
      </c>
      <c r="S126" s="10">
        <f t="shared" si="7"/>
        <v>0</v>
      </c>
    </row>
    <row r="127" spans="1:19" x14ac:dyDescent="0.25">
      <c r="A127" s="5" t="s">
        <v>143</v>
      </c>
      <c r="B127" s="6" t="s">
        <v>17</v>
      </c>
      <c r="C127" s="6" t="s">
        <v>19</v>
      </c>
      <c r="D127" s="6">
        <v>10</v>
      </c>
      <c r="E127" s="6">
        <v>2925</v>
      </c>
      <c r="F127" s="6">
        <v>2450</v>
      </c>
      <c r="G127" s="6">
        <v>0</v>
      </c>
      <c r="H127" s="6">
        <v>0</v>
      </c>
      <c r="I127" s="6">
        <v>0</v>
      </c>
      <c r="J127" s="6">
        <v>2500</v>
      </c>
      <c r="K127" s="6">
        <f t="shared" si="4"/>
        <v>2500</v>
      </c>
      <c r="L127" s="6">
        <v>2875</v>
      </c>
      <c r="M127" s="8">
        <v>1741.6666666666702</v>
      </c>
      <c r="N127" s="6">
        <v>23</v>
      </c>
      <c r="O127" s="8">
        <f t="shared" si="5"/>
        <v>16.023333333333365</v>
      </c>
      <c r="Q127" s="10">
        <v>994</v>
      </c>
      <c r="R127" s="10">
        <f t="shared" si="6"/>
        <v>2485000</v>
      </c>
      <c r="S127" s="10">
        <f t="shared" si="7"/>
        <v>1731216.6666666702</v>
      </c>
    </row>
    <row r="128" spans="1:19" x14ac:dyDescent="0.25">
      <c r="A128" s="5" t="s">
        <v>144</v>
      </c>
      <c r="B128" s="6" t="s">
        <v>17</v>
      </c>
      <c r="C128" s="6" t="s">
        <v>19</v>
      </c>
      <c r="D128" s="6">
        <v>10</v>
      </c>
      <c r="E128" s="6">
        <v>500</v>
      </c>
      <c r="F128" s="6">
        <v>1020</v>
      </c>
      <c r="G128" s="6">
        <v>0</v>
      </c>
      <c r="H128" s="6">
        <v>0</v>
      </c>
      <c r="I128" s="6">
        <v>0</v>
      </c>
      <c r="J128" s="6">
        <v>225</v>
      </c>
      <c r="K128" s="6">
        <f t="shared" si="4"/>
        <v>225</v>
      </c>
      <c r="L128" s="6">
        <v>1295</v>
      </c>
      <c r="M128" s="8">
        <v>1407.5</v>
      </c>
      <c r="N128" s="6">
        <v>23</v>
      </c>
      <c r="O128" s="8">
        <f t="shared" si="5"/>
        <v>143.87777777777777</v>
      </c>
      <c r="Q128" s="10">
        <v>3489</v>
      </c>
      <c r="R128" s="10">
        <f t="shared" si="6"/>
        <v>785025</v>
      </c>
      <c r="S128" s="10">
        <f t="shared" si="7"/>
        <v>4910767.5</v>
      </c>
    </row>
    <row r="129" spans="1:19" x14ac:dyDescent="0.25">
      <c r="A129" s="5" t="s">
        <v>169</v>
      </c>
      <c r="B129" s="6" t="s">
        <v>17</v>
      </c>
      <c r="C129" s="6" t="s">
        <v>19</v>
      </c>
      <c r="D129" s="6">
        <v>10</v>
      </c>
      <c r="E129" s="6">
        <v>375</v>
      </c>
      <c r="F129" s="6">
        <v>1050</v>
      </c>
      <c r="G129" s="6">
        <v>0</v>
      </c>
      <c r="H129" s="6">
        <v>0</v>
      </c>
      <c r="I129" s="6">
        <v>250</v>
      </c>
      <c r="J129" s="6">
        <v>0</v>
      </c>
      <c r="K129" s="6">
        <f t="shared" si="4"/>
        <v>250</v>
      </c>
      <c r="L129" s="6">
        <v>1175</v>
      </c>
      <c r="M129" s="8">
        <v>1287.5</v>
      </c>
      <c r="N129" s="6">
        <v>23</v>
      </c>
      <c r="O129" s="8">
        <f t="shared" si="5"/>
        <v>118.45</v>
      </c>
      <c r="Q129" s="10">
        <v>3162</v>
      </c>
      <c r="R129" s="10">
        <f t="shared" si="6"/>
        <v>790500</v>
      </c>
      <c r="S129" s="10">
        <f t="shared" si="7"/>
        <v>4071075</v>
      </c>
    </row>
    <row r="130" spans="1:19" x14ac:dyDescent="0.25">
      <c r="A130" s="5" t="s">
        <v>170</v>
      </c>
      <c r="B130" s="6" t="s">
        <v>17</v>
      </c>
      <c r="C130" s="6" t="s">
        <v>19</v>
      </c>
      <c r="D130" s="6">
        <v>10</v>
      </c>
      <c r="E130" s="6">
        <v>933</v>
      </c>
      <c r="F130" s="6">
        <v>5000</v>
      </c>
      <c r="G130" s="6">
        <v>0</v>
      </c>
      <c r="H130" s="6">
        <v>0</v>
      </c>
      <c r="I130" s="6">
        <v>4533</v>
      </c>
      <c r="J130" s="6">
        <v>0</v>
      </c>
      <c r="K130" s="6">
        <f t="shared" si="4"/>
        <v>4533</v>
      </c>
      <c r="L130" s="6">
        <v>1400</v>
      </c>
      <c r="M130" s="8">
        <v>1900.6666666666702</v>
      </c>
      <c r="N130" s="6">
        <v>23</v>
      </c>
      <c r="O130" s="8">
        <f t="shared" si="5"/>
        <v>9.6437973380395796</v>
      </c>
      <c r="Q130" s="10">
        <v>3567</v>
      </c>
      <c r="R130" s="10">
        <f t="shared" si="6"/>
        <v>16169211</v>
      </c>
      <c r="S130" s="10">
        <f t="shared" si="7"/>
        <v>6779678.0000000121</v>
      </c>
    </row>
    <row r="131" spans="1:19" x14ac:dyDescent="0.25">
      <c r="A131" s="5" t="s">
        <v>171</v>
      </c>
      <c r="B131" s="6" t="s">
        <v>17</v>
      </c>
      <c r="C131" s="6" t="s">
        <v>19</v>
      </c>
      <c r="D131" s="6">
        <v>10</v>
      </c>
      <c r="E131" s="6">
        <v>725</v>
      </c>
      <c r="F131" s="6">
        <v>0</v>
      </c>
      <c r="G131" s="6">
        <v>0</v>
      </c>
      <c r="H131" s="6">
        <v>0</v>
      </c>
      <c r="I131" s="6">
        <v>75</v>
      </c>
      <c r="J131" s="6">
        <v>0</v>
      </c>
      <c r="K131" s="6">
        <f t="shared" ref="K131:K167" si="8">I131+J131</f>
        <v>75</v>
      </c>
      <c r="L131" s="6">
        <v>650</v>
      </c>
      <c r="M131" s="8">
        <v>650</v>
      </c>
      <c r="N131" s="6">
        <v>23</v>
      </c>
      <c r="O131" s="8">
        <f t="shared" ref="O131:O161" si="9">(M131/(I131+J131))*N131</f>
        <v>199.33333333333331</v>
      </c>
      <c r="Q131" s="10">
        <v>3850</v>
      </c>
      <c r="R131" s="10">
        <f t="shared" ref="R131:R158" si="10">Q131*(I131+J131)</f>
        <v>288750</v>
      </c>
      <c r="S131" s="10">
        <f t="shared" ref="S131:S158" si="11">Q131*M131</f>
        <v>2502500</v>
      </c>
    </row>
    <row r="132" spans="1:19" x14ac:dyDescent="0.25">
      <c r="A132" s="5" t="s">
        <v>172</v>
      </c>
      <c r="B132" s="6" t="s">
        <v>17</v>
      </c>
      <c r="C132" s="6" t="s">
        <v>19</v>
      </c>
      <c r="D132" s="6">
        <v>10</v>
      </c>
      <c r="E132" s="6">
        <v>1500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f t="shared" si="8"/>
        <v>0</v>
      </c>
      <c r="L132" s="6">
        <v>1500</v>
      </c>
      <c r="M132" s="8">
        <v>0</v>
      </c>
      <c r="N132" s="6">
        <v>23</v>
      </c>
      <c r="O132" s="8">
        <v>0</v>
      </c>
      <c r="Q132" s="10">
        <v>1402</v>
      </c>
      <c r="R132" s="10">
        <f t="shared" si="10"/>
        <v>0</v>
      </c>
      <c r="S132" s="10">
        <f t="shared" si="11"/>
        <v>0</v>
      </c>
    </row>
    <row r="133" spans="1:19" x14ac:dyDescent="0.25">
      <c r="A133" s="5" t="s">
        <v>146</v>
      </c>
      <c r="B133" s="6" t="s">
        <v>17</v>
      </c>
      <c r="C133" s="6" t="s">
        <v>19</v>
      </c>
      <c r="D133" s="6">
        <v>10</v>
      </c>
      <c r="E133" s="6">
        <v>893</v>
      </c>
      <c r="F133" s="6">
        <v>11458</v>
      </c>
      <c r="G133" s="6">
        <v>0</v>
      </c>
      <c r="H133" s="6">
        <v>0</v>
      </c>
      <c r="I133" s="6">
        <v>3651</v>
      </c>
      <c r="J133" s="6">
        <v>6000</v>
      </c>
      <c r="K133" s="6">
        <f t="shared" si="8"/>
        <v>9651</v>
      </c>
      <c r="L133" s="6">
        <v>2700</v>
      </c>
      <c r="M133" s="8">
        <v>1587.1428571428601</v>
      </c>
      <c r="N133" s="6">
        <v>23</v>
      </c>
      <c r="O133" s="8">
        <f t="shared" si="9"/>
        <v>3.7824355729236125</v>
      </c>
      <c r="Q133" s="10">
        <v>6112</v>
      </c>
      <c r="R133" s="10">
        <f t="shared" si="10"/>
        <v>58986912</v>
      </c>
      <c r="S133" s="10">
        <f t="shared" si="11"/>
        <v>9700617.1428571604</v>
      </c>
    </row>
    <row r="134" spans="1:19" x14ac:dyDescent="0.25">
      <c r="A134" s="5" t="s">
        <v>147</v>
      </c>
      <c r="B134" s="6" t="s">
        <v>17</v>
      </c>
      <c r="C134" s="6" t="s">
        <v>19</v>
      </c>
      <c r="D134" s="6">
        <v>10</v>
      </c>
      <c r="E134" s="6">
        <v>1772</v>
      </c>
      <c r="F134" s="6">
        <v>1000</v>
      </c>
      <c r="G134" s="6">
        <v>0</v>
      </c>
      <c r="H134" s="6">
        <v>0</v>
      </c>
      <c r="I134" s="6">
        <v>0</v>
      </c>
      <c r="J134" s="6">
        <v>225</v>
      </c>
      <c r="K134" s="6">
        <f t="shared" si="8"/>
        <v>225</v>
      </c>
      <c r="L134" s="6">
        <v>2547</v>
      </c>
      <c r="M134" s="8">
        <v>1922</v>
      </c>
      <c r="N134" s="6">
        <v>23</v>
      </c>
      <c r="O134" s="8">
        <f t="shared" si="9"/>
        <v>196.4711111111111</v>
      </c>
      <c r="Q134" s="10">
        <v>2392</v>
      </c>
      <c r="R134" s="10">
        <f t="shared" si="10"/>
        <v>538200</v>
      </c>
      <c r="S134" s="10">
        <f t="shared" si="11"/>
        <v>4597424</v>
      </c>
    </row>
    <row r="135" spans="1:19" x14ac:dyDescent="0.25">
      <c r="A135" s="5" t="s">
        <v>148</v>
      </c>
      <c r="B135" s="6" t="s">
        <v>17</v>
      </c>
      <c r="C135" s="6" t="s">
        <v>19</v>
      </c>
      <c r="D135" s="6">
        <v>10</v>
      </c>
      <c r="E135" s="6">
        <v>24</v>
      </c>
      <c r="F135" s="6">
        <v>2545</v>
      </c>
      <c r="G135" s="6">
        <v>0</v>
      </c>
      <c r="H135" s="6">
        <v>0</v>
      </c>
      <c r="I135" s="6">
        <v>2545</v>
      </c>
      <c r="J135" s="6">
        <v>0</v>
      </c>
      <c r="K135" s="6">
        <f t="shared" si="8"/>
        <v>2545</v>
      </c>
      <c r="L135" s="6">
        <v>24</v>
      </c>
      <c r="M135" s="8">
        <v>532.33333333333303</v>
      </c>
      <c r="N135" s="6">
        <v>23</v>
      </c>
      <c r="O135" s="8">
        <f t="shared" si="9"/>
        <v>4.8108709888670562</v>
      </c>
      <c r="Q135" s="10">
        <v>2651</v>
      </c>
      <c r="R135" s="10">
        <f t="shared" si="10"/>
        <v>6746795</v>
      </c>
      <c r="S135" s="10">
        <f t="shared" si="11"/>
        <v>1411215.6666666658</v>
      </c>
    </row>
    <row r="136" spans="1:19" x14ac:dyDescent="0.25">
      <c r="A136" s="5" t="s">
        <v>149</v>
      </c>
      <c r="B136" s="6" t="s">
        <v>17</v>
      </c>
      <c r="C136" s="6" t="s">
        <v>19</v>
      </c>
      <c r="D136" s="6">
        <v>10</v>
      </c>
      <c r="E136" s="6">
        <v>1491</v>
      </c>
      <c r="F136" s="6">
        <v>0</v>
      </c>
      <c r="G136" s="6">
        <v>0</v>
      </c>
      <c r="H136" s="6">
        <v>0</v>
      </c>
      <c r="I136" s="6">
        <v>1040</v>
      </c>
      <c r="J136" s="6">
        <v>0</v>
      </c>
      <c r="K136" s="6">
        <f t="shared" si="8"/>
        <v>1040</v>
      </c>
      <c r="L136" s="6">
        <v>451</v>
      </c>
      <c r="M136" s="8">
        <v>901</v>
      </c>
      <c r="N136" s="6">
        <v>23</v>
      </c>
      <c r="O136" s="8">
        <f t="shared" si="9"/>
        <v>19.925961538461539</v>
      </c>
      <c r="Q136" s="10">
        <v>4343</v>
      </c>
      <c r="R136" s="10">
        <f t="shared" si="10"/>
        <v>4516720</v>
      </c>
      <c r="S136" s="10">
        <f t="shared" si="11"/>
        <v>3913043</v>
      </c>
    </row>
    <row r="137" spans="1:19" x14ac:dyDescent="0.25">
      <c r="A137" s="5" t="s">
        <v>150</v>
      </c>
      <c r="B137" s="6" t="s">
        <v>17</v>
      </c>
      <c r="C137" s="6" t="s">
        <v>19</v>
      </c>
      <c r="D137" s="6">
        <v>10</v>
      </c>
      <c r="E137" s="6">
        <v>971</v>
      </c>
      <c r="F137" s="6">
        <v>525</v>
      </c>
      <c r="G137" s="6">
        <v>0</v>
      </c>
      <c r="H137" s="6">
        <v>0</v>
      </c>
      <c r="I137" s="6">
        <v>400</v>
      </c>
      <c r="J137" s="6">
        <v>0</v>
      </c>
      <c r="K137" s="6">
        <f t="shared" si="8"/>
        <v>400</v>
      </c>
      <c r="L137" s="6">
        <v>1096</v>
      </c>
      <c r="M137" s="8">
        <v>1054.3333333333301</v>
      </c>
      <c r="N137" s="6">
        <v>23</v>
      </c>
      <c r="O137" s="8">
        <f t="shared" si="9"/>
        <v>60.624166666666483</v>
      </c>
      <c r="Q137" s="10">
        <v>2970</v>
      </c>
      <c r="R137" s="10">
        <f t="shared" si="10"/>
        <v>1188000</v>
      </c>
      <c r="S137" s="10">
        <f t="shared" si="11"/>
        <v>3131369.9999999902</v>
      </c>
    </row>
    <row r="138" spans="1:19" x14ac:dyDescent="0.25">
      <c r="A138" s="5" t="s">
        <v>151</v>
      </c>
      <c r="B138" s="6" t="s">
        <v>17</v>
      </c>
      <c r="C138" s="6" t="s">
        <v>19</v>
      </c>
      <c r="D138" s="6">
        <v>10</v>
      </c>
      <c r="E138" s="6">
        <v>1067</v>
      </c>
      <c r="F138" s="6">
        <v>0</v>
      </c>
      <c r="G138" s="6">
        <v>0</v>
      </c>
      <c r="H138" s="6">
        <v>0</v>
      </c>
      <c r="I138" s="6">
        <v>1067</v>
      </c>
      <c r="J138" s="6">
        <v>0</v>
      </c>
      <c r="K138" s="6">
        <f t="shared" si="8"/>
        <v>1067</v>
      </c>
      <c r="L138" s="6">
        <v>0</v>
      </c>
      <c r="M138" s="8">
        <v>362.75</v>
      </c>
      <c r="N138" s="6">
        <v>23</v>
      </c>
      <c r="O138" s="8">
        <f t="shared" si="9"/>
        <v>7.8193533270852855</v>
      </c>
      <c r="Q138" s="10">
        <v>2970</v>
      </c>
      <c r="R138" s="10">
        <f t="shared" si="10"/>
        <v>3168990</v>
      </c>
      <c r="S138" s="10">
        <f t="shared" si="11"/>
        <v>1077367.5</v>
      </c>
    </row>
    <row r="139" spans="1:19" x14ac:dyDescent="0.25">
      <c r="A139" s="2" t="s">
        <v>8</v>
      </c>
      <c r="B139" s="6" t="s">
        <v>17</v>
      </c>
      <c r="C139" s="6" t="s">
        <v>19</v>
      </c>
      <c r="D139" s="6">
        <v>10</v>
      </c>
      <c r="E139" s="6">
        <v>0</v>
      </c>
      <c r="F139" s="6">
        <v>2521</v>
      </c>
      <c r="G139" s="6">
        <v>0</v>
      </c>
      <c r="H139" s="6">
        <v>0</v>
      </c>
      <c r="I139" s="6">
        <v>325</v>
      </c>
      <c r="J139" s="6">
        <v>0</v>
      </c>
      <c r="K139" s="6">
        <f t="shared" si="8"/>
        <v>325</v>
      </c>
      <c r="L139" s="6">
        <v>2196</v>
      </c>
      <c r="M139" s="8">
        <v>1593.5</v>
      </c>
      <c r="N139" s="6">
        <v>23</v>
      </c>
      <c r="O139" s="8">
        <f t="shared" si="9"/>
        <v>112.77076923076923</v>
      </c>
      <c r="Q139" s="10">
        <v>2970</v>
      </c>
      <c r="R139" s="10">
        <f t="shared" si="10"/>
        <v>965250</v>
      </c>
      <c r="S139" s="10">
        <f t="shared" si="11"/>
        <v>4732695</v>
      </c>
    </row>
    <row r="140" spans="1:19" x14ac:dyDescent="0.25">
      <c r="A140" s="5" t="s">
        <v>152</v>
      </c>
      <c r="B140" s="6" t="s">
        <v>17</v>
      </c>
      <c r="C140" s="6" t="s">
        <v>19</v>
      </c>
      <c r="D140" s="6">
        <v>10</v>
      </c>
      <c r="E140" s="6">
        <v>1030</v>
      </c>
      <c r="F140" s="6">
        <v>0</v>
      </c>
      <c r="G140" s="6">
        <v>0</v>
      </c>
      <c r="H140" s="6">
        <v>0</v>
      </c>
      <c r="I140" s="6">
        <v>50</v>
      </c>
      <c r="J140" s="6">
        <v>0</v>
      </c>
      <c r="K140" s="6">
        <f t="shared" si="8"/>
        <v>50</v>
      </c>
      <c r="L140" s="6">
        <v>980</v>
      </c>
      <c r="M140" s="8">
        <v>980</v>
      </c>
      <c r="N140" s="6">
        <v>23</v>
      </c>
      <c r="O140" s="8">
        <f t="shared" si="9"/>
        <v>450.8</v>
      </c>
      <c r="Q140" s="10">
        <v>2607</v>
      </c>
      <c r="R140" s="10">
        <f t="shared" si="10"/>
        <v>130350</v>
      </c>
      <c r="S140" s="10">
        <f t="shared" si="11"/>
        <v>2554860</v>
      </c>
    </row>
    <row r="141" spans="1:19" x14ac:dyDescent="0.25">
      <c r="A141" s="5" t="s">
        <v>153</v>
      </c>
      <c r="B141" s="6" t="s">
        <v>17</v>
      </c>
      <c r="C141" s="6" t="s">
        <v>19</v>
      </c>
      <c r="D141" s="6">
        <v>10</v>
      </c>
      <c r="E141" s="6">
        <v>800</v>
      </c>
      <c r="F141" s="6">
        <v>1000</v>
      </c>
      <c r="G141" s="6">
        <v>0</v>
      </c>
      <c r="H141" s="6">
        <v>0</v>
      </c>
      <c r="I141" s="6">
        <v>1225</v>
      </c>
      <c r="J141" s="6">
        <v>0</v>
      </c>
      <c r="K141" s="6">
        <f t="shared" si="8"/>
        <v>1225</v>
      </c>
      <c r="L141" s="6">
        <v>575</v>
      </c>
      <c r="M141" s="8">
        <v>612.5</v>
      </c>
      <c r="N141" s="6">
        <v>23</v>
      </c>
      <c r="O141" s="8">
        <f t="shared" si="9"/>
        <v>11.5</v>
      </c>
      <c r="Q141" s="10">
        <v>1928</v>
      </c>
      <c r="R141" s="10">
        <f t="shared" si="10"/>
        <v>2361800</v>
      </c>
      <c r="S141" s="10">
        <f t="shared" si="11"/>
        <v>1180900</v>
      </c>
    </row>
    <row r="142" spans="1:19" x14ac:dyDescent="0.25">
      <c r="A142" s="5" t="s">
        <v>154</v>
      </c>
      <c r="B142" s="6" t="s">
        <v>17</v>
      </c>
      <c r="C142" s="6" t="s">
        <v>19</v>
      </c>
      <c r="D142" s="6">
        <v>10</v>
      </c>
      <c r="E142" s="6">
        <v>3625</v>
      </c>
      <c r="F142" s="6">
        <v>19800</v>
      </c>
      <c r="G142" s="6">
        <v>0</v>
      </c>
      <c r="H142" s="6">
        <v>0</v>
      </c>
      <c r="I142" s="6">
        <v>0</v>
      </c>
      <c r="J142" s="6">
        <v>70</v>
      </c>
      <c r="K142" s="6">
        <f t="shared" si="8"/>
        <v>70</v>
      </c>
      <c r="L142" s="6">
        <v>23355</v>
      </c>
      <c r="M142" s="8">
        <v>17676</v>
      </c>
      <c r="N142" s="6">
        <v>23</v>
      </c>
      <c r="O142" s="8">
        <f t="shared" si="9"/>
        <v>5807.8285714285712</v>
      </c>
      <c r="Q142" s="10">
        <v>2129</v>
      </c>
      <c r="R142" s="10">
        <f t="shared" si="10"/>
        <v>149030</v>
      </c>
      <c r="S142" s="10">
        <f t="shared" si="11"/>
        <v>37632204</v>
      </c>
    </row>
    <row r="143" spans="1:19" x14ac:dyDescent="0.25">
      <c r="A143" s="5" t="s">
        <v>155</v>
      </c>
      <c r="B143" s="6" t="s">
        <v>17</v>
      </c>
      <c r="C143" s="6" t="s">
        <v>19</v>
      </c>
      <c r="D143" s="6">
        <v>10</v>
      </c>
      <c r="E143" s="6">
        <v>40332</v>
      </c>
      <c r="F143" s="6">
        <v>0</v>
      </c>
      <c r="G143" s="6">
        <v>0</v>
      </c>
      <c r="H143" s="6">
        <v>0</v>
      </c>
      <c r="I143" s="6">
        <v>9875</v>
      </c>
      <c r="J143" s="6">
        <v>0</v>
      </c>
      <c r="K143" s="6">
        <f t="shared" si="8"/>
        <v>9875</v>
      </c>
      <c r="L143" s="6">
        <v>30457</v>
      </c>
      <c r="M143" s="8">
        <v>34057</v>
      </c>
      <c r="N143" s="6">
        <v>23</v>
      </c>
      <c r="O143" s="8">
        <f t="shared" si="9"/>
        <v>79.322632911392404</v>
      </c>
      <c r="Q143" s="10">
        <v>2177</v>
      </c>
      <c r="R143" s="10">
        <f t="shared" si="10"/>
        <v>21497875</v>
      </c>
      <c r="S143" s="10">
        <f t="shared" si="11"/>
        <v>74142089</v>
      </c>
    </row>
    <row r="144" spans="1:19" x14ac:dyDescent="0.25">
      <c r="A144" s="5" t="s">
        <v>156</v>
      </c>
      <c r="B144" s="6" t="s">
        <v>17</v>
      </c>
      <c r="C144" s="6" t="s">
        <v>19</v>
      </c>
      <c r="D144" s="6">
        <v>10</v>
      </c>
      <c r="E144" s="6">
        <v>25</v>
      </c>
      <c r="F144" s="6">
        <v>30015</v>
      </c>
      <c r="G144" s="6">
        <v>0</v>
      </c>
      <c r="H144" s="6">
        <v>0</v>
      </c>
      <c r="I144" s="6">
        <v>18405</v>
      </c>
      <c r="J144" s="6">
        <v>10</v>
      </c>
      <c r="K144" s="6">
        <f t="shared" si="8"/>
        <v>18415</v>
      </c>
      <c r="L144" s="6">
        <v>11625</v>
      </c>
      <c r="M144" s="8">
        <v>2760.9090909090901</v>
      </c>
      <c r="N144" s="6">
        <v>23</v>
      </c>
      <c r="O144" s="8">
        <f t="shared" si="9"/>
        <v>3.4483252289388582</v>
      </c>
      <c r="Q144" s="10">
        <v>2177</v>
      </c>
      <c r="R144" s="10">
        <f t="shared" si="10"/>
        <v>40089455</v>
      </c>
      <c r="S144" s="10">
        <f t="shared" si="11"/>
        <v>6010499.090909089</v>
      </c>
    </row>
    <row r="145" spans="1:19" x14ac:dyDescent="0.25">
      <c r="A145" s="5" t="s">
        <v>157</v>
      </c>
      <c r="B145" s="6" t="s">
        <v>17</v>
      </c>
      <c r="C145" s="6" t="s">
        <v>19</v>
      </c>
      <c r="D145" s="6">
        <v>10</v>
      </c>
      <c r="E145" s="6">
        <v>5595</v>
      </c>
      <c r="F145" s="6">
        <v>9095</v>
      </c>
      <c r="G145" s="6">
        <v>0</v>
      </c>
      <c r="H145" s="6">
        <v>0</v>
      </c>
      <c r="I145" s="6">
        <v>8175</v>
      </c>
      <c r="J145" s="6">
        <v>0</v>
      </c>
      <c r="K145" s="6">
        <f t="shared" si="8"/>
        <v>8175</v>
      </c>
      <c r="L145" s="6">
        <v>6515</v>
      </c>
      <c r="M145" s="8">
        <v>9993.125</v>
      </c>
      <c r="N145" s="6">
        <v>23</v>
      </c>
      <c r="O145" s="8">
        <f t="shared" si="9"/>
        <v>28.115214067278288</v>
      </c>
      <c r="Q145" s="10">
        <v>2177</v>
      </c>
      <c r="R145" s="10">
        <f t="shared" si="10"/>
        <v>17796975</v>
      </c>
      <c r="S145" s="10">
        <f t="shared" si="11"/>
        <v>21755033.125</v>
      </c>
    </row>
    <row r="146" spans="1:19" x14ac:dyDescent="0.25">
      <c r="A146" s="5" t="s">
        <v>158</v>
      </c>
      <c r="B146" s="6" t="s">
        <v>17</v>
      </c>
      <c r="C146" s="6" t="s">
        <v>19</v>
      </c>
      <c r="D146" s="6">
        <v>10</v>
      </c>
      <c r="E146" s="6">
        <v>2121</v>
      </c>
      <c r="F146" s="6">
        <v>7150</v>
      </c>
      <c r="G146" s="6">
        <v>0</v>
      </c>
      <c r="H146" s="6">
        <v>0</v>
      </c>
      <c r="I146" s="6">
        <v>0</v>
      </c>
      <c r="J146" s="6">
        <v>1515</v>
      </c>
      <c r="K146" s="6">
        <f t="shared" si="8"/>
        <v>1515</v>
      </c>
      <c r="L146" s="6">
        <v>7756</v>
      </c>
      <c r="M146" s="8">
        <v>8266</v>
      </c>
      <c r="N146" s="6">
        <v>23</v>
      </c>
      <c r="O146" s="8">
        <f t="shared" si="9"/>
        <v>125.49042904290428</v>
      </c>
      <c r="Q146" s="10">
        <v>1948</v>
      </c>
      <c r="R146" s="10">
        <f t="shared" si="10"/>
        <v>2951220</v>
      </c>
      <c r="S146" s="10">
        <f t="shared" si="11"/>
        <v>16102168</v>
      </c>
    </row>
    <row r="147" spans="1:19" x14ac:dyDescent="0.25">
      <c r="A147" s="5" t="s">
        <v>159</v>
      </c>
      <c r="B147" s="6" t="s">
        <v>17</v>
      </c>
      <c r="C147" s="6" t="s">
        <v>19</v>
      </c>
      <c r="D147" s="6">
        <v>10</v>
      </c>
      <c r="E147" s="6">
        <v>3000</v>
      </c>
      <c r="F147" s="6">
        <v>2013</v>
      </c>
      <c r="G147" s="6">
        <v>0</v>
      </c>
      <c r="H147" s="6">
        <v>0</v>
      </c>
      <c r="I147" s="6">
        <v>0</v>
      </c>
      <c r="J147" s="6">
        <v>3000</v>
      </c>
      <c r="K147" s="6">
        <f t="shared" si="8"/>
        <v>3000</v>
      </c>
      <c r="L147" s="6">
        <v>2013</v>
      </c>
      <c r="M147" s="8">
        <v>1171</v>
      </c>
      <c r="N147" s="6">
        <v>23</v>
      </c>
      <c r="O147" s="8">
        <f t="shared" si="9"/>
        <v>8.977666666666666</v>
      </c>
      <c r="Q147" s="10">
        <v>1989</v>
      </c>
      <c r="R147" s="10">
        <f t="shared" si="10"/>
        <v>5967000</v>
      </c>
      <c r="S147" s="10">
        <f t="shared" si="11"/>
        <v>2329119</v>
      </c>
    </row>
    <row r="148" spans="1:19" x14ac:dyDescent="0.25">
      <c r="A148" s="5" t="s">
        <v>160</v>
      </c>
      <c r="B148" s="6" t="s">
        <v>17</v>
      </c>
      <c r="C148" s="6" t="s">
        <v>19</v>
      </c>
      <c r="D148" s="6">
        <v>10</v>
      </c>
      <c r="E148" s="6">
        <v>13925</v>
      </c>
      <c r="F148" s="6">
        <v>15000</v>
      </c>
      <c r="G148" s="6">
        <v>0</v>
      </c>
      <c r="H148" s="6">
        <v>0</v>
      </c>
      <c r="I148" s="6">
        <v>3000</v>
      </c>
      <c r="J148" s="6">
        <v>2000</v>
      </c>
      <c r="K148" s="6">
        <f t="shared" si="8"/>
        <v>5000</v>
      </c>
      <c r="L148" s="6">
        <v>23925</v>
      </c>
      <c r="M148" s="8">
        <v>21325</v>
      </c>
      <c r="N148" s="6">
        <v>23</v>
      </c>
      <c r="O148" s="8">
        <f t="shared" si="9"/>
        <v>98.094999999999999</v>
      </c>
      <c r="Q148" s="10">
        <v>2181</v>
      </c>
      <c r="R148" s="10">
        <f t="shared" si="10"/>
        <v>10905000</v>
      </c>
      <c r="S148" s="10">
        <f t="shared" si="11"/>
        <v>46509825</v>
      </c>
    </row>
    <row r="149" spans="1:19" x14ac:dyDescent="0.25">
      <c r="A149" s="5" t="s">
        <v>173</v>
      </c>
      <c r="B149" s="6" t="s">
        <v>17</v>
      </c>
      <c r="C149" s="6" t="s">
        <v>19</v>
      </c>
      <c r="D149" s="6">
        <v>10</v>
      </c>
      <c r="E149" s="6">
        <v>8750</v>
      </c>
      <c r="F149" s="6">
        <v>18850</v>
      </c>
      <c r="G149" s="6">
        <v>0</v>
      </c>
      <c r="H149" s="6">
        <v>0</v>
      </c>
      <c r="I149" s="6">
        <v>15250</v>
      </c>
      <c r="J149" s="6">
        <v>3250</v>
      </c>
      <c r="K149" s="6">
        <f t="shared" si="8"/>
        <v>18500</v>
      </c>
      <c r="L149" s="6">
        <v>9100</v>
      </c>
      <c r="M149" s="8">
        <v>11062.5</v>
      </c>
      <c r="N149" s="6">
        <v>23</v>
      </c>
      <c r="O149" s="8">
        <f t="shared" si="9"/>
        <v>13.753378378378379</v>
      </c>
      <c r="Q149" s="10">
        <v>2181</v>
      </c>
      <c r="R149" s="10">
        <f t="shared" si="10"/>
        <v>40348500</v>
      </c>
      <c r="S149" s="10">
        <f t="shared" si="11"/>
        <v>24127312.5</v>
      </c>
    </row>
    <row r="150" spans="1:19" x14ac:dyDescent="0.25">
      <c r="A150" s="5" t="s">
        <v>174</v>
      </c>
      <c r="B150" s="6" t="s">
        <v>17</v>
      </c>
      <c r="C150" s="6" t="s">
        <v>19</v>
      </c>
      <c r="D150" s="6">
        <v>10</v>
      </c>
      <c r="E150" s="6">
        <v>11425</v>
      </c>
      <c r="F150" s="6">
        <v>14450</v>
      </c>
      <c r="G150" s="6">
        <v>0</v>
      </c>
      <c r="H150" s="6">
        <v>0</v>
      </c>
      <c r="I150" s="6">
        <v>15000</v>
      </c>
      <c r="J150" s="6">
        <v>2425</v>
      </c>
      <c r="K150" s="6">
        <f t="shared" si="8"/>
        <v>17425</v>
      </c>
      <c r="L150" s="6">
        <v>8450</v>
      </c>
      <c r="M150" s="8">
        <v>8696.875</v>
      </c>
      <c r="N150" s="6">
        <v>23</v>
      </c>
      <c r="O150" s="8">
        <f t="shared" si="9"/>
        <v>11.479375896700143</v>
      </c>
      <c r="Q150" s="10">
        <v>2181</v>
      </c>
      <c r="R150" s="10">
        <f t="shared" si="10"/>
        <v>38003925</v>
      </c>
      <c r="S150" s="10">
        <f t="shared" si="11"/>
        <v>18967884.375</v>
      </c>
    </row>
    <row r="151" spans="1:19" x14ac:dyDescent="0.25">
      <c r="A151" s="5" t="s">
        <v>175</v>
      </c>
      <c r="B151" s="6" t="s">
        <v>16</v>
      </c>
      <c r="C151" s="6" t="s">
        <v>19</v>
      </c>
      <c r="D151" s="6">
        <v>10</v>
      </c>
      <c r="E151" s="6">
        <v>19075</v>
      </c>
      <c r="F151" s="6">
        <v>136750</v>
      </c>
      <c r="G151" s="6">
        <v>0</v>
      </c>
      <c r="H151" s="6">
        <v>0</v>
      </c>
      <c r="I151" s="6">
        <v>0</v>
      </c>
      <c r="J151" s="6">
        <v>121525</v>
      </c>
      <c r="K151" s="6">
        <f t="shared" si="8"/>
        <v>121525</v>
      </c>
      <c r="L151" s="6">
        <v>34300</v>
      </c>
      <c r="M151" s="8">
        <v>16527.941176470598</v>
      </c>
      <c r="N151" s="6">
        <v>23</v>
      </c>
      <c r="O151" s="8">
        <f t="shared" si="9"/>
        <v>3.1281024238537238</v>
      </c>
      <c r="Q151" s="10">
        <v>2208</v>
      </c>
      <c r="R151" s="10">
        <f t="shared" si="10"/>
        <v>268327200</v>
      </c>
      <c r="S151" s="10">
        <f t="shared" si="11"/>
        <v>36493694.117647082</v>
      </c>
    </row>
    <row r="152" spans="1:19" x14ac:dyDescent="0.25">
      <c r="A152" s="5" t="s">
        <v>176</v>
      </c>
      <c r="B152" s="6" t="s">
        <v>16</v>
      </c>
      <c r="C152" s="6" t="s">
        <v>19</v>
      </c>
      <c r="D152" s="6">
        <v>10</v>
      </c>
      <c r="E152" s="6">
        <v>4875</v>
      </c>
      <c r="F152" s="6">
        <v>52512</v>
      </c>
      <c r="G152" s="6">
        <v>0</v>
      </c>
      <c r="H152" s="6">
        <v>0</v>
      </c>
      <c r="I152" s="6">
        <v>0</v>
      </c>
      <c r="J152" s="6">
        <v>39586</v>
      </c>
      <c r="K152" s="6">
        <f t="shared" si="8"/>
        <v>39586</v>
      </c>
      <c r="L152" s="6">
        <v>17801</v>
      </c>
      <c r="M152" s="8">
        <v>13732.285714285701</v>
      </c>
      <c r="N152" s="6">
        <v>23</v>
      </c>
      <c r="O152" s="8">
        <f t="shared" si="9"/>
        <v>7.9786432432822485</v>
      </c>
      <c r="Q152" s="10">
        <v>2245</v>
      </c>
      <c r="R152" s="10">
        <f t="shared" si="10"/>
        <v>88870570</v>
      </c>
      <c r="S152" s="10">
        <f t="shared" si="11"/>
        <v>30828981.428571399</v>
      </c>
    </row>
    <row r="153" spans="1:19" x14ac:dyDescent="0.25">
      <c r="A153" s="5" t="s">
        <v>163</v>
      </c>
      <c r="B153" s="6" t="s">
        <v>17</v>
      </c>
      <c r="C153" s="6" t="s">
        <v>19</v>
      </c>
      <c r="D153" s="6">
        <v>10</v>
      </c>
      <c r="E153" s="6">
        <v>21393</v>
      </c>
      <c r="F153" s="6">
        <v>68725</v>
      </c>
      <c r="G153" s="6">
        <v>0</v>
      </c>
      <c r="H153" s="6">
        <v>0</v>
      </c>
      <c r="I153" s="6">
        <v>33300</v>
      </c>
      <c r="J153" s="6">
        <v>9500</v>
      </c>
      <c r="K153" s="6">
        <f t="shared" si="8"/>
        <v>42800</v>
      </c>
      <c r="L153" s="6">
        <v>47318</v>
      </c>
      <c r="M153" s="8">
        <v>44869.470588235301</v>
      </c>
      <c r="N153" s="6">
        <v>23</v>
      </c>
      <c r="O153" s="8">
        <f t="shared" si="9"/>
        <v>24.112098680593736</v>
      </c>
      <c r="Q153" s="10">
        <v>2355</v>
      </c>
      <c r="R153" s="10">
        <f>Q153*(I153+J153)</f>
        <v>100794000</v>
      </c>
      <c r="S153" s="10">
        <f t="shared" si="11"/>
        <v>105667603.23529413</v>
      </c>
    </row>
    <row r="154" spans="1:19" x14ac:dyDescent="0.25">
      <c r="A154" s="5" t="s">
        <v>177</v>
      </c>
      <c r="B154" s="6" t="s">
        <v>17</v>
      </c>
      <c r="C154" s="6" t="s">
        <v>19</v>
      </c>
      <c r="D154" s="6">
        <v>10</v>
      </c>
      <c r="E154" s="6">
        <v>4624</v>
      </c>
      <c r="F154" s="6">
        <v>5036</v>
      </c>
      <c r="G154" s="6">
        <v>0</v>
      </c>
      <c r="H154" s="6">
        <v>0</v>
      </c>
      <c r="I154" s="6">
        <v>0</v>
      </c>
      <c r="J154" s="6">
        <v>8051</v>
      </c>
      <c r="K154" s="6">
        <f t="shared" si="8"/>
        <v>8051</v>
      </c>
      <c r="L154" s="6">
        <v>1609</v>
      </c>
      <c r="M154" s="8">
        <v>2366.5</v>
      </c>
      <c r="N154" s="6">
        <v>23</v>
      </c>
      <c r="O154" s="8">
        <f t="shared" si="9"/>
        <v>6.7605887467395354</v>
      </c>
      <c r="Q154" s="10">
        <v>2021</v>
      </c>
      <c r="R154" s="10">
        <f t="shared" si="10"/>
        <v>16271071</v>
      </c>
      <c r="S154" s="10">
        <f t="shared" si="11"/>
        <v>4782696.5</v>
      </c>
    </row>
    <row r="155" spans="1:19" x14ac:dyDescent="0.25">
      <c r="A155" s="5" t="s">
        <v>178</v>
      </c>
      <c r="B155" s="6" t="s">
        <v>17</v>
      </c>
      <c r="C155" s="6" t="s">
        <v>19</v>
      </c>
      <c r="D155" s="6">
        <v>10</v>
      </c>
      <c r="E155" s="6">
        <v>3538</v>
      </c>
      <c r="F155" s="6">
        <v>7975</v>
      </c>
      <c r="G155" s="6">
        <v>0</v>
      </c>
      <c r="H155" s="6">
        <v>0</v>
      </c>
      <c r="I155" s="6">
        <v>0</v>
      </c>
      <c r="J155" s="6">
        <v>4255</v>
      </c>
      <c r="K155" s="6">
        <f t="shared" si="8"/>
        <v>4255</v>
      </c>
      <c r="L155" s="6">
        <v>7258</v>
      </c>
      <c r="M155" s="8">
        <v>4915</v>
      </c>
      <c r="N155" s="6">
        <v>23</v>
      </c>
      <c r="O155" s="8">
        <f t="shared" si="9"/>
        <v>26.567567567567565</v>
      </c>
      <c r="Q155" s="10">
        <v>2021</v>
      </c>
      <c r="R155" s="10">
        <f t="shared" si="10"/>
        <v>8599355</v>
      </c>
      <c r="S155" s="10">
        <f t="shared" si="11"/>
        <v>9933215</v>
      </c>
    </row>
    <row r="156" spans="1:19" x14ac:dyDescent="0.25">
      <c r="A156" s="5" t="s">
        <v>179</v>
      </c>
      <c r="B156" s="6" t="s">
        <v>17</v>
      </c>
      <c r="C156" s="6" t="s">
        <v>19</v>
      </c>
      <c r="D156" s="6">
        <v>10</v>
      </c>
      <c r="E156" s="6">
        <v>945</v>
      </c>
      <c r="F156" s="6">
        <v>12225</v>
      </c>
      <c r="G156" s="6">
        <v>0</v>
      </c>
      <c r="H156" s="6">
        <v>0</v>
      </c>
      <c r="I156" s="6">
        <v>0</v>
      </c>
      <c r="J156" s="6">
        <v>8411</v>
      </c>
      <c r="K156" s="6">
        <f t="shared" si="8"/>
        <v>8411</v>
      </c>
      <c r="L156" s="6">
        <v>4759</v>
      </c>
      <c r="M156" s="8">
        <v>5246.8</v>
      </c>
      <c r="N156" s="6">
        <v>23</v>
      </c>
      <c r="O156" s="8">
        <f t="shared" si="9"/>
        <v>14.347449768160741</v>
      </c>
      <c r="Q156" s="10">
        <v>2021</v>
      </c>
      <c r="R156" s="10">
        <f t="shared" si="10"/>
        <v>16998631</v>
      </c>
      <c r="S156" s="10">
        <f t="shared" si="11"/>
        <v>10603782.800000001</v>
      </c>
    </row>
    <row r="157" spans="1:19" x14ac:dyDescent="0.25">
      <c r="A157" s="5" t="s">
        <v>180</v>
      </c>
      <c r="B157" s="6" t="s">
        <v>17</v>
      </c>
      <c r="C157" s="6" t="s">
        <v>19</v>
      </c>
      <c r="D157" s="6">
        <v>10</v>
      </c>
      <c r="E157" s="6">
        <v>0</v>
      </c>
      <c r="F157" s="6">
        <v>17000</v>
      </c>
      <c r="G157" s="6">
        <v>0</v>
      </c>
      <c r="H157" s="6">
        <v>0</v>
      </c>
      <c r="I157" s="6">
        <v>13000</v>
      </c>
      <c r="J157" s="6">
        <v>0</v>
      </c>
      <c r="K157" s="6">
        <f t="shared" si="8"/>
        <v>13000</v>
      </c>
      <c r="L157" s="6">
        <v>4000</v>
      </c>
      <c r="M157" s="8">
        <v>6444.4444444444407</v>
      </c>
      <c r="N157" s="6">
        <v>23</v>
      </c>
      <c r="O157" s="8">
        <f t="shared" si="9"/>
        <v>11.401709401709395</v>
      </c>
      <c r="Q157" s="10">
        <v>2846</v>
      </c>
      <c r="R157" s="10">
        <f t="shared" si="10"/>
        <v>36998000</v>
      </c>
      <c r="S157" s="10">
        <f t="shared" si="11"/>
        <v>18340888.888888877</v>
      </c>
    </row>
    <row r="158" spans="1:19" x14ac:dyDescent="0.25">
      <c r="A158" s="5" t="s">
        <v>181</v>
      </c>
      <c r="B158" s="6" t="s">
        <v>17</v>
      </c>
      <c r="C158" s="6" t="s">
        <v>19</v>
      </c>
      <c r="D158" s="6">
        <v>10</v>
      </c>
      <c r="E158" s="6">
        <v>5936</v>
      </c>
      <c r="F158" s="6">
        <v>10755</v>
      </c>
      <c r="G158" s="6">
        <v>0</v>
      </c>
      <c r="H158" s="6">
        <v>0</v>
      </c>
      <c r="I158" s="6">
        <v>15316</v>
      </c>
      <c r="J158" s="6">
        <v>0</v>
      </c>
      <c r="K158" s="6">
        <f t="shared" si="8"/>
        <v>15316</v>
      </c>
      <c r="L158" s="6">
        <v>1375</v>
      </c>
      <c r="M158" s="8">
        <v>3496</v>
      </c>
      <c r="N158" s="6">
        <v>23</v>
      </c>
      <c r="O158" s="8">
        <f t="shared" si="9"/>
        <v>5.2499347088012538</v>
      </c>
      <c r="Q158" s="10">
        <v>7550</v>
      </c>
      <c r="R158" s="10">
        <f t="shared" si="10"/>
        <v>115635800</v>
      </c>
      <c r="S158" s="10">
        <f t="shared" si="11"/>
        <v>26394800</v>
      </c>
    </row>
    <row r="159" spans="1:19" x14ac:dyDescent="0.25">
      <c r="A159" s="5" t="s">
        <v>182</v>
      </c>
      <c r="B159" s="6" t="s">
        <v>17</v>
      </c>
      <c r="C159" s="6" t="s">
        <v>19</v>
      </c>
      <c r="D159" s="6">
        <v>10</v>
      </c>
      <c r="E159" s="6">
        <v>1400</v>
      </c>
      <c r="F159" s="6">
        <v>2000</v>
      </c>
      <c r="G159" s="6">
        <v>0</v>
      </c>
      <c r="H159" s="6">
        <v>0</v>
      </c>
      <c r="I159" s="6">
        <v>1200</v>
      </c>
      <c r="J159" s="6">
        <v>0</v>
      </c>
      <c r="K159" s="6">
        <f t="shared" si="8"/>
        <v>1200</v>
      </c>
      <c r="L159" s="6">
        <v>2200</v>
      </c>
      <c r="M159" s="8">
        <v>1200</v>
      </c>
      <c r="N159" s="6">
        <v>23</v>
      </c>
      <c r="O159" s="8">
        <f t="shared" si="9"/>
        <v>23</v>
      </c>
      <c r="Q159" s="10">
        <v>2658</v>
      </c>
      <c r="R159" s="10">
        <f t="shared" ref="R159:R161" si="12">Q159*(I159+J159)</f>
        <v>3189600</v>
      </c>
      <c r="S159" s="10">
        <f t="shared" ref="S159:S161" si="13">Q159*M159</f>
        <v>3189600</v>
      </c>
    </row>
    <row r="160" spans="1:19" x14ac:dyDescent="0.25">
      <c r="A160" s="5" t="s">
        <v>5</v>
      </c>
      <c r="B160" s="6" t="s">
        <v>17</v>
      </c>
      <c r="C160" s="6" t="s">
        <v>19</v>
      </c>
      <c r="D160" s="6">
        <v>10</v>
      </c>
      <c r="E160" s="6">
        <v>21850</v>
      </c>
      <c r="F160" s="6">
        <v>1000</v>
      </c>
      <c r="G160" s="6">
        <v>0</v>
      </c>
      <c r="H160" s="6">
        <v>0</v>
      </c>
      <c r="I160" s="6">
        <v>0</v>
      </c>
      <c r="J160" s="6">
        <v>15000</v>
      </c>
      <c r="K160" s="6">
        <f t="shared" si="8"/>
        <v>15000</v>
      </c>
      <c r="L160" s="6">
        <v>7850</v>
      </c>
      <c r="M160" s="8">
        <v>14575</v>
      </c>
      <c r="N160" s="6">
        <v>23</v>
      </c>
      <c r="O160" s="8">
        <f t="shared" si="9"/>
        <v>22.348333333333333</v>
      </c>
      <c r="Q160" s="10">
        <v>2103</v>
      </c>
      <c r="R160" s="10">
        <f>Q160*(I160+J160)</f>
        <v>31545000</v>
      </c>
      <c r="S160" s="10">
        <f t="shared" si="13"/>
        <v>30651225</v>
      </c>
    </row>
    <row r="161" spans="1:19" x14ac:dyDescent="0.25">
      <c r="A161" s="2" t="s">
        <v>9</v>
      </c>
      <c r="B161" s="6" t="s">
        <v>17</v>
      </c>
      <c r="C161" s="6" t="s">
        <v>19</v>
      </c>
      <c r="D161" s="6">
        <v>10</v>
      </c>
      <c r="E161" s="6">
        <v>27475</v>
      </c>
      <c r="F161" s="6">
        <v>0</v>
      </c>
      <c r="G161" s="6">
        <v>0</v>
      </c>
      <c r="H161" s="6">
        <v>0</v>
      </c>
      <c r="I161" s="6">
        <v>12000</v>
      </c>
      <c r="J161" s="6">
        <v>0</v>
      </c>
      <c r="K161" s="6">
        <f t="shared" si="8"/>
        <v>12000</v>
      </c>
      <c r="L161" s="6">
        <v>15475</v>
      </c>
      <c r="M161" s="8">
        <v>21475</v>
      </c>
      <c r="N161" s="6">
        <v>23</v>
      </c>
      <c r="O161" s="8">
        <f t="shared" si="9"/>
        <v>41.160416666666663</v>
      </c>
      <c r="Q161" s="10">
        <v>2846</v>
      </c>
      <c r="R161" s="10">
        <f t="shared" si="12"/>
        <v>34152000</v>
      </c>
      <c r="S161" s="10">
        <f t="shared" si="13"/>
        <v>61117850</v>
      </c>
    </row>
    <row r="162" spans="1:19" ht="17.25" x14ac:dyDescent="0.4">
      <c r="A162" s="17" t="s">
        <v>18</v>
      </c>
      <c r="B162" s="17"/>
      <c r="C162" s="17"/>
      <c r="D162" s="17"/>
      <c r="E162" s="18">
        <f>SUM(E2:E161)</f>
        <v>1172136</v>
      </c>
      <c r="F162" s="18">
        <f t="shared" ref="F162:M162" si="14">SUM(F2:F161)</f>
        <v>3802367</v>
      </c>
      <c r="G162" s="18">
        <f t="shared" si="14"/>
        <v>0</v>
      </c>
      <c r="H162" s="18">
        <f t="shared" si="14"/>
        <v>0</v>
      </c>
      <c r="I162" s="18">
        <f t="shared" si="14"/>
        <v>2209028</v>
      </c>
      <c r="J162" s="18">
        <f t="shared" si="14"/>
        <v>1422255</v>
      </c>
      <c r="K162" s="18">
        <f t="shared" si="8"/>
        <v>3631283</v>
      </c>
      <c r="L162" s="18">
        <f t="shared" si="14"/>
        <v>1343220</v>
      </c>
      <c r="M162" s="18">
        <f t="shared" si="14"/>
        <v>1396181.4520379903</v>
      </c>
      <c r="N162" s="18">
        <v>23</v>
      </c>
      <c r="O162" s="18">
        <f>(M162/(I162+J162))*N162</f>
        <v>8.8432031865524614</v>
      </c>
      <c r="R162" s="13">
        <f>SUM(R2:R161)</f>
        <v>8013939155</v>
      </c>
      <c r="S162" s="13">
        <f>SUM(S2:S161)</f>
        <v>3270915023.6935358</v>
      </c>
    </row>
    <row r="163" spans="1:19" x14ac:dyDescent="0.25">
      <c r="K163" s="6"/>
    </row>
    <row r="164" spans="1:19" x14ac:dyDescent="0.25">
      <c r="K164" s="6"/>
      <c r="Q164" s="11" t="s">
        <v>186</v>
      </c>
      <c r="R164" s="12">
        <v>5.1999999999999998E-3</v>
      </c>
    </row>
    <row r="165" spans="1:19" x14ac:dyDescent="0.25">
      <c r="K165" s="6"/>
      <c r="Q165" s="11" t="s">
        <v>187</v>
      </c>
      <c r="R165" s="15">
        <f>(S162*R164)/R162</f>
        <v>2.1223967133060153E-3</v>
      </c>
    </row>
    <row r="166" spans="1:19" x14ac:dyDescent="0.25">
      <c r="K166" s="6"/>
      <c r="Q166" s="11" t="s">
        <v>188</v>
      </c>
      <c r="R166" s="15">
        <v>1.5100000000000001E-3</v>
      </c>
    </row>
    <row r="167" spans="1:19" x14ac:dyDescent="0.25">
      <c r="K167" s="6"/>
      <c r="Q167" s="11" t="s">
        <v>202</v>
      </c>
      <c r="R167" s="19">
        <f>(S162/R162)*N159</f>
        <v>9.3875239242381454</v>
      </c>
    </row>
  </sheetData>
  <autoFilter ref="A1:S167" xr:uid="{43A680E5-F210-461E-A21B-26B6B5509A36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6454-3C5E-49EF-B8B4-C3CDB035946E}">
  <dimension ref="A1:S169"/>
  <sheetViews>
    <sheetView topLeftCell="B1" workbookViewId="0">
      <pane ySplit="1" topLeftCell="A2" activePane="bottomLeft" state="frozen"/>
      <selection pane="bottomLeft" activeCell="K161" sqref="K161"/>
    </sheetView>
  </sheetViews>
  <sheetFormatPr defaultRowHeight="15" x14ac:dyDescent="0.25"/>
  <cols>
    <col min="1" max="1" width="13.28515625" style="3" customWidth="1"/>
    <col min="2" max="2" width="13.5703125" style="3" customWidth="1"/>
    <col min="4" max="4" width="11.5703125" customWidth="1"/>
    <col min="5" max="5" width="11" customWidth="1"/>
    <col min="6" max="6" width="11.7109375" customWidth="1"/>
    <col min="9" max="9" width="12.140625" customWidth="1"/>
    <col min="10" max="11" width="11.85546875" customWidth="1"/>
    <col min="12" max="12" width="11.7109375" customWidth="1"/>
    <col min="13" max="13" width="10.85546875" customWidth="1"/>
    <col min="17" max="17" width="15" style="6" customWidth="1"/>
    <col min="18" max="19" width="19.140625" style="6" customWidth="1"/>
  </cols>
  <sheetData>
    <row r="1" spans="1:19" s="4" customFormat="1" ht="45.75" thickBot="1" x14ac:dyDescent="0.3">
      <c r="A1" s="9" t="s">
        <v>190</v>
      </c>
      <c r="B1" s="9" t="s">
        <v>189</v>
      </c>
      <c r="C1" s="9" t="s">
        <v>191</v>
      </c>
      <c r="D1" s="9" t="s">
        <v>203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221</v>
      </c>
      <c r="L1" s="9" t="s">
        <v>198</v>
      </c>
      <c r="M1" s="9" t="s">
        <v>199</v>
      </c>
      <c r="N1" s="9" t="s">
        <v>200</v>
      </c>
      <c r="O1" s="9" t="s">
        <v>201</v>
      </c>
      <c r="Q1" s="9" t="s">
        <v>183</v>
      </c>
      <c r="R1" s="9" t="s">
        <v>184</v>
      </c>
      <c r="S1" s="9" t="s">
        <v>185</v>
      </c>
    </row>
    <row r="2" spans="1:19" s="3" customFormat="1" x14ac:dyDescent="0.25">
      <c r="A2" s="5" t="s">
        <v>20</v>
      </c>
      <c r="B2" s="6" t="s">
        <v>17</v>
      </c>
      <c r="C2" s="6" t="s">
        <v>19</v>
      </c>
      <c r="D2" s="6">
        <v>10</v>
      </c>
      <c r="E2" s="6">
        <v>2410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I2+J2</f>
        <v>0</v>
      </c>
      <c r="L2" s="6">
        <v>2410</v>
      </c>
      <c r="M2" s="6">
        <v>0</v>
      </c>
      <c r="N2" s="6">
        <v>24</v>
      </c>
      <c r="O2" s="8">
        <v>0</v>
      </c>
      <c r="Q2" s="10">
        <v>2129</v>
      </c>
      <c r="R2" s="10">
        <f>Q2*(I2+J2)</f>
        <v>0</v>
      </c>
      <c r="S2" s="10">
        <f>Q2*M2</f>
        <v>0</v>
      </c>
    </row>
    <row r="3" spans="1:19" s="3" customFormat="1" x14ac:dyDescent="0.25">
      <c r="A3" s="5" t="s">
        <v>21</v>
      </c>
      <c r="B3" s="6" t="s">
        <v>16</v>
      </c>
      <c r="C3" s="6" t="s">
        <v>19</v>
      </c>
      <c r="D3" s="6">
        <v>10</v>
      </c>
      <c r="E3" s="6">
        <v>46556</v>
      </c>
      <c r="F3" s="6">
        <v>886050</v>
      </c>
      <c r="G3" s="6">
        <v>0</v>
      </c>
      <c r="H3" s="6">
        <v>0</v>
      </c>
      <c r="I3" s="6">
        <v>910450</v>
      </c>
      <c r="J3" s="6">
        <v>50</v>
      </c>
      <c r="K3" s="6">
        <f t="shared" ref="K3:K66" si="0">I3+J3</f>
        <v>910500</v>
      </c>
      <c r="L3" s="6">
        <v>22106</v>
      </c>
      <c r="M3" s="6">
        <v>40814.333333333299</v>
      </c>
      <c r="N3" s="6">
        <v>24</v>
      </c>
      <c r="O3" s="8">
        <f t="shared" ref="O3:O66" si="1">(M3/(I3+J3))*N3</f>
        <v>1.0758308621636454</v>
      </c>
      <c r="Q3" s="10">
        <v>2129</v>
      </c>
      <c r="R3" s="10">
        <f t="shared" ref="R3:R66" si="2">Q3*(I3+J3)</f>
        <v>1938454500</v>
      </c>
      <c r="S3" s="10">
        <f t="shared" ref="S3:S66" si="3">Q3*M3</f>
        <v>86893715.666666597</v>
      </c>
    </row>
    <row r="4" spans="1:19" s="3" customFormat="1" x14ac:dyDescent="0.25">
      <c r="A4" s="5" t="s">
        <v>22</v>
      </c>
      <c r="B4" s="6" t="s">
        <v>17</v>
      </c>
      <c r="C4" s="6" t="s">
        <v>19</v>
      </c>
      <c r="D4" s="6">
        <v>10</v>
      </c>
      <c r="E4" s="6">
        <v>655</v>
      </c>
      <c r="F4" s="6">
        <v>29443</v>
      </c>
      <c r="G4" s="6">
        <v>0</v>
      </c>
      <c r="H4" s="6">
        <v>0</v>
      </c>
      <c r="I4" s="6">
        <v>22822</v>
      </c>
      <c r="J4" s="6">
        <v>0</v>
      </c>
      <c r="K4" s="6">
        <f t="shared" si="0"/>
        <v>22822</v>
      </c>
      <c r="L4" s="6">
        <v>7276</v>
      </c>
      <c r="M4" s="6">
        <v>12245.0666666667</v>
      </c>
      <c r="N4" s="6">
        <v>24</v>
      </c>
      <c r="O4" s="8">
        <f>(M4/(I4+J4))*N4</f>
        <v>12.877118569801103</v>
      </c>
      <c r="Q4" s="10">
        <v>2129</v>
      </c>
      <c r="R4" s="10">
        <f t="shared" si="2"/>
        <v>48588038</v>
      </c>
      <c r="S4" s="10">
        <f t="shared" si="3"/>
        <v>26069746.933333404</v>
      </c>
    </row>
    <row r="5" spans="1:19" s="3" customFormat="1" x14ac:dyDescent="0.25">
      <c r="A5" s="5" t="s">
        <v>23</v>
      </c>
      <c r="B5" s="6" t="s">
        <v>17</v>
      </c>
      <c r="C5" s="6" t="s">
        <v>19</v>
      </c>
      <c r="D5" s="6">
        <v>10</v>
      </c>
      <c r="E5" s="6">
        <v>895</v>
      </c>
      <c r="F5" s="6">
        <v>1050</v>
      </c>
      <c r="G5" s="6">
        <v>0</v>
      </c>
      <c r="H5" s="6">
        <v>0</v>
      </c>
      <c r="I5" s="6">
        <v>625</v>
      </c>
      <c r="J5" s="6">
        <v>0</v>
      </c>
      <c r="K5" s="6">
        <f t="shared" si="0"/>
        <v>625</v>
      </c>
      <c r="L5" s="6">
        <v>1320</v>
      </c>
      <c r="M5" s="6">
        <v>1616.42857142857</v>
      </c>
      <c r="N5" s="6">
        <v>24</v>
      </c>
      <c r="O5" s="8">
        <f t="shared" si="1"/>
        <v>62.070857142857093</v>
      </c>
      <c r="Q5" s="10">
        <v>2131</v>
      </c>
      <c r="R5" s="10">
        <f t="shared" si="2"/>
        <v>1331875</v>
      </c>
      <c r="S5" s="10">
        <f t="shared" si="3"/>
        <v>3444609.2857142827</v>
      </c>
    </row>
    <row r="6" spans="1:19" s="3" customFormat="1" x14ac:dyDescent="0.25">
      <c r="A6" s="5" t="s">
        <v>24</v>
      </c>
      <c r="B6" s="6" t="s">
        <v>17</v>
      </c>
      <c r="C6" s="6" t="s">
        <v>19</v>
      </c>
      <c r="D6" s="6">
        <v>10</v>
      </c>
      <c r="E6" s="6">
        <v>11075</v>
      </c>
      <c r="F6" s="6">
        <v>12143</v>
      </c>
      <c r="G6" s="6">
        <v>0</v>
      </c>
      <c r="H6" s="6">
        <v>0</v>
      </c>
      <c r="I6" s="6">
        <v>8900</v>
      </c>
      <c r="J6" s="6">
        <v>0</v>
      </c>
      <c r="K6" s="6">
        <f t="shared" si="0"/>
        <v>8900</v>
      </c>
      <c r="L6" s="6">
        <v>14318</v>
      </c>
      <c r="M6" s="6">
        <v>15641.9</v>
      </c>
      <c r="N6" s="6">
        <v>24</v>
      </c>
      <c r="O6" s="8">
        <f t="shared" si="1"/>
        <v>42.180404494382024</v>
      </c>
      <c r="Q6" s="10">
        <v>2131</v>
      </c>
      <c r="R6" s="10">
        <f t="shared" si="2"/>
        <v>18965900</v>
      </c>
      <c r="S6" s="10">
        <f t="shared" si="3"/>
        <v>33332888.899999999</v>
      </c>
    </row>
    <row r="7" spans="1:19" s="3" customFormat="1" x14ac:dyDescent="0.25">
      <c r="A7" s="5" t="s">
        <v>25</v>
      </c>
      <c r="B7" s="6" t="s">
        <v>16</v>
      </c>
      <c r="C7" s="6" t="s">
        <v>19</v>
      </c>
      <c r="D7" s="6">
        <v>10</v>
      </c>
      <c r="E7" s="6">
        <v>66540</v>
      </c>
      <c r="F7" s="6">
        <v>459623</v>
      </c>
      <c r="G7" s="6">
        <v>0</v>
      </c>
      <c r="H7" s="6">
        <v>0</v>
      </c>
      <c r="I7" s="6">
        <v>489525</v>
      </c>
      <c r="J7" s="6">
        <v>6020</v>
      </c>
      <c r="K7" s="6">
        <f t="shared" si="0"/>
        <v>495545</v>
      </c>
      <c r="L7" s="6">
        <v>30618</v>
      </c>
      <c r="M7" s="6">
        <v>53971.692307692305</v>
      </c>
      <c r="N7" s="6">
        <v>24</v>
      </c>
      <c r="O7" s="8">
        <f t="shared" si="1"/>
        <v>2.6139313591795199</v>
      </c>
      <c r="Q7" s="10">
        <v>1910</v>
      </c>
      <c r="R7" s="10">
        <f>Q7*(I7+J7)</f>
        <v>946490950</v>
      </c>
      <c r="S7" s="10">
        <f>Q7*M7</f>
        <v>103085932.3076923</v>
      </c>
    </row>
    <row r="8" spans="1:19" s="3" customFormat="1" x14ac:dyDescent="0.25">
      <c r="A8" s="5" t="s">
        <v>164</v>
      </c>
      <c r="B8" s="6" t="s">
        <v>16</v>
      </c>
      <c r="C8" s="6" t="s">
        <v>19</v>
      </c>
      <c r="D8" s="6">
        <v>10</v>
      </c>
      <c r="E8" s="6">
        <v>38500</v>
      </c>
      <c r="F8" s="6">
        <v>102750</v>
      </c>
      <c r="G8" s="6">
        <v>0</v>
      </c>
      <c r="H8" s="6">
        <v>0</v>
      </c>
      <c r="I8" s="6">
        <v>115725</v>
      </c>
      <c r="J8" s="6">
        <v>0</v>
      </c>
      <c r="K8" s="6">
        <f t="shared" si="0"/>
        <v>115725</v>
      </c>
      <c r="L8" s="6">
        <v>25525</v>
      </c>
      <c r="M8" s="6">
        <v>22016.666666666697</v>
      </c>
      <c r="N8" s="6">
        <v>24</v>
      </c>
      <c r="O8" s="8">
        <f t="shared" si="1"/>
        <v>4.5659969755886864</v>
      </c>
      <c r="Q8" s="10">
        <v>1910</v>
      </c>
      <c r="R8" s="10">
        <f t="shared" si="2"/>
        <v>221034750</v>
      </c>
      <c r="S8" s="10">
        <f t="shared" si="3"/>
        <v>42051833.333333388</v>
      </c>
    </row>
    <row r="9" spans="1:19" s="3" customFormat="1" x14ac:dyDescent="0.25">
      <c r="A9" s="5" t="s">
        <v>26</v>
      </c>
      <c r="B9" s="6" t="s">
        <v>16</v>
      </c>
      <c r="C9" s="6" t="s">
        <v>19</v>
      </c>
      <c r="D9" s="6">
        <v>10</v>
      </c>
      <c r="E9" s="6">
        <v>6240</v>
      </c>
      <c r="F9" s="6">
        <v>114025</v>
      </c>
      <c r="G9" s="6">
        <v>0</v>
      </c>
      <c r="H9" s="6">
        <v>0</v>
      </c>
      <c r="I9" s="6">
        <v>59675</v>
      </c>
      <c r="J9" s="6">
        <v>0</v>
      </c>
      <c r="K9" s="6">
        <f t="shared" si="0"/>
        <v>59675</v>
      </c>
      <c r="L9" s="6">
        <v>60590</v>
      </c>
      <c r="M9" s="6">
        <v>41316.190476190503</v>
      </c>
      <c r="N9" s="6">
        <v>24</v>
      </c>
      <c r="O9" s="8">
        <f t="shared" si="1"/>
        <v>16.616482135376152</v>
      </c>
      <c r="Q9" s="10">
        <v>2217</v>
      </c>
      <c r="R9" s="10">
        <f t="shared" si="2"/>
        <v>132299475</v>
      </c>
      <c r="S9" s="10">
        <f t="shared" si="3"/>
        <v>91597994.285714343</v>
      </c>
    </row>
    <row r="10" spans="1:19" s="3" customFormat="1" x14ac:dyDescent="0.25">
      <c r="A10" s="5" t="s">
        <v>27</v>
      </c>
      <c r="B10" s="6" t="s">
        <v>17</v>
      </c>
      <c r="C10" s="6" t="s">
        <v>19</v>
      </c>
      <c r="D10" s="6">
        <v>10</v>
      </c>
      <c r="E10" s="6">
        <v>9538</v>
      </c>
      <c r="F10" s="6">
        <v>25066</v>
      </c>
      <c r="G10" s="6">
        <v>0</v>
      </c>
      <c r="H10" s="6">
        <v>0</v>
      </c>
      <c r="I10" s="6">
        <v>17526</v>
      </c>
      <c r="J10" s="6">
        <v>0</v>
      </c>
      <c r="K10" s="6">
        <f t="shared" si="0"/>
        <v>17526</v>
      </c>
      <c r="L10" s="6">
        <v>17078</v>
      </c>
      <c r="M10" s="6">
        <v>9646.6</v>
      </c>
      <c r="N10" s="6">
        <v>24</v>
      </c>
      <c r="O10" s="8">
        <f t="shared" si="1"/>
        <v>13.209996576514893</v>
      </c>
      <c r="Q10" s="10">
        <v>2131</v>
      </c>
      <c r="R10" s="10">
        <f t="shared" si="2"/>
        <v>37347906</v>
      </c>
      <c r="S10" s="10">
        <f t="shared" si="3"/>
        <v>20556904.600000001</v>
      </c>
    </row>
    <row r="11" spans="1:19" x14ac:dyDescent="0.25">
      <c r="A11" s="5" t="s">
        <v>28</v>
      </c>
      <c r="B11" s="6" t="s">
        <v>17</v>
      </c>
      <c r="C11" s="6" t="s">
        <v>19</v>
      </c>
      <c r="D11" s="6">
        <v>10</v>
      </c>
      <c r="E11" s="6">
        <v>1800</v>
      </c>
      <c r="F11" s="6">
        <v>1031</v>
      </c>
      <c r="G11" s="6">
        <v>0</v>
      </c>
      <c r="H11" s="6">
        <v>0</v>
      </c>
      <c r="I11" s="6">
        <v>1325</v>
      </c>
      <c r="J11" s="6">
        <v>0</v>
      </c>
      <c r="K11" s="6">
        <f t="shared" si="0"/>
        <v>1325</v>
      </c>
      <c r="L11" s="6">
        <v>1506</v>
      </c>
      <c r="M11" s="6">
        <v>990.5</v>
      </c>
      <c r="N11" s="6">
        <v>24</v>
      </c>
      <c r="O11" s="8">
        <f t="shared" si="1"/>
        <v>17.9411320754717</v>
      </c>
      <c r="Q11" s="10">
        <v>2131</v>
      </c>
      <c r="R11" s="10">
        <f t="shared" si="2"/>
        <v>2823575</v>
      </c>
      <c r="S11" s="10">
        <f t="shared" si="3"/>
        <v>2110755.5</v>
      </c>
    </row>
    <row r="12" spans="1:19" x14ac:dyDescent="0.25">
      <c r="A12" s="5" t="s">
        <v>29</v>
      </c>
      <c r="B12" s="6" t="s">
        <v>16</v>
      </c>
      <c r="C12" s="6" t="s">
        <v>19</v>
      </c>
      <c r="D12" s="6">
        <v>10</v>
      </c>
      <c r="E12" s="6">
        <v>44710</v>
      </c>
      <c r="F12" s="6">
        <v>498350</v>
      </c>
      <c r="G12" s="6">
        <v>0</v>
      </c>
      <c r="H12" s="6">
        <v>0</v>
      </c>
      <c r="I12" s="6">
        <v>516605</v>
      </c>
      <c r="J12" s="6">
        <v>0</v>
      </c>
      <c r="K12" s="6">
        <f t="shared" si="0"/>
        <v>516605</v>
      </c>
      <c r="L12" s="6">
        <v>26455</v>
      </c>
      <c r="M12" s="6">
        <v>35050</v>
      </c>
      <c r="N12" s="6">
        <v>24</v>
      </c>
      <c r="O12" s="8">
        <f t="shared" si="1"/>
        <v>1.6283233805325152</v>
      </c>
      <c r="Q12" s="10">
        <v>1691</v>
      </c>
      <c r="R12" s="10">
        <f t="shared" si="2"/>
        <v>873579055</v>
      </c>
      <c r="S12" s="10">
        <f t="shared" si="3"/>
        <v>59269550</v>
      </c>
    </row>
    <row r="13" spans="1:19" x14ac:dyDescent="0.25">
      <c r="A13" s="5" t="s">
        <v>30</v>
      </c>
      <c r="B13" s="6" t="s">
        <v>17</v>
      </c>
      <c r="C13" s="6" t="s">
        <v>19</v>
      </c>
      <c r="D13" s="6">
        <v>10</v>
      </c>
      <c r="E13" s="6">
        <v>3780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f t="shared" si="0"/>
        <v>0</v>
      </c>
      <c r="L13" s="6">
        <v>3780</v>
      </c>
      <c r="M13" s="6">
        <v>0</v>
      </c>
      <c r="N13" s="6">
        <v>24</v>
      </c>
      <c r="O13" s="8">
        <v>0</v>
      </c>
      <c r="Q13" s="10">
        <v>1694</v>
      </c>
      <c r="R13" s="10">
        <f t="shared" si="2"/>
        <v>0</v>
      </c>
      <c r="S13" s="10">
        <f t="shared" si="3"/>
        <v>0</v>
      </c>
    </row>
    <row r="14" spans="1:19" x14ac:dyDescent="0.25">
      <c r="A14" s="5" t="s">
        <v>32</v>
      </c>
      <c r="B14" s="6" t="s">
        <v>16</v>
      </c>
      <c r="C14" s="6" t="s">
        <v>19</v>
      </c>
      <c r="D14" s="6">
        <v>10</v>
      </c>
      <c r="E14" s="6">
        <v>3272</v>
      </c>
      <c r="F14" s="6">
        <v>73300</v>
      </c>
      <c r="G14" s="6">
        <v>0</v>
      </c>
      <c r="H14" s="6">
        <v>0</v>
      </c>
      <c r="I14" s="6">
        <v>65450</v>
      </c>
      <c r="J14" s="6">
        <v>0</v>
      </c>
      <c r="K14" s="6">
        <f t="shared" si="0"/>
        <v>65450</v>
      </c>
      <c r="L14" s="6">
        <v>11122</v>
      </c>
      <c r="M14" s="6">
        <v>6802.9523809523798</v>
      </c>
      <c r="N14" s="6">
        <v>24</v>
      </c>
      <c r="O14" s="8">
        <f t="shared" si="1"/>
        <v>2.4945891083706204</v>
      </c>
      <c r="Q14" s="10">
        <v>1890</v>
      </c>
      <c r="R14" s="10">
        <f t="shared" si="2"/>
        <v>123700500</v>
      </c>
      <c r="S14" s="10">
        <f t="shared" si="3"/>
        <v>12857579.999999998</v>
      </c>
    </row>
    <row r="15" spans="1:19" x14ac:dyDescent="0.25">
      <c r="A15" s="5" t="s">
        <v>33</v>
      </c>
      <c r="B15" s="6" t="s">
        <v>16</v>
      </c>
      <c r="C15" s="6" t="s">
        <v>19</v>
      </c>
      <c r="D15" s="6">
        <v>10</v>
      </c>
      <c r="E15" s="6">
        <v>55055</v>
      </c>
      <c r="F15" s="6">
        <v>371775</v>
      </c>
      <c r="G15" s="6">
        <v>0</v>
      </c>
      <c r="H15" s="6">
        <v>0</v>
      </c>
      <c r="I15" s="6">
        <v>410245</v>
      </c>
      <c r="J15" s="6">
        <v>274</v>
      </c>
      <c r="K15" s="6">
        <f t="shared" si="0"/>
        <v>410519</v>
      </c>
      <c r="L15" s="6">
        <v>16311</v>
      </c>
      <c r="M15" s="6">
        <v>35918.4230769231</v>
      </c>
      <c r="N15" s="6">
        <v>24</v>
      </c>
      <c r="O15" s="8">
        <f t="shared" si="1"/>
        <v>2.0998836931936267</v>
      </c>
      <c r="Q15" s="10">
        <v>2216</v>
      </c>
      <c r="R15" s="10">
        <f t="shared" si="2"/>
        <v>909710104</v>
      </c>
      <c r="S15" s="10">
        <f t="shared" si="3"/>
        <v>79595225.538461596</v>
      </c>
    </row>
    <row r="16" spans="1:19" x14ac:dyDescent="0.25">
      <c r="A16" s="5" t="s">
        <v>34</v>
      </c>
      <c r="B16" s="6" t="s">
        <v>17</v>
      </c>
      <c r="C16" s="6" t="s">
        <v>19</v>
      </c>
      <c r="D16" s="6">
        <v>10</v>
      </c>
      <c r="E16" s="6">
        <v>68905</v>
      </c>
      <c r="F16" s="6">
        <v>268875</v>
      </c>
      <c r="G16" s="6">
        <v>0</v>
      </c>
      <c r="H16" s="6">
        <v>0</v>
      </c>
      <c r="I16" s="6">
        <v>0</v>
      </c>
      <c r="J16" s="6">
        <v>282875</v>
      </c>
      <c r="K16" s="6">
        <f t="shared" si="0"/>
        <v>282875</v>
      </c>
      <c r="L16" s="6">
        <v>54905</v>
      </c>
      <c r="M16" s="6">
        <v>66171.666666666701</v>
      </c>
      <c r="N16" s="6">
        <v>24</v>
      </c>
      <c r="O16" s="8">
        <f t="shared" si="1"/>
        <v>5.6142112240388897</v>
      </c>
      <c r="Q16" s="10">
        <v>2846</v>
      </c>
      <c r="R16" s="10">
        <f t="shared" si="2"/>
        <v>805062250</v>
      </c>
      <c r="S16" s="10">
        <f t="shared" si="3"/>
        <v>188324563.33333343</v>
      </c>
    </row>
    <row r="17" spans="1:19" x14ac:dyDescent="0.25">
      <c r="A17" s="5" t="s">
        <v>35</v>
      </c>
      <c r="B17" s="6" t="s">
        <v>16</v>
      </c>
      <c r="C17" s="6" t="s">
        <v>19</v>
      </c>
      <c r="D17" s="6">
        <v>10</v>
      </c>
      <c r="E17" s="6">
        <v>16548</v>
      </c>
      <c r="F17" s="6">
        <v>242500</v>
      </c>
      <c r="G17" s="6">
        <v>0</v>
      </c>
      <c r="H17" s="6">
        <v>0</v>
      </c>
      <c r="I17" s="6">
        <v>246250</v>
      </c>
      <c r="J17" s="6">
        <v>0</v>
      </c>
      <c r="K17" s="6">
        <f t="shared" si="0"/>
        <v>246250</v>
      </c>
      <c r="L17" s="6">
        <v>12798</v>
      </c>
      <c r="M17" s="6">
        <v>10538.384615384601</v>
      </c>
      <c r="N17" s="6">
        <v>24</v>
      </c>
      <c r="O17" s="8">
        <f t="shared" si="1"/>
        <v>1.0270912924638798</v>
      </c>
      <c r="Q17" s="10">
        <v>2129</v>
      </c>
      <c r="R17" s="10">
        <f t="shared" si="2"/>
        <v>524266250</v>
      </c>
      <c r="S17" s="10">
        <f t="shared" si="3"/>
        <v>22436220.846153814</v>
      </c>
    </row>
    <row r="18" spans="1:19" x14ac:dyDescent="0.25">
      <c r="A18" s="5" t="s">
        <v>36</v>
      </c>
      <c r="B18" s="6" t="s">
        <v>17</v>
      </c>
      <c r="C18" s="6" t="s">
        <v>19</v>
      </c>
      <c r="D18" s="6">
        <v>10</v>
      </c>
      <c r="E18" s="6">
        <v>3025</v>
      </c>
      <c r="F18" s="6">
        <v>3020</v>
      </c>
      <c r="G18" s="6">
        <v>0</v>
      </c>
      <c r="H18" s="6">
        <v>0</v>
      </c>
      <c r="I18" s="6">
        <v>3020</v>
      </c>
      <c r="J18" s="6">
        <v>0</v>
      </c>
      <c r="K18" s="6">
        <f t="shared" si="0"/>
        <v>3020</v>
      </c>
      <c r="L18" s="6">
        <v>3025</v>
      </c>
      <c r="M18" s="6">
        <v>4511.6666666666697</v>
      </c>
      <c r="N18" s="6">
        <v>24</v>
      </c>
      <c r="O18" s="8">
        <f t="shared" si="1"/>
        <v>35.854304635761608</v>
      </c>
      <c r="Q18" s="10">
        <v>2129</v>
      </c>
      <c r="R18" s="10">
        <f t="shared" si="2"/>
        <v>6429580</v>
      </c>
      <c r="S18" s="10">
        <f t="shared" si="3"/>
        <v>9605338.3333333395</v>
      </c>
    </row>
    <row r="19" spans="1:19" x14ac:dyDescent="0.25">
      <c r="A19" s="5" t="s">
        <v>37</v>
      </c>
      <c r="B19" s="6" t="s">
        <v>16</v>
      </c>
      <c r="C19" s="6" t="s">
        <v>19</v>
      </c>
      <c r="D19" s="6">
        <v>10</v>
      </c>
      <c r="E19" s="6">
        <v>21159</v>
      </c>
      <c r="F19" s="6">
        <v>212055</v>
      </c>
      <c r="G19" s="6">
        <v>0</v>
      </c>
      <c r="H19" s="6">
        <v>0</v>
      </c>
      <c r="I19" s="6">
        <v>0</v>
      </c>
      <c r="J19" s="6">
        <v>215640</v>
      </c>
      <c r="K19" s="6">
        <f t="shared" si="0"/>
        <v>215640</v>
      </c>
      <c r="L19" s="6">
        <v>17574</v>
      </c>
      <c r="M19" s="6">
        <v>29601.586206896602</v>
      </c>
      <c r="N19" s="6">
        <v>24</v>
      </c>
      <c r="O19" s="8">
        <f t="shared" si="1"/>
        <v>3.2945560608677358</v>
      </c>
      <c r="Q19" s="10">
        <v>2263</v>
      </c>
      <c r="R19" s="10">
        <f t="shared" si="2"/>
        <v>487993320</v>
      </c>
      <c r="S19" s="10">
        <f t="shared" si="3"/>
        <v>66988389.58620701</v>
      </c>
    </row>
    <row r="20" spans="1:19" x14ac:dyDescent="0.25">
      <c r="A20" s="5" t="s">
        <v>38</v>
      </c>
      <c r="B20" s="6" t="s">
        <v>17</v>
      </c>
      <c r="C20" s="6" t="s">
        <v>19</v>
      </c>
      <c r="D20" s="6">
        <v>10</v>
      </c>
      <c r="E20" s="6">
        <v>10336</v>
      </c>
      <c r="F20" s="6">
        <v>77338</v>
      </c>
      <c r="G20" s="6">
        <v>0</v>
      </c>
      <c r="H20" s="6">
        <v>0</v>
      </c>
      <c r="I20" s="6">
        <v>0</v>
      </c>
      <c r="J20" s="6">
        <v>58900</v>
      </c>
      <c r="K20" s="6">
        <f t="shared" si="0"/>
        <v>58900</v>
      </c>
      <c r="L20" s="6">
        <v>28774</v>
      </c>
      <c r="M20" s="6">
        <v>15600.863636363601</v>
      </c>
      <c r="N20" s="6">
        <v>24</v>
      </c>
      <c r="O20" s="8">
        <f t="shared" si="1"/>
        <v>6.3568884087050339</v>
      </c>
      <c r="Q20" s="10">
        <v>2263</v>
      </c>
      <c r="R20" s="10">
        <f t="shared" si="2"/>
        <v>133290700</v>
      </c>
      <c r="S20" s="10">
        <f t="shared" si="3"/>
        <v>35304754.409090832</v>
      </c>
    </row>
    <row r="21" spans="1:19" x14ac:dyDescent="0.25">
      <c r="A21" s="5" t="s">
        <v>39</v>
      </c>
      <c r="B21" s="6" t="s">
        <v>17</v>
      </c>
      <c r="C21" s="6" t="s">
        <v>19</v>
      </c>
      <c r="D21" s="6">
        <v>10</v>
      </c>
      <c r="E21" s="6">
        <v>4300</v>
      </c>
      <c r="F21" s="6">
        <v>1000</v>
      </c>
      <c r="G21" s="6">
        <v>0</v>
      </c>
      <c r="H21" s="6">
        <v>0</v>
      </c>
      <c r="I21" s="6">
        <v>0</v>
      </c>
      <c r="J21" s="6">
        <v>2104</v>
      </c>
      <c r="K21" s="6">
        <f t="shared" si="0"/>
        <v>2104</v>
      </c>
      <c r="L21" s="6">
        <v>3196</v>
      </c>
      <c r="M21" s="6">
        <v>3478.4</v>
      </c>
      <c r="N21" s="6">
        <v>24</v>
      </c>
      <c r="O21" s="8">
        <f t="shared" si="1"/>
        <v>39.677566539923959</v>
      </c>
      <c r="Q21" s="10">
        <v>2732</v>
      </c>
      <c r="R21" s="10">
        <f t="shared" si="2"/>
        <v>5748128</v>
      </c>
      <c r="S21" s="10">
        <f t="shared" si="3"/>
        <v>9502988.8000000007</v>
      </c>
    </row>
    <row r="22" spans="1:19" x14ac:dyDescent="0.25">
      <c r="A22" s="5" t="s">
        <v>40</v>
      </c>
      <c r="B22" s="6" t="s">
        <v>17</v>
      </c>
      <c r="C22" s="6" t="s">
        <v>19</v>
      </c>
      <c r="D22" s="6">
        <v>10</v>
      </c>
      <c r="E22" s="6">
        <v>8509</v>
      </c>
      <c r="F22" s="6">
        <v>43721</v>
      </c>
      <c r="G22" s="6">
        <v>0</v>
      </c>
      <c r="H22" s="6">
        <v>0</v>
      </c>
      <c r="I22" s="6">
        <v>0</v>
      </c>
      <c r="J22" s="6">
        <v>27500</v>
      </c>
      <c r="K22" s="6">
        <f t="shared" si="0"/>
        <v>27500</v>
      </c>
      <c r="L22" s="6">
        <v>24730</v>
      </c>
      <c r="M22" s="6">
        <v>18362.666666666697</v>
      </c>
      <c r="N22" s="6">
        <v>24</v>
      </c>
      <c r="O22" s="8">
        <f t="shared" si="1"/>
        <v>16.025600000000026</v>
      </c>
      <c r="Q22" s="10">
        <v>2962</v>
      </c>
      <c r="R22" s="10">
        <f t="shared" si="2"/>
        <v>81455000</v>
      </c>
      <c r="S22" s="10">
        <f t="shared" si="3"/>
        <v>54390218.666666754</v>
      </c>
    </row>
    <row r="23" spans="1:19" x14ac:dyDescent="0.25">
      <c r="A23" s="5" t="s">
        <v>41</v>
      </c>
      <c r="B23" s="6" t="s">
        <v>17</v>
      </c>
      <c r="C23" s="6" t="s">
        <v>19</v>
      </c>
      <c r="D23" s="6">
        <v>10</v>
      </c>
      <c r="E23" s="6">
        <v>124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f t="shared" si="0"/>
        <v>0</v>
      </c>
      <c r="L23" s="6">
        <v>124</v>
      </c>
      <c r="M23" s="6">
        <v>0</v>
      </c>
      <c r="N23" s="6">
        <v>24</v>
      </c>
      <c r="O23" s="8">
        <v>0</v>
      </c>
      <c r="Q23" s="10">
        <v>2263</v>
      </c>
      <c r="R23" s="10">
        <f t="shared" si="2"/>
        <v>0</v>
      </c>
      <c r="S23" s="10">
        <f t="shared" si="3"/>
        <v>0</v>
      </c>
    </row>
    <row r="24" spans="1:19" x14ac:dyDescent="0.25">
      <c r="A24" s="5" t="s">
        <v>42</v>
      </c>
      <c r="B24" s="6" t="s">
        <v>17</v>
      </c>
      <c r="C24" s="6" t="s">
        <v>19</v>
      </c>
      <c r="D24" s="6">
        <v>10</v>
      </c>
      <c r="E24" s="6">
        <v>770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si="0"/>
        <v>0</v>
      </c>
      <c r="L24" s="6">
        <v>770</v>
      </c>
      <c r="M24" s="6">
        <v>0</v>
      </c>
      <c r="N24" s="6">
        <v>24</v>
      </c>
      <c r="O24" s="8">
        <v>0</v>
      </c>
      <c r="Q24" s="10">
        <v>2263</v>
      </c>
      <c r="R24" s="10">
        <f t="shared" si="2"/>
        <v>0</v>
      </c>
      <c r="S24" s="10">
        <f t="shared" si="3"/>
        <v>0</v>
      </c>
    </row>
    <row r="25" spans="1:19" x14ac:dyDescent="0.25">
      <c r="A25" s="5" t="s">
        <v>43</v>
      </c>
      <c r="B25" s="6" t="s">
        <v>17</v>
      </c>
      <c r="C25" s="6" t="s">
        <v>19</v>
      </c>
      <c r="D25" s="6">
        <v>10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f t="shared" si="0"/>
        <v>0</v>
      </c>
      <c r="L25" s="6">
        <v>0</v>
      </c>
      <c r="M25" s="6">
        <v>0</v>
      </c>
      <c r="N25" s="6">
        <v>24</v>
      </c>
      <c r="O25" s="8">
        <v>0</v>
      </c>
      <c r="Q25" s="10">
        <v>2268</v>
      </c>
      <c r="R25" s="10">
        <f t="shared" si="2"/>
        <v>0</v>
      </c>
      <c r="S25" s="10">
        <f t="shared" si="3"/>
        <v>0</v>
      </c>
    </row>
    <row r="26" spans="1:19" x14ac:dyDescent="0.25">
      <c r="A26" s="5" t="s">
        <v>165</v>
      </c>
      <c r="B26" s="6" t="s">
        <v>16</v>
      </c>
      <c r="C26" s="6" t="s">
        <v>19</v>
      </c>
      <c r="D26" s="6">
        <v>10</v>
      </c>
      <c r="E26" s="6">
        <v>9005</v>
      </c>
      <c r="F26" s="6">
        <v>121250</v>
      </c>
      <c r="G26" s="6">
        <v>0</v>
      </c>
      <c r="H26" s="6">
        <v>0</v>
      </c>
      <c r="I26" s="6">
        <v>103750</v>
      </c>
      <c r="J26" s="6">
        <v>250</v>
      </c>
      <c r="K26" s="6">
        <f t="shared" si="0"/>
        <v>104000</v>
      </c>
      <c r="L26" s="6">
        <v>26255</v>
      </c>
      <c r="M26" s="6">
        <v>17792.5</v>
      </c>
      <c r="N26" s="6">
        <v>24</v>
      </c>
      <c r="O26" s="8">
        <f t="shared" si="1"/>
        <v>4.1059615384615391</v>
      </c>
      <c r="Q26" s="10">
        <v>2268</v>
      </c>
      <c r="R26" s="10">
        <f t="shared" si="2"/>
        <v>235872000</v>
      </c>
      <c r="S26" s="10">
        <f t="shared" si="3"/>
        <v>40353390</v>
      </c>
    </row>
    <row r="27" spans="1:19" x14ac:dyDescent="0.25">
      <c r="A27" s="5" t="s">
        <v>44</v>
      </c>
      <c r="B27" s="6" t="s">
        <v>17</v>
      </c>
      <c r="C27" s="6" t="s">
        <v>19</v>
      </c>
      <c r="D27" s="6">
        <v>10</v>
      </c>
      <c r="E27" s="6">
        <v>1042</v>
      </c>
      <c r="F27" s="6">
        <v>23323</v>
      </c>
      <c r="G27" s="6">
        <v>0</v>
      </c>
      <c r="H27" s="6">
        <v>0</v>
      </c>
      <c r="I27" s="6">
        <v>19429</v>
      </c>
      <c r="J27" s="6">
        <v>0</v>
      </c>
      <c r="K27" s="6">
        <f t="shared" si="0"/>
        <v>19429</v>
      </c>
      <c r="L27" s="6">
        <v>4936</v>
      </c>
      <c r="M27" s="6">
        <v>7056.0909090909099</v>
      </c>
      <c r="N27" s="6">
        <v>24</v>
      </c>
      <c r="O27" s="8">
        <f t="shared" si="1"/>
        <v>8.7161553254507105</v>
      </c>
      <c r="Q27" s="10">
        <v>1956</v>
      </c>
      <c r="R27" s="10">
        <f t="shared" si="2"/>
        <v>38003124</v>
      </c>
      <c r="S27" s="10">
        <f t="shared" si="3"/>
        <v>13801713.81818182</v>
      </c>
    </row>
    <row r="28" spans="1:19" x14ac:dyDescent="0.25">
      <c r="A28" s="5" t="s">
        <v>45</v>
      </c>
      <c r="B28" s="6" t="s">
        <v>16</v>
      </c>
      <c r="C28" s="6" t="s">
        <v>19</v>
      </c>
      <c r="D28" s="6">
        <v>10</v>
      </c>
      <c r="E28" s="6">
        <v>16895</v>
      </c>
      <c r="F28" s="6">
        <v>327000</v>
      </c>
      <c r="G28" s="6">
        <v>0</v>
      </c>
      <c r="H28" s="6">
        <v>0</v>
      </c>
      <c r="I28" s="6">
        <v>0</v>
      </c>
      <c r="J28" s="6">
        <v>309010</v>
      </c>
      <c r="K28" s="6">
        <f t="shared" si="0"/>
        <v>309010</v>
      </c>
      <c r="L28" s="6">
        <v>34885</v>
      </c>
      <c r="M28" s="6">
        <v>28623.965517241399</v>
      </c>
      <c r="N28" s="6">
        <v>24</v>
      </c>
      <c r="O28" s="8">
        <f t="shared" si="1"/>
        <v>2.2231486761392625</v>
      </c>
      <c r="Q28" s="10">
        <v>2031</v>
      </c>
      <c r="R28" s="10">
        <f t="shared" si="2"/>
        <v>627599310</v>
      </c>
      <c r="S28" s="10">
        <f t="shared" si="3"/>
        <v>58135273.965517282</v>
      </c>
    </row>
    <row r="29" spans="1:19" x14ac:dyDescent="0.25">
      <c r="A29" s="5" t="s">
        <v>47</v>
      </c>
      <c r="B29" s="6" t="s">
        <v>17</v>
      </c>
      <c r="C29" s="6" t="s">
        <v>19</v>
      </c>
      <c r="D29" s="6">
        <v>10</v>
      </c>
      <c r="E29" s="6">
        <v>3033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f t="shared" si="0"/>
        <v>0</v>
      </c>
      <c r="L29" s="6">
        <v>3033</v>
      </c>
      <c r="M29" s="6">
        <v>0</v>
      </c>
      <c r="N29" s="6">
        <v>24</v>
      </c>
      <c r="O29" s="8">
        <v>0</v>
      </c>
      <c r="Q29" s="10">
        <v>2179</v>
      </c>
      <c r="R29" s="10">
        <f t="shared" si="2"/>
        <v>0</v>
      </c>
      <c r="S29" s="10">
        <f t="shared" si="3"/>
        <v>0</v>
      </c>
    </row>
    <row r="30" spans="1:19" x14ac:dyDescent="0.25">
      <c r="A30" s="5" t="s">
        <v>48</v>
      </c>
      <c r="B30" s="6" t="s">
        <v>17</v>
      </c>
      <c r="C30" s="6" t="s">
        <v>19</v>
      </c>
      <c r="D30" s="6">
        <v>10</v>
      </c>
      <c r="E30" s="6">
        <v>1495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f t="shared" si="0"/>
        <v>0</v>
      </c>
      <c r="L30" s="6">
        <v>1495</v>
      </c>
      <c r="M30" s="6">
        <v>0</v>
      </c>
      <c r="N30" s="6">
        <v>24</v>
      </c>
      <c r="O30" s="8">
        <v>0</v>
      </c>
      <c r="Q30" s="10">
        <v>2179</v>
      </c>
      <c r="R30" s="10">
        <f t="shared" si="2"/>
        <v>0</v>
      </c>
      <c r="S30" s="10">
        <f t="shared" si="3"/>
        <v>0</v>
      </c>
    </row>
    <row r="31" spans="1:19" x14ac:dyDescent="0.25">
      <c r="A31" s="5" t="s">
        <v>46</v>
      </c>
      <c r="B31" s="6" t="s">
        <v>17</v>
      </c>
      <c r="C31" s="6" t="s">
        <v>19</v>
      </c>
      <c r="D31" s="6">
        <v>10</v>
      </c>
      <c r="E31" s="6">
        <v>2340</v>
      </c>
      <c r="F31" s="6">
        <v>0</v>
      </c>
      <c r="G31" s="6">
        <v>0</v>
      </c>
      <c r="H31" s="6">
        <v>0</v>
      </c>
      <c r="I31" s="6">
        <v>100</v>
      </c>
      <c r="J31" s="6">
        <v>0</v>
      </c>
      <c r="K31" s="6">
        <f t="shared" si="0"/>
        <v>100</v>
      </c>
      <c r="L31" s="6">
        <v>2240</v>
      </c>
      <c r="M31" s="6">
        <v>2277.5</v>
      </c>
      <c r="N31" s="6">
        <v>24</v>
      </c>
      <c r="O31" s="8">
        <f t="shared" si="1"/>
        <v>546.59999999999991</v>
      </c>
      <c r="Q31" s="10">
        <v>2179</v>
      </c>
      <c r="R31" s="10">
        <f t="shared" si="2"/>
        <v>217900</v>
      </c>
      <c r="S31" s="10">
        <f t="shared" si="3"/>
        <v>4962672.5</v>
      </c>
    </row>
    <row r="32" spans="1:19" x14ac:dyDescent="0.25">
      <c r="A32" s="5" t="s">
        <v>49</v>
      </c>
      <c r="B32" s="6" t="s">
        <v>16</v>
      </c>
      <c r="C32" s="6" t="s">
        <v>19</v>
      </c>
      <c r="D32" s="6">
        <v>10</v>
      </c>
      <c r="E32" s="6">
        <v>5883</v>
      </c>
      <c r="F32" s="6">
        <v>63750</v>
      </c>
      <c r="G32" s="6">
        <v>0</v>
      </c>
      <c r="H32" s="6">
        <v>0</v>
      </c>
      <c r="I32" s="6">
        <v>57500</v>
      </c>
      <c r="J32" s="6">
        <v>0</v>
      </c>
      <c r="K32" s="6">
        <f t="shared" si="0"/>
        <v>57500</v>
      </c>
      <c r="L32" s="6">
        <v>12133</v>
      </c>
      <c r="M32" s="6">
        <v>17914.25</v>
      </c>
      <c r="N32" s="6">
        <v>24</v>
      </c>
      <c r="O32" s="8">
        <f t="shared" si="1"/>
        <v>7.4772521739130431</v>
      </c>
      <c r="Q32" s="10">
        <v>2179</v>
      </c>
      <c r="R32" s="10">
        <f t="shared" si="2"/>
        <v>125292500</v>
      </c>
      <c r="S32" s="10">
        <f t="shared" si="3"/>
        <v>39035150.75</v>
      </c>
    </row>
    <row r="33" spans="1:19" x14ac:dyDescent="0.25">
      <c r="A33" s="5" t="s">
        <v>166</v>
      </c>
      <c r="B33" s="6" t="s">
        <v>17</v>
      </c>
      <c r="C33" s="6" t="s">
        <v>19</v>
      </c>
      <c r="D33" s="6">
        <v>10</v>
      </c>
      <c r="E33" s="6">
        <v>2875</v>
      </c>
      <c r="F33" s="6">
        <v>0</v>
      </c>
      <c r="G33" s="6">
        <v>0</v>
      </c>
      <c r="H33" s="6">
        <v>0</v>
      </c>
      <c r="I33" s="6">
        <v>700</v>
      </c>
      <c r="J33" s="6">
        <v>0</v>
      </c>
      <c r="K33" s="6">
        <f t="shared" si="0"/>
        <v>700</v>
      </c>
      <c r="L33" s="6">
        <v>2175</v>
      </c>
      <c r="M33" s="6">
        <v>2493.75</v>
      </c>
      <c r="N33" s="6">
        <v>24</v>
      </c>
      <c r="O33" s="8">
        <f t="shared" si="1"/>
        <v>85.5</v>
      </c>
      <c r="Q33" s="10">
        <v>3145</v>
      </c>
      <c r="R33" s="10">
        <f t="shared" si="2"/>
        <v>2201500</v>
      </c>
      <c r="S33" s="10">
        <f t="shared" si="3"/>
        <v>7842843.75</v>
      </c>
    </row>
    <row r="34" spans="1:19" x14ac:dyDescent="0.25">
      <c r="A34" s="5" t="s">
        <v>50</v>
      </c>
      <c r="B34" s="6" t="s">
        <v>17</v>
      </c>
      <c r="C34" s="6" t="s">
        <v>19</v>
      </c>
      <c r="D34" s="6">
        <v>10</v>
      </c>
      <c r="E34" s="6">
        <v>5137</v>
      </c>
      <c r="F34" s="6">
        <v>31118</v>
      </c>
      <c r="G34" s="6">
        <v>0</v>
      </c>
      <c r="H34" s="6">
        <v>0</v>
      </c>
      <c r="I34" s="6">
        <v>17363</v>
      </c>
      <c r="J34" s="6">
        <v>0</v>
      </c>
      <c r="K34" s="6">
        <f t="shared" si="0"/>
        <v>17363</v>
      </c>
      <c r="L34" s="6">
        <v>18892</v>
      </c>
      <c r="M34" s="6">
        <v>8544.75</v>
      </c>
      <c r="N34" s="6">
        <v>24</v>
      </c>
      <c r="O34" s="8">
        <f t="shared" si="1"/>
        <v>11.810977365662616</v>
      </c>
      <c r="Q34" s="10">
        <v>2179</v>
      </c>
      <c r="R34" s="10">
        <f t="shared" si="2"/>
        <v>37833977</v>
      </c>
      <c r="S34" s="10">
        <f t="shared" si="3"/>
        <v>18619010.25</v>
      </c>
    </row>
    <row r="35" spans="1:19" x14ac:dyDescent="0.25">
      <c r="A35" s="5" t="s">
        <v>51</v>
      </c>
      <c r="B35" s="6" t="s">
        <v>17</v>
      </c>
      <c r="C35" s="6" t="s">
        <v>19</v>
      </c>
      <c r="D35" s="6">
        <v>10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f t="shared" si="0"/>
        <v>0</v>
      </c>
      <c r="L35" s="6">
        <v>0</v>
      </c>
      <c r="M35" s="6">
        <v>0</v>
      </c>
      <c r="N35" s="6">
        <v>24</v>
      </c>
      <c r="O35" s="8">
        <v>0</v>
      </c>
      <c r="Q35" s="10">
        <v>2268</v>
      </c>
      <c r="R35" s="10">
        <f t="shared" si="2"/>
        <v>0</v>
      </c>
      <c r="S35" s="10">
        <f t="shared" si="3"/>
        <v>0</v>
      </c>
    </row>
    <row r="36" spans="1:19" x14ac:dyDescent="0.25">
      <c r="A36" s="5" t="s">
        <v>167</v>
      </c>
      <c r="B36" s="6" t="s">
        <v>17</v>
      </c>
      <c r="C36" s="6" t="s">
        <v>19</v>
      </c>
      <c r="D36" s="6">
        <v>10</v>
      </c>
      <c r="E36" s="6">
        <v>8750</v>
      </c>
      <c r="F36" s="6">
        <v>36250</v>
      </c>
      <c r="G36" s="6">
        <v>0</v>
      </c>
      <c r="H36" s="6">
        <v>0</v>
      </c>
      <c r="I36" s="6">
        <v>31150</v>
      </c>
      <c r="J36" s="6">
        <v>100</v>
      </c>
      <c r="K36" s="6">
        <f t="shared" si="0"/>
        <v>31250</v>
      </c>
      <c r="L36" s="6">
        <v>13750</v>
      </c>
      <c r="M36" s="6">
        <v>12027.272727272701</v>
      </c>
      <c r="N36" s="6">
        <v>24</v>
      </c>
      <c r="O36" s="8">
        <f t="shared" si="1"/>
        <v>9.2369454545454346</v>
      </c>
      <c r="Q36" s="10">
        <v>2268</v>
      </c>
      <c r="R36" s="10">
        <f t="shared" si="2"/>
        <v>70875000</v>
      </c>
      <c r="S36" s="10">
        <f t="shared" si="3"/>
        <v>27277854.545454483</v>
      </c>
    </row>
    <row r="37" spans="1:19" x14ac:dyDescent="0.25">
      <c r="A37" s="5" t="s">
        <v>52</v>
      </c>
      <c r="B37" s="6" t="s">
        <v>17</v>
      </c>
      <c r="C37" s="6" t="s">
        <v>19</v>
      </c>
      <c r="D37" s="6">
        <v>10</v>
      </c>
      <c r="E37" s="6">
        <v>1121</v>
      </c>
      <c r="F37" s="6">
        <v>0</v>
      </c>
      <c r="G37" s="6">
        <v>0</v>
      </c>
      <c r="H37" s="6">
        <v>0</v>
      </c>
      <c r="I37" s="6">
        <v>1050</v>
      </c>
      <c r="J37" s="6">
        <v>0</v>
      </c>
      <c r="K37" s="6">
        <f t="shared" si="0"/>
        <v>1050</v>
      </c>
      <c r="L37" s="6">
        <v>71</v>
      </c>
      <c r="M37" s="6">
        <v>71</v>
      </c>
      <c r="N37" s="6">
        <v>24</v>
      </c>
      <c r="O37" s="8">
        <f t="shared" si="1"/>
        <v>1.6228571428571428</v>
      </c>
      <c r="Q37" s="10">
        <v>1956</v>
      </c>
      <c r="R37" s="10">
        <f t="shared" si="2"/>
        <v>2053800</v>
      </c>
      <c r="S37" s="10">
        <f t="shared" si="3"/>
        <v>138876</v>
      </c>
    </row>
    <row r="38" spans="1:19" x14ac:dyDescent="0.25">
      <c r="A38" s="5" t="s">
        <v>53</v>
      </c>
      <c r="B38" s="6" t="s">
        <v>17</v>
      </c>
      <c r="C38" s="6" t="s">
        <v>19</v>
      </c>
      <c r="D38" s="6">
        <v>10</v>
      </c>
      <c r="E38" s="6">
        <v>85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f t="shared" si="0"/>
        <v>0</v>
      </c>
      <c r="L38" s="6">
        <v>85</v>
      </c>
      <c r="M38" s="6">
        <v>0</v>
      </c>
      <c r="N38" s="6">
        <v>24</v>
      </c>
      <c r="O38" s="8">
        <v>0</v>
      </c>
      <c r="Q38" s="10">
        <v>2218</v>
      </c>
      <c r="R38" s="10">
        <f t="shared" si="2"/>
        <v>0</v>
      </c>
      <c r="S38" s="10">
        <f t="shared" si="3"/>
        <v>0</v>
      </c>
    </row>
    <row r="39" spans="1:19" x14ac:dyDescent="0.25">
      <c r="A39" s="5" t="s">
        <v>168</v>
      </c>
      <c r="B39" s="6" t="s">
        <v>17</v>
      </c>
      <c r="C39" s="6" t="s">
        <v>19</v>
      </c>
      <c r="D39" s="6">
        <v>10</v>
      </c>
      <c r="E39" s="6">
        <v>2900</v>
      </c>
      <c r="F39" s="6">
        <v>24500</v>
      </c>
      <c r="G39" s="6">
        <v>0</v>
      </c>
      <c r="H39" s="6">
        <v>0</v>
      </c>
      <c r="I39" s="6">
        <v>16875</v>
      </c>
      <c r="J39" s="6">
        <v>0</v>
      </c>
      <c r="K39" s="6">
        <f t="shared" si="0"/>
        <v>16875</v>
      </c>
      <c r="L39" s="6">
        <v>10525</v>
      </c>
      <c r="M39" s="6">
        <v>5505</v>
      </c>
      <c r="N39" s="6">
        <v>24</v>
      </c>
      <c r="O39" s="8">
        <f t="shared" si="1"/>
        <v>7.8293333333333344</v>
      </c>
      <c r="Q39" s="10">
        <v>2218</v>
      </c>
      <c r="R39" s="10">
        <f t="shared" si="2"/>
        <v>37428750</v>
      </c>
      <c r="S39" s="10">
        <f t="shared" si="3"/>
        <v>12210090</v>
      </c>
    </row>
    <row r="40" spans="1:19" x14ac:dyDescent="0.25">
      <c r="A40" s="5" t="s">
        <v>54</v>
      </c>
      <c r="B40" s="6" t="s">
        <v>17</v>
      </c>
      <c r="C40" s="6" t="s">
        <v>19</v>
      </c>
      <c r="D40" s="6">
        <v>10</v>
      </c>
      <c r="E40" s="6">
        <v>88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f t="shared" si="0"/>
        <v>0</v>
      </c>
      <c r="L40" s="6">
        <v>88</v>
      </c>
      <c r="M40" s="6">
        <v>0</v>
      </c>
      <c r="N40" s="6">
        <v>24</v>
      </c>
      <c r="O40" s="8">
        <v>0</v>
      </c>
      <c r="Q40" s="10">
        <v>2218</v>
      </c>
      <c r="R40" s="10">
        <f t="shared" si="2"/>
        <v>0</v>
      </c>
      <c r="S40" s="10">
        <f t="shared" si="3"/>
        <v>0</v>
      </c>
    </row>
    <row r="41" spans="1:19" x14ac:dyDescent="0.25">
      <c r="A41" s="5" t="s">
        <v>56</v>
      </c>
      <c r="B41" s="6" t="s">
        <v>16</v>
      </c>
      <c r="C41" s="6" t="s">
        <v>19</v>
      </c>
      <c r="D41" s="6">
        <v>10</v>
      </c>
      <c r="E41" s="6">
        <v>19942</v>
      </c>
      <c r="F41" s="6">
        <v>149600</v>
      </c>
      <c r="G41" s="6">
        <v>0</v>
      </c>
      <c r="H41" s="6">
        <v>0</v>
      </c>
      <c r="I41" s="6">
        <v>125400</v>
      </c>
      <c r="J41" s="6">
        <v>33290</v>
      </c>
      <c r="K41" s="6">
        <f t="shared" si="0"/>
        <v>158690</v>
      </c>
      <c r="L41" s="6">
        <v>10852</v>
      </c>
      <c r="M41" s="6">
        <v>15964.857142857099</v>
      </c>
      <c r="N41" s="6">
        <v>24</v>
      </c>
      <c r="O41" s="8">
        <f t="shared" si="1"/>
        <v>2.4144972678087488</v>
      </c>
      <c r="Q41" s="10">
        <v>2245</v>
      </c>
      <c r="R41" s="10">
        <f t="shared" si="2"/>
        <v>356259050</v>
      </c>
      <c r="S41" s="10">
        <f t="shared" si="3"/>
        <v>35841104.285714187</v>
      </c>
    </row>
    <row r="42" spans="1:19" x14ac:dyDescent="0.25">
      <c r="A42" s="5" t="s">
        <v>57</v>
      </c>
      <c r="B42" s="6" t="s">
        <v>16</v>
      </c>
      <c r="C42" s="6" t="s">
        <v>19</v>
      </c>
      <c r="D42" s="6">
        <v>10</v>
      </c>
      <c r="E42" s="6">
        <v>16400</v>
      </c>
      <c r="F42" s="6">
        <v>136575</v>
      </c>
      <c r="G42" s="6">
        <v>0</v>
      </c>
      <c r="H42" s="6">
        <v>0</v>
      </c>
      <c r="I42" s="6">
        <v>0</v>
      </c>
      <c r="J42" s="6">
        <v>141015</v>
      </c>
      <c r="K42" s="6">
        <f t="shared" si="0"/>
        <v>141015</v>
      </c>
      <c r="L42" s="6">
        <v>11960</v>
      </c>
      <c r="M42" s="6">
        <v>14058.148148148099</v>
      </c>
      <c r="N42" s="6">
        <v>24</v>
      </c>
      <c r="O42" s="8">
        <f t="shared" si="1"/>
        <v>2.3926217463075159</v>
      </c>
      <c r="Q42" s="10">
        <v>1419</v>
      </c>
      <c r="R42" s="10">
        <f t="shared" si="2"/>
        <v>200100285</v>
      </c>
      <c r="S42" s="10">
        <f t="shared" si="3"/>
        <v>19948512.222222153</v>
      </c>
    </row>
    <row r="43" spans="1:19" x14ac:dyDescent="0.25">
      <c r="A43" s="5" t="s">
        <v>58</v>
      </c>
      <c r="B43" s="6" t="s">
        <v>17</v>
      </c>
      <c r="C43" s="6" t="s">
        <v>19</v>
      </c>
      <c r="D43" s="6">
        <v>10</v>
      </c>
      <c r="E43" s="6">
        <v>1530</v>
      </c>
      <c r="F43" s="6">
        <v>2959</v>
      </c>
      <c r="G43" s="6">
        <v>0</v>
      </c>
      <c r="H43" s="6">
        <v>0</v>
      </c>
      <c r="I43" s="6">
        <v>0</v>
      </c>
      <c r="J43" s="6">
        <v>3494</v>
      </c>
      <c r="K43" s="6">
        <f t="shared" si="0"/>
        <v>3494</v>
      </c>
      <c r="L43" s="6">
        <v>995</v>
      </c>
      <c r="M43" s="6">
        <v>2047.25</v>
      </c>
      <c r="N43" s="6">
        <v>24</v>
      </c>
      <c r="O43" s="8">
        <f t="shared" si="1"/>
        <v>14.06239267315398</v>
      </c>
      <c r="Q43" s="10">
        <v>2765</v>
      </c>
      <c r="R43" s="10">
        <f t="shared" si="2"/>
        <v>9660910</v>
      </c>
      <c r="S43" s="10">
        <f t="shared" si="3"/>
        <v>5660646.25</v>
      </c>
    </row>
    <row r="44" spans="1:19" x14ac:dyDescent="0.25">
      <c r="A44" s="5" t="s">
        <v>59</v>
      </c>
      <c r="B44" s="6" t="s">
        <v>17</v>
      </c>
      <c r="C44" s="6" t="s">
        <v>19</v>
      </c>
      <c r="D44" s="6">
        <v>10</v>
      </c>
      <c r="E44" s="6">
        <v>28966</v>
      </c>
      <c r="F44" s="6">
        <v>10074</v>
      </c>
      <c r="G44" s="6">
        <v>0</v>
      </c>
      <c r="H44" s="6">
        <v>0</v>
      </c>
      <c r="I44" s="6">
        <v>0</v>
      </c>
      <c r="J44" s="6">
        <v>25630</v>
      </c>
      <c r="K44" s="6">
        <f t="shared" si="0"/>
        <v>25630</v>
      </c>
      <c r="L44" s="6">
        <v>13410</v>
      </c>
      <c r="M44" s="6">
        <v>18308</v>
      </c>
      <c r="N44" s="6">
        <v>24</v>
      </c>
      <c r="O44" s="8">
        <f t="shared" si="1"/>
        <v>17.143659773702694</v>
      </c>
      <c r="Q44" s="10">
        <v>4592</v>
      </c>
      <c r="R44" s="10">
        <f t="shared" si="2"/>
        <v>117692960</v>
      </c>
      <c r="S44" s="10">
        <f t="shared" si="3"/>
        <v>84070336</v>
      </c>
    </row>
    <row r="45" spans="1:19" x14ac:dyDescent="0.25">
      <c r="A45" s="5" t="s">
        <v>60</v>
      </c>
      <c r="B45" s="6" t="s">
        <v>17</v>
      </c>
      <c r="C45" s="6" t="s">
        <v>19</v>
      </c>
      <c r="D45" s="6">
        <v>10</v>
      </c>
      <c r="E45" s="6">
        <v>3750</v>
      </c>
      <c r="F45" s="6">
        <v>55540</v>
      </c>
      <c r="G45" s="6">
        <v>0</v>
      </c>
      <c r="H45" s="6">
        <v>0</v>
      </c>
      <c r="I45" s="6">
        <v>0</v>
      </c>
      <c r="J45" s="6">
        <v>48035</v>
      </c>
      <c r="K45" s="6">
        <f t="shared" si="0"/>
        <v>48035</v>
      </c>
      <c r="L45" s="6">
        <v>11255</v>
      </c>
      <c r="M45" s="6">
        <v>16418.3</v>
      </c>
      <c r="N45" s="6">
        <v>24</v>
      </c>
      <c r="O45" s="8">
        <f t="shared" si="1"/>
        <v>8.2031685229520139</v>
      </c>
      <c r="Q45" s="10">
        <v>2297</v>
      </c>
      <c r="R45" s="10">
        <f t="shared" si="2"/>
        <v>110336395</v>
      </c>
      <c r="S45" s="10">
        <f t="shared" si="3"/>
        <v>37712835.100000001</v>
      </c>
    </row>
    <row r="46" spans="1:19" x14ac:dyDescent="0.25">
      <c r="A46" s="5" t="s">
        <v>61</v>
      </c>
      <c r="B46" s="6" t="s">
        <v>17</v>
      </c>
      <c r="C46" s="6" t="s">
        <v>19</v>
      </c>
      <c r="D46" s="6">
        <v>10</v>
      </c>
      <c r="E46" s="6">
        <v>650</v>
      </c>
      <c r="F46" s="6">
        <v>3129</v>
      </c>
      <c r="G46" s="6">
        <v>0</v>
      </c>
      <c r="H46" s="6">
        <v>0</v>
      </c>
      <c r="I46" s="6">
        <v>0</v>
      </c>
      <c r="J46" s="6">
        <v>1225</v>
      </c>
      <c r="K46" s="6">
        <f t="shared" si="0"/>
        <v>1225</v>
      </c>
      <c r="L46" s="6">
        <v>2554</v>
      </c>
      <c r="M46" s="6">
        <v>1910.25</v>
      </c>
      <c r="N46" s="6">
        <v>24</v>
      </c>
      <c r="O46" s="8">
        <f t="shared" si="1"/>
        <v>37.42530612244898</v>
      </c>
      <c r="Q46" s="10">
        <v>2616</v>
      </c>
      <c r="R46" s="10">
        <f t="shared" si="2"/>
        <v>3204600</v>
      </c>
      <c r="S46" s="10">
        <f t="shared" si="3"/>
        <v>4997214</v>
      </c>
    </row>
    <row r="47" spans="1:19" x14ac:dyDescent="0.25">
      <c r="A47" s="5" t="s">
        <v>63</v>
      </c>
      <c r="B47" s="6" t="s">
        <v>17</v>
      </c>
      <c r="C47" s="6" t="s">
        <v>19</v>
      </c>
      <c r="D47" s="6">
        <v>10</v>
      </c>
      <c r="E47" s="6">
        <v>22814</v>
      </c>
      <c r="F47" s="6">
        <v>159825</v>
      </c>
      <c r="G47" s="6">
        <v>0</v>
      </c>
      <c r="H47" s="6">
        <v>0</v>
      </c>
      <c r="I47" s="6">
        <v>7500</v>
      </c>
      <c r="J47" s="6">
        <v>134625</v>
      </c>
      <c r="K47" s="6">
        <f t="shared" si="0"/>
        <v>142125</v>
      </c>
      <c r="L47" s="6">
        <v>40514</v>
      </c>
      <c r="M47" s="6">
        <v>22472.333333333303</v>
      </c>
      <c r="N47" s="6">
        <v>24</v>
      </c>
      <c r="O47" s="8">
        <f t="shared" si="1"/>
        <v>3.7948003518029854</v>
      </c>
      <c r="Q47" s="10">
        <v>1968</v>
      </c>
      <c r="R47" s="10">
        <f t="shared" si="2"/>
        <v>279702000</v>
      </c>
      <c r="S47" s="10">
        <f t="shared" si="3"/>
        <v>44225551.99999994</v>
      </c>
    </row>
    <row r="48" spans="1:19" x14ac:dyDescent="0.25">
      <c r="A48" s="5" t="s">
        <v>65</v>
      </c>
      <c r="B48" s="6" t="s">
        <v>17</v>
      </c>
      <c r="C48" s="6" t="s">
        <v>19</v>
      </c>
      <c r="D48" s="6">
        <v>10</v>
      </c>
      <c r="E48" s="6">
        <v>46140</v>
      </c>
      <c r="F48" s="6">
        <v>177500</v>
      </c>
      <c r="G48" s="6">
        <v>0</v>
      </c>
      <c r="H48" s="6">
        <v>0</v>
      </c>
      <c r="I48" s="6">
        <v>8750</v>
      </c>
      <c r="J48" s="6">
        <v>194072</v>
      </c>
      <c r="K48" s="6">
        <f t="shared" si="0"/>
        <v>202822</v>
      </c>
      <c r="L48" s="6">
        <v>20818</v>
      </c>
      <c r="M48" s="6">
        <v>35953.407407407401</v>
      </c>
      <c r="N48" s="6">
        <v>24</v>
      </c>
      <c r="O48" s="8">
        <f t="shared" si="1"/>
        <v>4.2543795928340007</v>
      </c>
      <c r="Q48" s="10">
        <v>2503</v>
      </c>
      <c r="R48" s="10">
        <f t="shared" si="2"/>
        <v>507663466</v>
      </c>
      <c r="S48" s="10">
        <f t="shared" si="3"/>
        <v>89991378.740740731</v>
      </c>
    </row>
    <row r="49" spans="1:19" x14ac:dyDescent="0.25">
      <c r="A49" s="5" t="s">
        <v>66</v>
      </c>
      <c r="B49" s="6" t="s">
        <v>17</v>
      </c>
      <c r="C49" s="6" t="s">
        <v>19</v>
      </c>
      <c r="D49" s="6">
        <v>10</v>
      </c>
      <c r="E49" s="6">
        <v>311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f t="shared" si="0"/>
        <v>0</v>
      </c>
      <c r="L49" s="6">
        <v>311</v>
      </c>
      <c r="M49" s="6">
        <v>0</v>
      </c>
      <c r="N49" s="6">
        <v>24</v>
      </c>
      <c r="O49" s="8">
        <v>0</v>
      </c>
      <c r="Q49" s="10">
        <v>2103</v>
      </c>
      <c r="R49" s="10">
        <f t="shared" si="2"/>
        <v>0</v>
      </c>
      <c r="S49" s="10">
        <f t="shared" si="3"/>
        <v>0</v>
      </c>
    </row>
    <row r="50" spans="1:19" x14ac:dyDescent="0.25">
      <c r="A50" s="5" t="s">
        <v>67</v>
      </c>
      <c r="B50" s="6" t="s">
        <v>17</v>
      </c>
      <c r="C50" s="6" t="s">
        <v>19</v>
      </c>
      <c r="D50" s="6">
        <v>10</v>
      </c>
      <c r="E50" s="6">
        <v>12429</v>
      </c>
      <c r="F50" s="6">
        <v>24615</v>
      </c>
      <c r="G50" s="6">
        <v>0</v>
      </c>
      <c r="H50" s="6">
        <v>0</v>
      </c>
      <c r="I50" s="6">
        <v>0</v>
      </c>
      <c r="J50" s="6">
        <v>21420</v>
      </c>
      <c r="K50" s="6">
        <f t="shared" si="0"/>
        <v>21420</v>
      </c>
      <c r="L50" s="6">
        <v>15624</v>
      </c>
      <c r="M50" s="6">
        <v>7247.2142857142899</v>
      </c>
      <c r="N50" s="6">
        <v>24</v>
      </c>
      <c r="O50" s="8">
        <f t="shared" si="1"/>
        <v>8.1201280512204939</v>
      </c>
      <c r="Q50" s="10">
        <v>2802</v>
      </c>
      <c r="R50" s="10">
        <f t="shared" si="2"/>
        <v>60018840</v>
      </c>
      <c r="S50" s="10">
        <f t="shared" si="3"/>
        <v>20306694.42857144</v>
      </c>
    </row>
    <row r="51" spans="1:19" x14ac:dyDescent="0.25">
      <c r="A51" s="5" t="s">
        <v>5</v>
      </c>
      <c r="B51" s="6" t="s">
        <v>17</v>
      </c>
      <c r="C51" s="6" t="s">
        <v>19</v>
      </c>
      <c r="D51" s="6">
        <v>10</v>
      </c>
      <c r="E51" s="6">
        <v>7850</v>
      </c>
      <c r="F51" s="6">
        <v>5050</v>
      </c>
      <c r="G51" s="6">
        <v>0</v>
      </c>
      <c r="H51" s="6">
        <v>0</v>
      </c>
      <c r="I51" s="6">
        <v>0</v>
      </c>
      <c r="J51" s="6">
        <v>5375</v>
      </c>
      <c r="K51" s="6">
        <f t="shared" si="0"/>
        <v>5375</v>
      </c>
      <c r="L51" s="6">
        <v>7525</v>
      </c>
      <c r="M51" s="6">
        <v>8137.5</v>
      </c>
      <c r="N51" s="6">
        <v>24</v>
      </c>
      <c r="O51" s="8">
        <f t="shared" si="1"/>
        <v>36.334883720930236</v>
      </c>
      <c r="Q51" s="10">
        <v>2103</v>
      </c>
      <c r="R51" s="10">
        <f t="shared" si="2"/>
        <v>11303625</v>
      </c>
      <c r="S51" s="10">
        <f t="shared" si="3"/>
        <v>17113162.5</v>
      </c>
    </row>
    <row r="52" spans="1:19" x14ac:dyDescent="0.25">
      <c r="A52" s="5" t="s">
        <v>68</v>
      </c>
      <c r="B52" s="6" t="s">
        <v>17</v>
      </c>
      <c r="C52" s="6" t="s">
        <v>19</v>
      </c>
      <c r="D52" s="6">
        <v>10</v>
      </c>
      <c r="E52" s="6">
        <v>35000</v>
      </c>
      <c r="F52" s="6">
        <v>136250</v>
      </c>
      <c r="G52" s="6">
        <v>0</v>
      </c>
      <c r="H52" s="6">
        <v>0</v>
      </c>
      <c r="I52" s="6">
        <v>133750</v>
      </c>
      <c r="J52" s="6">
        <v>451</v>
      </c>
      <c r="K52" s="6">
        <f t="shared" si="0"/>
        <v>134201</v>
      </c>
      <c r="L52" s="6">
        <v>37049</v>
      </c>
      <c r="M52" s="6">
        <v>27574.8461538462</v>
      </c>
      <c r="N52" s="6">
        <v>24</v>
      </c>
      <c r="O52" s="8">
        <f t="shared" si="1"/>
        <v>4.9313813435988463</v>
      </c>
      <c r="Q52" s="10">
        <v>2126</v>
      </c>
      <c r="R52" s="10">
        <f t="shared" si="2"/>
        <v>285311326</v>
      </c>
      <c r="S52" s="10">
        <f t="shared" si="3"/>
        <v>58624122.923077017</v>
      </c>
    </row>
    <row r="53" spans="1:19" x14ac:dyDescent="0.25">
      <c r="A53" s="5" t="s">
        <v>69</v>
      </c>
      <c r="B53" s="6" t="s">
        <v>16</v>
      </c>
      <c r="C53" s="6" t="s">
        <v>19</v>
      </c>
      <c r="D53" s="6">
        <v>10</v>
      </c>
      <c r="E53" s="6">
        <v>31860</v>
      </c>
      <c r="F53" s="6">
        <v>124725</v>
      </c>
      <c r="G53" s="6">
        <v>0</v>
      </c>
      <c r="H53" s="6">
        <v>0</v>
      </c>
      <c r="I53" s="6">
        <v>94100</v>
      </c>
      <c r="J53" s="6">
        <v>43300</v>
      </c>
      <c r="K53" s="6">
        <f t="shared" si="0"/>
        <v>137400</v>
      </c>
      <c r="L53" s="6">
        <v>19185</v>
      </c>
      <c r="M53" s="6">
        <v>26806.428571428602</v>
      </c>
      <c r="N53" s="6">
        <v>24</v>
      </c>
      <c r="O53" s="8">
        <f t="shared" si="1"/>
        <v>4.6823456019962624</v>
      </c>
      <c r="Q53" s="10">
        <v>2846</v>
      </c>
      <c r="R53" s="10">
        <f t="shared" si="2"/>
        <v>391040400</v>
      </c>
      <c r="S53" s="10">
        <f t="shared" si="3"/>
        <v>76291095.714285806</v>
      </c>
    </row>
    <row r="54" spans="1:19" x14ac:dyDescent="0.25">
      <c r="A54" s="5" t="s">
        <v>0</v>
      </c>
      <c r="B54" s="6" t="s">
        <v>17</v>
      </c>
      <c r="C54" s="6" t="s">
        <v>19</v>
      </c>
      <c r="D54" s="6">
        <v>10</v>
      </c>
      <c r="E54" s="6">
        <v>18725</v>
      </c>
      <c r="F54" s="6">
        <v>1900</v>
      </c>
      <c r="G54" s="6">
        <v>0</v>
      </c>
      <c r="H54" s="6">
        <v>0</v>
      </c>
      <c r="I54" s="6">
        <v>18625</v>
      </c>
      <c r="J54" s="6">
        <v>100</v>
      </c>
      <c r="K54" s="6">
        <f t="shared" si="0"/>
        <v>18725</v>
      </c>
      <c r="L54" s="6">
        <v>1900</v>
      </c>
      <c r="M54" s="6">
        <v>7734.375</v>
      </c>
      <c r="N54" s="6">
        <v>24</v>
      </c>
      <c r="O54" s="8">
        <f t="shared" si="1"/>
        <v>9.9132176234979976</v>
      </c>
      <c r="Q54" s="10">
        <v>2514</v>
      </c>
      <c r="R54" s="10">
        <f t="shared" si="2"/>
        <v>47074650</v>
      </c>
      <c r="S54" s="10">
        <f t="shared" si="3"/>
        <v>19444218.75</v>
      </c>
    </row>
    <row r="55" spans="1:19" x14ac:dyDescent="0.25">
      <c r="A55" s="5" t="s">
        <v>71</v>
      </c>
      <c r="B55" s="6" t="s">
        <v>17</v>
      </c>
      <c r="C55" s="6" t="s">
        <v>19</v>
      </c>
      <c r="D55" s="6">
        <v>10</v>
      </c>
      <c r="E55" s="6">
        <v>10103</v>
      </c>
      <c r="F55" s="6">
        <v>15698</v>
      </c>
      <c r="G55" s="6">
        <v>0</v>
      </c>
      <c r="H55" s="6">
        <v>0</v>
      </c>
      <c r="I55" s="6">
        <v>25388</v>
      </c>
      <c r="J55" s="6">
        <v>0</v>
      </c>
      <c r="K55" s="6">
        <f t="shared" si="0"/>
        <v>25388</v>
      </c>
      <c r="L55" s="6">
        <v>413</v>
      </c>
      <c r="M55" s="6">
        <v>6996.125</v>
      </c>
      <c r="N55" s="6">
        <v>24</v>
      </c>
      <c r="O55" s="8">
        <f t="shared" si="1"/>
        <v>6.6136363636363633</v>
      </c>
      <c r="Q55" s="10">
        <v>1956</v>
      </c>
      <c r="R55" s="10">
        <f t="shared" si="2"/>
        <v>49658928</v>
      </c>
      <c r="S55" s="10">
        <f t="shared" si="3"/>
        <v>13684420.5</v>
      </c>
    </row>
    <row r="56" spans="1:19" x14ac:dyDescent="0.25">
      <c r="A56" s="2" t="s">
        <v>10</v>
      </c>
      <c r="B56" s="6" t="s">
        <v>17</v>
      </c>
      <c r="C56" s="6" t="s">
        <v>19</v>
      </c>
      <c r="D56" s="6">
        <v>10</v>
      </c>
      <c r="E56" s="6">
        <v>0</v>
      </c>
      <c r="F56" s="6">
        <v>34717</v>
      </c>
      <c r="G56" s="6">
        <v>0</v>
      </c>
      <c r="H56" s="6">
        <v>0</v>
      </c>
      <c r="I56" s="6">
        <v>22492</v>
      </c>
      <c r="J56" s="6">
        <v>0</v>
      </c>
      <c r="K56" s="6">
        <f t="shared" si="0"/>
        <v>22492</v>
      </c>
      <c r="L56" s="6">
        <v>12225</v>
      </c>
      <c r="M56" s="6">
        <v>14617.545454545501</v>
      </c>
      <c r="N56" s="6">
        <v>24</v>
      </c>
      <c r="O56" s="8">
        <f t="shared" si="1"/>
        <v>15.597594296153835</v>
      </c>
      <c r="Q56" s="10">
        <v>2514</v>
      </c>
      <c r="R56" s="10">
        <f t="shared" si="2"/>
        <v>56544888</v>
      </c>
      <c r="S56" s="10">
        <f t="shared" si="3"/>
        <v>36748509.272727393</v>
      </c>
    </row>
    <row r="57" spans="1:19" x14ac:dyDescent="0.25">
      <c r="A57" s="5" t="s">
        <v>72</v>
      </c>
      <c r="B57" s="6" t="s">
        <v>17</v>
      </c>
      <c r="C57" s="6" t="s">
        <v>19</v>
      </c>
      <c r="D57" s="6">
        <v>10</v>
      </c>
      <c r="E57" s="6">
        <v>16636</v>
      </c>
      <c r="F57" s="6">
        <v>41589</v>
      </c>
      <c r="G57" s="6">
        <v>0</v>
      </c>
      <c r="H57" s="6">
        <v>0</v>
      </c>
      <c r="I57" s="6">
        <v>0</v>
      </c>
      <c r="J57" s="6">
        <v>30907</v>
      </c>
      <c r="K57" s="6">
        <f t="shared" si="0"/>
        <v>30907</v>
      </c>
      <c r="L57" s="6">
        <v>27318</v>
      </c>
      <c r="M57" s="6">
        <v>29906</v>
      </c>
      <c r="N57" s="6">
        <v>24</v>
      </c>
      <c r="O57" s="8">
        <f t="shared" si="1"/>
        <v>23.222700359141943</v>
      </c>
      <c r="Q57" s="10">
        <v>3391</v>
      </c>
      <c r="R57" s="10">
        <f t="shared" si="2"/>
        <v>104805637</v>
      </c>
      <c r="S57" s="10">
        <f t="shared" si="3"/>
        <v>101411246</v>
      </c>
    </row>
    <row r="58" spans="1:19" x14ac:dyDescent="0.25">
      <c r="A58" s="5" t="s">
        <v>73</v>
      </c>
      <c r="B58" s="6" t="s">
        <v>17</v>
      </c>
      <c r="C58" s="6" t="s">
        <v>19</v>
      </c>
      <c r="D58" s="6">
        <v>10</v>
      </c>
      <c r="E58" s="6">
        <v>13675</v>
      </c>
      <c r="F58" s="6">
        <v>26783</v>
      </c>
      <c r="G58" s="6">
        <v>0</v>
      </c>
      <c r="H58" s="6">
        <v>0</v>
      </c>
      <c r="I58" s="6">
        <v>0</v>
      </c>
      <c r="J58" s="6">
        <v>13845</v>
      </c>
      <c r="K58" s="6">
        <f t="shared" si="0"/>
        <v>13845</v>
      </c>
      <c r="L58" s="6">
        <v>26613</v>
      </c>
      <c r="M58" s="6">
        <v>24697.0625</v>
      </c>
      <c r="N58" s="6">
        <v>24</v>
      </c>
      <c r="O58" s="8">
        <f t="shared" si="1"/>
        <v>42.811809317443121</v>
      </c>
      <c r="Q58" s="10">
        <v>3549</v>
      </c>
      <c r="R58" s="10">
        <f t="shared" si="2"/>
        <v>49135905</v>
      </c>
      <c r="S58" s="10">
        <f t="shared" si="3"/>
        <v>87649874.8125</v>
      </c>
    </row>
    <row r="59" spans="1:19" x14ac:dyDescent="0.25">
      <c r="A59" s="5" t="s">
        <v>74</v>
      </c>
      <c r="B59" s="6" t="s">
        <v>17</v>
      </c>
      <c r="C59" s="6" t="s">
        <v>19</v>
      </c>
      <c r="D59" s="6">
        <v>10</v>
      </c>
      <c r="E59" s="6">
        <v>21068</v>
      </c>
      <c r="F59" s="6">
        <v>70480</v>
      </c>
      <c r="G59" s="6">
        <v>0</v>
      </c>
      <c r="H59" s="6">
        <v>0</v>
      </c>
      <c r="I59" s="6">
        <v>40248</v>
      </c>
      <c r="J59" s="6">
        <v>0</v>
      </c>
      <c r="K59" s="6">
        <f t="shared" si="0"/>
        <v>40248</v>
      </c>
      <c r="L59" s="6">
        <v>51300</v>
      </c>
      <c r="M59" s="6">
        <v>30463.384615384603</v>
      </c>
      <c r="N59" s="6">
        <v>24</v>
      </c>
      <c r="O59" s="8">
        <f t="shared" si="1"/>
        <v>18.165405256639595</v>
      </c>
      <c r="Q59" s="10">
        <v>2129</v>
      </c>
      <c r="R59" s="10">
        <f t="shared" si="2"/>
        <v>85687992</v>
      </c>
      <c r="S59" s="10">
        <f t="shared" si="3"/>
        <v>64856545.846153818</v>
      </c>
    </row>
    <row r="60" spans="1:19" x14ac:dyDescent="0.25">
      <c r="A60" s="5" t="s">
        <v>75</v>
      </c>
      <c r="B60" s="6" t="s">
        <v>17</v>
      </c>
      <c r="C60" s="6" t="s">
        <v>19</v>
      </c>
      <c r="D60" s="6">
        <v>10</v>
      </c>
      <c r="E60" s="6">
        <v>2957</v>
      </c>
      <c r="F60" s="6">
        <v>28100</v>
      </c>
      <c r="G60" s="6">
        <v>0</v>
      </c>
      <c r="H60" s="6">
        <v>0</v>
      </c>
      <c r="I60" s="6">
        <v>17950</v>
      </c>
      <c r="J60" s="6">
        <v>0</v>
      </c>
      <c r="K60" s="6">
        <f t="shared" si="0"/>
        <v>17950</v>
      </c>
      <c r="L60" s="6">
        <v>13107</v>
      </c>
      <c r="M60" s="6">
        <v>6084.5</v>
      </c>
      <c r="N60" s="6">
        <v>24</v>
      </c>
      <c r="O60" s="8">
        <f t="shared" si="1"/>
        <v>8.1352646239554325</v>
      </c>
      <c r="Q60" s="10">
        <v>2129</v>
      </c>
      <c r="R60" s="10">
        <f t="shared" si="2"/>
        <v>38215550</v>
      </c>
      <c r="S60" s="10">
        <f t="shared" si="3"/>
        <v>12953900.5</v>
      </c>
    </row>
    <row r="61" spans="1:19" x14ac:dyDescent="0.25">
      <c r="A61" s="5" t="s">
        <v>76</v>
      </c>
      <c r="B61" s="6" t="s">
        <v>17</v>
      </c>
      <c r="C61" s="6" t="s">
        <v>19</v>
      </c>
      <c r="D61" s="6">
        <v>10</v>
      </c>
      <c r="E61" s="6">
        <v>1469</v>
      </c>
      <c r="F61" s="6">
        <v>0</v>
      </c>
      <c r="G61" s="6">
        <v>0</v>
      </c>
      <c r="H61" s="6">
        <v>0</v>
      </c>
      <c r="I61" s="6">
        <v>500</v>
      </c>
      <c r="J61" s="6">
        <v>0</v>
      </c>
      <c r="K61" s="6">
        <f t="shared" si="0"/>
        <v>500</v>
      </c>
      <c r="L61" s="6">
        <v>969</v>
      </c>
      <c r="M61" s="6">
        <v>1069</v>
      </c>
      <c r="N61" s="6">
        <v>24</v>
      </c>
      <c r="O61" s="8">
        <f t="shared" si="1"/>
        <v>51.311999999999998</v>
      </c>
      <c r="Q61" s="10">
        <v>2131</v>
      </c>
      <c r="R61" s="10">
        <f t="shared" si="2"/>
        <v>1065500</v>
      </c>
      <c r="S61" s="10">
        <f t="shared" si="3"/>
        <v>2278039</v>
      </c>
    </row>
    <row r="62" spans="1:19" x14ac:dyDescent="0.25">
      <c r="A62" s="5" t="s">
        <v>77</v>
      </c>
      <c r="B62" s="6" t="s">
        <v>17</v>
      </c>
      <c r="C62" s="6" t="s">
        <v>19</v>
      </c>
      <c r="D62" s="6">
        <v>10</v>
      </c>
      <c r="E62" s="6">
        <v>3111</v>
      </c>
      <c r="F62" s="6">
        <v>5103</v>
      </c>
      <c r="G62" s="6">
        <v>0</v>
      </c>
      <c r="H62" s="6">
        <v>0</v>
      </c>
      <c r="I62" s="6">
        <v>5103</v>
      </c>
      <c r="J62" s="6">
        <v>0</v>
      </c>
      <c r="K62" s="6">
        <f t="shared" si="0"/>
        <v>5103</v>
      </c>
      <c r="L62" s="6">
        <v>3111</v>
      </c>
      <c r="M62" s="6">
        <v>5511.75</v>
      </c>
      <c r="N62" s="6">
        <v>24</v>
      </c>
      <c r="O62" s="8">
        <f t="shared" si="1"/>
        <v>25.922398589065256</v>
      </c>
      <c r="Q62" s="10">
        <v>2131</v>
      </c>
      <c r="R62" s="10">
        <f t="shared" si="2"/>
        <v>10874493</v>
      </c>
      <c r="S62" s="10">
        <f t="shared" si="3"/>
        <v>11745539.25</v>
      </c>
    </row>
    <row r="63" spans="1:19" x14ac:dyDescent="0.25">
      <c r="A63" s="5" t="s">
        <v>78</v>
      </c>
      <c r="B63" s="6" t="s">
        <v>17</v>
      </c>
      <c r="C63" s="6" t="s">
        <v>19</v>
      </c>
      <c r="D63" s="6">
        <v>10</v>
      </c>
      <c r="E63" s="6">
        <v>12987</v>
      </c>
      <c r="F63" s="6">
        <v>58981</v>
      </c>
      <c r="G63" s="6">
        <v>0</v>
      </c>
      <c r="H63" s="6">
        <v>0</v>
      </c>
      <c r="I63" s="6">
        <v>55136</v>
      </c>
      <c r="J63" s="6">
        <v>0</v>
      </c>
      <c r="K63" s="6">
        <f t="shared" si="0"/>
        <v>55136</v>
      </c>
      <c r="L63" s="6">
        <v>16832</v>
      </c>
      <c r="M63" s="6">
        <v>38789.473684210498</v>
      </c>
      <c r="N63" s="6">
        <v>24</v>
      </c>
      <c r="O63" s="8">
        <f t="shared" si="1"/>
        <v>16.884564865442758</v>
      </c>
      <c r="Q63" s="10">
        <v>2245</v>
      </c>
      <c r="R63" s="10">
        <f t="shared" si="2"/>
        <v>123780320</v>
      </c>
      <c r="S63" s="10">
        <f t="shared" si="3"/>
        <v>87082368.42105256</v>
      </c>
    </row>
    <row r="64" spans="1:19" x14ac:dyDescent="0.25">
      <c r="A64" s="5" t="s">
        <v>79</v>
      </c>
      <c r="B64" s="6" t="s">
        <v>17</v>
      </c>
      <c r="C64" s="6" t="s">
        <v>19</v>
      </c>
      <c r="D64" s="6">
        <v>10</v>
      </c>
      <c r="E64" s="6">
        <v>873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f t="shared" si="0"/>
        <v>0</v>
      </c>
      <c r="L64" s="6">
        <v>873</v>
      </c>
      <c r="M64" s="6">
        <v>873</v>
      </c>
      <c r="N64" s="6">
        <v>24</v>
      </c>
      <c r="O64" s="8">
        <v>0</v>
      </c>
      <c r="Q64" s="10">
        <v>2121</v>
      </c>
      <c r="R64" s="10">
        <f t="shared" si="2"/>
        <v>0</v>
      </c>
      <c r="S64" s="10">
        <f t="shared" si="3"/>
        <v>1851633</v>
      </c>
    </row>
    <row r="65" spans="1:19" x14ac:dyDescent="0.25">
      <c r="A65" s="5" t="s">
        <v>6</v>
      </c>
      <c r="B65" s="6" t="s">
        <v>17</v>
      </c>
      <c r="C65" s="6" t="s">
        <v>19</v>
      </c>
      <c r="D65" s="6">
        <v>10</v>
      </c>
      <c r="E65" s="6">
        <v>16825</v>
      </c>
      <c r="F65" s="6">
        <v>38041</v>
      </c>
      <c r="G65" s="6">
        <v>0</v>
      </c>
      <c r="H65" s="6">
        <v>0</v>
      </c>
      <c r="I65" s="6">
        <v>37616</v>
      </c>
      <c r="J65" s="6">
        <v>0</v>
      </c>
      <c r="K65" s="6">
        <f t="shared" si="0"/>
        <v>37616</v>
      </c>
      <c r="L65" s="6">
        <v>17250</v>
      </c>
      <c r="M65" s="6">
        <v>31273.5</v>
      </c>
      <c r="N65" s="6">
        <v>24</v>
      </c>
      <c r="O65" s="8">
        <f t="shared" si="1"/>
        <v>19.953317737133133</v>
      </c>
      <c r="Q65" s="10">
        <v>2121</v>
      </c>
      <c r="R65" s="10">
        <f t="shared" si="2"/>
        <v>79783536</v>
      </c>
      <c r="S65" s="10">
        <f t="shared" si="3"/>
        <v>66331093.5</v>
      </c>
    </row>
    <row r="66" spans="1:19" x14ac:dyDescent="0.25">
      <c r="A66" s="5" t="s">
        <v>7</v>
      </c>
      <c r="B66" s="6" t="s">
        <v>17</v>
      </c>
      <c r="C66" s="6" t="s">
        <v>19</v>
      </c>
      <c r="D66" s="6">
        <v>10</v>
      </c>
      <c r="E66" s="6">
        <v>1050</v>
      </c>
      <c r="F66" s="6">
        <v>2100</v>
      </c>
      <c r="G66" s="6">
        <v>0</v>
      </c>
      <c r="H66" s="6">
        <v>0</v>
      </c>
      <c r="I66" s="6">
        <v>1050</v>
      </c>
      <c r="J66" s="6">
        <v>0</v>
      </c>
      <c r="K66" s="6">
        <f t="shared" si="0"/>
        <v>1050</v>
      </c>
      <c r="L66" s="6">
        <v>2100</v>
      </c>
      <c r="M66" s="6">
        <v>1050</v>
      </c>
      <c r="N66" s="6">
        <v>24</v>
      </c>
      <c r="O66" s="8">
        <f t="shared" si="1"/>
        <v>24</v>
      </c>
      <c r="Q66" s="10">
        <v>2121</v>
      </c>
      <c r="R66" s="10">
        <f t="shared" si="2"/>
        <v>2227050</v>
      </c>
      <c r="S66" s="10">
        <f t="shared" si="3"/>
        <v>2227050</v>
      </c>
    </row>
    <row r="67" spans="1:19" x14ac:dyDescent="0.25">
      <c r="A67" s="5" t="s">
        <v>81</v>
      </c>
      <c r="B67" s="6" t="s">
        <v>17</v>
      </c>
      <c r="C67" s="6" t="s">
        <v>19</v>
      </c>
      <c r="D67" s="6">
        <v>10</v>
      </c>
      <c r="E67" s="6">
        <v>530</v>
      </c>
      <c r="F67" s="6">
        <v>4700</v>
      </c>
      <c r="G67" s="6">
        <v>0</v>
      </c>
      <c r="H67" s="6">
        <v>0</v>
      </c>
      <c r="I67" s="6">
        <v>0</v>
      </c>
      <c r="J67" s="6">
        <v>2600</v>
      </c>
      <c r="K67" s="6">
        <f t="shared" ref="K67:K130" si="4">I67+J67</f>
        <v>2600</v>
      </c>
      <c r="L67" s="6">
        <v>2630</v>
      </c>
      <c r="M67" s="6">
        <v>1380</v>
      </c>
      <c r="N67" s="6">
        <v>24</v>
      </c>
      <c r="O67" s="8">
        <f t="shared" ref="O67:O129" si="5">(M67/(I67+J67))*N67</f>
        <v>12.738461538461539</v>
      </c>
      <c r="Q67" s="10">
        <v>4592</v>
      </c>
      <c r="R67" s="10">
        <f t="shared" ref="R67:R130" si="6">Q67*(I67+J67)</f>
        <v>11939200</v>
      </c>
      <c r="S67" s="10">
        <f t="shared" ref="S67:S130" si="7">Q67*M67</f>
        <v>6336960</v>
      </c>
    </row>
    <row r="68" spans="1:19" x14ac:dyDescent="0.25">
      <c r="A68" s="5" t="s">
        <v>82</v>
      </c>
      <c r="B68" s="6" t="s">
        <v>17</v>
      </c>
      <c r="C68" s="6" t="s">
        <v>19</v>
      </c>
      <c r="D68" s="6">
        <v>10</v>
      </c>
      <c r="E68" s="6">
        <v>2444</v>
      </c>
      <c r="F68" s="6">
        <v>19000</v>
      </c>
      <c r="G68" s="6">
        <v>0</v>
      </c>
      <c r="H68" s="6">
        <v>0</v>
      </c>
      <c r="I68" s="6">
        <v>0</v>
      </c>
      <c r="J68" s="6">
        <v>8625</v>
      </c>
      <c r="K68" s="6">
        <f t="shared" si="4"/>
        <v>8625</v>
      </c>
      <c r="L68" s="6">
        <v>12819</v>
      </c>
      <c r="M68" s="6">
        <v>10973.166666666701</v>
      </c>
      <c r="N68" s="6">
        <v>24</v>
      </c>
      <c r="O68" s="8">
        <f t="shared" si="5"/>
        <v>30.534028985507341</v>
      </c>
      <c r="Q68" s="10">
        <v>2297</v>
      </c>
      <c r="R68" s="10">
        <f t="shared" si="6"/>
        <v>19811625</v>
      </c>
      <c r="S68" s="10">
        <f t="shared" si="7"/>
        <v>25205363.83333341</v>
      </c>
    </row>
    <row r="69" spans="1:19" x14ac:dyDescent="0.25">
      <c r="A69" s="5" t="s">
        <v>83</v>
      </c>
      <c r="B69" s="6" t="s">
        <v>17</v>
      </c>
      <c r="C69" s="6" t="s">
        <v>19</v>
      </c>
      <c r="D69" s="6">
        <v>10</v>
      </c>
      <c r="E69" s="6">
        <v>850</v>
      </c>
      <c r="F69" s="6">
        <v>2400</v>
      </c>
      <c r="G69" s="6">
        <v>0</v>
      </c>
      <c r="H69" s="6">
        <v>0</v>
      </c>
      <c r="I69" s="6">
        <v>0</v>
      </c>
      <c r="J69" s="6">
        <v>656</v>
      </c>
      <c r="K69" s="6">
        <f t="shared" si="4"/>
        <v>656</v>
      </c>
      <c r="L69" s="6">
        <v>2594</v>
      </c>
      <c r="M69" s="6">
        <v>1530.3333333333301</v>
      </c>
      <c r="N69" s="6">
        <v>24</v>
      </c>
      <c r="O69" s="8">
        <f t="shared" si="5"/>
        <v>55.987804878048657</v>
      </c>
      <c r="Q69" s="10">
        <v>4592</v>
      </c>
      <c r="R69" s="10">
        <f t="shared" si="6"/>
        <v>3012352</v>
      </c>
      <c r="S69" s="10">
        <f t="shared" si="7"/>
        <v>7027290.6666666521</v>
      </c>
    </row>
    <row r="70" spans="1:19" x14ac:dyDescent="0.25">
      <c r="A70" s="5" t="s">
        <v>84</v>
      </c>
      <c r="B70" s="6" t="s">
        <v>16</v>
      </c>
      <c r="C70" s="6" t="s">
        <v>19</v>
      </c>
      <c r="D70" s="6">
        <v>10</v>
      </c>
      <c r="E70" s="6">
        <v>3381</v>
      </c>
      <c r="F70" s="6">
        <v>138075</v>
      </c>
      <c r="G70" s="6">
        <v>0</v>
      </c>
      <c r="H70" s="6">
        <v>0</v>
      </c>
      <c r="I70" s="6">
        <v>0</v>
      </c>
      <c r="J70" s="6">
        <v>115615</v>
      </c>
      <c r="K70" s="6">
        <f t="shared" si="4"/>
        <v>115615</v>
      </c>
      <c r="L70" s="6">
        <v>25841</v>
      </c>
      <c r="M70" s="6">
        <v>19503.5</v>
      </c>
      <c r="N70" s="6">
        <v>24</v>
      </c>
      <c r="O70" s="8">
        <f t="shared" si="5"/>
        <v>4.0486442070665571</v>
      </c>
      <c r="Q70" s="10">
        <v>1419</v>
      </c>
      <c r="R70" s="10">
        <f t="shared" si="6"/>
        <v>164057685</v>
      </c>
      <c r="S70" s="10">
        <f t="shared" si="7"/>
        <v>27675466.5</v>
      </c>
    </row>
    <row r="71" spans="1:19" x14ac:dyDescent="0.25">
      <c r="A71" s="5" t="s">
        <v>85</v>
      </c>
      <c r="B71" s="6" t="s">
        <v>17</v>
      </c>
      <c r="C71" s="6" t="s">
        <v>19</v>
      </c>
      <c r="D71" s="6">
        <v>10</v>
      </c>
      <c r="E71" s="6">
        <v>2692</v>
      </c>
      <c r="F71" s="6">
        <v>0</v>
      </c>
      <c r="G71" s="6">
        <v>0</v>
      </c>
      <c r="H71" s="6">
        <v>0</v>
      </c>
      <c r="I71" s="6">
        <v>0</v>
      </c>
      <c r="J71" s="6">
        <v>750</v>
      </c>
      <c r="K71" s="6">
        <f t="shared" si="4"/>
        <v>750</v>
      </c>
      <c r="L71" s="6">
        <v>1942</v>
      </c>
      <c r="M71" s="6">
        <v>1942</v>
      </c>
      <c r="N71" s="6">
        <v>24</v>
      </c>
      <c r="O71" s="8">
        <f t="shared" si="5"/>
        <v>62.143999999999998</v>
      </c>
      <c r="Q71" s="10">
        <v>4592</v>
      </c>
      <c r="R71" s="10">
        <f t="shared" si="6"/>
        <v>3444000</v>
      </c>
      <c r="S71" s="10">
        <f t="shared" si="7"/>
        <v>8917664</v>
      </c>
    </row>
    <row r="72" spans="1:19" x14ac:dyDescent="0.25">
      <c r="A72" s="5" t="s">
        <v>1</v>
      </c>
      <c r="B72" s="6" t="s">
        <v>17</v>
      </c>
      <c r="C72" s="6" t="s">
        <v>19</v>
      </c>
      <c r="D72" s="6">
        <v>10</v>
      </c>
      <c r="E72" s="6">
        <v>3025</v>
      </c>
      <c r="F72" s="6">
        <v>0</v>
      </c>
      <c r="G72" s="6">
        <v>0</v>
      </c>
      <c r="H72" s="6">
        <v>0</v>
      </c>
      <c r="I72" s="6">
        <v>0</v>
      </c>
      <c r="J72" s="6">
        <v>1825</v>
      </c>
      <c r="K72" s="6">
        <f t="shared" si="4"/>
        <v>1825</v>
      </c>
      <c r="L72" s="6">
        <v>1200</v>
      </c>
      <c r="M72" s="6">
        <v>1962.5</v>
      </c>
      <c r="N72" s="6">
        <v>24</v>
      </c>
      <c r="O72" s="8">
        <f t="shared" si="5"/>
        <v>25.808219178082194</v>
      </c>
      <c r="Q72" s="10">
        <v>2103</v>
      </c>
      <c r="R72" s="10">
        <f t="shared" si="6"/>
        <v>3837975</v>
      </c>
      <c r="S72" s="10">
        <f t="shared" si="7"/>
        <v>4127137.5</v>
      </c>
    </row>
    <row r="73" spans="1:19" x14ac:dyDescent="0.25">
      <c r="A73" s="5" t="s">
        <v>87</v>
      </c>
      <c r="B73" s="6" t="s">
        <v>17</v>
      </c>
      <c r="C73" s="6" t="s">
        <v>19</v>
      </c>
      <c r="D73" s="6">
        <v>10</v>
      </c>
      <c r="E73" s="6">
        <v>11500</v>
      </c>
      <c r="F73" s="6">
        <v>18820</v>
      </c>
      <c r="G73" s="6">
        <v>0</v>
      </c>
      <c r="H73" s="6">
        <v>0</v>
      </c>
      <c r="I73" s="6">
        <v>0</v>
      </c>
      <c r="J73" s="6">
        <v>13250</v>
      </c>
      <c r="K73" s="6">
        <f t="shared" si="4"/>
        <v>13250</v>
      </c>
      <c r="L73" s="6">
        <v>17070</v>
      </c>
      <c r="M73" s="6">
        <v>7927.2727272727298</v>
      </c>
      <c r="N73" s="6">
        <v>24</v>
      </c>
      <c r="O73" s="8">
        <f t="shared" si="5"/>
        <v>14.358833619210982</v>
      </c>
      <c r="Q73" s="10">
        <v>2103</v>
      </c>
      <c r="R73" s="10">
        <f t="shared" si="6"/>
        <v>27864750</v>
      </c>
      <c r="S73" s="10">
        <f t="shared" si="7"/>
        <v>16671054.545454551</v>
      </c>
    </row>
    <row r="74" spans="1:19" x14ac:dyDescent="0.25">
      <c r="A74" s="5" t="s">
        <v>88</v>
      </c>
      <c r="B74" s="6" t="s">
        <v>17</v>
      </c>
      <c r="C74" s="6" t="s">
        <v>19</v>
      </c>
      <c r="D74" s="6">
        <v>10</v>
      </c>
      <c r="E74" s="6">
        <v>2874</v>
      </c>
      <c r="F74" s="6">
        <v>2000</v>
      </c>
      <c r="G74" s="6">
        <v>0</v>
      </c>
      <c r="H74" s="6">
        <v>0</v>
      </c>
      <c r="I74" s="6">
        <v>0</v>
      </c>
      <c r="J74" s="6">
        <v>2600</v>
      </c>
      <c r="K74" s="6">
        <f t="shared" si="4"/>
        <v>2600</v>
      </c>
      <c r="L74" s="6">
        <v>2274</v>
      </c>
      <c r="M74" s="6">
        <v>2234</v>
      </c>
      <c r="N74" s="6">
        <v>24</v>
      </c>
      <c r="O74" s="8">
        <f t="shared" si="5"/>
        <v>20.621538461538464</v>
      </c>
      <c r="Q74" s="10">
        <v>4592</v>
      </c>
      <c r="R74" s="10">
        <f t="shared" si="6"/>
        <v>11939200</v>
      </c>
      <c r="S74" s="10">
        <f t="shared" si="7"/>
        <v>10258528</v>
      </c>
    </row>
    <row r="75" spans="1:19" x14ac:dyDescent="0.25">
      <c r="A75" s="5" t="s">
        <v>89</v>
      </c>
      <c r="B75" s="6" t="s">
        <v>17</v>
      </c>
      <c r="C75" s="6" t="s">
        <v>19</v>
      </c>
      <c r="D75" s="6">
        <v>10</v>
      </c>
      <c r="E75" s="6">
        <v>1512</v>
      </c>
      <c r="F75" s="6">
        <v>4045</v>
      </c>
      <c r="G75" s="6">
        <v>0</v>
      </c>
      <c r="H75" s="6">
        <v>0</v>
      </c>
      <c r="I75" s="6">
        <v>0</v>
      </c>
      <c r="J75" s="6">
        <v>2722</v>
      </c>
      <c r="K75" s="6">
        <f t="shared" si="4"/>
        <v>2722</v>
      </c>
      <c r="L75" s="6">
        <v>2835</v>
      </c>
      <c r="M75" s="6">
        <v>2275.4</v>
      </c>
      <c r="N75" s="6">
        <v>24</v>
      </c>
      <c r="O75" s="8">
        <f t="shared" si="5"/>
        <v>20.062307127112419</v>
      </c>
      <c r="Q75" s="10">
        <v>2297</v>
      </c>
      <c r="R75" s="10">
        <f t="shared" si="6"/>
        <v>6252434</v>
      </c>
      <c r="S75" s="10">
        <f t="shared" si="7"/>
        <v>5226593.8</v>
      </c>
    </row>
    <row r="76" spans="1:19" x14ac:dyDescent="0.25">
      <c r="A76" s="5" t="s">
        <v>90</v>
      </c>
      <c r="B76" s="6" t="s">
        <v>17</v>
      </c>
      <c r="C76" s="6" t="s">
        <v>19</v>
      </c>
      <c r="D76" s="6">
        <v>10</v>
      </c>
      <c r="E76" s="6">
        <v>1717</v>
      </c>
      <c r="F76" s="6">
        <v>1000</v>
      </c>
      <c r="G76" s="6">
        <v>0</v>
      </c>
      <c r="H76" s="6">
        <v>0</v>
      </c>
      <c r="I76" s="6">
        <v>0</v>
      </c>
      <c r="J76" s="6">
        <v>675</v>
      </c>
      <c r="K76" s="6">
        <f t="shared" si="4"/>
        <v>675</v>
      </c>
      <c r="L76" s="6">
        <v>2042</v>
      </c>
      <c r="M76" s="6">
        <v>1592</v>
      </c>
      <c r="N76" s="6">
        <v>24</v>
      </c>
      <c r="O76" s="8">
        <f t="shared" si="5"/>
        <v>56.604444444444439</v>
      </c>
      <c r="Q76" s="10">
        <v>2616</v>
      </c>
      <c r="R76" s="10">
        <f t="shared" si="6"/>
        <v>1765800</v>
      </c>
      <c r="S76" s="10">
        <f t="shared" si="7"/>
        <v>4164672</v>
      </c>
    </row>
    <row r="77" spans="1:19" x14ac:dyDescent="0.25">
      <c r="A77" s="5" t="s">
        <v>91</v>
      </c>
      <c r="B77" s="6" t="s">
        <v>16</v>
      </c>
      <c r="C77" s="6" t="s">
        <v>19</v>
      </c>
      <c r="D77" s="6">
        <v>10</v>
      </c>
      <c r="E77" s="6">
        <v>13825</v>
      </c>
      <c r="F77" s="6">
        <v>98000</v>
      </c>
      <c r="G77" s="6">
        <v>0</v>
      </c>
      <c r="H77" s="6">
        <v>0</v>
      </c>
      <c r="I77" s="6">
        <v>0</v>
      </c>
      <c r="J77" s="6">
        <v>97267</v>
      </c>
      <c r="K77" s="6">
        <f t="shared" si="4"/>
        <v>97267</v>
      </c>
      <c r="L77" s="6">
        <v>14558</v>
      </c>
      <c r="M77" s="6">
        <v>11321.6111111111</v>
      </c>
      <c r="N77" s="6">
        <v>24</v>
      </c>
      <c r="O77" s="8">
        <f t="shared" si="5"/>
        <v>2.7935339495066818</v>
      </c>
      <c r="Q77" s="10">
        <v>1419</v>
      </c>
      <c r="R77" s="10">
        <f t="shared" si="6"/>
        <v>138021873</v>
      </c>
      <c r="S77" s="10">
        <f t="shared" si="7"/>
        <v>16065366.166666651</v>
      </c>
    </row>
    <row r="78" spans="1:19" x14ac:dyDescent="0.25">
      <c r="A78" s="5" t="s">
        <v>92</v>
      </c>
      <c r="B78" s="6" t="s">
        <v>17</v>
      </c>
      <c r="C78" s="6" t="s">
        <v>19</v>
      </c>
      <c r="D78" s="6">
        <v>10</v>
      </c>
      <c r="E78" s="6">
        <v>623</v>
      </c>
      <c r="F78" s="6">
        <v>1050</v>
      </c>
      <c r="G78" s="6">
        <v>0</v>
      </c>
      <c r="H78" s="6">
        <v>0</v>
      </c>
      <c r="I78" s="6">
        <v>0</v>
      </c>
      <c r="J78" s="6">
        <v>325</v>
      </c>
      <c r="K78" s="6">
        <f t="shared" si="4"/>
        <v>325</v>
      </c>
      <c r="L78" s="6">
        <v>1348</v>
      </c>
      <c r="M78" s="6">
        <v>1481.3333333333301</v>
      </c>
      <c r="N78" s="6">
        <v>24</v>
      </c>
      <c r="O78" s="8">
        <f t="shared" si="5"/>
        <v>109.390769230769</v>
      </c>
      <c r="Q78" s="10">
        <v>2616</v>
      </c>
      <c r="R78" s="10">
        <f t="shared" si="6"/>
        <v>850200</v>
      </c>
      <c r="S78" s="10">
        <f t="shared" si="7"/>
        <v>3875167.9999999916</v>
      </c>
    </row>
    <row r="79" spans="1:19" x14ac:dyDescent="0.25">
      <c r="A79" s="5" t="s">
        <v>93</v>
      </c>
      <c r="B79" s="6" t="s">
        <v>17</v>
      </c>
      <c r="C79" s="6" t="s">
        <v>19</v>
      </c>
      <c r="D79" s="6">
        <v>10</v>
      </c>
      <c r="E79" s="6">
        <v>360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f t="shared" si="4"/>
        <v>0</v>
      </c>
      <c r="L79" s="6">
        <v>360</v>
      </c>
      <c r="M79" s="6">
        <v>0</v>
      </c>
      <c r="N79" s="6">
        <v>24</v>
      </c>
      <c r="O79" s="8">
        <v>0</v>
      </c>
      <c r="Q79" s="10">
        <v>7550</v>
      </c>
      <c r="R79" s="10">
        <f t="shared" si="6"/>
        <v>0</v>
      </c>
      <c r="S79" s="10">
        <f t="shared" si="7"/>
        <v>0</v>
      </c>
    </row>
    <row r="80" spans="1:19" x14ac:dyDescent="0.25">
      <c r="A80" s="5" t="s">
        <v>94</v>
      </c>
      <c r="B80" s="6" t="s">
        <v>17</v>
      </c>
      <c r="C80" s="6" t="s">
        <v>19</v>
      </c>
      <c r="D80" s="6">
        <v>10</v>
      </c>
      <c r="E80" s="6">
        <v>11482</v>
      </c>
      <c r="F80" s="6">
        <v>35070</v>
      </c>
      <c r="G80" s="6">
        <v>0</v>
      </c>
      <c r="H80" s="6">
        <v>0</v>
      </c>
      <c r="I80" s="6">
        <v>35670</v>
      </c>
      <c r="J80" s="6">
        <v>0</v>
      </c>
      <c r="K80" s="6">
        <f t="shared" si="4"/>
        <v>35670</v>
      </c>
      <c r="L80" s="6">
        <v>10882</v>
      </c>
      <c r="M80" s="6">
        <v>15738.4285714286</v>
      </c>
      <c r="N80" s="6">
        <v>24</v>
      </c>
      <c r="O80" s="8">
        <f t="shared" si="5"/>
        <v>10.589354799951959</v>
      </c>
      <c r="Q80" s="10">
        <v>7550</v>
      </c>
      <c r="R80" s="10">
        <f t="shared" si="6"/>
        <v>269308500</v>
      </c>
      <c r="S80" s="10">
        <f t="shared" si="7"/>
        <v>118825135.71428593</v>
      </c>
    </row>
    <row r="81" spans="1:19" x14ac:dyDescent="0.25">
      <c r="A81" s="5" t="s">
        <v>95</v>
      </c>
      <c r="B81" s="6" t="s">
        <v>17</v>
      </c>
      <c r="C81" s="6" t="s">
        <v>19</v>
      </c>
      <c r="D81" s="6">
        <v>10</v>
      </c>
      <c r="E81" s="6">
        <v>1930</v>
      </c>
      <c r="F81" s="6">
        <v>3662</v>
      </c>
      <c r="G81" s="6">
        <v>0</v>
      </c>
      <c r="H81" s="6">
        <v>0</v>
      </c>
      <c r="I81" s="6">
        <v>0</v>
      </c>
      <c r="J81" s="6">
        <v>2180</v>
      </c>
      <c r="K81" s="6">
        <f t="shared" si="4"/>
        <v>2180</v>
      </c>
      <c r="L81" s="6">
        <v>3412</v>
      </c>
      <c r="M81" s="6">
        <v>2990.4</v>
      </c>
      <c r="N81" s="6">
        <v>24</v>
      </c>
      <c r="O81" s="8">
        <f t="shared" si="5"/>
        <v>32.921834862385325</v>
      </c>
      <c r="Q81" s="10">
        <v>4592</v>
      </c>
      <c r="R81" s="10">
        <f t="shared" si="6"/>
        <v>10010560</v>
      </c>
      <c r="S81" s="10">
        <f t="shared" si="7"/>
        <v>13731916.800000001</v>
      </c>
    </row>
    <row r="82" spans="1:19" x14ac:dyDescent="0.25">
      <c r="A82" s="5" t="s">
        <v>96</v>
      </c>
      <c r="B82" s="6" t="s">
        <v>17</v>
      </c>
      <c r="C82" s="6" t="s">
        <v>19</v>
      </c>
      <c r="D82" s="6">
        <v>10</v>
      </c>
      <c r="E82" s="6">
        <v>2002</v>
      </c>
      <c r="F82" s="6">
        <v>16182</v>
      </c>
      <c r="G82" s="6">
        <v>0</v>
      </c>
      <c r="H82" s="6">
        <v>0</v>
      </c>
      <c r="I82" s="6">
        <v>0</v>
      </c>
      <c r="J82" s="6">
        <v>11075</v>
      </c>
      <c r="K82" s="6">
        <f t="shared" si="4"/>
        <v>11075</v>
      </c>
      <c r="L82" s="6">
        <v>7109</v>
      </c>
      <c r="M82" s="6">
        <v>4824.6363636363603</v>
      </c>
      <c r="N82" s="6">
        <v>24</v>
      </c>
      <c r="O82" s="8">
        <f t="shared" si="5"/>
        <v>10.455193925713106</v>
      </c>
      <c r="Q82" s="10">
        <v>2297</v>
      </c>
      <c r="R82" s="10">
        <f t="shared" si="6"/>
        <v>25439275</v>
      </c>
      <c r="S82" s="10">
        <f t="shared" si="7"/>
        <v>11082189.727272719</v>
      </c>
    </row>
    <row r="83" spans="1:19" x14ac:dyDescent="0.25">
      <c r="A83" s="5" t="s">
        <v>97</v>
      </c>
      <c r="B83" s="6" t="s">
        <v>17</v>
      </c>
      <c r="C83" s="6" t="s">
        <v>19</v>
      </c>
      <c r="D83" s="6">
        <v>10</v>
      </c>
      <c r="E83" s="6">
        <v>425</v>
      </c>
      <c r="F83" s="6">
        <v>1000</v>
      </c>
      <c r="G83" s="6">
        <v>0</v>
      </c>
      <c r="H83" s="6">
        <v>0</v>
      </c>
      <c r="I83" s="6">
        <v>0</v>
      </c>
      <c r="J83" s="6">
        <v>825</v>
      </c>
      <c r="K83" s="6">
        <f t="shared" si="4"/>
        <v>825</v>
      </c>
      <c r="L83" s="6">
        <v>600</v>
      </c>
      <c r="M83" s="6">
        <v>735</v>
      </c>
      <c r="N83" s="6">
        <v>24</v>
      </c>
      <c r="O83" s="8">
        <f t="shared" si="5"/>
        <v>21.381818181818183</v>
      </c>
      <c r="Q83" s="10">
        <v>2616</v>
      </c>
      <c r="R83" s="10">
        <f t="shared" si="6"/>
        <v>2158200</v>
      </c>
      <c r="S83" s="10">
        <f t="shared" si="7"/>
        <v>1922760</v>
      </c>
    </row>
    <row r="84" spans="1:19" x14ac:dyDescent="0.25">
      <c r="A84" s="5" t="s">
        <v>98</v>
      </c>
      <c r="B84" s="6" t="s">
        <v>16</v>
      </c>
      <c r="C84" s="6" t="s">
        <v>19</v>
      </c>
      <c r="D84" s="6">
        <v>10</v>
      </c>
      <c r="E84" s="6">
        <v>14990</v>
      </c>
      <c r="F84" s="6">
        <v>54500</v>
      </c>
      <c r="G84" s="6">
        <v>0</v>
      </c>
      <c r="H84" s="6">
        <v>0</v>
      </c>
      <c r="I84" s="6">
        <v>0</v>
      </c>
      <c r="J84" s="6">
        <v>54030</v>
      </c>
      <c r="K84" s="6">
        <f t="shared" si="4"/>
        <v>54030</v>
      </c>
      <c r="L84" s="6">
        <v>15460</v>
      </c>
      <c r="M84" s="6">
        <v>12139.347826087</v>
      </c>
      <c r="N84" s="6">
        <v>24</v>
      </c>
      <c r="O84" s="8">
        <f t="shared" si="5"/>
        <v>5.3922699949303716</v>
      </c>
      <c r="Q84" s="10">
        <v>1419</v>
      </c>
      <c r="R84" s="10">
        <f t="shared" si="6"/>
        <v>76668570</v>
      </c>
      <c r="S84" s="10">
        <f t="shared" si="7"/>
        <v>17225734.565217454</v>
      </c>
    </row>
    <row r="85" spans="1:19" x14ac:dyDescent="0.25">
      <c r="A85" s="5" t="s">
        <v>99</v>
      </c>
      <c r="B85" s="6" t="s">
        <v>17</v>
      </c>
      <c r="C85" s="6" t="s">
        <v>19</v>
      </c>
      <c r="D85" s="6">
        <v>10</v>
      </c>
      <c r="E85" s="6">
        <v>1311</v>
      </c>
      <c r="F85" s="6">
        <v>0</v>
      </c>
      <c r="G85" s="6">
        <v>0</v>
      </c>
      <c r="H85" s="6">
        <v>0</v>
      </c>
      <c r="I85" s="6">
        <v>0</v>
      </c>
      <c r="J85" s="6">
        <v>275</v>
      </c>
      <c r="K85" s="6">
        <f t="shared" si="4"/>
        <v>275</v>
      </c>
      <c r="L85" s="6">
        <v>1036</v>
      </c>
      <c r="M85" s="6">
        <v>1073.5</v>
      </c>
      <c r="N85" s="6">
        <v>24</v>
      </c>
      <c r="O85" s="8">
        <f t="shared" si="5"/>
        <v>93.687272727272727</v>
      </c>
      <c r="Q85" s="10">
        <v>2616</v>
      </c>
      <c r="R85" s="10">
        <f t="shared" si="6"/>
        <v>719400</v>
      </c>
      <c r="S85" s="10">
        <f t="shared" si="7"/>
        <v>2808276</v>
      </c>
    </row>
    <row r="86" spans="1:19" x14ac:dyDescent="0.25">
      <c r="A86" s="5" t="s">
        <v>100</v>
      </c>
      <c r="B86" s="6" t="s">
        <v>17</v>
      </c>
      <c r="C86" s="6" t="s">
        <v>19</v>
      </c>
      <c r="D86" s="6">
        <v>10</v>
      </c>
      <c r="E86" s="6">
        <v>1525</v>
      </c>
      <c r="F86" s="6">
        <v>1008</v>
      </c>
      <c r="G86" s="6">
        <v>0</v>
      </c>
      <c r="H86" s="6">
        <v>0</v>
      </c>
      <c r="I86" s="6">
        <v>0</v>
      </c>
      <c r="J86" s="6">
        <v>1688</v>
      </c>
      <c r="K86" s="6">
        <f t="shared" si="4"/>
        <v>1688</v>
      </c>
      <c r="L86" s="6">
        <v>845</v>
      </c>
      <c r="M86" s="6">
        <v>1534.3333333333301</v>
      </c>
      <c r="N86" s="6">
        <v>24</v>
      </c>
      <c r="O86" s="8">
        <f t="shared" si="5"/>
        <v>21.815165876777204</v>
      </c>
      <c r="Q86" s="10">
        <v>4592</v>
      </c>
      <c r="R86" s="10">
        <f t="shared" si="6"/>
        <v>7751296</v>
      </c>
      <c r="S86" s="10">
        <f t="shared" si="7"/>
        <v>7045658.6666666521</v>
      </c>
    </row>
    <row r="87" spans="1:19" x14ac:dyDescent="0.25">
      <c r="A87" s="5" t="s">
        <v>101</v>
      </c>
      <c r="B87" s="6" t="s">
        <v>17</v>
      </c>
      <c r="C87" s="6" t="s">
        <v>19</v>
      </c>
      <c r="D87" s="6">
        <v>10</v>
      </c>
      <c r="E87" s="6">
        <v>14415</v>
      </c>
      <c r="F87" s="6">
        <v>0</v>
      </c>
      <c r="G87" s="6">
        <v>0</v>
      </c>
      <c r="H87" s="6">
        <v>0</v>
      </c>
      <c r="I87" s="6">
        <v>0</v>
      </c>
      <c r="J87" s="6">
        <v>3260</v>
      </c>
      <c r="K87" s="6">
        <f t="shared" si="4"/>
        <v>3260</v>
      </c>
      <c r="L87" s="6">
        <v>11155</v>
      </c>
      <c r="M87" s="6">
        <v>11788.333333333299</v>
      </c>
      <c r="N87" s="6">
        <v>24</v>
      </c>
      <c r="O87" s="8">
        <f t="shared" si="5"/>
        <v>86.785276073619386</v>
      </c>
      <c r="Q87" s="10">
        <v>2297</v>
      </c>
      <c r="R87" s="10">
        <f t="shared" si="6"/>
        <v>7488220</v>
      </c>
      <c r="S87" s="10">
        <f t="shared" si="7"/>
        <v>27077801.66666659</v>
      </c>
    </row>
    <row r="88" spans="1:19" x14ac:dyDescent="0.25">
      <c r="A88" s="5" t="s">
        <v>102</v>
      </c>
      <c r="B88" s="6" t="s">
        <v>17</v>
      </c>
      <c r="C88" s="6" t="s">
        <v>19</v>
      </c>
      <c r="D88" s="6">
        <v>10</v>
      </c>
      <c r="E88" s="6">
        <v>1375</v>
      </c>
      <c r="F88" s="6">
        <v>1050</v>
      </c>
      <c r="G88" s="6">
        <v>0</v>
      </c>
      <c r="H88" s="6">
        <v>0</v>
      </c>
      <c r="I88" s="6">
        <v>0</v>
      </c>
      <c r="J88" s="6">
        <v>500</v>
      </c>
      <c r="K88" s="6">
        <f t="shared" si="4"/>
        <v>500</v>
      </c>
      <c r="L88" s="6">
        <v>1925</v>
      </c>
      <c r="M88" s="6">
        <v>1658.3333333333301</v>
      </c>
      <c r="N88" s="6">
        <v>24</v>
      </c>
      <c r="O88" s="8">
        <f t="shared" si="5"/>
        <v>79.599999999999852</v>
      </c>
      <c r="Q88" s="10">
        <v>2616</v>
      </c>
      <c r="R88" s="10">
        <f t="shared" si="6"/>
        <v>1308000</v>
      </c>
      <c r="S88" s="10">
        <f t="shared" si="7"/>
        <v>4338199.9999999916</v>
      </c>
    </row>
    <row r="89" spans="1:19" x14ac:dyDescent="0.25">
      <c r="A89" s="5" t="s">
        <v>103</v>
      </c>
      <c r="B89" s="6" t="s">
        <v>16</v>
      </c>
      <c r="C89" s="6" t="s">
        <v>19</v>
      </c>
      <c r="D89" s="6">
        <v>10</v>
      </c>
      <c r="E89" s="6">
        <v>7450</v>
      </c>
      <c r="F89" s="6">
        <v>90500</v>
      </c>
      <c r="G89" s="6">
        <v>0</v>
      </c>
      <c r="H89" s="6">
        <v>0</v>
      </c>
      <c r="I89" s="6">
        <v>0</v>
      </c>
      <c r="J89" s="6">
        <v>82005</v>
      </c>
      <c r="K89" s="6">
        <f t="shared" si="4"/>
        <v>82005</v>
      </c>
      <c r="L89" s="6">
        <v>15945</v>
      </c>
      <c r="M89" s="6">
        <v>12448.2692307692</v>
      </c>
      <c r="N89" s="6">
        <v>24</v>
      </c>
      <c r="O89" s="8">
        <f t="shared" si="5"/>
        <v>3.643173727680761</v>
      </c>
      <c r="Q89" s="10">
        <v>1419</v>
      </c>
      <c r="R89" s="10">
        <f t="shared" si="6"/>
        <v>116365095</v>
      </c>
      <c r="S89" s="10">
        <f t="shared" si="7"/>
        <v>17664094.038461495</v>
      </c>
    </row>
    <row r="90" spans="1:19" x14ac:dyDescent="0.25">
      <c r="A90" s="5" t="s">
        <v>104</v>
      </c>
      <c r="B90" s="6" t="s">
        <v>17</v>
      </c>
      <c r="C90" s="6" t="s">
        <v>19</v>
      </c>
      <c r="D90" s="6">
        <v>10</v>
      </c>
      <c r="E90" s="6">
        <v>739</v>
      </c>
      <c r="F90" s="6">
        <v>1050</v>
      </c>
      <c r="G90" s="6">
        <v>0</v>
      </c>
      <c r="H90" s="6">
        <v>0</v>
      </c>
      <c r="I90" s="6">
        <v>0</v>
      </c>
      <c r="J90" s="6">
        <v>600</v>
      </c>
      <c r="K90" s="6">
        <f t="shared" si="4"/>
        <v>600</v>
      </c>
      <c r="L90" s="6">
        <v>1189</v>
      </c>
      <c r="M90" s="6">
        <v>664</v>
      </c>
      <c r="N90" s="6">
        <v>24</v>
      </c>
      <c r="O90" s="8">
        <f t="shared" si="5"/>
        <v>26.560000000000002</v>
      </c>
      <c r="Q90" s="10">
        <v>1419</v>
      </c>
      <c r="R90" s="10">
        <f t="shared" si="6"/>
        <v>851400</v>
      </c>
      <c r="S90" s="10">
        <f t="shared" si="7"/>
        <v>942216</v>
      </c>
    </row>
    <row r="91" spans="1:19" x14ac:dyDescent="0.25">
      <c r="A91" s="5" t="s">
        <v>105</v>
      </c>
      <c r="B91" s="6" t="s">
        <v>17</v>
      </c>
      <c r="C91" s="6" t="s">
        <v>19</v>
      </c>
      <c r="D91" s="6">
        <v>10</v>
      </c>
      <c r="E91" s="6">
        <v>14201</v>
      </c>
      <c r="F91" s="6">
        <v>42818</v>
      </c>
      <c r="G91" s="6">
        <v>0</v>
      </c>
      <c r="H91" s="6">
        <v>0</v>
      </c>
      <c r="I91" s="6">
        <v>6350</v>
      </c>
      <c r="J91" s="6">
        <v>39336</v>
      </c>
      <c r="K91" s="6">
        <f t="shared" si="4"/>
        <v>45686</v>
      </c>
      <c r="L91" s="6">
        <v>11333</v>
      </c>
      <c r="M91" s="6">
        <v>8154.7142857142899</v>
      </c>
      <c r="N91" s="6">
        <v>24</v>
      </c>
      <c r="O91" s="8">
        <f t="shared" si="5"/>
        <v>4.2838756480572373</v>
      </c>
      <c r="Q91" s="10">
        <v>1968</v>
      </c>
      <c r="R91" s="10">
        <f t="shared" si="6"/>
        <v>89910048</v>
      </c>
      <c r="S91" s="10">
        <f t="shared" si="7"/>
        <v>16048477.714285722</v>
      </c>
    </row>
    <row r="92" spans="1:19" x14ac:dyDescent="0.25">
      <c r="A92" s="5" t="s">
        <v>108</v>
      </c>
      <c r="B92" s="6" t="s">
        <v>17</v>
      </c>
      <c r="C92" s="6" t="s">
        <v>19</v>
      </c>
      <c r="D92" s="6">
        <v>10</v>
      </c>
      <c r="E92" s="6">
        <v>12355</v>
      </c>
      <c r="F92" s="6">
        <v>16785</v>
      </c>
      <c r="G92" s="6">
        <v>0</v>
      </c>
      <c r="H92" s="6">
        <v>0</v>
      </c>
      <c r="I92" s="6">
        <v>15535</v>
      </c>
      <c r="J92" s="6">
        <v>0</v>
      </c>
      <c r="K92" s="6">
        <f t="shared" si="4"/>
        <v>15535</v>
      </c>
      <c r="L92" s="6">
        <v>13605</v>
      </c>
      <c r="M92" s="6">
        <v>12723.6363636364</v>
      </c>
      <c r="N92" s="6">
        <v>24</v>
      </c>
      <c r="O92" s="8">
        <f t="shared" si="5"/>
        <v>19.65672820902952</v>
      </c>
      <c r="Q92" s="10">
        <v>1968</v>
      </c>
      <c r="R92" s="10">
        <f t="shared" si="6"/>
        <v>30572880</v>
      </c>
      <c r="S92" s="10">
        <f t="shared" si="7"/>
        <v>25040116.363636434</v>
      </c>
    </row>
    <row r="93" spans="1:19" x14ac:dyDescent="0.25">
      <c r="A93" s="5" t="s">
        <v>2</v>
      </c>
      <c r="B93" s="6" t="s">
        <v>17</v>
      </c>
      <c r="C93" s="6" t="s">
        <v>19</v>
      </c>
      <c r="D93" s="6">
        <v>10</v>
      </c>
      <c r="E93" s="6">
        <v>11240</v>
      </c>
      <c r="F93" s="6">
        <v>12732</v>
      </c>
      <c r="G93" s="6">
        <v>0</v>
      </c>
      <c r="H93" s="6">
        <v>0</v>
      </c>
      <c r="I93" s="6">
        <v>16644</v>
      </c>
      <c r="J93" s="6">
        <v>0</v>
      </c>
      <c r="K93" s="6">
        <f t="shared" si="4"/>
        <v>16644</v>
      </c>
      <c r="L93" s="6">
        <v>7328</v>
      </c>
      <c r="M93" s="6">
        <v>9210.6363636363603</v>
      </c>
      <c r="N93" s="6">
        <v>24</v>
      </c>
      <c r="O93" s="8">
        <f t="shared" si="5"/>
        <v>13.281379039129575</v>
      </c>
      <c r="Q93" s="10">
        <v>2157</v>
      </c>
      <c r="R93" s="10">
        <f t="shared" si="6"/>
        <v>35901108</v>
      </c>
      <c r="S93" s="10">
        <f t="shared" si="7"/>
        <v>19867342.636363629</v>
      </c>
    </row>
    <row r="94" spans="1:19" x14ac:dyDescent="0.25">
      <c r="A94" s="5" t="s">
        <v>110</v>
      </c>
      <c r="B94" s="6" t="s">
        <v>17</v>
      </c>
      <c r="C94" s="6" t="s">
        <v>19</v>
      </c>
      <c r="D94" s="6">
        <v>10</v>
      </c>
      <c r="E94" s="6">
        <v>4264</v>
      </c>
      <c r="F94" s="6">
        <v>14586</v>
      </c>
      <c r="G94" s="6">
        <v>0</v>
      </c>
      <c r="H94" s="6">
        <v>0</v>
      </c>
      <c r="I94" s="6">
        <v>0</v>
      </c>
      <c r="J94" s="6">
        <v>10910</v>
      </c>
      <c r="K94" s="6">
        <f t="shared" si="4"/>
        <v>10910</v>
      </c>
      <c r="L94" s="6">
        <v>7940</v>
      </c>
      <c r="M94" s="6">
        <v>3704.3</v>
      </c>
      <c r="N94" s="6">
        <v>24</v>
      </c>
      <c r="O94" s="8">
        <f t="shared" si="5"/>
        <v>8.1487809349220903</v>
      </c>
      <c r="Q94" s="10">
        <v>2031</v>
      </c>
      <c r="R94" s="10">
        <f t="shared" si="6"/>
        <v>22158210</v>
      </c>
      <c r="S94" s="10">
        <f t="shared" si="7"/>
        <v>7523433.3000000007</v>
      </c>
    </row>
    <row r="95" spans="1:19" x14ac:dyDescent="0.25">
      <c r="A95" s="5" t="s">
        <v>111</v>
      </c>
      <c r="B95" s="6" t="s">
        <v>17</v>
      </c>
      <c r="C95" s="6" t="s">
        <v>19</v>
      </c>
      <c r="D95" s="6">
        <v>10</v>
      </c>
      <c r="E95" s="6">
        <v>6990</v>
      </c>
      <c r="F95" s="6">
        <v>16350</v>
      </c>
      <c r="G95" s="6">
        <v>0</v>
      </c>
      <c r="H95" s="6">
        <v>0</v>
      </c>
      <c r="I95" s="6">
        <v>0</v>
      </c>
      <c r="J95" s="6">
        <v>9744</v>
      </c>
      <c r="K95" s="6">
        <f t="shared" si="4"/>
        <v>9744</v>
      </c>
      <c r="L95" s="6">
        <v>13596</v>
      </c>
      <c r="M95" s="6">
        <v>6981.7</v>
      </c>
      <c r="N95" s="6">
        <v>24</v>
      </c>
      <c r="O95" s="8">
        <f t="shared" si="5"/>
        <v>17.196305418719213</v>
      </c>
      <c r="Q95" s="10">
        <v>2031</v>
      </c>
      <c r="R95" s="10">
        <f t="shared" si="6"/>
        <v>19790064</v>
      </c>
      <c r="S95" s="10">
        <f t="shared" si="7"/>
        <v>14179832.699999999</v>
      </c>
    </row>
    <row r="96" spans="1:19" x14ac:dyDescent="0.25">
      <c r="A96" s="5" t="s">
        <v>112</v>
      </c>
      <c r="B96" s="6" t="s">
        <v>17</v>
      </c>
      <c r="C96" s="6" t="s">
        <v>19</v>
      </c>
      <c r="D96" s="6">
        <v>10</v>
      </c>
      <c r="E96" s="6">
        <v>575</v>
      </c>
      <c r="F96" s="6">
        <v>2075</v>
      </c>
      <c r="G96" s="6">
        <v>0</v>
      </c>
      <c r="H96" s="6">
        <v>0</v>
      </c>
      <c r="I96" s="6">
        <v>0</v>
      </c>
      <c r="J96" s="6">
        <v>1600</v>
      </c>
      <c r="K96" s="6">
        <f t="shared" si="4"/>
        <v>1600</v>
      </c>
      <c r="L96" s="6">
        <v>1050</v>
      </c>
      <c r="M96" s="6">
        <v>518.75</v>
      </c>
      <c r="N96" s="6">
        <v>24</v>
      </c>
      <c r="O96" s="8">
        <f t="shared" si="5"/>
        <v>7.78125</v>
      </c>
      <c r="Q96" s="10">
        <v>2642</v>
      </c>
      <c r="R96" s="10">
        <f t="shared" si="6"/>
        <v>4227200</v>
      </c>
      <c r="S96" s="10">
        <f t="shared" si="7"/>
        <v>1370537.5</v>
      </c>
    </row>
    <row r="97" spans="1:19" x14ac:dyDescent="0.25">
      <c r="A97" s="5" t="s">
        <v>113</v>
      </c>
      <c r="B97" s="6" t="s">
        <v>17</v>
      </c>
      <c r="C97" s="6" t="s">
        <v>19</v>
      </c>
      <c r="D97" s="6">
        <v>10</v>
      </c>
      <c r="E97" s="6">
        <v>2600</v>
      </c>
      <c r="F97" s="6">
        <v>1575</v>
      </c>
      <c r="G97" s="6">
        <v>0</v>
      </c>
      <c r="H97" s="6">
        <v>0</v>
      </c>
      <c r="I97" s="6">
        <v>0</v>
      </c>
      <c r="J97" s="6">
        <v>2925</v>
      </c>
      <c r="K97" s="6">
        <f t="shared" si="4"/>
        <v>2925</v>
      </c>
      <c r="L97" s="6">
        <v>1250</v>
      </c>
      <c r="M97" s="6">
        <v>2675</v>
      </c>
      <c r="N97" s="6">
        <v>24</v>
      </c>
      <c r="O97" s="8">
        <f t="shared" si="5"/>
        <v>21.948717948717949</v>
      </c>
      <c r="Q97" s="10">
        <v>2642</v>
      </c>
      <c r="R97" s="10">
        <f t="shared" si="6"/>
        <v>7727850</v>
      </c>
      <c r="S97" s="10">
        <f t="shared" si="7"/>
        <v>7067350</v>
      </c>
    </row>
    <row r="98" spans="1:19" x14ac:dyDescent="0.25">
      <c r="A98" s="5" t="s">
        <v>114</v>
      </c>
      <c r="B98" s="6" t="s">
        <v>17</v>
      </c>
      <c r="C98" s="6" t="s">
        <v>19</v>
      </c>
      <c r="D98" s="6">
        <v>10</v>
      </c>
      <c r="E98" s="6">
        <v>625</v>
      </c>
      <c r="F98" s="6">
        <v>0</v>
      </c>
      <c r="G98" s="6">
        <v>0</v>
      </c>
      <c r="H98" s="6">
        <v>0</v>
      </c>
      <c r="I98" s="6">
        <v>0</v>
      </c>
      <c r="J98" s="6">
        <v>175</v>
      </c>
      <c r="K98" s="6">
        <f t="shared" si="4"/>
        <v>175</v>
      </c>
      <c r="L98" s="6">
        <v>450</v>
      </c>
      <c r="M98" s="6">
        <v>450</v>
      </c>
      <c r="N98" s="6">
        <v>24</v>
      </c>
      <c r="O98" s="8">
        <f t="shared" si="5"/>
        <v>61.714285714285722</v>
      </c>
      <c r="Q98" s="10">
        <v>2488</v>
      </c>
      <c r="R98" s="10">
        <f t="shared" si="6"/>
        <v>435400</v>
      </c>
      <c r="S98" s="10">
        <f t="shared" si="7"/>
        <v>1119600</v>
      </c>
    </row>
    <row r="99" spans="1:19" x14ac:dyDescent="0.25">
      <c r="A99" s="5" t="s">
        <v>115</v>
      </c>
      <c r="B99" s="6" t="s">
        <v>17</v>
      </c>
      <c r="C99" s="6" t="s">
        <v>19</v>
      </c>
      <c r="D99" s="6">
        <v>10</v>
      </c>
      <c r="E99" s="6">
        <v>0</v>
      </c>
      <c r="F99" s="6">
        <v>7050</v>
      </c>
      <c r="G99" s="6">
        <v>0</v>
      </c>
      <c r="H99" s="6">
        <v>0</v>
      </c>
      <c r="I99" s="6">
        <v>0</v>
      </c>
      <c r="J99" s="6">
        <v>2650</v>
      </c>
      <c r="K99" s="6">
        <f t="shared" si="4"/>
        <v>2650</v>
      </c>
      <c r="L99" s="6">
        <v>4400</v>
      </c>
      <c r="M99" s="6">
        <v>1796.42857142857</v>
      </c>
      <c r="N99" s="6">
        <v>24</v>
      </c>
      <c r="O99" s="8">
        <f t="shared" si="5"/>
        <v>16.269541778975729</v>
      </c>
      <c r="Q99" s="10">
        <v>2431</v>
      </c>
      <c r="R99" s="10">
        <f t="shared" si="6"/>
        <v>6442150</v>
      </c>
      <c r="S99" s="10">
        <f t="shared" si="7"/>
        <v>4367117.8571428536</v>
      </c>
    </row>
    <row r="100" spans="1:19" x14ac:dyDescent="0.25">
      <c r="A100" s="5" t="s">
        <v>116</v>
      </c>
      <c r="B100" s="6" t="s">
        <v>17</v>
      </c>
      <c r="C100" s="6" t="s">
        <v>19</v>
      </c>
      <c r="D100" s="6">
        <v>10</v>
      </c>
      <c r="E100" s="6">
        <v>6180</v>
      </c>
      <c r="F100" s="6">
        <v>1500</v>
      </c>
      <c r="G100" s="6">
        <v>0</v>
      </c>
      <c r="H100" s="6">
        <v>0</v>
      </c>
      <c r="I100" s="6">
        <v>0</v>
      </c>
      <c r="J100" s="6">
        <v>4370</v>
      </c>
      <c r="K100" s="6">
        <f t="shared" si="4"/>
        <v>4370</v>
      </c>
      <c r="L100" s="6">
        <v>3310</v>
      </c>
      <c r="M100" s="6">
        <v>4356.1666666666697</v>
      </c>
      <c r="N100" s="6">
        <v>24</v>
      </c>
      <c r="O100" s="8">
        <f t="shared" si="5"/>
        <v>23.92402745995425</v>
      </c>
      <c r="Q100" s="10">
        <v>4592</v>
      </c>
      <c r="R100" s="10">
        <f t="shared" si="6"/>
        <v>20067040</v>
      </c>
      <c r="S100" s="10">
        <f t="shared" si="7"/>
        <v>20003517.333333347</v>
      </c>
    </row>
    <row r="101" spans="1:19" x14ac:dyDescent="0.25">
      <c r="A101" s="5" t="s">
        <v>117</v>
      </c>
      <c r="B101" s="6" t="s">
        <v>17</v>
      </c>
      <c r="C101" s="6" t="s">
        <v>19</v>
      </c>
      <c r="D101" s="6">
        <v>10</v>
      </c>
      <c r="E101" s="6">
        <v>3075</v>
      </c>
      <c r="F101" s="6">
        <v>1000</v>
      </c>
      <c r="G101" s="6">
        <v>0</v>
      </c>
      <c r="H101" s="6">
        <v>0</v>
      </c>
      <c r="I101" s="6">
        <v>0</v>
      </c>
      <c r="J101" s="6">
        <v>1475</v>
      </c>
      <c r="K101" s="6">
        <f t="shared" si="4"/>
        <v>1475</v>
      </c>
      <c r="L101" s="6">
        <v>2600</v>
      </c>
      <c r="M101" s="6">
        <v>2525</v>
      </c>
      <c r="N101" s="6">
        <v>24</v>
      </c>
      <c r="O101" s="8">
        <f t="shared" si="5"/>
        <v>41.084745762711869</v>
      </c>
      <c r="Q101" s="10">
        <v>2297</v>
      </c>
      <c r="R101" s="10">
        <f t="shared" si="6"/>
        <v>3388075</v>
      </c>
      <c r="S101" s="10">
        <f t="shared" si="7"/>
        <v>5799925</v>
      </c>
    </row>
    <row r="102" spans="1:19" x14ac:dyDescent="0.25">
      <c r="A102" s="5" t="s">
        <v>118</v>
      </c>
      <c r="B102" s="6" t="s">
        <v>17</v>
      </c>
      <c r="C102" s="6" t="s">
        <v>19</v>
      </c>
      <c r="D102" s="6">
        <v>10</v>
      </c>
      <c r="E102" s="6">
        <v>1100</v>
      </c>
      <c r="F102" s="6">
        <v>1500</v>
      </c>
      <c r="G102" s="6">
        <v>0</v>
      </c>
      <c r="H102" s="6">
        <v>0</v>
      </c>
      <c r="I102" s="6">
        <v>0</v>
      </c>
      <c r="J102" s="6">
        <v>575</v>
      </c>
      <c r="K102" s="6">
        <f t="shared" si="4"/>
        <v>575</v>
      </c>
      <c r="L102" s="6">
        <v>2025</v>
      </c>
      <c r="M102" s="6">
        <v>1275</v>
      </c>
      <c r="N102" s="6">
        <v>24</v>
      </c>
      <c r="O102" s="8">
        <f t="shared" si="5"/>
        <v>53.217391304347828</v>
      </c>
      <c r="Q102" s="10">
        <v>2616</v>
      </c>
      <c r="R102" s="10">
        <f t="shared" si="6"/>
        <v>1504200</v>
      </c>
      <c r="S102" s="10">
        <f t="shared" si="7"/>
        <v>3335400</v>
      </c>
    </row>
    <row r="103" spans="1:19" x14ac:dyDescent="0.25">
      <c r="A103" s="5" t="s">
        <v>119</v>
      </c>
      <c r="B103" s="6" t="s">
        <v>17</v>
      </c>
      <c r="C103" s="6" t="s">
        <v>19</v>
      </c>
      <c r="D103" s="6">
        <v>10</v>
      </c>
      <c r="E103" s="6">
        <v>8259</v>
      </c>
      <c r="F103" s="6">
        <v>10219</v>
      </c>
      <c r="G103" s="6">
        <v>0</v>
      </c>
      <c r="H103" s="6">
        <v>0</v>
      </c>
      <c r="I103" s="6">
        <v>0</v>
      </c>
      <c r="J103" s="6">
        <v>14249</v>
      </c>
      <c r="K103" s="6">
        <f t="shared" si="4"/>
        <v>14249</v>
      </c>
      <c r="L103" s="6">
        <v>4229</v>
      </c>
      <c r="M103" s="6">
        <v>7405.8571428571404</v>
      </c>
      <c r="N103" s="6">
        <v>24</v>
      </c>
      <c r="O103" s="8">
        <f t="shared" si="5"/>
        <v>12.473897917648351</v>
      </c>
      <c r="Q103" s="10">
        <v>1419</v>
      </c>
      <c r="R103" s="10">
        <f t="shared" si="6"/>
        <v>20219331</v>
      </c>
      <c r="S103" s="10">
        <f t="shared" si="7"/>
        <v>10508911.285714282</v>
      </c>
    </row>
    <row r="104" spans="1:19" x14ac:dyDescent="0.25">
      <c r="A104" s="5" t="s">
        <v>120</v>
      </c>
      <c r="B104" s="6" t="s">
        <v>17</v>
      </c>
      <c r="C104" s="6" t="s">
        <v>19</v>
      </c>
      <c r="D104" s="6">
        <v>10</v>
      </c>
      <c r="E104" s="6">
        <v>950</v>
      </c>
      <c r="F104" s="6">
        <v>1035</v>
      </c>
      <c r="G104" s="6">
        <v>0</v>
      </c>
      <c r="H104" s="6">
        <v>0</v>
      </c>
      <c r="I104" s="6">
        <v>0</v>
      </c>
      <c r="J104" s="6">
        <v>425</v>
      </c>
      <c r="K104" s="6">
        <f t="shared" si="4"/>
        <v>425</v>
      </c>
      <c r="L104" s="6">
        <v>1560</v>
      </c>
      <c r="M104" s="6">
        <v>1578</v>
      </c>
      <c r="N104" s="6">
        <v>24</v>
      </c>
      <c r="O104" s="8">
        <f t="shared" si="5"/>
        <v>89.110588235294117</v>
      </c>
      <c r="Q104" s="10">
        <v>2616</v>
      </c>
      <c r="R104" s="10">
        <f t="shared" si="6"/>
        <v>1111800</v>
      </c>
      <c r="S104" s="10">
        <f t="shared" si="7"/>
        <v>4128048</v>
      </c>
    </row>
    <row r="105" spans="1:19" x14ac:dyDescent="0.25">
      <c r="A105" s="5" t="s">
        <v>121</v>
      </c>
      <c r="B105" s="6" t="s">
        <v>17</v>
      </c>
      <c r="C105" s="6" t="s">
        <v>19</v>
      </c>
      <c r="D105" s="6">
        <v>10</v>
      </c>
      <c r="E105" s="6">
        <v>5770</v>
      </c>
      <c r="F105" s="6">
        <v>9050</v>
      </c>
      <c r="G105" s="6">
        <v>0</v>
      </c>
      <c r="H105" s="6">
        <v>0</v>
      </c>
      <c r="I105" s="6">
        <v>7256</v>
      </c>
      <c r="J105" s="6">
        <v>0</v>
      </c>
      <c r="K105" s="6">
        <f t="shared" si="4"/>
        <v>7256</v>
      </c>
      <c r="L105" s="6">
        <v>7564</v>
      </c>
      <c r="M105" s="6">
        <v>10894.142857142899</v>
      </c>
      <c r="N105" s="6">
        <v>24</v>
      </c>
      <c r="O105" s="8">
        <f t="shared" si="5"/>
        <v>36.033548590329318</v>
      </c>
      <c r="Q105" s="10">
        <v>2246</v>
      </c>
      <c r="R105" s="10">
        <f t="shared" si="6"/>
        <v>16296976</v>
      </c>
      <c r="S105" s="10">
        <f t="shared" si="7"/>
        <v>24468244.857142951</v>
      </c>
    </row>
    <row r="106" spans="1:19" x14ac:dyDescent="0.25">
      <c r="A106" s="5" t="s">
        <v>122</v>
      </c>
      <c r="B106" s="6" t="s">
        <v>17</v>
      </c>
      <c r="C106" s="6" t="s">
        <v>19</v>
      </c>
      <c r="D106" s="6">
        <v>10</v>
      </c>
      <c r="E106" s="6">
        <v>5691</v>
      </c>
      <c r="F106" s="6">
        <v>7098</v>
      </c>
      <c r="G106" s="6">
        <v>0</v>
      </c>
      <c r="H106" s="6">
        <v>0</v>
      </c>
      <c r="I106" s="6">
        <v>7700</v>
      </c>
      <c r="J106" s="6">
        <v>0</v>
      </c>
      <c r="K106" s="6">
        <f t="shared" si="4"/>
        <v>7700</v>
      </c>
      <c r="L106" s="6">
        <v>5089</v>
      </c>
      <c r="M106" s="6">
        <v>6858.5</v>
      </c>
      <c r="N106" s="6">
        <v>24</v>
      </c>
      <c r="O106" s="8">
        <f t="shared" si="5"/>
        <v>21.377142857142857</v>
      </c>
      <c r="Q106" s="10">
        <v>2355</v>
      </c>
      <c r="R106" s="10">
        <f t="shared" si="6"/>
        <v>18133500</v>
      </c>
      <c r="S106" s="10">
        <f t="shared" si="7"/>
        <v>16151767.5</v>
      </c>
    </row>
    <row r="107" spans="1:19" x14ac:dyDescent="0.25">
      <c r="A107" s="5" t="s">
        <v>123</v>
      </c>
      <c r="B107" s="6" t="s">
        <v>17</v>
      </c>
      <c r="C107" s="6" t="s">
        <v>19</v>
      </c>
      <c r="D107" s="6">
        <v>10</v>
      </c>
      <c r="E107" s="6">
        <v>1275</v>
      </c>
      <c r="F107" s="6">
        <v>16448</v>
      </c>
      <c r="G107" s="6">
        <v>0</v>
      </c>
      <c r="H107" s="6">
        <v>0</v>
      </c>
      <c r="I107" s="6">
        <v>0</v>
      </c>
      <c r="J107" s="6">
        <v>6282</v>
      </c>
      <c r="K107" s="6">
        <f t="shared" si="4"/>
        <v>6282</v>
      </c>
      <c r="L107" s="6">
        <v>11441</v>
      </c>
      <c r="M107" s="6">
        <v>6194.375</v>
      </c>
      <c r="N107" s="6">
        <v>24</v>
      </c>
      <c r="O107" s="8">
        <f t="shared" si="5"/>
        <v>23.665234001910221</v>
      </c>
      <c r="Q107" s="10">
        <v>2031</v>
      </c>
      <c r="R107" s="10">
        <f t="shared" si="6"/>
        <v>12758742</v>
      </c>
      <c r="S107" s="10">
        <f t="shared" si="7"/>
        <v>12580775.625</v>
      </c>
    </row>
    <row r="108" spans="1:19" x14ac:dyDescent="0.25">
      <c r="A108" s="5" t="s">
        <v>124</v>
      </c>
      <c r="B108" s="6" t="s">
        <v>17</v>
      </c>
      <c r="C108" s="6" t="s">
        <v>19</v>
      </c>
      <c r="D108" s="6">
        <v>10</v>
      </c>
      <c r="E108" s="6">
        <v>2325</v>
      </c>
      <c r="F108" s="6">
        <v>5000</v>
      </c>
      <c r="G108" s="6">
        <v>0</v>
      </c>
      <c r="H108" s="6">
        <v>0</v>
      </c>
      <c r="I108" s="6">
        <v>5400</v>
      </c>
      <c r="J108" s="6">
        <v>0</v>
      </c>
      <c r="K108" s="6">
        <f t="shared" si="4"/>
        <v>5400</v>
      </c>
      <c r="L108" s="6">
        <v>1925</v>
      </c>
      <c r="M108" s="6">
        <v>3553.5714285714303</v>
      </c>
      <c r="N108" s="6">
        <v>24</v>
      </c>
      <c r="O108" s="8">
        <f t="shared" si="5"/>
        <v>15.793650793650801</v>
      </c>
      <c r="Q108" s="10">
        <v>2108</v>
      </c>
      <c r="R108" s="10">
        <f t="shared" si="6"/>
        <v>11383200</v>
      </c>
      <c r="S108" s="10">
        <f t="shared" si="7"/>
        <v>7490928.5714285746</v>
      </c>
    </row>
    <row r="109" spans="1:19" x14ac:dyDescent="0.25">
      <c r="A109" s="5" t="s">
        <v>125</v>
      </c>
      <c r="B109" s="6" t="s">
        <v>17</v>
      </c>
      <c r="C109" s="6" t="s">
        <v>19</v>
      </c>
      <c r="D109" s="6">
        <v>10</v>
      </c>
      <c r="E109" s="6">
        <v>1500</v>
      </c>
      <c r="F109" s="6">
        <v>2000</v>
      </c>
      <c r="G109" s="6">
        <v>0</v>
      </c>
      <c r="H109" s="6">
        <v>0</v>
      </c>
      <c r="I109" s="6">
        <v>2400</v>
      </c>
      <c r="J109" s="6">
        <v>0</v>
      </c>
      <c r="K109" s="6">
        <f t="shared" si="4"/>
        <v>2400</v>
      </c>
      <c r="L109" s="6">
        <v>1100</v>
      </c>
      <c r="M109" s="6">
        <v>1140</v>
      </c>
      <c r="N109" s="6">
        <v>24</v>
      </c>
      <c r="O109" s="8">
        <f t="shared" si="5"/>
        <v>11.399999999999999</v>
      </c>
      <c r="Q109" s="10">
        <v>2173</v>
      </c>
      <c r="R109" s="10">
        <f t="shared" si="6"/>
        <v>5215200</v>
      </c>
      <c r="S109" s="10">
        <f t="shared" si="7"/>
        <v>2477220</v>
      </c>
    </row>
    <row r="110" spans="1:19" x14ac:dyDescent="0.25">
      <c r="A110" s="5" t="s">
        <v>127</v>
      </c>
      <c r="B110" s="6" t="s">
        <v>17</v>
      </c>
      <c r="C110" s="6" t="s">
        <v>19</v>
      </c>
      <c r="D110" s="6">
        <v>10</v>
      </c>
      <c r="E110" s="6">
        <v>175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f t="shared" si="4"/>
        <v>0</v>
      </c>
      <c r="L110" s="6">
        <v>175</v>
      </c>
      <c r="M110" s="6">
        <v>0</v>
      </c>
      <c r="N110" s="6">
        <v>24</v>
      </c>
      <c r="O110" s="8">
        <v>0</v>
      </c>
      <c r="Q110" s="10">
        <v>1993</v>
      </c>
      <c r="R110" s="10">
        <f t="shared" si="6"/>
        <v>0</v>
      </c>
      <c r="S110" s="10">
        <f t="shared" si="7"/>
        <v>0</v>
      </c>
    </row>
    <row r="111" spans="1:19" x14ac:dyDescent="0.25">
      <c r="A111" s="5" t="s">
        <v>128</v>
      </c>
      <c r="B111" s="6" t="s">
        <v>17</v>
      </c>
      <c r="C111" s="6" t="s">
        <v>19</v>
      </c>
      <c r="D111" s="6">
        <v>10</v>
      </c>
      <c r="E111" s="6">
        <v>505</v>
      </c>
      <c r="F111" s="6">
        <v>0</v>
      </c>
      <c r="G111" s="6">
        <v>0</v>
      </c>
      <c r="H111" s="6">
        <v>0</v>
      </c>
      <c r="I111" s="6">
        <v>0</v>
      </c>
      <c r="J111" s="6">
        <v>445</v>
      </c>
      <c r="K111" s="6">
        <f t="shared" si="4"/>
        <v>445</v>
      </c>
      <c r="L111" s="6">
        <v>60</v>
      </c>
      <c r="M111" s="6">
        <v>60</v>
      </c>
      <c r="N111" s="6">
        <v>24</v>
      </c>
      <c r="O111" s="8">
        <f t="shared" si="5"/>
        <v>3.2359550561797752</v>
      </c>
      <c r="Q111" s="10">
        <v>2205</v>
      </c>
      <c r="R111" s="10">
        <f t="shared" si="6"/>
        <v>981225</v>
      </c>
      <c r="S111" s="10">
        <f t="shared" si="7"/>
        <v>132300</v>
      </c>
    </row>
    <row r="112" spans="1:19" x14ac:dyDescent="0.25">
      <c r="A112" s="5" t="s">
        <v>129</v>
      </c>
      <c r="B112" s="6" t="s">
        <v>17</v>
      </c>
      <c r="C112" s="6" t="s">
        <v>19</v>
      </c>
      <c r="D112" s="6">
        <v>10</v>
      </c>
      <c r="E112" s="6">
        <v>1575</v>
      </c>
      <c r="F112" s="6">
        <v>9813</v>
      </c>
      <c r="G112" s="6">
        <v>0</v>
      </c>
      <c r="H112" s="6">
        <v>0</v>
      </c>
      <c r="I112" s="6">
        <v>7813</v>
      </c>
      <c r="J112" s="6">
        <v>0</v>
      </c>
      <c r="K112" s="6">
        <f t="shared" si="4"/>
        <v>7813</v>
      </c>
      <c r="L112" s="6">
        <v>3575</v>
      </c>
      <c r="M112" s="6">
        <v>2160.5</v>
      </c>
      <c r="N112" s="6">
        <v>24</v>
      </c>
      <c r="O112" s="8">
        <f t="shared" si="5"/>
        <v>6.6366312555996423</v>
      </c>
      <c r="Q112" s="10">
        <v>2503</v>
      </c>
      <c r="R112" s="10">
        <f t="shared" si="6"/>
        <v>19555939</v>
      </c>
      <c r="S112" s="10">
        <f t="shared" si="7"/>
        <v>5407731.5</v>
      </c>
    </row>
    <row r="113" spans="1:19" x14ac:dyDescent="0.25">
      <c r="A113" s="5" t="s">
        <v>130</v>
      </c>
      <c r="B113" s="6" t="s">
        <v>17</v>
      </c>
      <c r="C113" s="6" t="s">
        <v>19</v>
      </c>
      <c r="D113" s="6">
        <v>10</v>
      </c>
      <c r="E113" s="6">
        <v>7150</v>
      </c>
      <c r="F113" s="6">
        <v>0</v>
      </c>
      <c r="G113" s="6">
        <v>0</v>
      </c>
      <c r="H113" s="6">
        <v>0</v>
      </c>
      <c r="I113" s="6">
        <v>4000</v>
      </c>
      <c r="J113" s="6">
        <v>0</v>
      </c>
      <c r="K113" s="6">
        <f t="shared" si="4"/>
        <v>4000</v>
      </c>
      <c r="L113" s="6">
        <v>3150</v>
      </c>
      <c r="M113" s="6">
        <v>3775</v>
      </c>
      <c r="N113" s="6">
        <v>24</v>
      </c>
      <c r="O113" s="8">
        <f t="shared" si="5"/>
        <v>22.65</v>
      </c>
      <c r="Q113" s="10">
        <v>2355</v>
      </c>
      <c r="R113" s="10">
        <f t="shared" si="6"/>
        <v>9420000</v>
      </c>
      <c r="S113" s="10">
        <f t="shared" si="7"/>
        <v>8890125</v>
      </c>
    </row>
    <row r="114" spans="1:19" x14ac:dyDescent="0.25">
      <c r="A114" s="5" t="s">
        <v>131</v>
      </c>
      <c r="B114" s="6" t="s">
        <v>17</v>
      </c>
      <c r="C114" s="6" t="s">
        <v>19</v>
      </c>
      <c r="D114" s="6">
        <v>10</v>
      </c>
      <c r="E114" s="6">
        <v>1045</v>
      </c>
      <c r="F114" s="6">
        <v>3110</v>
      </c>
      <c r="G114" s="6">
        <v>0</v>
      </c>
      <c r="H114" s="6">
        <v>0</v>
      </c>
      <c r="I114" s="6">
        <v>2101</v>
      </c>
      <c r="J114" s="6">
        <v>0</v>
      </c>
      <c r="K114" s="6">
        <f t="shared" si="4"/>
        <v>2101</v>
      </c>
      <c r="L114" s="6">
        <v>2054</v>
      </c>
      <c r="M114" s="6">
        <v>792.5</v>
      </c>
      <c r="N114" s="6">
        <v>24</v>
      </c>
      <c r="O114" s="8">
        <f t="shared" si="5"/>
        <v>9.0528319847691581</v>
      </c>
      <c r="Q114" s="10">
        <v>2216</v>
      </c>
      <c r="R114" s="10">
        <f t="shared" si="6"/>
        <v>4655816</v>
      </c>
      <c r="S114" s="10">
        <f t="shared" si="7"/>
        <v>1756180</v>
      </c>
    </row>
    <row r="115" spans="1:19" x14ac:dyDescent="0.25">
      <c r="A115" s="5" t="s">
        <v>132</v>
      </c>
      <c r="B115" s="6" t="s">
        <v>17</v>
      </c>
      <c r="C115" s="6" t="s">
        <v>19</v>
      </c>
      <c r="D115" s="6">
        <v>10</v>
      </c>
      <c r="E115" s="6">
        <v>2750</v>
      </c>
      <c r="F115" s="6">
        <v>2100</v>
      </c>
      <c r="G115" s="6">
        <v>0</v>
      </c>
      <c r="H115" s="6">
        <v>0</v>
      </c>
      <c r="I115" s="6">
        <v>1575</v>
      </c>
      <c r="J115" s="6">
        <v>0</v>
      </c>
      <c r="K115" s="6">
        <f t="shared" si="4"/>
        <v>1575</v>
      </c>
      <c r="L115" s="6">
        <v>3275</v>
      </c>
      <c r="M115" s="6">
        <v>4062.5</v>
      </c>
      <c r="N115" s="6">
        <v>24</v>
      </c>
      <c r="O115" s="8">
        <f t="shared" si="5"/>
        <v>61.904761904761912</v>
      </c>
      <c r="Q115" s="10">
        <v>1968</v>
      </c>
      <c r="R115" s="10">
        <f t="shared" si="6"/>
        <v>3099600</v>
      </c>
      <c r="S115" s="10">
        <f t="shared" si="7"/>
        <v>7995000</v>
      </c>
    </row>
    <row r="116" spans="1:19" x14ac:dyDescent="0.25">
      <c r="A116" s="5" t="s">
        <v>3</v>
      </c>
      <c r="B116" s="6" t="s">
        <v>17</v>
      </c>
      <c r="C116" s="6" t="s">
        <v>19</v>
      </c>
      <c r="D116" s="6">
        <v>10</v>
      </c>
      <c r="E116" s="6">
        <v>1250</v>
      </c>
      <c r="F116" s="6">
        <v>6000</v>
      </c>
      <c r="G116" s="6">
        <v>0</v>
      </c>
      <c r="H116" s="6">
        <v>0</v>
      </c>
      <c r="I116" s="6">
        <v>0</v>
      </c>
      <c r="J116" s="6">
        <v>1700</v>
      </c>
      <c r="K116" s="6">
        <f t="shared" si="4"/>
        <v>1700</v>
      </c>
      <c r="L116" s="6">
        <v>5550</v>
      </c>
      <c r="M116" s="6">
        <v>4166.6666666666697</v>
      </c>
      <c r="N116" s="6">
        <v>24</v>
      </c>
      <c r="O116" s="8">
        <f t="shared" si="5"/>
        <v>58.823529411764753</v>
      </c>
      <c r="Q116" s="10">
        <v>2297</v>
      </c>
      <c r="R116" s="10">
        <f t="shared" si="6"/>
        <v>3904900</v>
      </c>
      <c r="S116" s="10">
        <f t="shared" si="7"/>
        <v>9570833.3333333395</v>
      </c>
    </row>
    <row r="117" spans="1:19" x14ac:dyDescent="0.25">
      <c r="A117" s="5" t="s">
        <v>4</v>
      </c>
      <c r="B117" s="6" t="s">
        <v>17</v>
      </c>
      <c r="C117" s="6" t="s">
        <v>19</v>
      </c>
      <c r="D117" s="6">
        <v>10</v>
      </c>
      <c r="E117" s="6">
        <v>1500</v>
      </c>
      <c r="F117" s="6">
        <v>1000</v>
      </c>
      <c r="G117" s="6">
        <v>0</v>
      </c>
      <c r="H117" s="6">
        <v>0</v>
      </c>
      <c r="I117" s="6">
        <v>0</v>
      </c>
      <c r="J117" s="6">
        <v>0</v>
      </c>
      <c r="K117" s="6">
        <f t="shared" si="4"/>
        <v>0</v>
      </c>
      <c r="L117" s="6">
        <v>2500</v>
      </c>
      <c r="M117" s="6">
        <v>2000</v>
      </c>
      <c r="N117" s="6">
        <v>24</v>
      </c>
      <c r="O117" s="8">
        <v>0</v>
      </c>
      <c r="Q117" s="10">
        <v>2616</v>
      </c>
      <c r="R117" s="10">
        <f t="shared" si="6"/>
        <v>0</v>
      </c>
      <c r="S117" s="10">
        <f t="shared" si="7"/>
        <v>5232000</v>
      </c>
    </row>
    <row r="118" spans="1:19" x14ac:dyDescent="0.25">
      <c r="A118" s="5" t="s">
        <v>136</v>
      </c>
      <c r="B118" s="6" t="s">
        <v>17</v>
      </c>
      <c r="C118" s="6" t="s">
        <v>19</v>
      </c>
      <c r="D118" s="6">
        <v>10</v>
      </c>
      <c r="E118" s="6">
        <v>4696</v>
      </c>
      <c r="F118" s="6">
        <v>0</v>
      </c>
      <c r="G118" s="6">
        <v>0</v>
      </c>
      <c r="H118" s="6">
        <v>0</v>
      </c>
      <c r="I118" s="6">
        <v>2367</v>
      </c>
      <c r="J118" s="6">
        <v>0</v>
      </c>
      <c r="K118" s="6">
        <f t="shared" si="4"/>
        <v>2367</v>
      </c>
      <c r="L118" s="6">
        <v>2329</v>
      </c>
      <c r="M118" s="6">
        <v>2729</v>
      </c>
      <c r="N118" s="6">
        <v>24</v>
      </c>
      <c r="O118" s="8">
        <f t="shared" si="5"/>
        <v>27.670468948035492</v>
      </c>
      <c r="Q118" s="10">
        <v>2355</v>
      </c>
      <c r="R118" s="10">
        <f t="shared" si="6"/>
        <v>5574285</v>
      </c>
      <c r="S118" s="10">
        <f t="shared" si="7"/>
        <v>6426795</v>
      </c>
    </row>
    <row r="119" spans="1:19" x14ac:dyDescent="0.25">
      <c r="A119" s="5" t="s">
        <v>137</v>
      </c>
      <c r="B119" s="6" t="s">
        <v>17</v>
      </c>
      <c r="C119" s="6" t="s">
        <v>19</v>
      </c>
      <c r="D119" s="6">
        <v>10</v>
      </c>
      <c r="E119" s="6">
        <v>900</v>
      </c>
      <c r="F119" s="6">
        <v>1000</v>
      </c>
      <c r="G119" s="6">
        <v>0</v>
      </c>
      <c r="H119" s="6">
        <v>0</v>
      </c>
      <c r="I119" s="6">
        <v>0</v>
      </c>
      <c r="J119" s="6">
        <v>0</v>
      </c>
      <c r="K119" s="6">
        <f t="shared" si="4"/>
        <v>0</v>
      </c>
      <c r="L119" s="6">
        <v>1900</v>
      </c>
      <c r="M119" s="6">
        <v>1900</v>
      </c>
      <c r="N119" s="6">
        <v>24</v>
      </c>
      <c r="O119" s="8">
        <v>0</v>
      </c>
      <c r="Q119" s="10">
        <v>2372</v>
      </c>
      <c r="R119" s="10">
        <f t="shared" si="6"/>
        <v>0</v>
      </c>
      <c r="S119" s="10">
        <f t="shared" si="7"/>
        <v>4506800</v>
      </c>
    </row>
    <row r="120" spans="1:19" x14ac:dyDescent="0.25">
      <c r="A120" s="5" t="s">
        <v>138</v>
      </c>
      <c r="B120" s="6" t="s">
        <v>17</v>
      </c>
      <c r="C120" s="6" t="s">
        <v>19</v>
      </c>
      <c r="D120" s="6">
        <v>10</v>
      </c>
      <c r="E120" s="6">
        <v>1000</v>
      </c>
      <c r="F120" s="6">
        <v>1000</v>
      </c>
      <c r="G120" s="6">
        <v>0</v>
      </c>
      <c r="H120" s="6">
        <v>0</v>
      </c>
      <c r="I120" s="6">
        <v>0</v>
      </c>
      <c r="J120" s="6">
        <v>0</v>
      </c>
      <c r="K120" s="6">
        <f t="shared" si="4"/>
        <v>0</v>
      </c>
      <c r="L120" s="6">
        <v>2000</v>
      </c>
      <c r="M120" s="6">
        <v>2000</v>
      </c>
      <c r="N120" s="6">
        <v>24</v>
      </c>
      <c r="O120" s="8">
        <v>0</v>
      </c>
      <c r="Q120" s="10">
        <v>3482</v>
      </c>
      <c r="R120" s="10">
        <f t="shared" si="6"/>
        <v>0</v>
      </c>
      <c r="S120" s="10">
        <f t="shared" si="7"/>
        <v>6964000</v>
      </c>
    </row>
    <row r="121" spans="1:19" x14ac:dyDescent="0.25">
      <c r="A121" s="5" t="s">
        <v>139</v>
      </c>
      <c r="B121" s="6" t="s">
        <v>17</v>
      </c>
      <c r="C121" s="6" t="s">
        <v>19</v>
      </c>
      <c r="D121" s="6">
        <v>10</v>
      </c>
      <c r="E121" s="6">
        <v>1750</v>
      </c>
      <c r="F121" s="6">
        <v>1050</v>
      </c>
      <c r="G121" s="6">
        <v>0</v>
      </c>
      <c r="H121" s="6">
        <v>0</v>
      </c>
      <c r="I121" s="6">
        <v>0</v>
      </c>
      <c r="J121" s="6">
        <v>0</v>
      </c>
      <c r="K121" s="6">
        <f t="shared" si="4"/>
        <v>0</v>
      </c>
      <c r="L121" s="6">
        <v>2800</v>
      </c>
      <c r="M121" s="6">
        <v>2800</v>
      </c>
      <c r="N121" s="6">
        <v>24</v>
      </c>
      <c r="O121" s="8">
        <v>0</v>
      </c>
      <c r="Q121" s="10">
        <v>2555</v>
      </c>
      <c r="R121" s="10">
        <f t="shared" si="6"/>
        <v>0</v>
      </c>
      <c r="S121" s="10">
        <f t="shared" si="7"/>
        <v>7154000</v>
      </c>
    </row>
    <row r="122" spans="1:19" x14ac:dyDescent="0.25">
      <c r="A122" s="5" t="s">
        <v>140</v>
      </c>
      <c r="B122" s="6" t="s">
        <v>17</v>
      </c>
      <c r="C122" s="6" t="s">
        <v>19</v>
      </c>
      <c r="D122" s="6">
        <v>10</v>
      </c>
      <c r="E122" s="6">
        <v>1625</v>
      </c>
      <c r="F122" s="6">
        <v>1014</v>
      </c>
      <c r="G122" s="6">
        <v>0</v>
      </c>
      <c r="H122" s="6">
        <v>0</v>
      </c>
      <c r="I122" s="6">
        <v>750</v>
      </c>
      <c r="J122" s="6">
        <v>0</v>
      </c>
      <c r="K122" s="6">
        <f t="shared" si="4"/>
        <v>750</v>
      </c>
      <c r="L122" s="6">
        <v>1889</v>
      </c>
      <c r="M122" s="6">
        <v>1753.4</v>
      </c>
      <c r="N122" s="6">
        <v>24</v>
      </c>
      <c r="O122" s="8">
        <f t="shared" si="5"/>
        <v>56.108800000000002</v>
      </c>
      <c r="Q122" s="10">
        <v>3665</v>
      </c>
      <c r="R122" s="10">
        <f t="shared" si="6"/>
        <v>2748750</v>
      </c>
      <c r="S122" s="10">
        <f t="shared" si="7"/>
        <v>6426211</v>
      </c>
    </row>
    <row r="123" spans="1:19" x14ac:dyDescent="0.25">
      <c r="A123" s="5" t="s">
        <v>141</v>
      </c>
      <c r="B123" s="6" t="s">
        <v>17</v>
      </c>
      <c r="C123" s="6" t="s">
        <v>19</v>
      </c>
      <c r="D123" s="6">
        <v>10</v>
      </c>
      <c r="E123" s="6">
        <v>2650</v>
      </c>
      <c r="F123" s="6">
        <v>1522</v>
      </c>
      <c r="G123" s="6">
        <v>0</v>
      </c>
      <c r="H123" s="6">
        <v>0</v>
      </c>
      <c r="I123" s="6">
        <v>2650</v>
      </c>
      <c r="J123" s="6">
        <v>0</v>
      </c>
      <c r="K123" s="6">
        <f t="shared" si="4"/>
        <v>2650</v>
      </c>
      <c r="L123" s="6">
        <v>1522</v>
      </c>
      <c r="M123" s="6">
        <v>1440.6666666666702</v>
      </c>
      <c r="N123" s="6">
        <v>24</v>
      </c>
      <c r="O123" s="8">
        <f t="shared" si="5"/>
        <v>13.047547169811352</v>
      </c>
      <c r="Q123" s="10">
        <v>1904</v>
      </c>
      <c r="R123" s="10">
        <f t="shared" si="6"/>
        <v>5045600</v>
      </c>
      <c r="S123" s="10">
        <f t="shared" si="7"/>
        <v>2743029.33333334</v>
      </c>
    </row>
    <row r="124" spans="1:19" x14ac:dyDescent="0.25">
      <c r="A124" s="5" t="s">
        <v>142</v>
      </c>
      <c r="B124" s="6" t="s">
        <v>17</v>
      </c>
      <c r="C124" s="6" t="s">
        <v>19</v>
      </c>
      <c r="D124" s="6">
        <v>10</v>
      </c>
      <c r="E124" s="6">
        <v>4900</v>
      </c>
      <c r="F124" s="6">
        <v>0</v>
      </c>
      <c r="G124" s="6">
        <v>0</v>
      </c>
      <c r="H124" s="6">
        <v>0</v>
      </c>
      <c r="I124" s="6">
        <v>0</v>
      </c>
      <c r="J124" s="6">
        <v>1500</v>
      </c>
      <c r="K124" s="6">
        <f t="shared" si="4"/>
        <v>1500</v>
      </c>
      <c r="L124" s="6">
        <v>3400</v>
      </c>
      <c r="M124" s="6">
        <v>3400</v>
      </c>
      <c r="N124" s="6">
        <v>24</v>
      </c>
      <c r="O124" s="8">
        <f t="shared" si="5"/>
        <v>54.4</v>
      </c>
      <c r="Q124" s="10">
        <v>994</v>
      </c>
      <c r="R124" s="10">
        <f t="shared" si="6"/>
        <v>1491000</v>
      </c>
      <c r="S124" s="10">
        <f t="shared" si="7"/>
        <v>3379600</v>
      </c>
    </row>
    <row r="125" spans="1:19" x14ac:dyDescent="0.25">
      <c r="A125" s="5" t="s">
        <v>143</v>
      </c>
      <c r="B125" s="6" t="s">
        <v>17</v>
      </c>
      <c r="C125" s="6" t="s">
        <v>19</v>
      </c>
      <c r="D125" s="6">
        <v>10</v>
      </c>
      <c r="E125" s="6">
        <v>2875</v>
      </c>
      <c r="F125" s="6">
        <v>0</v>
      </c>
      <c r="G125" s="6">
        <v>0</v>
      </c>
      <c r="H125" s="6">
        <v>0</v>
      </c>
      <c r="I125" s="6">
        <v>0</v>
      </c>
      <c r="J125" s="6">
        <v>2450</v>
      </c>
      <c r="K125" s="6">
        <f t="shared" si="4"/>
        <v>2450</v>
      </c>
      <c r="L125" s="6">
        <v>425</v>
      </c>
      <c r="M125" s="6">
        <v>1400</v>
      </c>
      <c r="N125" s="6">
        <v>24</v>
      </c>
      <c r="O125" s="8">
        <f t="shared" si="5"/>
        <v>13.714285714285714</v>
      </c>
      <c r="Q125" s="10">
        <v>994</v>
      </c>
      <c r="R125" s="10">
        <f t="shared" si="6"/>
        <v>2435300</v>
      </c>
      <c r="S125" s="10">
        <f t="shared" si="7"/>
        <v>1391600</v>
      </c>
    </row>
    <row r="126" spans="1:19" x14ac:dyDescent="0.25">
      <c r="A126" s="5" t="s">
        <v>144</v>
      </c>
      <c r="B126" s="6" t="s">
        <v>17</v>
      </c>
      <c r="C126" s="6" t="s">
        <v>19</v>
      </c>
      <c r="D126" s="6">
        <v>10</v>
      </c>
      <c r="E126" s="6">
        <v>1295</v>
      </c>
      <c r="F126" s="6">
        <v>1050</v>
      </c>
      <c r="G126" s="6">
        <v>0</v>
      </c>
      <c r="H126" s="6">
        <v>0</v>
      </c>
      <c r="I126" s="6">
        <v>0</v>
      </c>
      <c r="J126" s="6">
        <v>400</v>
      </c>
      <c r="K126" s="6">
        <f t="shared" si="4"/>
        <v>400</v>
      </c>
      <c r="L126" s="6">
        <v>1945</v>
      </c>
      <c r="M126" s="6">
        <v>2145</v>
      </c>
      <c r="N126" s="6">
        <v>24</v>
      </c>
      <c r="O126" s="8">
        <f t="shared" si="5"/>
        <v>128.69999999999999</v>
      </c>
      <c r="Q126" s="10">
        <v>3489</v>
      </c>
      <c r="R126" s="10">
        <f t="shared" si="6"/>
        <v>1395600</v>
      </c>
      <c r="S126" s="10">
        <f t="shared" si="7"/>
        <v>7483905</v>
      </c>
    </row>
    <row r="127" spans="1:19" x14ac:dyDescent="0.25">
      <c r="A127" s="5" t="s">
        <v>169</v>
      </c>
      <c r="B127" s="6" t="s">
        <v>17</v>
      </c>
      <c r="C127" s="6" t="s">
        <v>19</v>
      </c>
      <c r="D127" s="6">
        <v>10</v>
      </c>
      <c r="E127" s="6">
        <v>1175</v>
      </c>
      <c r="F127" s="6">
        <v>0</v>
      </c>
      <c r="G127" s="6">
        <v>0</v>
      </c>
      <c r="H127" s="6">
        <v>0</v>
      </c>
      <c r="I127" s="6">
        <v>325</v>
      </c>
      <c r="J127" s="6">
        <v>0</v>
      </c>
      <c r="K127" s="6">
        <f t="shared" si="4"/>
        <v>325</v>
      </c>
      <c r="L127" s="6">
        <v>850</v>
      </c>
      <c r="M127" s="6">
        <v>968.75</v>
      </c>
      <c r="N127" s="6">
        <v>24</v>
      </c>
      <c r="O127" s="8">
        <f t="shared" si="5"/>
        <v>71.538461538461547</v>
      </c>
      <c r="Q127" s="10">
        <v>3162</v>
      </c>
      <c r="R127" s="10">
        <f t="shared" si="6"/>
        <v>1027650</v>
      </c>
      <c r="S127" s="10">
        <f t="shared" si="7"/>
        <v>3063187.5</v>
      </c>
    </row>
    <row r="128" spans="1:19" x14ac:dyDescent="0.25">
      <c r="A128" s="5" t="s">
        <v>170</v>
      </c>
      <c r="B128" s="6" t="s">
        <v>17</v>
      </c>
      <c r="C128" s="6" t="s">
        <v>19</v>
      </c>
      <c r="D128" s="6">
        <v>10</v>
      </c>
      <c r="E128" s="6">
        <v>1400</v>
      </c>
      <c r="F128" s="6">
        <v>4013</v>
      </c>
      <c r="G128" s="6">
        <v>0</v>
      </c>
      <c r="H128" s="6">
        <v>0</v>
      </c>
      <c r="I128" s="6">
        <v>3850</v>
      </c>
      <c r="J128" s="6">
        <v>0</v>
      </c>
      <c r="K128" s="6">
        <f t="shared" si="4"/>
        <v>3850</v>
      </c>
      <c r="L128" s="6">
        <v>1563</v>
      </c>
      <c r="M128" s="6">
        <v>1980.8888888888903</v>
      </c>
      <c r="N128" s="6">
        <v>24</v>
      </c>
      <c r="O128" s="8">
        <f t="shared" si="5"/>
        <v>12.348398268398277</v>
      </c>
      <c r="Q128" s="10">
        <v>3567</v>
      </c>
      <c r="R128" s="10">
        <f t="shared" si="6"/>
        <v>13732950</v>
      </c>
      <c r="S128" s="10">
        <f t="shared" si="7"/>
        <v>7065830.6666666716</v>
      </c>
    </row>
    <row r="129" spans="1:19" x14ac:dyDescent="0.25">
      <c r="A129" s="5" t="s">
        <v>171</v>
      </c>
      <c r="B129" s="6" t="s">
        <v>17</v>
      </c>
      <c r="C129" s="6" t="s">
        <v>19</v>
      </c>
      <c r="D129" s="6">
        <v>10</v>
      </c>
      <c r="E129" s="6">
        <v>650</v>
      </c>
      <c r="F129" s="6">
        <v>0</v>
      </c>
      <c r="G129" s="6">
        <v>0</v>
      </c>
      <c r="H129" s="6">
        <v>0</v>
      </c>
      <c r="I129" s="6">
        <v>175</v>
      </c>
      <c r="J129" s="6">
        <v>0</v>
      </c>
      <c r="K129" s="6">
        <f t="shared" si="4"/>
        <v>175</v>
      </c>
      <c r="L129" s="6">
        <v>475</v>
      </c>
      <c r="M129" s="6">
        <v>512.5</v>
      </c>
      <c r="N129" s="6">
        <v>24</v>
      </c>
      <c r="O129" s="8">
        <f t="shared" si="5"/>
        <v>70.285714285714278</v>
      </c>
      <c r="Q129" s="10">
        <v>3850</v>
      </c>
      <c r="R129" s="10">
        <f t="shared" si="6"/>
        <v>673750</v>
      </c>
      <c r="S129" s="10">
        <f t="shared" si="7"/>
        <v>1973125</v>
      </c>
    </row>
    <row r="130" spans="1:19" x14ac:dyDescent="0.25">
      <c r="A130" s="5" t="s">
        <v>172</v>
      </c>
      <c r="B130" s="6" t="s">
        <v>17</v>
      </c>
      <c r="C130" s="6" t="s">
        <v>19</v>
      </c>
      <c r="D130" s="6">
        <v>10</v>
      </c>
      <c r="E130" s="6">
        <v>1500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f t="shared" si="4"/>
        <v>0</v>
      </c>
      <c r="L130" s="6">
        <v>1500</v>
      </c>
      <c r="M130" s="6">
        <v>0</v>
      </c>
      <c r="N130" s="6">
        <v>24</v>
      </c>
      <c r="O130" s="8">
        <v>0</v>
      </c>
      <c r="Q130" s="10">
        <v>1402</v>
      </c>
      <c r="R130" s="10">
        <f t="shared" si="6"/>
        <v>0</v>
      </c>
      <c r="S130" s="10">
        <f t="shared" si="7"/>
        <v>0</v>
      </c>
    </row>
    <row r="131" spans="1:19" x14ac:dyDescent="0.25">
      <c r="A131" s="5" t="s">
        <v>146</v>
      </c>
      <c r="B131" s="6" t="s">
        <v>17</v>
      </c>
      <c r="C131" s="6" t="s">
        <v>19</v>
      </c>
      <c r="D131" s="6">
        <v>10</v>
      </c>
      <c r="E131" s="6">
        <v>2700</v>
      </c>
      <c r="F131" s="6">
        <v>14125</v>
      </c>
      <c r="G131" s="6">
        <v>0</v>
      </c>
      <c r="H131" s="6">
        <v>0</v>
      </c>
      <c r="I131" s="6">
        <v>4050</v>
      </c>
      <c r="J131" s="6">
        <v>5975</v>
      </c>
      <c r="K131" s="6">
        <f t="shared" ref="K131:K169" si="8">I131+J131</f>
        <v>10025</v>
      </c>
      <c r="L131" s="6">
        <v>6800</v>
      </c>
      <c r="M131" s="6">
        <v>6247.0588235294108</v>
      </c>
      <c r="N131" s="6">
        <v>24</v>
      </c>
      <c r="O131" s="8">
        <f t="shared" ref="O131:O160" si="9">(M131/(I131+J131))*N131</f>
        <v>14.955552295731259</v>
      </c>
      <c r="Q131" s="10">
        <v>6112</v>
      </c>
      <c r="R131" s="10">
        <f t="shared" ref="R131:R159" si="10">Q131*(I131+J131)</f>
        <v>61272800</v>
      </c>
      <c r="S131" s="10">
        <f t="shared" ref="S131:S160" si="11">Q131*M131</f>
        <v>38182023.529411756</v>
      </c>
    </row>
    <row r="132" spans="1:19" x14ac:dyDescent="0.25">
      <c r="A132" s="5" t="s">
        <v>147</v>
      </c>
      <c r="B132" s="6" t="s">
        <v>17</v>
      </c>
      <c r="C132" s="6" t="s">
        <v>19</v>
      </c>
      <c r="D132" s="6">
        <v>10</v>
      </c>
      <c r="E132" s="6">
        <v>2547</v>
      </c>
      <c r="F132" s="6">
        <v>0</v>
      </c>
      <c r="G132" s="6">
        <v>0</v>
      </c>
      <c r="H132" s="6">
        <v>0</v>
      </c>
      <c r="I132" s="6">
        <v>50</v>
      </c>
      <c r="J132" s="6">
        <v>525</v>
      </c>
      <c r="K132" s="6">
        <f t="shared" si="8"/>
        <v>575</v>
      </c>
      <c r="L132" s="6">
        <v>1972</v>
      </c>
      <c r="M132" s="6">
        <v>2188.6666666666702</v>
      </c>
      <c r="N132" s="6">
        <v>24</v>
      </c>
      <c r="O132" s="8">
        <f t="shared" si="9"/>
        <v>91.353043478261014</v>
      </c>
      <c r="Q132" s="10">
        <v>2392</v>
      </c>
      <c r="R132" s="10">
        <f t="shared" si="10"/>
        <v>1375400</v>
      </c>
      <c r="S132" s="10">
        <f t="shared" si="11"/>
        <v>5235290.6666666754</v>
      </c>
    </row>
    <row r="133" spans="1:19" x14ac:dyDescent="0.25">
      <c r="A133" s="5" t="s">
        <v>148</v>
      </c>
      <c r="B133" s="6" t="s">
        <v>17</v>
      </c>
      <c r="C133" s="6" t="s">
        <v>19</v>
      </c>
      <c r="D133" s="6">
        <v>10</v>
      </c>
      <c r="E133" s="6">
        <v>24</v>
      </c>
      <c r="F133" s="6">
        <v>1525</v>
      </c>
      <c r="G133" s="6">
        <v>0</v>
      </c>
      <c r="H133" s="6">
        <v>0</v>
      </c>
      <c r="I133" s="6">
        <v>1525</v>
      </c>
      <c r="J133" s="6">
        <v>0</v>
      </c>
      <c r="K133" s="6">
        <f t="shared" si="8"/>
        <v>1525</v>
      </c>
      <c r="L133" s="6">
        <v>24</v>
      </c>
      <c r="M133" s="6">
        <v>540.66666666666708</v>
      </c>
      <c r="N133" s="6">
        <v>24</v>
      </c>
      <c r="O133" s="8">
        <f t="shared" si="9"/>
        <v>8.5088524590163992</v>
      </c>
      <c r="Q133" s="10">
        <v>2651</v>
      </c>
      <c r="R133" s="10">
        <f t="shared" si="10"/>
        <v>4042775</v>
      </c>
      <c r="S133" s="10">
        <f t="shared" si="11"/>
        <v>1433307.3333333344</v>
      </c>
    </row>
    <row r="134" spans="1:19" x14ac:dyDescent="0.25">
      <c r="A134" s="5" t="s">
        <v>149</v>
      </c>
      <c r="B134" s="6" t="s">
        <v>17</v>
      </c>
      <c r="C134" s="6" t="s">
        <v>19</v>
      </c>
      <c r="D134" s="6">
        <v>10</v>
      </c>
      <c r="E134" s="6">
        <v>451</v>
      </c>
      <c r="F134" s="6">
        <v>1520</v>
      </c>
      <c r="G134" s="6">
        <v>0</v>
      </c>
      <c r="H134" s="6">
        <v>0</v>
      </c>
      <c r="I134" s="6">
        <v>440</v>
      </c>
      <c r="J134" s="6">
        <v>0</v>
      </c>
      <c r="K134" s="6">
        <f t="shared" si="8"/>
        <v>440</v>
      </c>
      <c r="L134" s="6">
        <v>1531</v>
      </c>
      <c r="M134" s="6">
        <v>807</v>
      </c>
      <c r="N134" s="6">
        <v>24</v>
      </c>
      <c r="O134" s="8">
        <f t="shared" si="9"/>
        <v>44.018181818181816</v>
      </c>
      <c r="Q134" s="10">
        <v>4343</v>
      </c>
      <c r="R134" s="10">
        <f t="shared" si="10"/>
        <v>1910920</v>
      </c>
      <c r="S134" s="10">
        <f t="shared" si="11"/>
        <v>3504801</v>
      </c>
    </row>
    <row r="135" spans="1:19" x14ac:dyDescent="0.25">
      <c r="A135" s="5" t="s">
        <v>150</v>
      </c>
      <c r="B135" s="6" t="s">
        <v>17</v>
      </c>
      <c r="C135" s="6" t="s">
        <v>19</v>
      </c>
      <c r="D135" s="6">
        <v>10</v>
      </c>
      <c r="E135" s="6">
        <v>1096</v>
      </c>
      <c r="F135" s="6">
        <v>1522</v>
      </c>
      <c r="G135" s="6">
        <v>0</v>
      </c>
      <c r="H135" s="6">
        <v>0</v>
      </c>
      <c r="I135" s="6">
        <v>800</v>
      </c>
      <c r="J135" s="6">
        <v>0</v>
      </c>
      <c r="K135" s="6">
        <f t="shared" si="8"/>
        <v>800</v>
      </c>
      <c r="L135" s="6">
        <v>1818</v>
      </c>
      <c r="M135" s="6">
        <v>1340.4</v>
      </c>
      <c r="N135" s="6">
        <v>24</v>
      </c>
      <c r="O135" s="8">
        <f t="shared" si="9"/>
        <v>40.212000000000003</v>
      </c>
      <c r="Q135" s="10">
        <v>2970</v>
      </c>
      <c r="R135" s="10">
        <f t="shared" si="10"/>
        <v>2376000</v>
      </c>
      <c r="S135" s="10">
        <f t="shared" si="11"/>
        <v>3980988.0000000005</v>
      </c>
    </row>
    <row r="136" spans="1:19" x14ac:dyDescent="0.25">
      <c r="A136" s="5" t="s">
        <v>8</v>
      </c>
      <c r="B136" s="6" t="s">
        <v>17</v>
      </c>
      <c r="C136" s="6" t="s">
        <v>19</v>
      </c>
      <c r="D136" s="6">
        <v>10</v>
      </c>
      <c r="E136" s="6">
        <v>2196</v>
      </c>
      <c r="F136" s="6">
        <v>0</v>
      </c>
      <c r="G136" s="6">
        <v>0</v>
      </c>
      <c r="H136" s="6">
        <v>0</v>
      </c>
      <c r="I136" s="6">
        <v>915</v>
      </c>
      <c r="J136" s="6">
        <v>0</v>
      </c>
      <c r="K136" s="6">
        <f t="shared" si="8"/>
        <v>915</v>
      </c>
      <c r="L136" s="6">
        <v>1281</v>
      </c>
      <c r="M136" s="6">
        <v>1569.3333333333301</v>
      </c>
      <c r="N136" s="6">
        <v>24</v>
      </c>
      <c r="O136" s="8">
        <f t="shared" si="9"/>
        <v>41.162841530054557</v>
      </c>
      <c r="Q136" s="10">
        <v>2970</v>
      </c>
      <c r="R136" s="10">
        <f t="shared" si="10"/>
        <v>2717550</v>
      </c>
      <c r="S136" s="10">
        <f t="shared" si="11"/>
        <v>4660919.9999999907</v>
      </c>
    </row>
    <row r="137" spans="1:19" x14ac:dyDescent="0.25">
      <c r="A137" s="5" t="s">
        <v>152</v>
      </c>
      <c r="B137" s="6" t="s">
        <v>17</v>
      </c>
      <c r="C137" s="6" t="s">
        <v>19</v>
      </c>
      <c r="D137" s="6">
        <v>10</v>
      </c>
      <c r="E137" s="6">
        <v>980</v>
      </c>
      <c r="F137" s="6">
        <v>0</v>
      </c>
      <c r="G137" s="6">
        <v>0</v>
      </c>
      <c r="H137" s="6">
        <v>0</v>
      </c>
      <c r="I137" s="6">
        <v>150</v>
      </c>
      <c r="J137" s="6">
        <v>0</v>
      </c>
      <c r="K137" s="6">
        <f t="shared" si="8"/>
        <v>150</v>
      </c>
      <c r="L137" s="6">
        <v>830</v>
      </c>
      <c r="M137" s="6">
        <v>880</v>
      </c>
      <c r="N137" s="6">
        <v>24</v>
      </c>
      <c r="O137" s="8">
        <f t="shared" si="9"/>
        <v>140.79999999999998</v>
      </c>
      <c r="Q137" s="10">
        <v>2607</v>
      </c>
      <c r="R137" s="10">
        <f t="shared" si="10"/>
        <v>391050</v>
      </c>
      <c r="S137" s="10">
        <f t="shared" si="11"/>
        <v>2294160</v>
      </c>
    </row>
    <row r="138" spans="1:19" x14ac:dyDescent="0.25">
      <c r="A138" s="5" t="s">
        <v>153</v>
      </c>
      <c r="B138" s="6" t="s">
        <v>17</v>
      </c>
      <c r="C138" s="6" t="s">
        <v>19</v>
      </c>
      <c r="D138" s="6">
        <v>10</v>
      </c>
      <c r="E138" s="6">
        <v>575</v>
      </c>
      <c r="F138" s="6">
        <v>2500</v>
      </c>
      <c r="G138" s="6">
        <v>0</v>
      </c>
      <c r="H138" s="6">
        <v>0</v>
      </c>
      <c r="I138" s="6">
        <v>1597</v>
      </c>
      <c r="J138" s="6">
        <v>25</v>
      </c>
      <c r="K138" s="6">
        <f t="shared" si="8"/>
        <v>1622</v>
      </c>
      <c r="L138" s="6">
        <v>1453</v>
      </c>
      <c r="M138" s="6">
        <v>1752.1000000000001</v>
      </c>
      <c r="N138" s="6">
        <v>24</v>
      </c>
      <c r="O138" s="8">
        <f t="shared" si="9"/>
        <v>25.925030826140571</v>
      </c>
      <c r="Q138" s="10">
        <v>1928</v>
      </c>
      <c r="R138" s="10">
        <f t="shared" si="10"/>
        <v>3127216</v>
      </c>
      <c r="S138" s="10">
        <f t="shared" si="11"/>
        <v>3378048.8000000003</v>
      </c>
    </row>
    <row r="139" spans="1:19" x14ac:dyDescent="0.25">
      <c r="A139" s="5" t="s">
        <v>154</v>
      </c>
      <c r="B139" s="6" t="s">
        <v>17</v>
      </c>
      <c r="C139" s="6" t="s">
        <v>19</v>
      </c>
      <c r="D139" s="6">
        <v>10</v>
      </c>
      <c r="E139" s="6">
        <v>23355</v>
      </c>
      <c r="F139" s="6">
        <v>0</v>
      </c>
      <c r="G139" s="6">
        <v>0</v>
      </c>
      <c r="H139" s="6">
        <v>0</v>
      </c>
      <c r="I139" s="6">
        <v>0</v>
      </c>
      <c r="J139" s="6">
        <v>320</v>
      </c>
      <c r="K139" s="6">
        <f t="shared" si="8"/>
        <v>320</v>
      </c>
      <c r="L139" s="6">
        <v>23035</v>
      </c>
      <c r="M139" s="6">
        <v>23162.5</v>
      </c>
      <c r="N139" s="6">
        <v>24</v>
      </c>
      <c r="O139" s="8">
        <f t="shared" si="9"/>
        <v>1737.1875</v>
      </c>
      <c r="Q139" s="10">
        <v>2129</v>
      </c>
      <c r="R139" s="10">
        <f t="shared" si="10"/>
        <v>681280</v>
      </c>
      <c r="S139" s="10">
        <f t="shared" si="11"/>
        <v>49312962.5</v>
      </c>
    </row>
    <row r="140" spans="1:19" x14ac:dyDescent="0.25">
      <c r="A140" s="5" t="s">
        <v>155</v>
      </c>
      <c r="B140" s="6" t="s">
        <v>17</v>
      </c>
      <c r="C140" s="6" t="s">
        <v>19</v>
      </c>
      <c r="D140" s="6">
        <v>10</v>
      </c>
      <c r="E140" s="6">
        <v>30457</v>
      </c>
      <c r="F140" s="6">
        <v>0</v>
      </c>
      <c r="G140" s="6">
        <v>0</v>
      </c>
      <c r="H140" s="6">
        <v>0</v>
      </c>
      <c r="I140" s="6">
        <v>3000</v>
      </c>
      <c r="J140" s="6">
        <v>0</v>
      </c>
      <c r="K140" s="6">
        <f t="shared" si="8"/>
        <v>3000</v>
      </c>
      <c r="L140" s="6">
        <v>27457</v>
      </c>
      <c r="M140" s="6">
        <v>28207</v>
      </c>
      <c r="N140" s="6">
        <v>24</v>
      </c>
      <c r="O140" s="8">
        <f t="shared" si="9"/>
        <v>225.65600000000001</v>
      </c>
      <c r="Q140" s="10">
        <v>2177</v>
      </c>
      <c r="R140" s="10">
        <f t="shared" si="10"/>
        <v>6531000</v>
      </c>
      <c r="S140" s="10">
        <f t="shared" si="11"/>
        <v>61406639</v>
      </c>
    </row>
    <row r="141" spans="1:19" x14ac:dyDescent="0.25">
      <c r="A141" s="5" t="s">
        <v>156</v>
      </c>
      <c r="B141" s="6" t="s">
        <v>17</v>
      </c>
      <c r="C141" s="6" t="s">
        <v>19</v>
      </c>
      <c r="D141" s="6">
        <v>10</v>
      </c>
      <c r="E141" s="6">
        <v>11625</v>
      </c>
      <c r="F141" s="6">
        <v>24620</v>
      </c>
      <c r="G141" s="6">
        <v>0</v>
      </c>
      <c r="H141" s="6">
        <v>0</v>
      </c>
      <c r="I141" s="6">
        <v>29015</v>
      </c>
      <c r="J141" s="6">
        <v>55</v>
      </c>
      <c r="K141" s="6">
        <f t="shared" si="8"/>
        <v>29070</v>
      </c>
      <c r="L141" s="6">
        <v>7175</v>
      </c>
      <c r="M141" s="6">
        <v>8209.5833333333303</v>
      </c>
      <c r="N141" s="6">
        <v>24</v>
      </c>
      <c r="O141" s="8">
        <f t="shared" si="9"/>
        <v>6.7777777777777759</v>
      </c>
      <c r="Q141" s="10">
        <v>2177</v>
      </c>
      <c r="R141" s="10">
        <f t="shared" si="10"/>
        <v>63285390</v>
      </c>
      <c r="S141" s="10">
        <f t="shared" si="11"/>
        <v>17872262.91666666</v>
      </c>
    </row>
    <row r="142" spans="1:19" x14ac:dyDescent="0.25">
      <c r="A142" s="5" t="s">
        <v>157</v>
      </c>
      <c r="B142" s="6" t="s">
        <v>17</v>
      </c>
      <c r="C142" s="6" t="s">
        <v>19</v>
      </c>
      <c r="D142" s="6">
        <v>10</v>
      </c>
      <c r="E142" s="6">
        <v>6515</v>
      </c>
      <c r="F142" s="6">
        <v>17328</v>
      </c>
      <c r="G142" s="6">
        <v>0</v>
      </c>
      <c r="H142" s="6">
        <v>0</v>
      </c>
      <c r="I142" s="6">
        <v>11015</v>
      </c>
      <c r="J142" s="6">
        <v>0</v>
      </c>
      <c r="K142" s="6">
        <f t="shared" si="8"/>
        <v>11015</v>
      </c>
      <c r="L142" s="6">
        <v>12828</v>
      </c>
      <c r="M142" s="6">
        <v>7277.6</v>
      </c>
      <c r="N142" s="6">
        <v>24</v>
      </c>
      <c r="O142" s="8">
        <f t="shared" si="9"/>
        <v>15.856777122106219</v>
      </c>
      <c r="Q142" s="10">
        <v>2177</v>
      </c>
      <c r="R142" s="10">
        <f t="shared" si="10"/>
        <v>23979655</v>
      </c>
      <c r="S142" s="10">
        <f t="shared" si="11"/>
        <v>15843335.200000001</v>
      </c>
    </row>
    <row r="143" spans="1:19" x14ac:dyDescent="0.25">
      <c r="A143" s="5" t="s">
        <v>158</v>
      </c>
      <c r="B143" s="6" t="s">
        <v>17</v>
      </c>
      <c r="C143" s="6" t="s">
        <v>19</v>
      </c>
      <c r="D143" s="6">
        <v>10</v>
      </c>
      <c r="E143" s="6">
        <v>7756</v>
      </c>
      <c r="F143" s="6">
        <v>15393</v>
      </c>
      <c r="G143" s="6">
        <v>0</v>
      </c>
      <c r="H143" s="6">
        <v>0</v>
      </c>
      <c r="I143" s="6">
        <v>0</v>
      </c>
      <c r="J143" s="6">
        <v>13188</v>
      </c>
      <c r="K143" s="6">
        <f t="shared" si="8"/>
        <v>13188</v>
      </c>
      <c r="L143" s="6">
        <v>9961</v>
      </c>
      <c r="M143" s="6">
        <v>8046.6153846153811</v>
      </c>
      <c r="N143" s="6">
        <v>24</v>
      </c>
      <c r="O143" s="8">
        <f t="shared" si="9"/>
        <v>14.64352208301252</v>
      </c>
      <c r="Q143" s="10">
        <v>1948</v>
      </c>
      <c r="R143" s="10">
        <f t="shared" si="10"/>
        <v>25690224</v>
      </c>
      <c r="S143" s="10">
        <f t="shared" si="11"/>
        <v>15674806.769230762</v>
      </c>
    </row>
    <row r="144" spans="1:19" x14ac:dyDescent="0.25">
      <c r="A144" s="5" t="s">
        <v>159</v>
      </c>
      <c r="B144" s="6" t="s">
        <v>17</v>
      </c>
      <c r="C144" s="6" t="s">
        <v>19</v>
      </c>
      <c r="D144" s="6">
        <v>10</v>
      </c>
      <c r="E144" s="6">
        <v>2013</v>
      </c>
      <c r="F144" s="6">
        <v>13622</v>
      </c>
      <c r="G144" s="6">
        <v>0</v>
      </c>
      <c r="H144" s="6">
        <v>0</v>
      </c>
      <c r="I144" s="6">
        <v>0</v>
      </c>
      <c r="J144" s="6">
        <v>9522</v>
      </c>
      <c r="K144" s="6">
        <f t="shared" si="8"/>
        <v>9522</v>
      </c>
      <c r="L144" s="6">
        <v>6113</v>
      </c>
      <c r="M144" s="6">
        <v>3476.2000000000003</v>
      </c>
      <c r="N144" s="6">
        <v>24</v>
      </c>
      <c r="O144" s="8">
        <f t="shared" si="9"/>
        <v>8.7616887208569629</v>
      </c>
      <c r="Q144" s="10">
        <v>1989</v>
      </c>
      <c r="R144" s="10">
        <f t="shared" si="10"/>
        <v>18939258</v>
      </c>
      <c r="S144" s="10">
        <f t="shared" si="11"/>
        <v>6914161.8000000007</v>
      </c>
    </row>
    <row r="145" spans="1:19" x14ac:dyDescent="0.25">
      <c r="A145" s="5" t="s">
        <v>160</v>
      </c>
      <c r="B145" s="6" t="s">
        <v>17</v>
      </c>
      <c r="C145" s="6" t="s">
        <v>19</v>
      </c>
      <c r="D145" s="6">
        <v>10</v>
      </c>
      <c r="E145" s="6">
        <v>23925</v>
      </c>
      <c r="F145" s="6">
        <v>0</v>
      </c>
      <c r="G145" s="6">
        <v>0</v>
      </c>
      <c r="H145" s="6">
        <v>0</v>
      </c>
      <c r="I145" s="6">
        <v>0</v>
      </c>
      <c r="J145" s="6">
        <v>6050</v>
      </c>
      <c r="K145" s="6">
        <f t="shared" si="8"/>
        <v>6050</v>
      </c>
      <c r="L145" s="6">
        <v>17875</v>
      </c>
      <c r="M145" s="6">
        <v>20162.5</v>
      </c>
      <c r="N145" s="6">
        <v>24</v>
      </c>
      <c r="O145" s="8">
        <f t="shared" si="9"/>
        <v>79.983471074380162</v>
      </c>
      <c r="Q145" s="10">
        <v>2181</v>
      </c>
      <c r="R145" s="10">
        <f t="shared" si="10"/>
        <v>13195050</v>
      </c>
      <c r="S145" s="10">
        <f t="shared" si="11"/>
        <v>43974412.5</v>
      </c>
    </row>
    <row r="146" spans="1:19" x14ac:dyDescent="0.25">
      <c r="A146" s="5" t="s">
        <v>173</v>
      </c>
      <c r="B146" s="6" t="s">
        <v>17</v>
      </c>
      <c r="C146" s="6" t="s">
        <v>19</v>
      </c>
      <c r="D146" s="6">
        <v>10</v>
      </c>
      <c r="E146" s="6">
        <v>9100</v>
      </c>
      <c r="F146" s="6">
        <v>30725</v>
      </c>
      <c r="G146" s="6">
        <v>0</v>
      </c>
      <c r="H146" s="6">
        <v>0</v>
      </c>
      <c r="I146" s="6">
        <v>25525</v>
      </c>
      <c r="J146" s="6">
        <v>1700</v>
      </c>
      <c r="K146" s="6">
        <f t="shared" si="8"/>
        <v>27225</v>
      </c>
      <c r="L146" s="6">
        <v>12600</v>
      </c>
      <c r="M146" s="6">
        <v>7483.9285714285697</v>
      </c>
      <c r="N146" s="6">
        <v>24</v>
      </c>
      <c r="O146" s="8">
        <f t="shared" si="9"/>
        <v>6.5974025974025965</v>
      </c>
      <c r="Q146" s="10">
        <v>2181</v>
      </c>
      <c r="R146" s="10">
        <f t="shared" si="10"/>
        <v>59377725</v>
      </c>
      <c r="S146" s="10">
        <f t="shared" si="11"/>
        <v>16322448.214285711</v>
      </c>
    </row>
    <row r="147" spans="1:19" x14ac:dyDescent="0.25">
      <c r="A147" s="5" t="s">
        <v>174</v>
      </c>
      <c r="B147" s="6" t="s">
        <v>17</v>
      </c>
      <c r="C147" s="6" t="s">
        <v>19</v>
      </c>
      <c r="D147" s="6">
        <v>10</v>
      </c>
      <c r="E147" s="6">
        <v>8450</v>
      </c>
      <c r="F147" s="6">
        <v>14550</v>
      </c>
      <c r="G147" s="6">
        <v>0</v>
      </c>
      <c r="H147" s="6">
        <v>0</v>
      </c>
      <c r="I147" s="6">
        <v>6500</v>
      </c>
      <c r="J147" s="6">
        <v>80</v>
      </c>
      <c r="K147" s="6">
        <f t="shared" si="8"/>
        <v>6580</v>
      </c>
      <c r="L147" s="6">
        <v>16420</v>
      </c>
      <c r="M147" s="6">
        <v>11301.4285714286</v>
      </c>
      <c r="N147" s="6">
        <v>24</v>
      </c>
      <c r="O147" s="8">
        <f t="shared" si="9"/>
        <v>41.221016066000971</v>
      </c>
      <c r="Q147" s="10">
        <v>2181</v>
      </c>
      <c r="R147" s="10">
        <f t="shared" si="10"/>
        <v>14350980</v>
      </c>
      <c r="S147" s="10">
        <f t="shared" si="11"/>
        <v>24648415.714285776</v>
      </c>
    </row>
    <row r="148" spans="1:19" x14ac:dyDescent="0.25">
      <c r="A148" s="5" t="s">
        <v>175</v>
      </c>
      <c r="B148" s="6" t="s">
        <v>16</v>
      </c>
      <c r="C148" s="6" t="s">
        <v>19</v>
      </c>
      <c r="D148" s="6">
        <v>10</v>
      </c>
      <c r="E148" s="6">
        <v>34300</v>
      </c>
      <c r="F148" s="6">
        <v>225450</v>
      </c>
      <c r="G148" s="6">
        <v>0</v>
      </c>
      <c r="H148" s="6">
        <v>0</v>
      </c>
      <c r="I148" s="6">
        <v>0</v>
      </c>
      <c r="J148" s="6">
        <v>238400</v>
      </c>
      <c r="K148" s="6">
        <f t="shared" si="8"/>
        <v>238400</v>
      </c>
      <c r="L148" s="6">
        <v>21350</v>
      </c>
      <c r="M148" s="6">
        <v>23606.034482758598</v>
      </c>
      <c r="N148" s="6">
        <v>24</v>
      </c>
      <c r="O148" s="8">
        <f t="shared" si="9"/>
        <v>2.3764464244387851</v>
      </c>
      <c r="Q148" s="10">
        <v>2208</v>
      </c>
      <c r="R148" s="10">
        <f t="shared" si="10"/>
        <v>526387200</v>
      </c>
      <c r="S148" s="10">
        <f t="shared" si="11"/>
        <v>52122124.137930982</v>
      </c>
    </row>
    <row r="149" spans="1:19" x14ac:dyDescent="0.25">
      <c r="A149" s="5" t="s">
        <v>176</v>
      </c>
      <c r="B149" s="6" t="s">
        <v>16</v>
      </c>
      <c r="C149" s="6" t="s">
        <v>19</v>
      </c>
      <c r="D149" s="6">
        <v>10</v>
      </c>
      <c r="E149" s="6">
        <v>17801</v>
      </c>
      <c r="F149" s="6">
        <v>24100</v>
      </c>
      <c r="G149" s="6">
        <v>0</v>
      </c>
      <c r="H149" s="6">
        <v>0</v>
      </c>
      <c r="I149" s="6">
        <v>0</v>
      </c>
      <c r="J149" s="6">
        <v>34325</v>
      </c>
      <c r="K149" s="6">
        <f t="shared" si="8"/>
        <v>34325</v>
      </c>
      <c r="L149" s="6">
        <v>7576</v>
      </c>
      <c r="M149" s="6">
        <v>10349.4375</v>
      </c>
      <c r="N149" s="6">
        <v>24</v>
      </c>
      <c r="O149" s="8">
        <f t="shared" si="9"/>
        <v>7.2363146394756015</v>
      </c>
      <c r="Q149" s="10">
        <v>2245</v>
      </c>
      <c r="R149" s="10">
        <f t="shared" si="10"/>
        <v>77059625</v>
      </c>
      <c r="S149" s="10">
        <f t="shared" si="11"/>
        <v>23234487.1875</v>
      </c>
    </row>
    <row r="150" spans="1:19" x14ac:dyDescent="0.25">
      <c r="A150" s="5" t="s">
        <v>163</v>
      </c>
      <c r="B150" s="6" t="s">
        <v>17</v>
      </c>
      <c r="C150" s="6" t="s">
        <v>19</v>
      </c>
      <c r="D150" s="6">
        <v>10</v>
      </c>
      <c r="E150" s="6">
        <v>47318</v>
      </c>
      <c r="F150" s="6">
        <v>64500</v>
      </c>
      <c r="G150" s="6">
        <v>0</v>
      </c>
      <c r="H150" s="6">
        <v>0</v>
      </c>
      <c r="I150" s="6">
        <v>41250</v>
      </c>
      <c r="J150" s="6">
        <v>30500</v>
      </c>
      <c r="K150" s="6">
        <f t="shared" si="8"/>
        <v>71750</v>
      </c>
      <c r="L150" s="6">
        <v>40068</v>
      </c>
      <c r="M150" s="6">
        <v>35128</v>
      </c>
      <c r="N150" s="6">
        <v>24</v>
      </c>
      <c r="O150" s="8">
        <f t="shared" si="9"/>
        <v>11.750132404181185</v>
      </c>
      <c r="Q150" s="10">
        <v>2355</v>
      </c>
      <c r="R150" s="10">
        <f t="shared" si="10"/>
        <v>168971250</v>
      </c>
      <c r="S150" s="10">
        <f t="shared" si="11"/>
        <v>82726440</v>
      </c>
    </row>
    <row r="151" spans="1:19" x14ac:dyDescent="0.25">
      <c r="A151" s="5" t="s">
        <v>177</v>
      </c>
      <c r="B151" s="6" t="s">
        <v>17</v>
      </c>
      <c r="C151" s="6" t="s">
        <v>19</v>
      </c>
      <c r="D151" s="6">
        <v>10</v>
      </c>
      <c r="E151" s="6">
        <v>1609</v>
      </c>
      <c r="F151" s="6">
        <v>16030</v>
      </c>
      <c r="G151" s="6">
        <v>0</v>
      </c>
      <c r="H151" s="6">
        <v>0</v>
      </c>
      <c r="I151" s="6">
        <v>0</v>
      </c>
      <c r="J151" s="6">
        <v>7707</v>
      </c>
      <c r="K151" s="6">
        <f t="shared" si="8"/>
        <v>7707</v>
      </c>
      <c r="L151" s="6">
        <v>9932</v>
      </c>
      <c r="M151" s="6">
        <v>6012.909090909091</v>
      </c>
      <c r="N151" s="6">
        <v>24</v>
      </c>
      <c r="O151" s="8">
        <f t="shared" si="9"/>
        <v>18.724512544676031</v>
      </c>
      <c r="Q151" s="10">
        <v>2021</v>
      </c>
      <c r="R151" s="10">
        <f t="shared" si="10"/>
        <v>15575847</v>
      </c>
      <c r="S151" s="10">
        <f t="shared" si="11"/>
        <v>12152089.272727273</v>
      </c>
    </row>
    <row r="152" spans="1:19" x14ac:dyDescent="0.25">
      <c r="A152" s="5" t="s">
        <v>178</v>
      </c>
      <c r="B152" s="6" t="s">
        <v>17</v>
      </c>
      <c r="C152" s="6" t="s">
        <v>19</v>
      </c>
      <c r="D152" s="6">
        <v>10</v>
      </c>
      <c r="E152" s="6">
        <v>7258</v>
      </c>
      <c r="F152" s="6">
        <v>9775</v>
      </c>
      <c r="G152" s="6">
        <v>0</v>
      </c>
      <c r="H152" s="6">
        <v>0</v>
      </c>
      <c r="I152" s="6">
        <v>0</v>
      </c>
      <c r="J152" s="6">
        <v>11090</v>
      </c>
      <c r="K152" s="6">
        <f t="shared" si="8"/>
        <v>11090</v>
      </c>
      <c r="L152" s="6">
        <v>5943</v>
      </c>
      <c r="M152" s="6">
        <v>6892.1666666666697</v>
      </c>
      <c r="N152" s="6">
        <v>24</v>
      </c>
      <c r="O152" s="8">
        <f t="shared" si="9"/>
        <v>14.915419296663668</v>
      </c>
      <c r="Q152" s="10">
        <v>2021</v>
      </c>
      <c r="R152" s="10">
        <f t="shared" si="10"/>
        <v>22412890</v>
      </c>
      <c r="S152" s="10">
        <f t="shared" si="11"/>
        <v>13929068.83333334</v>
      </c>
    </row>
    <row r="153" spans="1:19" x14ac:dyDescent="0.25">
      <c r="A153" s="5" t="s">
        <v>179</v>
      </c>
      <c r="B153" s="6" t="s">
        <v>17</v>
      </c>
      <c r="C153" s="6" t="s">
        <v>19</v>
      </c>
      <c r="D153" s="6">
        <v>10</v>
      </c>
      <c r="E153" s="6">
        <v>4759</v>
      </c>
      <c r="F153" s="6">
        <v>9950</v>
      </c>
      <c r="G153" s="6">
        <v>0</v>
      </c>
      <c r="H153" s="6">
        <v>0</v>
      </c>
      <c r="I153" s="6">
        <v>0</v>
      </c>
      <c r="J153" s="6">
        <v>7570</v>
      </c>
      <c r="K153" s="6">
        <f t="shared" si="8"/>
        <v>7570</v>
      </c>
      <c r="L153" s="6">
        <v>7139</v>
      </c>
      <c r="M153" s="6">
        <v>9951</v>
      </c>
      <c r="N153" s="6">
        <v>24</v>
      </c>
      <c r="O153" s="8">
        <f t="shared" si="9"/>
        <v>31.54874504623514</v>
      </c>
      <c r="Q153" s="10">
        <v>2021</v>
      </c>
      <c r="R153" s="10">
        <f>Q153*(I153+J153)</f>
        <v>15298970</v>
      </c>
      <c r="S153" s="10">
        <f t="shared" si="11"/>
        <v>20110971</v>
      </c>
    </row>
    <row r="154" spans="1:19" x14ac:dyDescent="0.25">
      <c r="A154" s="5" t="s">
        <v>180</v>
      </c>
      <c r="B154" s="6" t="s">
        <v>17</v>
      </c>
      <c r="C154" s="6" t="s">
        <v>19</v>
      </c>
      <c r="D154" s="6">
        <v>10</v>
      </c>
      <c r="E154" s="6">
        <v>4000</v>
      </c>
      <c r="F154" s="6">
        <v>17000</v>
      </c>
      <c r="G154" s="6">
        <v>0</v>
      </c>
      <c r="H154" s="6">
        <v>0</v>
      </c>
      <c r="I154" s="6">
        <v>17000</v>
      </c>
      <c r="J154" s="6">
        <v>0</v>
      </c>
      <c r="K154" s="6">
        <f t="shared" si="8"/>
        <v>17000</v>
      </c>
      <c r="L154" s="6">
        <v>4000</v>
      </c>
      <c r="M154" s="6">
        <v>3555.5555555555602</v>
      </c>
      <c r="N154" s="6">
        <v>24</v>
      </c>
      <c r="O154" s="8">
        <f t="shared" si="9"/>
        <v>5.0196078431372619</v>
      </c>
      <c r="Q154" s="10">
        <v>2846</v>
      </c>
      <c r="R154" s="10">
        <f t="shared" si="10"/>
        <v>48382000</v>
      </c>
      <c r="S154" s="10">
        <f t="shared" si="11"/>
        <v>10119111.111111125</v>
      </c>
    </row>
    <row r="155" spans="1:19" x14ac:dyDescent="0.25">
      <c r="A155" s="5" t="s">
        <v>181</v>
      </c>
      <c r="B155" s="6" t="s">
        <v>17</v>
      </c>
      <c r="C155" s="6" t="s">
        <v>19</v>
      </c>
      <c r="D155" s="6">
        <v>10</v>
      </c>
      <c r="E155" s="6">
        <v>1375</v>
      </c>
      <c r="F155" s="6">
        <v>12848</v>
      </c>
      <c r="G155" s="6">
        <v>0</v>
      </c>
      <c r="H155" s="6">
        <v>0</v>
      </c>
      <c r="I155" s="6">
        <v>14223</v>
      </c>
      <c r="J155" s="6">
        <v>0</v>
      </c>
      <c r="K155" s="6">
        <f t="shared" si="8"/>
        <v>14223</v>
      </c>
      <c r="L155" s="6">
        <v>0</v>
      </c>
      <c r="M155" s="6">
        <v>5307.3333333333303</v>
      </c>
      <c r="N155" s="6">
        <v>24</v>
      </c>
      <c r="O155" s="8">
        <f t="shared" si="9"/>
        <v>8.9556352386978801</v>
      </c>
      <c r="Q155" s="10">
        <v>7550</v>
      </c>
      <c r="R155" s="10">
        <f t="shared" si="10"/>
        <v>107383650</v>
      </c>
      <c r="S155" s="10">
        <f t="shared" si="11"/>
        <v>40070366.666666642</v>
      </c>
    </row>
    <row r="156" spans="1:19" x14ac:dyDescent="0.25">
      <c r="A156" s="2" t="s">
        <v>11</v>
      </c>
      <c r="B156" s="6" t="s">
        <v>17</v>
      </c>
      <c r="C156" s="6" t="s">
        <v>19</v>
      </c>
      <c r="D156" s="6">
        <v>10</v>
      </c>
      <c r="E156" s="6">
        <v>0</v>
      </c>
      <c r="F156" s="6">
        <v>11159</v>
      </c>
      <c r="G156" s="6">
        <v>0</v>
      </c>
      <c r="H156" s="6">
        <v>0</v>
      </c>
      <c r="I156" s="6">
        <v>5394</v>
      </c>
      <c r="J156" s="6">
        <v>0</v>
      </c>
      <c r="K156" s="6">
        <f t="shared" si="8"/>
        <v>5394</v>
      </c>
      <c r="L156" s="6">
        <v>5765</v>
      </c>
      <c r="M156" s="6">
        <v>4381.8</v>
      </c>
      <c r="N156" s="6">
        <v>24</v>
      </c>
      <c r="O156" s="8">
        <f t="shared" si="9"/>
        <v>19.496329254727474</v>
      </c>
      <c r="Q156" s="10">
        <v>7550</v>
      </c>
      <c r="R156" s="10">
        <f t="shared" si="10"/>
        <v>40724700</v>
      </c>
      <c r="S156" s="10">
        <f t="shared" si="11"/>
        <v>33082590</v>
      </c>
    </row>
    <row r="157" spans="1:19" x14ac:dyDescent="0.25">
      <c r="A157" s="2" t="s">
        <v>12</v>
      </c>
      <c r="B157" s="6" t="s">
        <v>17</v>
      </c>
      <c r="C157" s="6" t="s">
        <v>19</v>
      </c>
      <c r="D157" s="6">
        <v>10</v>
      </c>
      <c r="E157" s="6">
        <v>7191</v>
      </c>
      <c r="F157" s="6">
        <v>3570</v>
      </c>
      <c r="G157" s="6">
        <v>0</v>
      </c>
      <c r="H157" s="6">
        <v>0</v>
      </c>
      <c r="I157" s="6">
        <v>8361</v>
      </c>
      <c r="J157" s="6">
        <v>0</v>
      </c>
      <c r="K157" s="6">
        <f t="shared" si="8"/>
        <v>8361</v>
      </c>
      <c r="L157" s="6">
        <v>2400</v>
      </c>
      <c r="M157" s="6">
        <v>4686.5</v>
      </c>
      <c r="N157" s="6">
        <v>24</v>
      </c>
      <c r="O157" s="8">
        <f t="shared" si="9"/>
        <v>13.452457839971295</v>
      </c>
      <c r="Q157" s="10">
        <v>7550</v>
      </c>
      <c r="R157" s="10">
        <f t="shared" si="10"/>
        <v>63125550</v>
      </c>
      <c r="S157" s="10">
        <f t="shared" si="11"/>
        <v>35383075</v>
      </c>
    </row>
    <row r="158" spans="1:19" x14ac:dyDescent="0.25">
      <c r="A158" s="5" t="s">
        <v>182</v>
      </c>
      <c r="B158" s="6" t="s">
        <v>17</v>
      </c>
      <c r="C158" s="6" t="s">
        <v>19</v>
      </c>
      <c r="D158" s="6">
        <v>10</v>
      </c>
      <c r="E158" s="6">
        <v>2200</v>
      </c>
      <c r="F158" s="6">
        <v>0</v>
      </c>
      <c r="G158" s="6">
        <v>0</v>
      </c>
      <c r="H158" s="6">
        <v>0</v>
      </c>
      <c r="I158" s="6">
        <v>1000</v>
      </c>
      <c r="J158" s="6">
        <v>0</v>
      </c>
      <c r="K158" s="6">
        <f t="shared" si="8"/>
        <v>1000</v>
      </c>
      <c r="L158" s="6">
        <v>1200</v>
      </c>
      <c r="M158" s="6">
        <v>1200</v>
      </c>
      <c r="N158" s="6">
        <v>24</v>
      </c>
      <c r="O158" s="8">
        <f t="shared" si="9"/>
        <v>28.799999999999997</v>
      </c>
      <c r="Q158" s="10">
        <v>2658</v>
      </c>
      <c r="R158" s="10">
        <f t="shared" si="10"/>
        <v>2658000</v>
      </c>
      <c r="S158" s="10">
        <f t="shared" si="11"/>
        <v>3189600</v>
      </c>
    </row>
    <row r="159" spans="1:19" x14ac:dyDescent="0.25">
      <c r="A159" s="5" t="s">
        <v>9</v>
      </c>
      <c r="B159" s="6" t="s">
        <v>17</v>
      </c>
      <c r="C159" s="6" t="s">
        <v>19</v>
      </c>
      <c r="D159" s="6">
        <v>10</v>
      </c>
      <c r="E159" s="6">
        <v>15475</v>
      </c>
      <c r="F159" s="6">
        <v>21334</v>
      </c>
      <c r="G159" s="6">
        <v>0</v>
      </c>
      <c r="H159" s="6">
        <v>0</v>
      </c>
      <c r="I159" s="6">
        <v>19700</v>
      </c>
      <c r="J159" s="6">
        <v>0</v>
      </c>
      <c r="K159" s="6">
        <f t="shared" si="8"/>
        <v>19700</v>
      </c>
      <c r="L159" s="6">
        <v>17109</v>
      </c>
      <c r="M159" s="6">
        <v>7109.5</v>
      </c>
      <c r="N159" s="6">
        <v>24</v>
      </c>
      <c r="O159" s="8">
        <f t="shared" si="9"/>
        <v>8.6613197969543148</v>
      </c>
      <c r="Q159" s="10">
        <v>2846</v>
      </c>
      <c r="R159" s="10">
        <f t="shared" si="10"/>
        <v>56066200</v>
      </c>
      <c r="S159" s="10">
        <f t="shared" si="11"/>
        <v>20233637</v>
      </c>
    </row>
    <row r="160" spans="1:19" x14ac:dyDescent="0.25">
      <c r="A160" s="20" t="s">
        <v>13</v>
      </c>
      <c r="B160" s="6" t="s">
        <v>17</v>
      </c>
      <c r="C160" s="6" t="s">
        <v>19</v>
      </c>
      <c r="D160" s="6">
        <v>10</v>
      </c>
      <c r="E160" s="6">
        <v>3500</v>
      </c>
      <c r="F160" s="6">
        <v>0</v>
      </c>
      <c r="G160" s="6">
        <v>0</v>
      </c>
      <c r="H160" s="6">
        <v>0</v>
      </c>
      <c r="I160" s="6">
        <v>0</v>
      </c>
      <c r="J160" s="6">
        <v>2500</v>
      </c>
      <c r="K160" s="6">
        <f t="shared" si="8"/>
        <v>2500</v>
      </c>
      <c r="L160" s="6">
        <v>1000</v>
      </c>
      <c r="M160" s="6">
        <v>1000</v>
      </c>
      <c r="N160" s="6">
        <v>24</v>
      </c>
      <c r="O160" s="8">
        <f t="shared" si="9"/>
        <v>9.6000000000000014</v>
      </c>
      <c r="Q160" s="10">
        <v>994</v>
      </c>
      <c r="R160" s="10">
        <f>Q160*(I160+J160)</f>
        <v>2485000</v>
      </c>
      <c r="S160" s="10">
        <f t="shared" si="11"/>
        <v>994000</v>
      </c>
    </row>
    <row r="161" spans="1:19" ht="15.75" customHeight="1" x14ac:dyDescent="0.4">
      <c r="A161" s="17" t="s">
        <v>18</v>
      </c>
      <c r="B161" s="17"/>
      <c r="C161" s="17"/>
      <c r="D161" s="17"/>
      <c r="E161" s="18">
        <f>SUM(E2:E160)</f>
        <v>1347341</v>
      </c>
      <c r="F161" s="18">
        <f t="shared" ref="F161:M161" si="12">SUM(F2:F160)</f>
        <v>6607391</v>
      </c>
      <c r="G161" s="18">
        <f t="shared" si="12"/>
        <v>0</v>
      </c>
      <c r="H161" s="18">
        <f t="shared" si="12"/>
        <v>0</v>
      </c>
      <c r="I161" s="18">
        <f t="shared" si="12"/>
        <v>4023739</v>
      </c>
      <c r="J161" s="18">
        <f t="shared" si="12"/>
        <v>2473598</v>
      </c>
      <c r="K161" s="18">
        <f t="shared" si="8"/>
        <v>6497337</v>
      </c>
      <c r="L161" s="18">
        <f t="shared" si="12"/>
        <v>1457395</v>
      </c>
      <c r="M161" s="18">
        <f t="shared" si="12"/>
        <v>1436159.9864347195</v>
      </c>
      <c r="N161" s="18">
        <v>24</v>
      </c>
      <c r="O161" s="18">
        <f>(M161/(I161+J161))*N161</f>
        <v>5.3049179493742233</v>
      </c>
      <c r="R161" s="13">
        <f>SUM(R2:R160)</f>
        <v>14220724127</v>
      </c>
      <c r="S161" s="13">
        <f>SUM(S2:S160)</f>
        <v>3494135770.8431239</v>
      </c>
    </row>
    <row r="162" spans="1:19" x14ac:dyDescent="0.25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8"/>
    </row>
    <row r="163" spans="1:19" x14ac:dyDescent="0.25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8"/>
      <c r="Q163" s="11" t="s">
        <v>186</v>
      </c>
      <c r="R163" s="12">
        <v>5.1999999999999998E-3</v>
      </c>
    </row>
    <row r="164" spans="1:19" x14ac:dyDescent="0.25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8"/>
      <c r="Q164" s="11" t="s">
        <v>187</v>
      </c>
      <c r="R164" s="15">
        <f>(S161*R163)/R161</f>
        <v>1.2776779751944515E-3</v>
      </c>
    </row>
    <row r="165" spans="1:19" x14ac:dyDescent="0.2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8"/>
      <c r="Q165" s="11" t="s">
        <v>188</v>
      </c>
      <c r="R165" s="15">
        <v>1.5100000000000001E-3</v>
      </c>
    </row>
    <row r="166" spans="1:19" x14ac:dyDescent="0.25">
      <c r="A166" s="2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8"/>
      <c r="Q166" s="11" t="s">
        <v>202</v>
      </c>
      <c r="R166" s="19">
        <f>(S161/R161)*N159</f>
        <v>5.8969752701282374</v>
      </c>
    </row>
    <row r="167" spans="1:19" x14ac:dyDescent="0.25">
      <c r="A167" s="2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8"/>
    </row>
    <row r="168" spans="1:19" x14ac:dyDescent="0.25">
      <c r="A168" s="2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8"/>
    </row>
    <row r="169" spans="1:19" x14ac:dyDescent="0.25">
      <c r="A169" s="2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8"/>
    </row>
  </sheetData>
  <autoFilter ref="A1:S169" xr:uid="{874A191A-70E2-4E12-B7D3-9A43C6CC8EEA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C920-8177-4EDB-8F5B-660727FED578}">
  <dimension ref="A1:S165"/>
  <sheetViews>
    <sheetView topLeftCell="F1" workbookViewId="0">
      <pane ySplit="1" topLeftCell="A146" activePane="bottomLeft" state="frozen"/>
      <selection pane="bottomLeft" activeCell="K168" sqref="K168"/>
    </sheetView>
  </sheetViews>
  <sheetFormatPr defaultRowHeight="15" x14ac:dyDescent="0.25"/>
  <cols>
    <col min="1" max="1" width="13.42578125" style="3" customWidth="1"/>
    <col min="2" max="2" width="13.42578125" customWidth="1"/>
    <col min="4" max="4" width="12.7109375" customWidth="1"/>
    <col min="5" max="5" width="12" customWidth="1"/>
    <col min="6" max="6" width="13.85546875" customWidth="1"/>
    <col min="9" max="9" width="13.85546875" customWidth="1"/>
    <col min="10" max="11" width="13" customWidth="1"/>
    <col min="12" max="12" width="11.7109375" customWidth="1"/>
    <col min="13" max="13" width="12.140625" customWidth="1"/>
    <col min="14" max="14" width="11.28515625" customWidth="1"/>
    <col min="17" max="17" width="15" style="6" customWidth="1"/>
    <col min="18" max="19" width="19.140625" style="6" customWidth="1"/>
  </cols>
  <sheetData>
    <row r="1" spans="1:19" s="4" customFormat="1" ht="30.75" thickBot="1" x14ac:dyDescent="0.3">
      <c r="A1" s="9" t="s">
        <v>190</v>
      </c>
      <c r="B1" s="9" t="s">
        <v>189</v>
      </c>
      <c r="C1" s="9" t="s">
        <v>191</v>
      </c>
      <c r="D1" s="9" t="s">
        <v>203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221</v>
      </c>
      <c r="L1" s="9" t="s">
        <v>198</v>
      </c>
      <c r="M1" s="9" t="s">
        <v>199</v>
      </c>
      <c r="N1" s="9" t="s">
        <v>200</v>
      </c>
      <c r="O1" s="9" t="s">
        <v>201</v>
      </c>
      <c r="Q1" s="9" t="s">
        <v>183</v>
      </c>
      <c r="R1" s="9" t="s">
        <v>184</v>
      </c>
      <c r="S1" s="9" t="s">
        <v>185</v>
      </c>
    </row>
    <row r="2" spans="1:19" s="3" customFormat="1" x14ac:dyDescent="0.25">
      <c r="A2" s="5" t="s">
        <v>20</v>
      </c>
      <c r="B2" s="6" t="s">
        <v>17</v>
      </c>
      <c r="C2" s="6" t="s">
        <v>19</v>
      </c>
      <c r="D2" s="6">
        <v>10</v>
      </c>
      <c r="E2" s="6">
        <v>2410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I2+J2</f>
        <v>0</v>
      </c>
      <c r="L2" s="6">
        <v>2410</v>
      </c>
      <c r="M2" s="6">
        <v>0</v>
      </c>
      <c r="N2" s="6">
        <v>24</v>
      </c>
      <c r="O2" s="8">
        <v>0</v>
      </c>
      <c r="Q2" s="10">
        <v>2129</v>
      </c>
      <c r="R2" s="10">
        <f>Q2*(I2+J2)</f>
        <v>0</v>
      </c>
      <c r="S2" s="10">
        <f>Q2*M2</f>
        <v>0</v>
      </c>
    </row>
    <row r="3" spans="1:19" s="3" customFormat="1" x14ac:dyDescent="0.25">
      <c r="A3" s="5" t="s">
        <v>21</v>
      </c>
      <c r="B3" s="6" t="s">
        <v>16</v>
      </c>
      <c r="C3" s="6" t="s">
        <v>19</v>
      </c>
      <c r="D3" s="6">
        <v>10</v>
      </c>
      <c r="E3" s="6">
        <v>22106</v>
      </c>
      <c r="F3" s="6">
        <v>660859</v>
      </c>
      <c r="G3" s="6">
        <v>0</v>
      </c>
      <c r="H3" s="6">
        <v>0</v>
      </c>
      <c r="I3" s="6">
        <v>648359</v>
      </c>
      <c r="J3" s="6">
        <v>50</v>
      </c>
      <c r="K3" s="6">
        <f t="shared" ref="K3:K66" si="0">I3+J3</f>
        <v>648409</v>
      </c>
      <c r="L3" s="6">
        <v>34556</v>
      </c>
      <c r="M3" s="6">
        <v>60415.782608695699</v>
      </c>
      <c r="N3" s="6">
        <v>24</v>
      </c>
      <c r="O3" s="8">
        <f t="shared" ref="O3:O66" si="1">(M3/(I3+J3))*N3</f>
        <v>2.2362101429941545</v>
      </c>
      <c r="Q3" s="10">
        <v>2129</v>
      </c>
      <c r="R3" s="10">
        <f t="shared" ref="R3:R66" si="2">Q3*(I3+J3)</f>
        <v>1380462761</v>
      </c>
      <c r="S3" s="10">
        <f t="shared" ref="S3:S66" si="3">Q3*M3</f>
        <v>128625201.17391315</v>
      </c>
    </row>
    <row r="4" spans="1:19" s="3" customFormat="1" x14ac:dyDescent="0.25">
      <c r="A4" s="5" t="s">
        <v>22</v>
      </c>
      <c r="B4" s="6" t="s">
        <v>17</v>
      </c>
      <c r="C4" s="6" t="s">
        <v>19</v>
      </c>
      <c r="D4" s="6">
        <v>10</v>
      </c>
      <c r="E4" s="6">
        <v>7276</v>
      </c>
      <c r="F4" s="6">
        <v>19950</v>
      </c>
      <c r="G4" s="6">
        <v>0</v>
      </c>
      <c r="H4" s="6">
        <v>0</v>
      </c>
      <c r="I4" s="6">
        <v>15850</v>
      </c>
      <c r="J4" s="6">
        <v>0</v>
      </c>
      <c r="K4" s="6">
        <f t="shared" si="0"/>
        <v>15850</v>
      </c>
      <c r="L4" s="6">
        <v>11376</v>
      </c>
      <c r="M4" s="6">
        <v>11278.5</v>
      </c>
      <c r="N4" s="6">
        <v>24</v>
      </c>
      <c r="O4" s="8">
        <f t="shared" si="1"/>
        <v>17.077854889589904</v>
      </c>
      <c r="Q4" s="10">
        <v>2129</v>
      </c>
      <c r="R4" s="10">
        <f t="shared" si="2"/>
        <v>33744650</v>
      </c>
      <c r="S4" s="10">
        <f t="shared" si="3"/>
        <v>24011926.5</v>
      </c>
    </row>
    <row r="5" spans="1:19" s="3" customFormat="1" x14ac:dyDescent="0.25">
      <c r="A5" s="5" t="s">
        <v>23</v>
      </c>
      <c r="B5" s="6" t="s">
        <v>17</v>
      </c>
      <c r="C5" s="6" t="s">
        <v>19</v>
      </c>
      <c r="D5" s="6">
        <v>10</v>
      </c>
      <c r="E5" s="6">
        <v>1320</v>
      </c>
      <c r="F5" s="6">
        <v>0</v>
      </c>
      <c r="G5" s="6">
        <v>0</v>
      </c>
      <c r="H5" s="6">
        <v>0</v>
      </c>
      <c r="I5" s="6">
        <v>150</v>
      </c>
      <c r="J5" s="6">
        <v>0</v>
      </c>
      <c r="K5" s="6">
        <f t="shared" si="0"/>
        <v>150</v>
      </c>
      <c r="L5" s="6">
        <v>1170</v>
      </c>
      <c r="M5" s="6">
        <v>1220</v>
      </c>
      <c r="N5" s="6">
        <v>24</v>
      </c>
      <c r="O5" s="8">
        <f t="shared" si="1"/>
        <v>195.2</v>
      </c>
      <c r="Q5" s="10">
        <v>2131</v>
      </c>
      <c r="R5" s="10">
        <f t="shared" si="2"/>
        <v>319650</v>
      </c>
      <c r="S5" s="10">
        <f t="shared" si="3"/>
        <v>2599820</v>
      </c>
    </row>
    <row r="6" spans="1:19" s="3" customFormat="1" x14ac:dyDescent="0.25">
      <c r="A6" s="5" t="s">
        <v>24</v>
      </c>
      <c r="B6" s="6" t="s">
        <v>17</v>
      </c>
      <c r="C6" s="6" t="s">
        <v>19</v>
      </c>
      <c r="D6" s="6">
        <v>10</v>
      </c>
      <c r="E6" s="6">
        <v>14318</v>
      </c>
      <c r="F6" s="6">
        <v>0</v>
      </c>
      <c r="G6" s="6">
        <v>0</v>
      </c>
      <c r="H6" s="6">
        <v>0</v>
      </c>
      <c r="I6" s="6">
        <v>6543</v>
      </c>
      <c r="J6" s="6">
        <v>0</v>
      </c>
      <c r="K6" s="6">
        <f t="shared" si="0"/>
        <v>6543</v>
      </c>
      <c r="L6" s="6">
        <v>7775</v>
      </c>
      <c r="M6" s="6">
        <v>10310</v>
      </c>
      <c r="N6" s="6">
        <v>24</v>
      </c>
      <c r="O6" s="8">
        <f t="shared" si="1"/>
        <v>37.817514901421362</v>
      </c>
      <c r="Q6" s="10">
        <v>2131</v>
      </c>
      <c r="R6" s="10">
        <f t="shared" si="2"/>
        <v>13943133</v>
      </c>
      <c r="S6" s="10">
        <f t="shared" si="3"/>
        <v>21970610</v>
      </c>
    </row>
    <row r="7" spans="1:19" x14ac:dyDescent="0.25">
      <c r="A7" s="5" t="s">
        <v>25</v>
      </c>
      <c r="B7" s="6" t="s">
        <v>16</v>
      </c>
      <c r="C7" s="6" t="s">
        <v>19</v>
      </c>
      <c r="D7" s="6">
        <v>10</v>
      </c>
      <c r="E7" s="6">
        <v>30618</v>
      </c>
      <c r="F7" s="6">
        <v>101125</v>
      </c>
      <c r="G7" s="6">
        <v>0</v>
      </c>
      <c r="H7" s="6">
        <v>0</v>
      </c>
      <c r="I7" s="6">
        <v>99300</v>
      </c>
      <c r="J7" s="6">
        <v>2457</v>
      </c>
      <c r="K7" s="6">
        <f t="shared" si="0"/>
        <v>101757</v>
      </c>
      <c r="L7" s="6">
        <v>29986</v>
      </c>
      <c r="M7" s="6">
        <v>41307.157894736803</v>
      </c>
      <c r="N7" s="6">
        <v>24</v>
      </c>
      <c r="O7" s="8">
        <f t="shared" si="1"/>
        <v>9.7425414416077842</v>
      </c>
      <c r="Q7" s="10">
        <v>1910</v>
      </c>
      <c r="R7" s="10">
        <f>Q7*(I7+J7)</f>
        <v>194355870</v>
      </c>
      <c r="S7" s="10">
        <f>Q7*M7</f>
        <v>78896671.578947291</v>
      </c>
    </row>
    <row r="8" spans="1:19" x14ac:dyDescent="0.25">
      <c r="A8" s="5" t="s">
        <v>164</v>
      </c>
      <c r="B8" s="6" t="s">
        <v>16</v>
      </c>
      <c r="C8" s="6" t="s">
        <v>19</v>
      </c>
      <c r="D8" s="6">
        <v>10</v>
      </c>
      <c r="E8" s="6">
        <v>25525</v>
      </c>
      <c r="F8" s="6">
        <v>123500</v>
      </c>
      <c r="G8" s="6">
        <v>0</v>
      </c>
      <c r="H8" s="6">
        <v>0</v>
      </c>
      <c r="I8" s="6">
        <v>127525</v>
      </c>
      <c r="J8" s="6">
        <v>0</v>
      </c>
      <c r="K8" s="6">
        <f t="shared" si="0"/>
        <v>127525</v>
      </c>
      <c r="L8" s="6">
        <v>21500</v>
      </c>
      <c r="M8" s="6">
        <v>18430.9523809524</v>
      </c>
      <c r="N8" s="6">
        <v>24</v>
      </c>
      <c r="O8" s="8">
        <f t="shared" si="1"/>
        <v>3.468675609824408</v>
      </c>
      <c r="Q8" s="10">
        <v>1910</v>
      </c>
      <c r="R8" s="10">
        <f t="shared" si="2"/>
        <v>243572750</v>
      </c>
      <c r="S8" s="10">
        <f t="shared" si="3"/>
        <v>35203119.047619082</v>
      </c>
    </row>
    <row r="9" spans="1:19" x14ac:dyDescent="0.25">
      <c r="A9" s="5" t="s">
        <v>26</v>
      </c>
      <c r="B9" s="6" t="s">
        <v>16</v>
      </c>
      <c r="C9" s="6" t="s">
        <v>19</v>
      </c>
      <c r="D9" s="6">
        <v>10</v>
      </c>
      <c r="E9" s="6">
        <v>60590</v>
      </c>
      <c r="F9" s="6">
        <v>15164</v>
      </c>
      <c r="G9" s="6">
        <v>0</v>
      </c>
      <c r="H9" s="6">
        <v>0</v>
      </c>
      <c r="I9" s="6">
        <v>19554</v>
      </c>
      <c r="J9" s="6">
        <v>10</v>
      </c>
      <c r="K9" s="6">
        <f t="shared" si="0"/>
        <v>19564</v>
      </c>
      <c r="L9" s="6">
        <v>56190</v>
      </c>
      <c r="M9" s="6">
        <v>60268.307692307702</v>
      </c>
      <c r="N9" s="6">
        <v>24</v>
      </c>
      <c r="O9" s="8">
        <f t="shared" si="1"/>
        <v>73.933724423194889</v>
      </c>
      <c r="Q9" s="10">
        <v>2217</v>
      </c>
      <c r="R9" s="10">
        <f t="shared" si="2"/>
        <v>43373388</v>
      </c>
      <c r="S9" s="10">
        <f t="shared" si="3"/>
        <v>133614838.15384617</v>
      </c>
    </row>
    <row r="10" spans="1:19" x14ac:dyDescent="0.25">
      <c r="A10" s="5" t="s">
        <v>27</v>
      </c>
      <c r="B10" s="6" t="s">
        <v>17</v>
      </c>
      <c r="C10" s="6" t="s">
        <v>19</v>
      </c>
      <c r="D10" s="6">
        <v>10</v>
      </c>
      <c r="E10" s="6">
        <v>17078</v>
      </c>
      <c r="F10" s="6">
        <v>3300</v>
      </c>
      <c r="G10" s="6">
        <v>0</v>
      </c>
      <c r="H10" s="6">
        <v>0</v>
      </c>
      <c r="I10" s="6">
        <v>18800</v>
      </c>
      <c r="J10" s="6">
        <v>27</v>
      </c>
      <c r="K10" s="6">
        <f t="shared" si="0"/>
        <v>18827</v>
      </c>
      <c r="L10" s="6">
        <v>1551</v>
      </c>
      <c r="M10" s="6">
        <v>8827</v>
      </c>
      <c r="N10" s="6">
        <v>24</v>
      </c>
      <c r="O10" s="8">
        <f t="shared" si="1"/>
        <v>11.252350347904605</v>
      </c>
      <c r="Q10" s="10">
        <v>2131</v>
      </c>
      <c r="R10" s="10">
        <f t="shared" si="2"/>
        <v>40120337</v>
      </c>
      <c r="S10" s="10">
        <f t="shared" si="3"/>
        <v>18810337</v>
      </c>
    </row>
    <row r="11" spans="1:19" x14ac:dyDescent="0.25">
      <c r="A11" s="5" t="s">
        <v>28</v>
      </c>
      <c r="B11" s="6" t="s">
        <v>17</v>
      </c>
      <c r="C11" s="6" t="s">
        <v>19</v>
      </c>
      <c r="D11" s="6">
        <v>10</v>
      </c>
      <c r="E11" s="6">
        <v>1506</v>
      </c>
      <c r="F11" s="6">
        <v>1020</v>
      </c>
      <c r="G11" s="6">
        <v>0</v>
      </c>
      <c r="H11" s="6">
        <v>0</v>
      </c>
      <c r="I11" s="6">
        <v>225</v>
      </c>
      <c r="J11" s="6">
        <v>0</v>
      </c>
      <c r="K11" s="6">
        <f t="shared" si="0"/>
        <v>225</v>
      </c>
      <c r="L11" s="6">
        <v>2301</v>
      </c>
      <c r="M11" s="6">
        <v>2077.6666666666702</v>
      </c>
      <c r="N11" s="6">
        <v>24</v>
      </c>
      <c r="O11" s="8">
        <f t="shared" si="1"/>
        <v>221.61777777777814</v>
      </c>
      <c r="Q11" s="10">
        <v>2131</v>
      </c>
      <c r="R11" s="10">
        <f t="shared" si="2"/>
        <v>479475</v>
      </c>
      <c r="S11" s="10">
        <f t="shared" si="3"/>
        <v>4427507.6666666744</v>
      </c>
    </row>
    <row r="12" spans="1:19" x14ac:dyDescent="0.25">
      <c r="A12" s="5" t="s">
        <v>29</v>
      </c>
      <c r="B12" s="6" t="s">
        <v>16</v>
      </c>
      <c r="C12" s="6" t="s">
        <v>19</v>
      </c>
      <c r="D12" s="6">
        <v>10</v>
      </c>
      <c r="E12" s="6">
        <v>26455</v>
      </c>
      <c r="F12" s="6">
        <v>377575</v>
      </c>
      <c r="G12" s="6">
        <v>0</v>
      </c>
      <c r="H12" s="6">
        <v>0</v>
      </c>
      <c r="I12" s="6">
        <v>372050</v>
      </c>
      <c r="J12" s="6">
        <v>230</v>
      </c>
      <c r="K12" s="6">
        <f t="shared" si="0"/>
        <v>372280</v>
      </c>
      <c r="L12" s="6">
        <v>31750</v>
      </c>
      <c r="M12" s="6">
        <v>40810.347826087003</v>
      </c>
      <c r="N12" s="6">
        <v>24</v>
      </c>
      <c r="O12" s="8">
        <f t="shared" si="1"/>
        <v>2.6309453847267865</v>
      </c>
      <c r="Q12" s="10">
        <v>1691</v>
      </c>
      <c r="R12" s="10">
        <f t="shared" si="2"/>
        <v>629525480</v>
      </c>
      <c r="S12" s="10">
        <f t="shared" si="3"/>
        <v>69010298.173913121</v>
      </c>
    </row>
    <row r="13" spans="1:19" x14ac:dyDescent="0.25">
      <c r="A13" s="5" t="s">
        <v>30</v>
      </c>
      <c r="B13" s="6" t="s">
        <v>17</v>
      </c>
      <c r="C13" s="6" t="s">
        <v>19</v>
      </c>
      <c r="D13" s="6">
        <v>10</v>
      </c>
      <c r="E13" s="6">
        <v>3780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f t="shared" si="0"/>
        <v>0</v>
      </c>
      <c r="L13" s="6">
        <v>3780</v>
      </c>
      <c r="M13" s="6">
        <v>0</v>
      </c>
      <c r="N13" s="6">
        <v>24</v>
      </c>
      <c r="O13" s="8">
        <v>0</v>
      </c>
      <c r="Q13" s="10">
        <v>1694</v>
      </c>
      <c r="R13" s="10">
        <f t="shared" si="2"/>
        <v>0</v>
      </c>
      <c r="S13" s="10">
        <f t="shared" si="3"/>
        <v>0</v>
      </c>
    </row>
    <row r="14" spans="1:19" x14ac:dyDescent="0.25">
      <c r="A14" s="5" t="s">
        <v>32</v>
      </c>
      <c r="B14" s="6" t="s">
        <v>16</v>
      </c>
      <c r="C14" s="6" t="s">
        <v>19</v>
      </c>
      <c r="D14" s="6">
        <v>10</v>
      </c>
      <c r="E14" s="6">
        <v>11122</v>
      </c>
      <c r="F14" s="6">
        <v>46988</v>
      </c>
      <c r="G14" s="6">
        <v>0</v>
      </c>
      <c r="H14" s="6">
        <v>0</v>
      </c>
      <c r="I14" s="6">
        <v>50525</v>
      </c>
      <c r="J14" s="6">
        <v>0</v>
      </c>
      <c r="K14" s="6">
        <f t="shared" si="0"/>
        <v>50525</v>
      </c>
      <c r="L14" s="6">
        <v>7585</v>
      </c>
      <c r="M14" s="6">
        <v>8701.9523809523816</v>
      </c>
      <c r="N14" s="6">
        <v>24</v>
      </c>
      <c r="O14" s="8">
        <f t="shared" si="1"/>
        <v>4.1335350250936598</v>
      </c>
      <c r="Q14" s="10">
        <v>1890</v>
      </c>
      <c r="R14" s="10">
        <f t="shared" si="2"/>
        <v>95492250</v>
      </c>
      <c r="S14" s="10">
        <f t="shared" si="3"/>
        <v>16446690.000000002</v>
      </c>
    </row>
    <row r="15" spans="1:19" x14ac:dyDescent="0.25">
      <c r="A15" s="5" t="s">
        <v>33</v>
      </c>
      <c r="B15" s="6" t="s">
        <v>16</v>
      </c>
      <c r="C15" s="6" t="s">
        <v>19</v>
      </c>
      <c r="D15" s="6">
        <v>10</v>
      </c>
      <c r="E15" s="6">
        <v>16311</v>
      </c>
      <c r="F15" s="6">
        <v>332700</v>
      </c>
      <c r="G15" s="6">
        <v>0</v>
      </c>
      <c r="H15" s="6">
        <v>0</v>
      </c>
      <c r="I15" s="6">
        <v>335900</v>
      </c>
      <c r="J15" s="6">
        <v>200</v>
      </c>
      <c r="K15" s="6">
        <f t="shared" si="0"/>
        <v>336100</v>
      </c>
      <c r="L15" s="6">
        <v>12911</v>
      </c>
      <c r="M15" s="6">
        <v>41855.565217391297</v>
      </c>
      <c r="N15" s="6">
        <v>24</v>
      </c>
      <c r="O15" s="8">
        <f t="shared" si="1"/>
        <v>2.9887937078767961</v>
      </c>
      <c r="Q15" s="10">
        <v>2216</v>
      </c>
      <c r="R15" s="10">
        <f t="shared" si="2"/>
        <v>744797600</v>
      </c>
      <c r="S15" s="10">
        <f t="shared" si="3"/>
        <v>92751932.52173911</v>
      </c>
    </row>
    <row r="16" spans="1:19" x14ac:dyDescent="0.25">
      <c r="A16" s="5" t="s">
        <v>34</v>
      </c>
      <c r="B16" s="6" t="s">
        <v>17</v>
      </c>
      <c r="C16" s="6" t="s">
        <v>19</v>
      </c>
      <c r="D16" s="6">
        <v>10</v>
      </c>
      <c r="E16" s="6">
        <v>54905</v>
      </c>
      <c r="F16" s="6">
        <v>260000</v>
      </c>
      <c r="G16" s="6">
        <v>0</v>
      </c>
      <c r="H16" s="6">
        <v>0</v>
      </c>
      <c r="I16" s="6">
        <v>8000</v>
      </c>
      <c r="J16" s="6">
        <v>253441</v>
      </c>
      <c r="K16" s="6">
        <f t="shared" si="0"/>
        <v>261441</v>
      </c>
      <c r="L16" s="6">
        <v>53464</v>
      </c>
      <c r="M16" s="6">
        <v>45514.565217391297</v>
      </c>
      <c r="N16" s="6">
        <v>24</v>
      </c>
      <c r="O16" s="8">
        <f t="shared" si="1"/>
        <v>4.1781876798872064</v>
      </c>
      <c r="Q16" s="10">
        <v>2846</v>
      </c>
      <c r="R16" s="10">
        <f t="shared" si="2"/>
        <v>744061086</v>
      </c>
      <c r="S16" s="10">
        <f t="shared" si="3"/>
        <v>129534452.60869563</v>
      </c>
    </row>
    <row r="17" spans="1:19" x14ac:dyDescent="0.25">
      <c r="A17" s="5" t="s">
        <v>35</v>
      </c>
      <c r="B17" s="6" t="s">
        <v>16</v>
      </c>
      <c r="C17" s="6" t="s">
        <v>19</v>
      </c>
      <c r="D17" s="6">
        <v>10</v>
      </c>
      <c r="E17" s="6">
        <v>12798</v>
      </c>
      <c r="F17" s="6">
        <v>318750</v>
      </c>
      <c r="G17" s="6">
        <v>0</v>
      </c>
      <c r="H17" s="6">
        <v>0</v>
      </c>
      <c r="I17" s="6">
        <v>321190</v>
      </c>
      <c r="J17" s="6">
        <v>5</v>
      </c>
      <c r="K17" s="6">
        <f t="shared" si="0"/>
        <v>321195</v>
      </c>
      <c r="L17" s="6">
        <v>10353</v>
      </c>
      <c r="M17" s="6">
        <v>21541.8636363636</v>
      </c>
      <c r="N17" s="6">
        <v>24</v>
      </c>
      <c r="O17" s="8">
        <f t="shared" si="1"/>
        <v>1.6096288151208034</v>
      </c>
      <c r="Q17" s="10">
        <v>2129</v>
      </c>
      <c r="R17" s="10">
        <f t="shared" si="2"/>
        <v>683824155</v>
      </c>
      <c r="S17" s="10">
        <f t="shared" si="3"/>
        <v>45862627.681818105</v>
      </c>
    </row>
    <row r="18" spans="1:19" x14ac:dyDescent="0.25">
      <c r="A18" s="5" t="s">
        <v>36</v>
      </c>
      <c r="B18" s="6" t="s">
        <v>17</v>
      </c>
      <c r="C18" s="6" t="s">
        <v>19</v>
      </c>
      <c r="D18" s="6">
        <v>10</v>
      </c>
      <c r="E18" s="6">
        <v>3025</v>
      </c>
      <c r="F18" s="6">
        <v>1575</v>
      </c>
      <c r="G18" s="6">
        <v>0</v>
      </c>
      <c r="H18" s="6">
        <v>0</v>
      </c>
      <c r="I18" s="6">
        <v>950</v>
      </c>
      <c r="J18" s="6">
        <v>0</v>
      </c>
      <c r="K18" s="6">
        <f t="shared" si="0"/>
        <v>950</v>
      </c>
      <c r="L18" s="6">
        <v>3650</v>
      </c>
      <c r="M18" s="6">
        <v>3758.3333333333298</v>
      </c>
      <c r="N18" s="6">
        <v>24</v>
      </c>
      <c r="O18" s="8">
        <f t="shared" si="1"/>
        <v>94.947368421052545</v>
      </c>
      <c r="Q18" s="10">
        <v>2129</v>
      </c>
      <c r="R18" s="10">
        <f t="shared" si="2"/>
        <v>2022550</v>
      </c>
      <c r="S18" s="10">
        <f t="shared" si="3"/>
        <v>8001491.6666666595</v>
      </c>
    </row>
    <row r="19" spans="1:19" x14ac:dyDescent="0.25">
      <c r="A19" s="5" t="s">
        <v>37</v>
      </c>
      <c r="B19" s="6" t="s">
        <v>16</v>
      </c>
      <c r="C19" s="6" t="s">
        <v>19</v>
      </c>
      <c r="D19" s="6">
        <v>10</v>
      </c>
      <c r="E19" s="6">
        <v>17574</v>
      </c>
      <c r="F19" s="6">
        <v>230800</v>
      </c>
      <c r="G19" s="6">
        <v>0</v>
      </c>
      <c r="H19" s="6">
        <v>0</v>
      </c>
      <c r="I19" s="6">
        <v>0</v>
      </c>
      <c r="J19" s="6">
        <v>212850</v>
      </c>
      <c r="K19" s="6">
        <f t="shared" si="0"/>
        <v>212850</v>
      </c>
      <c r="L19" s="6">
        <v>35524</v>
      </c>
      <c r="M19" s="6">
        <v>52883.136363636404</v>
      </c>
      <c r="N19" s="6">
        <v>24</v>
      </c>
      <c r="O19" s="8">
        <f t="shared" si="1"/>
        <v>5.9628624511499826</v>
      </c>
      <c r="Q19" s="10">
        <v>2263</v>
      </c>
      <c r="R19" s="10">
        <f t="shared" si="2"/>
        <v>481679550</v>
      </c>
      <c r="S19" s="10">
        <f t="shared" si="3"/>
        <v>119674537.59090918</v>
      </c>
    </row>
    <row r="20" spans="1:19" x14ac:dyDescent="0.25">
      <c r="A20" s="5" t="s">
        <v>38</v>
      </c>
      <c r="B20" s="6" t="s">
        <v>17</v>
      </c>
      <c r="C20" s="6" t="s">
        <v>19</v>
      </c>
      <c r="D20" s="6">
        <v>10</v>
      </c>
      <c r="E20" s="6">
        <v>28774</v>
      </c>
      <c r="F20" s="6">
        <v>34163</v>
      </c>
      <c r="G20" s="6">
        <v>0</v>
      </c>
      <c r="H20" s="6">
        <v>0</v>
      </c>
      <c r="I20" s="6">
        <v>0</v>
      </c>
      <c r="J20" s="6">
        <v>31393</v>
      </c>
      <c r="K20" s="6">
        <f t="shared" si="0"/>
        <v>31393</v>
      </c>
      <c r="L20" s="6">
        <v>31544</v>
      </c>
      <c r="M20" s="6">
        <v>39457.071428571398</v>
      </c>
      <c r="N20" s="6">
        <v>24</v>
      </c>
      <c r="O20" s="8">
        <f t="shared" si="1"/>
        <v>30.164995836196397</v>
      </c>
      <c r="Q20" s="10">
        <v>2263</v>
      </c>
      <c r="R20" s="10">
        <f t="shared" si="2"/>
        <v>71042359</v>
      </c>
      <c r="S20" s="10">
        <f t="shared" si="3"/>
        <v>89291352.642857075</v>
      </c>
    </row>
    <row r="21" spans="1:19" x14ac:dyDescent="0.25">
      <c r="A21" s="5" t="s">
        <v>39</v>
      </c>
      <c r="B21" s="6" t="s">
        <v>17</v>
      </c>
      <c r="C21" s="6" t="s">
        <v>19</v>
      </c>
      <c r="D21" s="6">
        <v>10</v>
      </c>
      <c r="E21" s="6">
        <v>3196</v>
      </c>
      <c r="F21" s="6">
        <v>5000</v>
      </c>
      <c r="G21" s="6">
        <v>0</v>
      </c>
      <c r="H21" s="6">
        <v>0</v>
      </c>
      <c r="I21" s="6">
        <v>0</v>
      </c>
      <c r="J21" s="6">
        <v>6200</v>
      </c>
      <c r="K21" s="6">
        <f t="shared" si="0"/>
        <v>6200</v>
      </c>
      <c r="L21" s="6">
        <v>1996</v>
      </c>
      <c r="M21" s="6">
        <v>3018.2222222222204</v>
      </c>
      <c r="N21" s="6">
        <v>24</v>
      </c>
      <c r="O21" s="8">
        <f t="shared" si="1"/>
        <v>11.683440860215047</v>
      </c>
      <c r="Q21" s="10">
        <v>2732</v>
      </c>
      <c r="R21" s="10">
        <f t="shared" si="2"/>
        <v>16938400</v>
      </c>
      <c r="S21" s="10">
        <f t="shared" si="3"/>
        <v>8245783.1111111064</v>
      </c>
    </row>
    <row r="22" spans="1:19" x14ac:dyDescent="0.25">
      <c r="A22" s="5" t="s">
        <v>40</v>
      </c>
      <c r="B22" s="6" t="s">
        <v>17</v>
      </c>
      <c r="C22" s="6" t="s">
        <v>19</v>
      </c>
      <c r="D22" s="6">
        <v>10</v>
      </c>
      <c r="E22" s="6">
        <v>24730</v>
      </c>
      <c r="F22" s="6">
        <v>9625</v>
      </c>
      <c r="G22" s="6">
        <v>0</v>
      </c>
      <c r="H22" s="6">
        <v>0</v>
      </c>
      <c r="I22" s="6">
        <v>0</v>
      </c>
      <c r="J22" s="6">
        <v>13475</v>
      </c>
      <c r="K22" s="6">
        <f t="shared" si="0"/>
        <v>13475</v>
      </c>
      <c r="L22" s="6">
        <v>20880</v>
      </c>
      <c r="M22" s="6">
        <v>27135.555555555598</v>
      </c>
      <c r="N22" s="6">
        <v>24</v>
      </c>
      <c r="O22" s="8">
        <f t="shared" si="1"/>
        <v>48.330488559060065</v>
      </c>
      <c r="Q22" s="10">
        <v>2962</v>
      </c>
      <c r="R22" s="10">
        <f t="shared" si="2"/>
        <v>39912950</v>
      </c>
      <c r="S22" s="10">
        <f t="shared" si="3"/>
        <v>80375515.555555686</v>
      </c>
    </row>
    <row r="23" spans="1:19" x14ac:dyDescent="0.25">
      <c r="A23" s="5" t="s">
        <v>41</v>
      </c>
      <c r="B23" s="6" t="s">
        <v>17</v>
      </c>
      <c r="C23" s="6" t="s">
        <v>19</v>
      </c>
      <c r="D23" s="6">
        <v>10</v>
      </c>
      <c r="E23" s="6">
        <v>124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f t="shared" si="0"/>
        <v>0</v>
      </c>
      <c r="L23" s="6">
        <v>124</v>
      </c>
      <c r="M23" s="6">
        <v>0</v>
      </c>
      <c r="N23" s="6">
        <v>24</v>
      </c>
      <c r="O23" s="8">
        <v>0</v>
      </c>
      <c r="Q23" s="10">
        <v>2263</v>
      </c>
      <c r="R23" s="10">
        <f t="shared" si="2"/>
        <v>0</v>
      </c>
      <c r="S23" s="10">
        <f t="shared" si="3"/>
        <v>0</v>
      </c>
    </row>
    <row r="24" spans="1:19" x14ac:dyDescent="0.25">
      <c r="A24" s="5" t="s">
        <v>42</v>
      </c>
      <c r="B24" s="6" t="s">
        <v>17</v>
      </c>
      <c r="C24" s="6" t="s">
        <v>19</v>
      </c>
      <c r="D24" s="6">
        <v>10</v>
      </c>
      <c r="E24" s="6">
        <v>770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si="0"/>
        <v>0</v>
      </c>
      <c r="L24" s="6">
        <v>770</v>
      </c>
      <c r="M24" s="6">
        <v>0</v>
      </c>
      <c r="N24" s="6">
        <v>24</v>
      </c>
      <c r="O24" s="8">
        <v>0</v>
      </c>
      <c r="Q24" s="10">
        <v>2263</v>
      </c>
      <c r="R24" s="10">
        <f t="shared" si="2"/>
        <v>0</v>
      </c>
      <c r="S24" s="10">
        <f t="shared" si="3"/>
        <v>0</v>
      </c>
    </row>
    <row r="25" spans="1:19" x14ac:dyDescent="0.25">
      <c r="A25" s="5" t="s">
        <v>43</v>
      </c>
      <c r="B25" s="6" t="s">
        <v>17</v>
      </c>
      <c r="C25" s="6" t="s">
        <v>19</v>
      </c>
      <c r="D25" s="6">
        <v>10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f t="shared" si="0"/>
        <v>0</v>
      </c>
      <c r="L25" s="6">
        <v>0</v>
      </c>
      <c r="M25" s="6">
        <v>0</v>
      </c>
      <c r="N25" s="6">
        <v>24</v>
      </c>
      <c r="O25" s="8">
        <v>0</v>
      </c>
      <c r="Q25" s="10">
        <v>2268</v>
      </c>
      <c r="R25" s="10">
        <f t="shared" si="2"/>
        <v>0</v>
      </c>
      <c r="S25" s="10">
        <f t="shared" si="3"/>
        <v>0</v>
      </c>
    </row>
    <row r="26" spans="1:19" x14ac:dyDescent="0.25">
      <c r="A26" s="5" t="s">
        <v>165</v>
      </c>
      <c r="B26" s="6" t="s">
        <v>16</v>
      </c>
      <c r="C26" s="6" t="s">
        <v>19</v>
      </c>
      <c r="D26" s="6">
        <v>10</v>
      </c>
      <c r="E26" s="6">
        <v>26255</v>
      </c>
      <c r="F26" s="6">
        <v>70700</v>
      </c>
      <c r="G26" s="6">
        <v>0</v>
      </c>
      <c r="H26" s="6">
        <v>0</v>
      </c>
      <c r="I26" s="6">
        <v>84450</v>
      </c>
      <c r="J26" s="6">
        <v>0</v>
      </c>
      <c r="K26" s="6">
        <f t="shared" si="0"/>
        <v>84450</v>
      </c>
      <c r="L26" s="6">
        <v>12505</v>
      </c>
      <c r="M26" s="6">
        <v>23891.7647058824</v>
      </c>
      <c r="N26" s="6">
        <v>24</v>
      </c>
      <c r="O26" s="8">
        <f t="shared" si="1"/>
        <v>6.7898443213875384</v>
      </c>
      <c r="Q26" s="10">
        <v>2268</v>
      </c>
      <c r="R26" s="10">
        <f t="shared" si="2"/>
        <v>191532600</v>
      </c>
      <c r="S26" s="10">
        <f t="shared" si="3"/>
        <v>54186522.352941282</v>
      </c>
    </row>
    <row r="27" spans="1:19" x14ac:dyDescent="0.25">
      <c r="A27" s="5" t="s">
        <v>44</v>
      </c>
      <c r="B27" s="6" t="s">
        <v>17</v>
      </c>
      <c r="C27" s="6" t="s">
        <v>19</v>
      </c>
      <c r="D27" s="6">
        <v>10</v>
      </c>
      <c r="E27" s="6">
        <v>4936</v>
      </c>
      <c r="F27" s="6">
        <v>4714</v>
      </c>
      <c r="G27" s="6">
        <v>0</v>
      </c>
      <c r="H27" s="6">
        <v>0</v>
      </c>
      <c r="I27" s="6">
        <v>7158</v>
      </c>
      <c r="J27" s="6">
        <v>0</v>
      </c>
      <c r="K27" s="6">
        <f t="shared" si="0"/>
        <v>7158</v>
      </c>
      <c r="L27" s="6">
        <v>2492</v>
      </c>
      <c r="M27" s="6">
        <v>4852.4000000000005</v>
      </c>
      <c r="N27" s="6">
        <v>24</v>
      </c>
      <c r="O27" s="8">
        <f t="shared" si="1"/>
        <v>16.269572506286675</v>
      </c>
      <c r="Q27" s="10">
        <v>1956</v>
      </c>
      <c r="R27" s="10">
        <f t="shared" si="2"/>
        <v>14001048</v>
      </c>
      <c r="S27" s="10">
        <f t="shared" si="3"/>
        <v>9491294.4000000004</v>
      </c>
    </row>
    <row r="28" spans="1:19" x14ac:dyDescent="0.25">
      <c r="A28" s="5" t="s">
        <v>45</v>
      </c>
      <c r="B28" s="6" t="s">
        <v>16</v>
      </c>
      <c r="C28" s="6" t="s">
        <v>19</v>
      </c>
      <c r="D28" s="6">
        <v>10</v>
      </c>
      <c r="E28" s="6">
        <v>34885</v>
      </c>
      <c r="F28" s="6">
        <v>268500</v>
      </c>
      <c r="G28" s="6">
        <v>0</v>
      </c>
      <c r="H28" s="6">
        <v>0</v>
      </c>
      <c r="I28" s="6">
        <v>0</v>
      </c>
      <c r="J28" s="6">
        <v>270000</v>
      </c>
      <c r="K28" s="6">
        <f t="shared" si="0"/>
        <v>270000</v>
      </c>
      <c r="L28" s="6">
        <v>33385</v>
      </c>
      <c r="M28" s="6">
        <v>30370.869565217399</v>
      </c>
      <c r="N28" s="6">
        <v>24</v>
      </c>
      <c r="O28" s="8">
        <f t="shared" si="1"/>
        <v>2.6996328502415468</v>
      </c>
      <c r="Q28" s="10">
        <v>2031</v>
      </c>
      <c r="R28" s="10">
        <f t="shared" si="2"/>
        <v>548370000</v>
      </c>
      <c r="S28" s="10">
        <f t="shared" si="3"/>
        <v>61683236.086956538</v>
      </c>
    </row>
    <row r="29" spans="1:19" x14ac:dyDescent="0.25">
      <c r="A29" s="5" t="s">
        <v>47</v>
      </c>
      <c r="B29" s="6" t="s">
        <v>17</v>
      </c>
      <c r="C29" s="6" t="s">
        <v>19</v>
      </c>
      <c r="D29" s="6">
        <v>10</v>
      </c>
      <c r="E29" s="6">
        <v>3033</v>
      </c>
      <c r="F29" s="6">
        <v>0</v>
      </c>
      <c r="G29" s="6">
        <v>0</v>
      </c>
      <c r="H29" s="6">
        <v>0</v>
      </c>
      <c r="I29" s="6">
        <v>150</v>
      </c>
      <c r="J29" s="6">
        <v>0</v>
      </c>
      <c r="K29" s="6">
        <f t="shared" si="0"/>
        <v>150</v>
      </c>
      <c r="L29" s="6">
        <v>2883</v>
      </c>
      <c r="M29" s="6">
        <v>2883</v>
      </c>
      <c r="N29" s="6">
        <v>24</v>
      </c>
      <c r="O29" s="8">
        <f t="shared" si="1"/>
        <v>461.28</v>
      </c>
      <c r="Q29" s="10">
        <v>2179</v>
      </c>
      <c r="R29" s="10">
        <f t="shared" si="2"/>
        <v>326850</v>
      </c>
      <c r="S29" s="10">
        <f t="shared" si="3"/>
        <v>6282057</v>
      </c>
    </row>
    <row r="30" spans="1:19" x14ac:dyDescent="0.25">
      <c r="A30" s="5" t="s">
        <v>48</v>
      </c>
      <c r="B30" s="6" t="s">
        <v>17</v>
      </c>
      <c r="C30" s="6" t="s">
        <v>19</v>
      </c>
      <c r="D30" s="6">
        <v>10</v>
      </c>
      <c r="E30" s="6">
        <v>1495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f t="shared" si="0"/>
        <v>0</v>
      </c>
      <c r="L30" s="6">
        <v>1495</v>
      </c>
      <c r="M30" s="6">
        <v>0</v>
      </c>
      <c r="N30" s="6">
        <v>24</v>
      </c>
      <c r="O30" s="8">
        <v>0</v>
      </c>
      <c r="Q30" s="10">
        <v>2179</v>
      </c>
      <c r="R30" s="10">
        <f t="shared" si="2"/>
        <v>0</v>
      </c>
      <c r="S30" s="10">
        <f t="shared" si="3"/>
        <v>0</v>
      </c>
    </row>
    <row r="31" spans="1:19" x14ac:dyDescent="0.25">
      <c r="A31" s="5" t="s">
        <v>46</v>
      </c>
      <c r="B31" s="6" t="s">
        <v>17</v>
      </c>
      <c r="C31" s="6" t="s">
        <v>19</v>
      </c>
      <c r="D31" s="6">
        <v>10</v>
      </c>
      <c r="E31" s="6">
        <v>2240</v>
      </c>
      <c r="F31" s="6">
        <v>0</v>
      </c>
      <c r="G31" s="6">
        <v>0</v>
      </c>
      <c r="H31" s="6">
        <v>0</v>
      </c>
      <c r="I31" s="6">
        <v>175</v>
      </c>
      <c r="J31" s="6">
        <v>0</v>
      </c>
      <c r="K31" s="6">
        <f t="shared" si="0"/>
        <v>175</v>
      </c>
      <c r="L31" s="6">
        <v>2065</v>
      </c>
      <c r="M31" s="6">
        <v>2090</v>
      </c>
      <c r="N31" s="6">
        <v>24</v>
      </c>
      <c r="O31" s="8">
        <f t="shared" si="1"/>
        <v>286.62857142857143</v>
      </c>
      <c r="Q31" s="10">
        <v>2179</v>
      </c>
      <c r="R31" s="10">
        <f t="shared" si="2"/>
        <v>381325</v>
      </c>
      <c r="S31" s="10">
        <f t="shared" si="3"/>
        <v>4554110</v>
      </c>
    </row>
    <row r="32" spans="1:19" x14ac:dyDescent="0.25">
      <c r="A32" s="5" t="s">
        <v>49</v>
      </c>
      <c r="B32" s="6" t="s">
        <v>16</v>
      </c>
      <c r="C32" s="6" t="s">
        <v>19</v>
      </c>
      <c r="D32" s="6">
        <v>10</v>
      </c>
      <c r="E32" s="6">
        <v>12133</v>
      </c>
      <c r="F32" s="6">
        <v>103750</v>
      </c>
      <c r="G32" s="6">
        <v>0</v>
      </c>
      <c r="H32" s="6">
        <v>0</v>
      </c>
      <c r="I32" s="6">
        <v>109940</v>
      </c>
      <c r="J32" s="6">
        <v>65</v>
      </c>
      <c r="K32" s="6">
        <f t="shared" si="0"/>
        <v>110005</v>
      </c>
      <c r="L32" s="6">
        <v>5878</v>
      </c>
      <c r="M32" s="6">
        <v>13191.695652173901</v>
      </c>
      <c r="N32" s="6">
        <v>24</v>
      </c>
      <c r="O32" s="8">
        <f t="shared" si="1"/>
        <v>2.8780573215051461</v>
      </c>
      <c r="Q32" s="10">
        <v>2179</v>
      </c>
      <c r="R32" s="10">
        <f t="shared" si="2"/>
        <v>239700895</v>
      </c>
      <c r="S32" s="10">
        <f t="shared" si="3"/>
        <v>28744704.826086931</v>
      </c>
    </row>
    <row r="33" spans="1:19" x14ac:dyDescent="0.25">
      <c r="A33" s="5" t="s">
        <v>166</v>
      </c>
      <c r="B33" s="6" t="s">
        <v>17</v>
      </c>
      <c r="C33" s="6" t="s">
        <v>19</v>
      </c>
      <c r="D33" s="6">
        <v>10</v>
      </c>
      <c r="E33" s="6">
        <v>2175</v>
      </c>
      <c r="F33" s="6">
        <v>0</v>
      </c>
      <c r="G33" s="6">
        <v>0</v>
      </c>
      <c r="H33" s="6">
        <v>0</v>
      </c>
      <c r="I33" s="6">
        <v>1400</v>
      </c>
      <c r="J33" s="6">
        <v>0</v>
      </c>
      <c r="K33" s="6">
        <f t="shared" si="0"/>
        <v>1400</v>
      </c>
      <c r="L33" s="6">
        <v>775</v>
      </c>
      <c r="M33" s="6">
        <v>1075</v>
      </c>
      <c r="N33" s="6">
        <v>24</v>
      </c>
      <c r="O33" s="8">
        <f t="shared" si="1"/>
        <v>18.428571428571431</v>
      </c>
      <c r="Q33" s="10">
        <v>3145</v>
      </c>
      <c r="R33" s="10">
        <f t="shared" si="2"/>
        <v>4403000</v>
      </c>
      <c r="S33" s="10">
        <f t="shared" si="3"/>
        <v>3380875</v>
      </c>
    </row>
    <row r="34" spans="1:19" x14ac:dyDescent="0.25">
      <c r="A34" s="5" t="s">
        <v>50</v>
      </c>
      <c r="B34" s="6" t="s">
        <v>17</v>
      </c>
      <c r="C34" s="6" t="s">
        <v>19</v>
      </c>
      <c r="D34" s="6">
        <v>10</v>
      </c>
      <c r="E34" s="6">
        <v>18892</v>
      </c>
      <c r="F34" s="6">
        <v>29441</v>
      </c>
      <c r="G34" s="6">
        <v>0</v>
      </c>
      <c r="H34" s="6">
        <v>0</v>
      </c>
      <c r="I34" s="6">
        <v>19850</v>
      </c>
      <c r="J34" s="6">
        <v>0</v>
      </c>
      <c r="K34" s="6">
        <f t="shared" si="0"/>
        <v>19850</v>
      </c>
      <c r="L34" s="6">
        <v>28483</v>
      </c>
      <c r="M34" s="6">
        <v>27041.625</v>
      </c>
      <c r="N34" s="6">
        <v>24</v>
      </c>
      <c r="O34" s="8">
        <f t="shared" si="1"/>
        <v>32.695163727959695</v>
      </c>
      <c r="Q34" s="10">
        <v>2179</v>
      </c>
      <c r="R34" s="10">
        <f t="shared" si="2"/>
        <v>43253150</v>
      </c>
      <c r="S34" s="10">
        <f t="shared" si="3"/>
        <v>58923700.875</v>
      </c>
    </row>
    <row r="35" spans="1:19" x14ac:dyDescent="0.25">
      <c r="A35" s="5" t="s">
        <v>51</v>
      </c>
      <c r="B35" s="6" t="s">
        <v>17</v>
      </c>
      <c r="C35" s="6" t="s">
        <v>19</v>
      </c>
      <c r="D35" s="6">
        <v>10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f t="shared" si="0"/>
        <v>0</v>
      </c>
      <c r="L35" s="6">
        <v>0</v>
      </c>
      <c r="M35" s="6">
        <v>0</v>
      </c>
      <c r="N35" s="6">
        <v>24</v>
      </c>
      <c r="O35" s="8">
        <v>0</v>
      </c>
      <c r="Q35" s="10">
        <v>2268</v>
      </c>
      <c r="R35" s="10">
        <f t="shared" si="2"/>
        <v>0</v>
      </c>
      <c r="S35" s="10">
        <f t="shared" si="3"/>
        <v>0</v>
      </c>
    </row>
    <row r="36" spans="1:19" x14ac:dyDescent="0.25">
      <c r="A36" s="5" t="s">
        <v>167</v>
      </c>
      <c r="B36" s="6" t="s">
        <v>17</v>
      </c>
      <c r="C36" s="6" t="s">
        <v>19</v>
      </c>
      <c r="D36" s="6">
        <v>10</v>
      </c>
      <c r="E36" s="6">
        <v>13750</v>
      </c>
      <c r="F36" s="6">
        <v>50000</v>
      </c>
      <c r="G36" s="6">
        <v>0</v>
      </c>
      <c r="H36" s="6">
        <v>0</v>
      </c>
      <c r="I36" s="6">
        <v>50000</v>
      </c>
      <c r="J36" s="6">
        <v>0</v>
      </c>
      <c r="K36" s="6">
        <f t="shared" si="0"/>
        <v>50000</v>
      </c>
      <c r="L36" s="6">
        <v>13750</v>
      </c>
      <c r="M36" s="6">
        <v>12333.333333333299</v>
      </c>
      <c r="N36" s="6">
        <v>24</v>
      </c>
      <c r="O36" s="8">
        <f t="shared" si="1"/>
        <v>5.9199999999999839</v>
      </c>
      <c r="Q36" s="10">
        <v>2268</v>
      </c>
      <c r="R36" s="10">
        <f t="shared" si="2"/>
        <v>113400000</v>
      </c>
      <c r="S36" s="10">
        <f t="shared" si="3"/>
        <v>27971999.999999922</v>
      </c>
    </row>
    <row r="37" spans="1:19" x14ac:dyDescent="0.25">
      <c r="A37" s="5" t="s">
        <v>52</v>
      </c>
      <c r="B37" s="6" t="s">
        <v>17</v>
      </c>
      <c r="C37" s="6" t="s">
        <v>19</v>
      </c>
      <c r="D37" s="6">
        <v>10</v>
      </c>
      <c r="E37" s="6">
        <v>71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f t="shared" si="0"/>
        <v>0</v>
      </c>
      <c r="L37" s="6">
        <v>71</v>
      </c>
      <c r="M37" s="6">
        <v>0</v>
      </c>
      <c r="N37" s="6">
        <v>24</v>
      </c>
      <c r="O37" s="8">
        <v>0</v>
      </c>
      <c r="Q37" s="10">
        <v>1956</v>
      </c>
      <c r="R37" s="10">
        <f t="shared" si="2"/>
        <v>0</v>
      </c>
      <c r="S37" s="10">
        <f t="shared" si="3"/>
        <v>0</v>
      </c>
    </row>
    <row r="38" spans="1:19" x14ac:dyDescent="0.25">
      <c r="A38" s="5" t="s">
        <v>53</v>
      </c>
      <c r="B38" s="6" t="s">
        <v>17</v>
      </c>
      <c r="C38" s="6" t="s">
        <v>19</v>
      </c>
      <c r="D38" s="6">
        <v>10</v>
      </c>
      <c r="E38" s="6">
        <v>85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f t="shared" si="0"/>
        <v>0</v>
      </c>
      <c r="L38" s="6">
        <v>85</v>
      </c>
      <c r="M38" s="6">
        <v>0</v>
      </c>
      <c r="N38" s="6">
        <v>24</v>
      </c>
      <c r="O38" s="8">
        <v>0</v>
      </c>
      <c r="Q38" s="10">
        <v>2218</v>
      </c>
      <c r="R38" s="10">
        <f t="shared" si="2"/>
        <v>0</v>
      </c>
      <c r="S38" s="10">
        <f t="shared" si="3"/>
        <v>0</v>
      </c>
    </row>
    <row r="39" spans="1:19" x14ac:dyDescent="0.25">
      <c r="A39" s="5" t="s">
        <v>168</v>
      </c>
      <c r="B39" s="6" t="s">
        <v>17</v>
      </c>
      <c r="C39" s="6" t="s">
        <v>19</v>
      </c>
      <c r="D39" s="6">
        <v>10</v>
      </c>
      <c r="E39" s="6">
        <v>10525</v>
      </c>
      <c r="F39" s="6">
        <v>7250</v>
      </c>
      <c r="G39" s="6">
        <v>0</v>
      </c>
      <c r="H39" s="6">
        <v>0</v>
      </c>
      <c r="I39" s="6">
        <v>10125</v>
      </c>
      <c r="J39" s="6">
        <v>0</v>
      </c>
      <c r="K39" s="6">
        <f t="shared" si="0"/>
        <v>10125</v>
      </c>
      <c r="L39" s="6">
        <v>7650</v>
      </c>
      <c r="M39" s="6">
        <v>6604.1666666666697</v>
      </c>
      <c r="N39" s="6">
        <v>24</v>
      </c>
      <c r="O39" s="8">
        <f t="shared" si="1"/>
        <v>15.654320987654328</v>
      </c>
      <c r="Q39" s="10">
        <v>2218</v>
      </c>
      <c r="R39" s="10">
        <f t="shared" si="2"/>
        <v>22457250</v>
      </c>
      <c r="S39" s="10">
        <f t="shared" si="3"/>
        <v>14648041.666666673</v>
      </c>
    </row>
    <row r="40" spans="1:19" x14ac:dyDescent="0.25">
      <c r="A40" s="5" t="s">
        <v>54</v>
      </c>
      <c r="B40" s="6" t="s">
        <v>17</v>
      </c>
      <c r="C40" s="6" t="s">
        <v>19</v>
      </c>
      <c r="D40" s="6">
        <v>10</v>
      </c>
      <c r="E40" s="6">
        <v>88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f t="shared" si="0"/>
        <v>0</v>
      </c>
      <c r="L40" s="6">
        <v>88</v>
      </c>
      <c r="M40" s="6">
        <v>0</v>
      </c>
      <c r="N40" s="6">
        <v>24</v>
      </c>
      <c r="O40" s="8">
        <v>0</v>
      </c>
      <c r="Q40" s="10">
        <v>2218</v>
      </c>
      <c r="R40" s="10">
        <f t="shared" si="2"/>
        <v>0</v>
      </c>
      <c r="S40" s="10">
        <f t="shared" si="3"/>
        <v>0</v>
      </c>
    </row>
    <row r="41" spans="1:19" x14ac:dyDescent="0.25">
      <c r="A41" s="5" t="s">
        <v>56</v>
      </c>
      <c r="B41" s="6" t="s">
        <v>16</v>
      </c>
      <c r="C41" s="6" t="s">
        <v>19</v>
      </c>
      <c r="D41" s="6">
        <v>10</v>
      </c>
      <c r="E41" s="6">
        <v>10852</v>
      </c>
      <c r="F41" s="6">
        <v>80800</v>
      </c>
      <c r="G41" s="6">
        <v>0</v>
      </c>
      <c r="H41" s="6">
        <v>0</v>
      </c>
      <c r="I41" s="6">
        <v>49745</v>
      </c>
      <c r="J41" s="6">
        <v>22806</v>
      </c>
      <c r="K41" s="6">
        <f t="shared" si="0"/>
        <v>72551</v>
      </c>
      <c r="L41" s="6">
        <v>19101</v>
      </c>
      <c r="M41" s="6">
        <v>17918.631578947399</v>
      </c>
      <c r="N41" s="6">
        <v>24</v>
      </c>
      <c r="O41" s="8">
        <f t="shared" si="1"/>
        <v>5.9275152361061538</v>
      </c>
      <c r="Q41" s="10">
        <v>2245</v>
      </c>
      <c r="R41" s="10">
        <f t="shared" si="2"/>
        <v>162876995</v>
      </c>
      <c r="S41" s="10">
        <f t="shared" si="3"/>
        <v>40227327.894736908</v>
      </c>
    </row>
    <row r="42" spans="1:19" x14ac:dyDescent="0.25">
      <c r="A42" s="5" t="s">
        <v>57</v>
      </c>
      <c r="B42" s="6" t="s">
        <v>16</v>
      </c>
      <c r="C42" s="6" t="s">
        <v>19</v>
      </c>
      <c r="D42" s="6">
        <v>10</v>
      </c>
      <c r="E42" s="6">
        <v>11960</v>
      </c>
      <c r="F42" s="6">
        <v>199050</v>
      </c>
      <c r="G42" s="6">
        <v>0</v>
      </c>
      <c r="H42" s="6">
        <v>0</v>
      </c>
      <c r="I42" s="6">
        <v>0</v>
      </c>
      <c r="J42" s="6">
        <v>189896</v>
      </c>
      <c r="K42" s="6">
        <f t="shared" si="0"/>
        <v>189896</v>
      </c>
      <c r="L42" s="6">
        <v>21114</v>
      </c>
      <c r="M42" s="6">
        <v>20641.090909090901</v>
      </c>
      <c r="N42" s="6">
        <v>24</v>
      </c>
      <c r="O42" s="8">
        <f t="shared" si="1"/>
        <v>2.6087236267124196</v>
      </c>
      <c r="Q42" s="10">
        <v>1419</v>
      </c>
      <c r="R42" s="10">
        <f t="shared" si="2"/>
        <v>269462424</v>
      </c>
      <c r="S42" s="10">
        <f t="shared" si="3"/>
        <v>29289707.999999989</v>
      </c>
    </row>
    <row r="43" spans="1:19" x14ac:dyDescent="0.25">
      <c r="A43" s="5" t="s">
        <v>58</v>
      </c>
      <c r="B43" s="6" t="s">
        <v>17</v>
      </c>
      <c r="C43" s="6" t="s">
        <v>19</v>
      </c>
      <c r="D43" s="6">
        <v>10</v>
      </c>
      <c r="E43" s="6">
        <v>995</v>
      </c>
      <c r="F43" s="6">
        <v>3099</v>
      </c>
      <c r="G43" s="6">
        <v>0</v>
      </c>
      <c r="H43" s="6">
        <v>0</v>
      </c>
      <c r="I43" s="6">
        <v>0</v>
      </c>
      <c r="J43" s="6">
        <v>3099</v>
      </c>
      <c r="K43" s="6">
        <f t="shared" si="0"/>
        <v>3099</v>
      </c>
      <c r="L43" s="6">
        <v>995</v>
      </c>
      <c r="M43" s="6">
        <v>1447.5</v>
      </c>
      <c r="N43" s="6">
        <v>24</v>
      </c>
      <c r="O43" s="8">
        <f t="shared" si="1"/>
        <v>11.210067763794772</v>
      </c>
      <c r="Q43" s="10">
        <v>2765</v>
      </c>
      <c r="R43" s="10">
        <f t="shared" si="2"/>
        <v>8568735</v>
      </c>
      <c r="S43" s="10">
        <f t="shared" si="3"/>
        <v>4002337.5</v>
      </c>
    </row>
    <row r="44" spans="1:19" x14ac:dyDescent="0.25">
      <c r="A44" s="5" t="s">
        <v>59</v>
      </c>
      <c r="B44" s="6" t="s">
        <v>17</v>
      </c>
      <c r="C44" s="6" t="s">
        <v>19</v>
      </c>
      <c r="D44" s="6">
        <v>10</v>
      </c>
      <c r="E44" s="6">
        <v>13410</v>
      </c>
      <c r="F44" s="6">
        <v>13189</v>
      </c>
      <c r="G44" s="6">
        <v>0</v>
      </c>
      <c r="H44" s="6">
        <v>0</v>
      </c>
      <c r="I44" s="6">
        <v>0</v>
      </c>
      <c r="J44" s="6">
        <v>16629</v>
      </c>
      <c r="K44" s="6">
        <f t="shared" si="0"/>
        <v>16629</v>
      </c>
      <c r="L44" s="6">
        <v>9970</v>
      </c>
      <c r="M44" s="6">
        <v>12296.8125</v>
      </c>
      <c r="N44" s="6">
        <v>24</v>
      </c>
      <c r="O44" s="8">
        <f t="shared" si="1"/>
        <v>17.747519393830057</v>
      </c>
      <c r="Q44" s="10">
        <v>4592</v>
      </c>
      <c r="R44" s="10">
        <f t="shared" si="2"/>
        <v>76360368</v>
      </c>
      <c r="S44" s="10">
        <f t="shared" si="3"/>
        <v>56466963</v>
      </c>
    </row>
    <row r="45" spans="1:19" x14ac:dyDescent="0.25">
      <c r="A45" s="5" t="s">
        <v>60</v>
      </c>
      <c r="B45" s="6" t="s">
        <v>17</v>
      </c>
      <c r="C45" s="6" t="s">
        <v>19</v>
      </c>
      <c r="D45" s="6">
        <v>10</v>
      </c>
      <c r="E45" s="6">
        <v>11255</v>
      </c>
      <c r="F45" s="6">
        <v>34701</v>
      </c>
      <c r="G45" s="6">
        <v>0</v>
      </c>
      <c r="H45" s="6">
        <v>0</v>
      </c>
      <c r="I45" s="6">
        <v>0</v>
      </c>
      <c r="J45" s="6">
        <v>18325</v>
      </c>
      <c r="K45" s="6">
        <f t="shared" si="0"/>
        <v>18325</v>
      </c>
      <c r="L45" s="6">
        <v>27631</v>
      </c>
      <c r="M45" s="6">
        <v>23936.3636363636</v>
      </c>
      <c r="N45" s="6">
        <v>24</v>
      </c>
      <c r="O45" s="8">
        <f t="shared" si="1"/>
        <v>31.349125635619444</v>
      </c>
      <c r="Q45" s="10">
        <v>2297</v>
      </c>
      <c r="R45" s="10">
        <f t="shared" si="2"/>
        <v>42092525</v>
      </c>
      <c r="S45" s="10">
        <f t="shared" si="3"/>
        <v>54981827.272727191</v>
      </c>
    </row>
    <row r="46" spans="1:19" x14ac:dyDescent="0.25">
      <c r="A46" s="5" t="s">
        <v>61</v>
      </c>
      <c r="B46" s="6" t="s">
        <v>17</v>
      </c>
      <c r="C46" s="6" t="s">
        <v>19</v>
      </c>
      <c r="D46" s="6">
        <v>10</v>
      </c>
      <c r="E46" s="6">
        <v>2554</v>
      </c>
      <c r="F46" s="6">
        <v>0</v>
      </c>
      <c r="G46" s="6">
        <v>0</v>
      </c>
      <c r="H46" s="6">
        <v>0</v>
      </c>
      <c r="I46" s="6">
        <v>0</v>
      </c>
      <c r="J46" s="6">
        <v>1525</v>
      </c>
      <c r="K46" s="6">
        <f t="shared" si="0"/>
        <v>1525</v>
      </c>
      <c r="L46" s="6">
        <v>1029</v>
      </c>
      <c r="M46" s="6">
        <v>1779</v>
      </c>
      <c r="N46" s="6">
        <v>24</v>
      </c>
      <c r="O46" s="8">
        <f t="shared" si="1"/>
        <v>27.997377049180329</v>
      </c>
      <c r="Q46" s="10">
        <v>2616</v>
      </c>
      <c r="R46" s="10">
        <f t="shared" si="2"/>
        <v>3989400</v>
      </c>
      <c r="S46" s="10">
        <f t="shared" si="3"/>
        <v>4653864</v>
      </c>
    </row>
    <row r="47" spans="1:19" x14ac:dyDescent="0.25">
      <c r="A47" s="5" t="s">
        <v>62</v>
      </c>
      <c r="B47" s="6" t="s">
        <v>17</v>
      </c>
      <c r="C47" s="6" t="s">
        <v>19</v>
      </c>
      <c r="D47" s="6">
        <v>10</v>
      </c>
      <c r="E47" s="6">
        <v>7150</v>
      </c>
      <c r="F47" s="6">
        <v>0</v>
      </c>
      <c r="G47" s="6">
        <v>0</v>
      </c>
      <c r="H47" s="6">
        <v>0</v>
      </c>
      <c r="I47" s="6">
        <v>0</v>
      </c>
      <c r="J47" s="6">
        <v>1500</v>
      </c>
      <c r="K47" s="6">
        <f t="shared" si="0"/>
        <v>1500</v>
      </c>
      <c r="L47" s="6">
        <v>5650</v>
      </c>
      <c r="M47" s="6">
        <v>5650</v>
      </c>
      <c r="N47" s="6">
        <v>24</v>
      </c>
      <c r="O47" s="8">
        <f t="shared" si="1"/>
        <v>90.4</v>
      </c>
      <c r="Q47" s="10">
        <v>2616</v>
      </c>
      <c r="R47" s="10">
        <f t="shared" si="2"/>
        <v>3924000</v>
      </c>
      <c r="S47" s="10">
        <f t="shared" si="3"/>
        <v>14780400</v>
      </c>
    </row>
    <row r="48" spans="1:19" x14ac:dyDescent="0.25">
      <c r="A48" s="5" t="s">
        <v>63</v>
      </c>
      <c r="B48" s="6" t="s">
        <v>17</v>
      </c>
      <c r="C48" s="6" t="s">
        <v>19</v>
      </c>
      <c r="D48" s="6">
        <v>10</v>
      </c>
      <c r="E48" s="6">
        <v>40514</v>
      </c>
      <c r="F48" s="6">
        <v>77200</v>
      </c>
      <c r="G48" s="6">
        <v>0</v>
      </c>
      <c r="H48" s="6">
        <v>0</v>
      </c>
      <c r="I48" s="6">
        <v>0</v>
      </c>
      <c r="J48" s="6">
        <v>83025</v>
      </c>
      <c r="K48" s="6">
        <f t="shared" si="0"/>
        <v>83025</v>
      </c>
      <c r="L48" s="6">
        <v>34689</v>
      </c>
      <c r="M48" s="6">
        <v>47391.777777777803</v>
      </c>
      <c r="N48" s="6">
        <v>24</v>
      </c>
      <c r="O48" s="8">
        <f t="shared" si="1"/>
        <v>13.699520224831886</v>
      </c>
      <c r="Q48" s="10">
        <v>1968</v>
      </c>
      <c r="R48" s="10">
        <f t="shared" si="2"/>
        <v>163393200</v>
      </c>
      <c r="S48" s="10">
        <f t="shared" si="3"/>
        <v>93267018.666666716</v>
      </c>
    </row>
    <row r="49" spans="1:19" x14ac:dyDescent="0.25">
      <c r="A49" s="5" t="s">
        <v>65</v>
      </c>
      <c r="B49" s="6" t="s">
        <v>17</v>
      </c>
      <c r="C49" s="6" t="s">
        <v>19</v>
      </c>
      <c r="D49" s="6">
        <v>10</v>
      </c>
      <c r="E49" s="6">
        <v>20818</v>
      </c>
      <c r="F49" s="6">
        <v>145000</v>
      </c>
      <c r="G49" s="6">
        <v>0</v>
      </c>
      <c r="H49" s="6">
        <v>0</v>
      </c>
      <c r="I49" s="6">
        <v>28750</v>
      </c>
      <c r="J49" s="6">
        <v>119876</v>
      </c>
      <c r="K49" s="6">
        <f t="shared" si="0"/>
        <v>148626</v>
      </c>
      <c r="L49" s="6">
        <v>17192</v>
      </c>
      <c r="M49" s="6">
        <v>16050.833333333299</v>
      </c>
      <c r="N49" s="6">
        <v>24</v>
      </c>
      <c r="O49" s="8">
        <f t="shared" si="1"/>
        <v>2.5918749074858987</v>
      </c>
      <c r="Q49" s="10">
        <v>2503</v>
      </c>
      <c r="R49" s="10">
        <f t="shared" si="2"/>
        <v>372010878</v>
      </c>
      <c r="S49" s="10">
        <f t="shared" si="3"/>
        <v>40175235.833333246</v>
      </c>
    </row>
    <row r="50" spans="1:19" x14ac:dyDescent="0.25">
      <c r="A50" s="5" t="s">
        <v>66</v>
      </c>
      <c r="B50" s="6" t="s">
        <v>17</v>
      </c>
      <c r="C50" s="6" t="s">
        <v>19</v>
      </c>
      <c r="D50" s="6">
        <v>10</v>
      </c>
      <c r="E50" s="6">
        <v>311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f t="shared" si="0"/>
        <v>0</v>
      </c>
      <c r="L50" s="6">
        <v>311</v>
      </c>
      <c r="M50" s="6">
        <v>0</v>
      </c>
      <c r="N50" s="6">
        <v>24</v>
      </c>
      <c r="O50" s="8">
        <v>0</v>
      </c>
      <c r="Q50" s="10">
        <v>2103</v>
      </c>
      <c r="R50" s="10">
        <f t="shared" si="2"/>
        <v>0</v>
      </c>
      <c r="S50" s="10">
        <f t="shared" si="3"/>
        <v>0</v>
      </c>
    </row>
    <row r="51" spans="1:19" x14ac:dyDescent="0.25">
      <c r="A51" s="5" t="s">
        <v>67</v>
      </c>
      <c r="B51" s="6" t="s">
        <v>17</v>
      </c>
      <c r="C51" s="6" t="s">
        <v>19</v>
      </c>
      <c r="D51" s="6">
        <v>10</v>
      </c>
      <c r="E51" s="6">
        <v>15624</v>
      </c>
      <c r="F51" s="6">
        <v>5725</v>
      </c>
      <c r="G51" s="6">
        <v>0</v>
      </c>
      <c r="H51" s="6">
        <v>0</v>
      </c>
      <c r="I51" s="6">
        <v>0</v>
      </c>
      <c r="J51" s="6">
        <v>16753</v>
      </c>
      <c r="K51" s="6">
        <f t="shared" si="0"/>
        <v>16753</v>
      </c>
      <c r="L51" s="6">
        <v>4596</v>
      </c>
      <c r="M51" s="6">
        <v>11534.75</v>
      </c>
      <c r="N51" s="6">
        <v>24</v>
      </c>
      <c r="O51" s="8">
        <f t="shared" si="1"/>
        <v>16.524443383274637</v>
      </c>
      <c r="Q51" s="10">
        <v>2802</v>
      </c>
      <c r="R51" s="10">
        <f t="shared" si="2"/>
        <v>46941906</v>
      </c>
      <c r="S51" s="10">
        <f t="shared" si="3"/>
        <v>32320369.5</v>
      </c>
    </row>
    <row r="52" spans="1:19" x14ac:dyDescent="0.25">
      <c r="A52" s="5" t="s">
        <v>5</v>
      </c>
      <c r="B52" s="6" t="s">
        <v>17</v>
      </c>
      <c r="C52" s="6" t="s">
        <v>19</v>
      </c>
      <c r="D52" s="6">
        <v>10</v>
      </c>
      <c r="E52" s="6">
        <v>7525</v>
      </c>
      <c r="F52" s="6">
        <v>10200</v>
      </c>
      <c r="G52" s="6">
        <v>0</v>
      </c>
      <c r="H52" s="6">
        <v>0</v>
      </c>
      <c r="I52" s="6">
        <v>0</v>
      </c>
      <c r="J52" s="6">
        <v>10515</v>
      </c>
      <c r="K52" s="6">
        <f t="shared" si="0"/>
        <v>10515</v>
      </c>
      <c r="L52" s="6">
        <v>7210</v>
      </c>
      <c r="M52" s="6">
        <v>11720.714285714301</v>
      </c>
      <c r="N52" s="6">
        <v>24</v>
      </c>
      <c r="O52" s="8">
        <f t="shared" si="1"/>
        <v>26.751986957407823</v>
      </c>
      <c r="Q52" s="10">
        <v>2103</v>
      </c>
      <c r="R52" s="10">
        <f t="shared" si="2"/>
        <v>22113045</v>
      </c>
      <c r="S52" s="10">
        <f t="shared" si="3"/>
        <v>24648662.142857175</v>
      </c>
    </row>
    <row r="53" spans="1:19" x14ac:dyDescent="0.25">
      <c r="A53" s="5" t="s">
        <v>68</v>
      </c>
      <c r="B53" s="6" t="s">
        <v>17</v>
      </c>
      <c r="C53" s="6" t="s">
        <v>19</v>
      </c>
      <c r="D53" s="6">
        <v>10</v>
      </c>
      <c r="E53" s="6">
        <v>37049</v>
      </c>
      <c r="F53" s="6">
        <v>116250</v>
      </c>
      <c r="G53" s="6">
        <v>0</v>
      </c>
      <c r="H53" s="6">
        <v>0</v>
      </c>
      <c r="I53" s="6">
        <v>120000</v>
      </c>
      <c r="J53" s="6">
        <v>0</v>
      </c>
      <c r="K53" s="6">
        <f t="shared" si="0"/>
        <v>120000</v>
      </c>
      <c r="L53" s="6">
        <v>33299</v>
      </c>
      <c r="M53" s="6">
        <v>28455.25</v>
      </c>
      <c r="N53" s="6">
        <v>24</v>
      </c>
      <c r="O53" s="8">
        <f t="shared" si="1"/>
        <v>5.6910499999999997</v>
      </c>
      <c r="Q53" s="10">
        <v>2126</v>
      </c>
      <c r="R53" s="10">
        <f t="shared" si="2"/>
        <v>255120000</v>
      </c>
      <c r="S53" s="10">
        <f t="shared" si="3"/>
        <v>60495861.5</v>
      </c>
    </row>
    <row r="54" spans="1:19" x14ac:dyDescent="0.25">
      <c r="A54" s="5" t="s">
        <v>69</v>
      </c>
      <c r="B54" s="6" t="s">
        <v>16</v>
      </c>
      <c r="C54" s="6" t="s">
        <v>19</v>
      </c>
      <c r="D54" s="6">
        <v>10</v>
      </c>
      <c r="E54" s="6">
        <v>19185</v>
      </c>
      <c r="F54" s="6">
        <v>5075</v>
      </c>
      <c r="G54" s="6">
        <v>0</v>
      </c>
      <c r="H54" s="6">
        <v>0</v>
      </c>
      <c r="I54" s="6">
        <v>6000</v>
      </c>
      <c r="J54" s="6">
        <v>5</v>
      </c>
      <c r="K54" s="6">
        <f t="shared" si="0"/>
        <v>6005</v>
      </c>
      <c r="L54" s="6">
        <v>18255</v>
      </c>
      <c r="M54" s="6">
        <v>18238.75</v>
      </c>
      <c r="N54" s="6">
        <v>24</v>
      </c>
      <c r="O54" s="8">
        <f t="shared" si="1"/>
        <v>72.894254787676942</v>
      </c>
      <c r="Q54" s="10">
        <v>2846</v>
      </c>
      <c r="R54" s="10">
        <f t="shared" si="2"/>
        <v>17090230</v>
      </c>
      <c r="S54" s="10">
        <f t="shared" si="3"/>
        <v>51907482.5</v>
      </c>
    </row>
    <row r="55" spans="1:19" x14ac:dyDescent="0.25">
      <c r="A55" s="5" t="s">
        <v>0</v>
      </c>
      <c r="B55" s="6" t="s">
        <v>17</v>
      </c>
      <c r="C55" s="6" t="s">
        <v>19</v>
      </c>
      <c r="D55" s="6">
        <v>10</v>
      </c>
      <c r="E55" s="6">
        <v>1900</v>
      </c>
      <c r="F55" s="6">
        <v>0</v>
      </c>
      <c r="G55" s="6">
        <v>0</v>
      </c>
      <c r="H55" s="6">
        <v>0</v>
      </c>
      <c r="I55" s="6">
        <v>0</v>
      </c>
      <c r="J55" s="6">
        <v>30</v>
      </c>
      <c r="K55" s="6">
        <f t="shared" si="0"/>
        <v>30</v>
      </c>
      <c r="L55" s="6">
        <v>1870</v>
      </c>
      <c r="M55" s="6">
        <v>1870</v>
      </c>
      <c r="N55" s="6">
        <v>24</v>
      </c>
      <c r="O55" s="8">
        <f t="shared" si="1"/>
        <v>1496</v>
      </c>
      <c r="Q55" s="10">
        <v>2514</v>
      </c>
      <c r="R55" s="10">
        <f t="shared" si="2"/>
        <v>75420</v>
      </c>
      <c r="S55" s="10">
        <f t="shared" si="3"/>
        <v>4701180</v>
      </c>
    </row>
    <row r="56" spans="1:19" x14ac:dyDescent="0.25">
      <c r="A56" s="5" t="s">
        <v>71</v>
      </c>
      <c r="B56" s="6" t="s">
        <v>17</v>
      </c>
      <c r="C56" s="6" t="s">
        <v>19</v>
      </c>
      <c r="D56" s="6">
        <v>10</v>
      </c>
      <c r="E56" s="6">
        <v>413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f t="shared" si="0"/>
        <v>0</v>
      </c>
      <c r="L56" s="6">
        <v>413</v>
      </c>
      <c r="M56" s="6">
        <v>0</v>
      </c>
      <c r="N56" s="6">
        <v>24</v>
      </c>
      <c r="O56" s="8">
        <v>0</v>
      </c>
      <c r="Q56" s="10">
        <v>1956</v>
      </c>
      <c r="R56" s="10">
        <f t="shared" si="2"/>
        <v>0</v>
      </c>
      <c r="S56" s="10">
        <f t="shared" si="3"/>
        <v>0</v>
      </c>
    </row>
    <row r="57" spans="1:19" x14ac:dyDescent="0.25">
      <c r="A57" s="5" t="s">
        <v>10</v>
      </c>
      <c r="B57" s="6" t="s">
        <v>17</v>
      </c>
      <c r="C57" s="6" t="s">
        <v>19</v>
      </c>
      <c r="D57" s="6">
        <v>10</v>
      </c>
      <c r="E57" s="6">
        <v>12225</v>
      </c>
      <c r="F57" s="6">
        <v>15710</v>
      </c>
      <c r="G57" s="6">
        <v>0</v>
      </c>
      <c r="H57" s="6">
        <v>0</v>
      </c>
      <c r="I57" s="6">
        <v>22035</v>
      </c>
      <c r="J57" s="6">
        <v>0</v>
      </c>
      <c r="K57" s="6">
        <f t="shared" si="0"/>
        <v>22035</v>
      </c>
      <c r="L57" s="6">
        <v>5900</v>
      </c>
      <c r="M57" s="6">
        <v>14880</v>
      </c>
      <c r="N57" s="6">
        <v>24</v>
      </c>
      <c r="O57" s="8">
        <f t="shared" si="1"/>
        <v>16.206943498978898</v>
      </c>
      <c r="Q57" s="10">
        <v>2514</v>
      </c>
      <c r="R57" s="10">
        <f t="shared" si="2"/>
        <v>55395990</v>
      </c>
      <c r="S57" s="10">
        <f t="shared" si="3"/>
        <v>37408320</v>
      </c>
    </row>
    <row r="58" spans="1:19" x14ac:dyDescent="0.25">
      <c r="A58" s="5" t="s">
        <v>72</v>
      </c>
      <c r="B58" s="6" t="s">
        <v>17</v>
      </c>
      <c r="C58" s="6" t="s">
        <v>19</v>
      </c>
      <c r="D58" s="6">
        <v>10</v>
      </c>
      <c r="E58" s="6">
        <v>27318</v>
      </c>
      <c r="F58" s="6">
        <v>12037</v>
      </c>
      <c r="G58" s="6">
        <v>0</v>
      </c>
      <c r="H58" s="6">
        <v>0</v>
      </c>
      <c r="I58" s="6">
        <v>0</v>
      </c>
      <c r="J58" s="6">
        <v>31307</v>
      </c>
      <c r="K58" s="6">
        <f t="shared" si="0"/>
        <v>31307</v>
      </c>
      <c r="L58" s="6">
        <v>8048</v>
      </c>
      <c r="M58" s="6">
        <v>16596</v>
      </c>
      <c r="N58" s="6">
        <v>24</v>
      </c>
      <c r="O58" s="8">
        <f t="shared" si="1"/>
        <v>12.722522119653753</v>
      </c>
      <c r="Q58" s="10">
        <v>3391</v>
      </c>
      <c r="R58" s="10">
        <f t="shared" si="2"/>
        <v>106162037</v>
      </c>
      <c r="S58" s="10">
        <f t="shared" si="3"/>
        <v>56277036</v>
      </c>
    </row>
    <row r="59" spans="1:19" x14ac:dyDescent="0.25">
      <c r="A59" s="5" t="s">
        <v>73</v>
      </c>
      <c r="B59" s="6" t="s">
        <v>17</v>
      </c>
      <c r="C59" s="6" t="s">
        <v>19</v>
      </c>
      <c r="D59" s="6">
        <v>10</v>
      </c>
      <c r="E59" s="6">
        <v>26613</v>
      </c>
      <c r="F59" s="6">
        <v>6075</v>
      </c>
      <c r="G59" s="6">
        <v>0</v>
      </c>
      <c r="H59" s="6">
        <v>0</v>
      </c>
      <c r="I59" s="6">
        <v>0</v>
      </c>
      <c r="J59" s="6">
        <v>5600</v>
      </c>
      <c r="K59" s="6">
        <f t="shared" si="0"/>
        <v>5600</v>
      </c>
      <c r="L59" s="6">
        <v>27088</v>
      </c>
      <c r="M59" s="6">
        <v>29888</v>
      </c>
      <c r="N59" s="6">
        <v>24</v>
      </c>
      <c r="O59" s="8">
        <f t="shared" si="1"/>
        <v>128.09142857142857</v>
      </c>
      <c r="Q59" s="10">
        <v>3549</v>
      </c>
      <c r="R59" s="10">
        <f t="shared" si="2"/>
        <v>19874400</v>
      </c>
      <c r="S59" s="10">
        <f t="shared" si="3"/>
        <v>106072512</v>
      </c>
    </row>
    <row r="60" spans="1:19" x14ac:dyDescent="0.25">
      <c r="A60" s="5" t="s">
        <v>74</v>
      </c>
      <c r="B60" s="6" t="s">
        <v>17</v>
      </c>
      <c r="C60" s="6" t="s">
        <v>19</v>
      </c>
      <c r="D60" s="6">
        <v>10</v>
      </c>
      <c r="E60" s="6">
        <v>51300</v>
      </c>
      <c r="F60" s="6">
        <v>0</v>
      </c>
      <c r="G60" s="6">
        <v>0</v>
      </c>
      <c r="H60" s="6">
        <v>0</v>
      </c>
      <c r="I60" s="6">
        <v>28084</v>
      </c>
      <c r="J60" s="6">
        <v>0</v>
      </c>
      <c r="K60" s="6">
        <f t="shared" si="0"/>
        <v>28084</v>
      </c>
      <c r="L60" s="6">
        <v>23216</v>
      </c>
      <c r="M60" s="6">
        <v>34608.888888888898</v>
      </c>
      <c r="N60" s="6">
        <v>24</v>
      </c>
      <c r="O60" s="8">
        <f t="shared" si="1"/>
        <v>29.576033803351855</v>
      </c>
      <c r="Q60" s="10">
        <v>2129</v>
      </c>
      <c r="R60" s="10">
        <f t="shared" si="2"/>
        <v>59790836</v>
      </c>
      <c r="S60" s="10">
        <f t="shared" si="3"/>
        <v>73682324.444444463</v>
      </c>
    </row>
    <row r="61" spans="1:19" x14ac:dyDescent="0.25">
      <c r="A61" s="5" t="s">
        <v>75</v>
      </c>
      <c r="B61" s="6" t="s">
        <v>17</v>
      </c>
      <c r="C61" s="6" t="s">
        <v>19</v>
      </c>
      <c r="D61" s="6">
        <v>10</v>
      </c>
      <c r="E61" s="6">
        <v>13107</v>
      </c>
      <c r="F61" s="6">
        <v>0</v>
      </c>
      <c r="G61" s="6">
        <v>0</v>
      </c>
      <c r="H61" s="6">
        <v>0</v>
      </c>
      <c r="I61" s="6">
        <v>5775</v>
      </c>
      <c r="J61" s="6">
        <v>0</v>
      </c>
      <c r="K61" s="6">
        <f t="shared" si="0"/>
        <v>5775</v>
      </c>
      <c r="L61" s="6">
        <v>7332</v>
      </c>
      <c r="M61" s="6">
        <v>9257</v>
      </c>
      <c r="N61" s="6">
        <v>24</v>
      </c>
      <c r="O61" s="8">
        <f t="shared" si="1"/>
        <v>38.470649350649353</v>
      </c>
      <c r="Q61" s="10">
        <v>2129</v>
      </c>
      <c r="R61" s="10">
        <f t="shared" si="2"/>
        <v>12294975</v>
      </c>
      <c r="S61" s="10">
        <f t="shared" si="3"/>
        <v>19708153</v>
      </c>
    </row>
    <row r="62" spans="1:19" x14ac:dyDescent="0.25">
      <c r="A62" s="5" t="s">
        <v>76</v>
      </c>
      <c r="B62" s="6" t="s">
        <v>17</v>
      </c>
      <c r="C62" s="6" t="s">
        <v>19</v>
      </c>
      <c r="D62" s="6">
        <v>10</v>
      </c>
      <c r="E62" s="6">
        <v>969</v>
      </c>
      <c r="F62" s="6">
        <v>0</v>
      </c>
      <c r="G62" s="6">
        <v>0</v>
      </c>
      <c r="H62" s="6">
        <v>0</v>
      </c>
      <c r="I62" s="6">
        <v>225</v>
      </c>
      <c r="J62" s="6">
        <v>0</v>
      </c>
      <c r="K62" s="6">
        <f t="shared" si="0"/>
        <v>225</v>
      </c>
      <c r="L62" s="6">
        <v>744</v>
      </c>
      <c r="M62" s="6">
        <v>781.5</v>
      </c>
      <c r="N62" s="6">
        <v>24</v>
      </c>
      <c r="O62" s="8">
        <f t="shared" si="1"/>
        <v>83.36</v>
      </c>
      <c r="Q62" s="10">
        <v>2131</v>
      </c>
      <c r="R62" s="10">
        <f t="shared" si="2"/>
        <v>479475</v>
      </c>
      <c r="S62" s="10">
        <f t="shared" si="3"/>
        <v>1665376.5</v>
      </c>
    </row>
    <row r="63" spans="1:19" x14ac:dyDescent="0.25">
      <c r="A63" s="5" t="s">
        <v>77</v>
      </c>
      <c r="B63" s="6" t="s">
        <v>17</v>
      </c>
      <c r="C63" s="6" t="s">
        <v>19</v>
      </c>
      <c r="D63" s="6">
        <v>10</v>
      </c>
      <c r="E63" s="6">
        <v>3111</v>
      </c>
      <c r="F63" s="6">
        <v>2365</v>
      </c>
      <c r="G63" s="6">
        <v>0</v>
      </c>
      <c r="H63" s="6">
        <v>0</v>
      </c>
      <c r="I63" s="6">
        <v>2825</v>
      </c>
      <c r="J63" s="6">
        <v>0</v>
      </c>
      <c r="K63" s="6">
        <f t="shared" si="0"/>
        <v>2825</v>
      </c>
      <c r="L63" s="6">
        <v>2651</v>
      </c>
      <c r="M63" s="6">
        <v>2862.6666666666702</v>
      </c>
      <c r="N63" s="6">
        <v>24</v>
      </c>
      <c r="O63" s="8">
        <f t="shared" si="1"/>
        <v>24.320000000000029</v>
      </c>
      <c r="Q63" s="10">
        <v>2131</v>
      </c>
      <c r="R63" s="10">
        <f t="shared" si="2"/>
        <v>6020075</v>
      </c>
      <c r="S63" s="10">
        <f t="shared" si="3"/>
        <v>6100342.6666666744</v>
      </c>
    </row>
    <row r="64" spans="1:19" x14ac:dyDescent="0.25">
      <c r="A64" s="5" t="s">
        <v>78</v>
      </c>
      <c r="B64" s="6" t="s">
        <v>17</v>
      </c>
      <c r="C64" s="6" t="s">
        <v>19</v>
      </c>
      <c r="D64" s="6">
        <v>10</v>
      </c>
      <c r="E64" s="6">
        <v>16832</v>
      </c>
      <c r="F64" s="6">
        <v>61572</v>
      </c>
      <c r="G64" s="6">
        <v>0</v>
      </c>
      <c r="H64" s="6">
        <v>0</v>
      </c>
      <c r="I64" s="6">
        <v>34222</v>
      </c>
      <c r="J64" s="6">
        <v>5</v>
      </c>
      <c r="K64" s="6">
        <f t="shared" si="0"/>
        <v>34227</v>
      </c>
      <c r="L64" s="6">
        <v>44177</v>
      </c>
      <c r="M64" s="6">
        <v>53033.133333333302</v>
      </c>
      <c r="N64" s="6">
        <v>24</v>
      </c>
      <c r="O64" s="8">
        <f t="shared" si="1"/>
        <v>37.186875858240548</v>
      </c>
      <c r="Q64" s="10">
        <v>2245</v>
      </c>
      <c r="R64" s="10">
        <f t="shared" si="2"/>
        <v>76839615</v>
      </c>
      <c r="S64" s="10">
        <f t="shared" si="3"/>
        <v>119059384.33333327</v>
      </c>
    </row>
    <row r="65" spans="1:19" x14ac:dyDescent="0.25">
      <c r="A65" s="5" t="s">
        <v>79</v>
      </c>
      <c r="B65" s="6" t="s">
        <v>17</v>
      </c>
      <c r="C65" s="6" t="s">
        <v>19</v>
      </c>
      <c r="D65" s="6">
        <v>10</v>
      </c>
      <c r="E65" s="6">
        <v>873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f t="shared" si="0"/>
        <v>0</v>
      </c>
      <c r="L65" s="6">
        <v>873</v>
      </c>
      <c r="M65" s="6">
        <v>0</v>
      </c>
      <c r="N65" s="6">
        <v>24</v>
      </c>
      <c r="O65" s="8">
        <v>0</v>
      </c>
      <c r="Q65" s="10">
        <v>2121</v>
      </c>
      <c r="R65" s="10">
        <f t="shared" si="2"/>
        <v>0</v>
      </c>
      <c r="S65" s="10">
        <f t="shared" si="3"/>
        <v>0</v>
      </c>
    </row>
    <row r="66" spans="1:19" x14ac:dyDescent="0.25">
      <c r="A66" s="5" t="s">
        <v>6</v>
      </c>
      <c r="B66" s="6" t="s">
        <v>17</v>
      </c>
      <c r="C66" s="6" t="s">
        <v>19</v>
      </c>
      <c r="D66" s="6">
        <v>10</v>
      </c>
      <c r="E66" s="6">
        <v>17250</v>
      </c>
      <c r="F66" s="6">
        <v>64675</v>
      </c>
      <c r="G66" s="6">
        <v>0</v>
      </c>
      <c r="H66" s="6">
        <v>0</v>
      </c>
      <c r="I66" s="6">
        <v>48100</v>
      </c>
      <c r="J66" s="6">
        <v>0</v>
      </c>
      <c r="K66" s="6">
        <f t="shared" si="0"/>
        <v>48100</v>
      </c>
      <c r="L66" s="6">
        <v>33825</v>
      </c>
      <c r="M66" s="6">
        <v>30914.583333333303</v>
      </c>
      <c r="N66" s="6">
        <v>24</v>
      </c>
      <c r="O66" s="8">
        <f t="shared" si="1"/>
        <v>15.425155925155909</v>
      </c>
      <c r="Q66" s="10">
        <v>2121</v>
      </c>
      <c r="R66" s="10">
        <f t="shared" si="2"/>
        <v>102020100</v>
      </c>
      <c r="S66" s="10">
        <f t="shared" si="3"/>
        <v>65569831.249999933</v>
      </c>
    </row>
    <row r="67" spans="1:19" x14ac:dyDescent="0.25">
      <c r="A67" s="5" t="s">
        <v>7</v>
      </c>
      <c r="B67" s="6" t="s">
        <v>17</v>
      </c>
      <c r="C67" s="6" t="s">
        <v>19</v>
      </c>
      <c r="D67" s="6">
        <v>10</v>
      </c>
      <c r="E67" s="6">
        <v>2100</v>
      </c>
      <c r="F67" s="6">
        <v>1575</v>
      </c>
      <c r="G67" s="6">
        <v>0</v>
      </c>
      <c r="H67" s="6">
        <v>0</v>
      </c>
      <c r="I67" s="6">
        <v>1550</v>
      </c>
      <c r="J67" s="6">
        <v>0</v>
      </c>
      <c r="K67" s="6">
        <f t="shared" ref="K67:K130" si="4">I67+J67</f>
        <v>1550</v>
      </c>
      <c r="L67" s="6">
        <v>2125</v>
      </c>
      <c r="M67" s="6">
        <v>2137.5</v>
      </c>
      <c r="N67" s="6">
        <v>24</v>
      </c>
      <c r="O67" s="8">
        <f t="shared" ref="O67:O130" si="5">(M67/(I67+J67))*N67</f>
        <v>33.096774193548391</v>
      </c>
      <c r="Q67" s="10">
        <v>2121</v>
      </c>
      <c r="R67" s="10">
        <f t="shared" ref="R67:R130" si="6">Q67*(I67+J67)</f>
        <v>3287550</v>
      </c>
      <c r="S67" s="10">
        <f t="shared" ref="S67:S130" si="7">Q67*M67</f>
        <v>4533637.5</v>
      </c>
    </row>
    <row r="68" spans="1:19" x14ac:dyDescent="0.25">
      <c r="A68" s="5" t="s">
        <v>81</v>
      </c>
      <c r="B68" s="6" t="s">
        <v>17</v>
      </c>
      <c r="C68" s="6" t="s">
        <v>19</v>
      </c>
      <c r="D68" s="6">
        <v>10</v>
      </c>
      <c r="E68" s="6">
        <v>2630</v>
      </c>
      <c r="F68" s="6">
        <v>2100</v>
      </c>
      <c r="G68" s="6">
        <v>0</v>
      </c>
      <c r="H68" s="6">
        <v>0</v>
      </c>
      <c r="I68" s="6">
        <v>0</v>
      </c>
      <c r="J68" s="6">
        <v>800</v>
      </c>
      <c r="K68" s="6">
        <f t="shared" si="4"/>
        <v>800</v>
      </c>
      <c r="L68" s="6">
        <v>3930</v>
      </c>
      <c r="M68" s="6">
        <v>2880</v>
      </c>
      <c r="N68" s="6">
        <v>24</v>
      </c>
      <c r="O68" s="8">
        <f t="shared" si="5"/>
        <v>86.4</v>
      </c>
      <c r="Q68" s="10">
        <v>4592</v>
      </c>
      <c r="R68" s="10">
        <f t="shared" si="6"/>
        <v>3673600</v>
      </c>
      <c r="S68" s="10">
        <f t="shared" si="7"/>
        <v>13224960</v>
      </c>
    </row>
    <row r="69" spans="1:19" x14ac:dyDescent="0.25">
      <c r="A69" s="5" t="s">
        <v>82</v>
      </c>
      <c r="B69" s="6" t="s">
        <v>17</v>
      </c>
      <c r="C69" s="6" t="s">
        <v>19</v>
      </c>
      <c r="D69" s="6">
        <v>10</v>
      </c>
      <c r="E69" s="6">
        <v>12819</v>
      </c>
      <c r="F69" s="6">
        <v>3150</v>
      </c>
      <c r="G69" s="6">
        <v>0</v>
      </c>
      <c r="H69" s="6">
        <v>0</v>
      </c>
      <c r="I69" s="6">
        <v>0</v>
      </c>
      <c r="J69" s="6">
        <v>4175</v>
      </c>
      <c r="K69" s="6">
        <f t="shared" si="4"/>
        <v>4175</v>
      </c>
      <c r="L69" s="6">
        <v>11794</v>
      </c>
      <c r="M69" s="6">
        <v>10969</v>
      </c>
      <c r="N69" s="6">
        <v>24</v>
      </c>
      <c r="O69" s="8">
        <f t="shared" si="5"/>
        <v>63.055329341317368</v>
      </c>
      <c r="Q69" s="10">
        <v>2297</v>
      </c>
      <c r="R69" s="10">
        <f t="shared" si="6"/>
        <v>9589975</v>
      </c>
      <c r="S69" s="10">
        <f t="shared" si="7"/>
        <v>25195793</v>
      </c>
    </row>
    <row r="70" spans="1:19" x14ac:dyDescent="0.25">
      <c r="A70" s="5" t="s">
        <v>83</v>
      </c>
      <c r="B70" s="6" t="s">
        <v>17</v>
      </c>
      <c r="C70" s="6" t="s">
        <v>19</v>
      </c>
      <c r="D70" s="6">
        <v>10</v>
      </c>
      <c r="E70" s="6">
        <v>2594</v>
      </c>
      <c r="F70" s="6">
        <v>1425</v>
      </c>
      <c r="G70" s="6">
        <v>0</v>
      </c>
      <c r="H70" s="6">
        <v>0</v>
      </c>
      <c r="I70" s="6">
        <v>0</v>
      </c>
      <c r="J70" s="6">
        <v>419</v>
      </c>
      <c r="K70" s="6">
        <f t="shared" si="4"/>
        <v>419</v>
      </c>
      <c r="L70" s="6">
        <v>3600</v>
      </c>
      <c r="M70" s="6">
        <v>3784.5</v>
      </c>
      <c r="N70" s="6">
        <v>24</v>
      </c>
      <c r="O70" s="8">
        <f t="shared" si="5"/>
        <v>216.77326968973745</v>
      </c>
      <c r="Q70" s="10">
        <v>4592</v>
      </c>
      <c r="R70" s="10">
        <f t="shared" si="6"/>
        <v>1924048</v>
      </c>
      <c r="S70" s="10">
        <f t="shared" si="7"/>
        <v>17378424</v>
      </c>
    </row>
    <row r="71" spans="1:19" x14ac:dyDescent="0.25">
      <c r="A71" s="5" t="s">
        <v>84</v>
      </c>
      <c r="B71" s="6" t="s">
        <v>16</v>
      </c>
      <c r="C71" s="6" t="s">
        <v>19</v>
      </c>
      <c r="D71" s="6">
        <v>10</v>
      </c>
      <c r="E71" s="6">
        <v>25841</v>
      </c>
      <c r="F71" s="6">
        <v>142950</v>
      </c>
      <c r="G71" s="6">
        <v>0</v>
      </c>
      <c r="H71" s="6">
        <v>0</v>
      </c>
      <c r="I71" s="6">
        <v>0</v>
      </c>
      <c r="J71" s="6">
        <v>141050</v>
      </c>
      <c r="K71" s="6">
        <f t="shared" si="4"/>
        <v>141050</v>
      </c>
      <c r="L71" s="6">
        <v>27741</v>
      </c>
      <c r="M71" s="6">
        <v>26790.166666666697</v>
      </c>
      <c r="N71" s="6">
        <v>24</v>
      </c>
      <c r="O71" s="8">
        <f t="shared" si="5"/>
        <v>4.5584119106699807</v>
      </c>
      <c r="Q71" s="10">
        <v>1419</v>
      </c>
      <c r="R71" s="10">
        <f t="shared" si="6"/>
        <v>200149950</v>
      </c>
      <c r="S71" s="10">
        <f t="shared" si="7"/>
        <v>38015246.500000045</v>
      </c>
    </row>
    <row r="72" spans="1:19" x14ac:dyDescent="0.25">
      <c r="A72" s="5" t="s">
        <v>85</v>
      </c>
      <c r="B72" s="6" t="s">
        <v>17</v>
      </c>
      <c r="C72" s="6" t="s">
        <v>19</v>
      </c>
      <c r="D72" s="6">
        <v>10</v>
      </c>
      <c r="E72" s="6">
        <v>1942</v>
      </c>
      <c r="F72" s="6">
        <v>2057</v>
      </c>
      <c r="G72" s="6">
        <v>0</v>
      </c>
      <c r="H72" s="6">
        <v>0</v>
      </c>
      <c r="I72" s="6">
        <v>0</v>
      </c>
      <c r="J72" s="6">
        <v>1707</v>
      </c>
      <c r="K72" s="6">
        <f t="shared" si="4"/>
        <v>1707</v>
      </c>
      <c r="L72" s="6">
        <v>2292</v>
      </c>
      <c r="M72" s="6">
        <v>2144.3333333333298</v>
      </c>
      <c r="N72" s="6">
        <v>24</v>
      </c>
      <c r="O72" s="8">
        <f t="shared" si="5"/>
        <v>30.148799062683018</v>
      </c>
      <c r="Q72" s="10">
        <v>4592</v>
      </c>
      <c r="R72" s="10">
        <f t="shared" si="6"/>
        <v>7838544</v>
      </c>
      <c r="S72" s="10">
        <f t="shared" si="7"/>
        <v>9846778.6666666511</v>
      </c>
    </row>
    <row r="73" spans="1:19" x14ac:dyDescent="0.25">
      <c r="A73" s="5" t="s">
        <v>1</v>
      </c>
      <c r="B73" s="6" t="s">
        <v>17</v>
      </c>
      <c r="C73" s="6" t="s">
        <v>19</v>
      </c>
      <c r="D73" s="6">
        <v>10</v>
      </c>
      <c r="E73" s="6">
        <v>1200</v>
      </c>
      <c r="F73" s="6">
        <v>1500</v>
      </c>
      <c r="G73" s="6">
        <v>0</v>
      </c>
      <c r="H73" s="6">
        <v>0</v>
      </c>
      <c r="I73" s="6">
        <v>0</v>
      </c>
      <c r="J73" s="6">
        <v>1200</v>
      </c>
      <c r="K73" s="6">
        <f t="shared" si="4"/>
        <v>1200</v>
      </c>
      <c r="L73" s="6">
        <v>1500</v>
      </c>
      <c r="M73" s="6">
        <v>750</v>
      </c>
      <c r="N73" s="6">
        <v>24</v>
      </c>
      <c r="O73" s="8">
        <f t="shared" si="5"/>
        <v>15</v>
      </c>
      <c r="Q73" s="10">
        <v>2103</v>
      </c>
      <c r="R73" s="10">
        <f t="shared" si="6"/>
        <v>2523600</v>
      </c>
      <c r="S73" s="10">
        <f t="shared" si="7"/>
        <v>1577250</v>
      </c>
    </row>
    <row r="74" spans="1:19" x14ac:dyDescent="0.25">
      <c r="A74" s="5" t="s">
        <v>87</v>
      </c>
      <c r="B74" s="6" t="s">
        <v>17</v>
      </c>
      <c r="C74" s="6" t="s">
        <v>19</v>
      </c>
      <c r="D74" s="6">
        <v>10</v>
      </c>
      <c r="E74" s="6">
        <v>17070</v>
      </c>
      <c r="F74" s="6">
        <v>0</v>
      </c>
      <c r="G74" s="6">
        <v>0</v>
      </c>
      <c r="H74" s="6">
        <v>0</v>
      </c>
      <c r="I74" s="6">
        <v>0</v>
      </c>
      <c r="J74" s="6">
        <v>5675</v>
      </c>
      <c r="K74" s="6">
        <f t="shared" si="4"/>
        <v>5675</v>
      </c>
      <c r="L74" s="6">
        <v>11395</v>
      </c>
      <c r="M74" s="6">
        <v>13286.666666666701</v>
      </c>
      <c r="N74" s="6">
        <v>24</v>
      </c>
      <c r="O74" s="8">
        <f t="shared" si="5"/>
        <v>56.1903083700442</v>
      </c>
      <c r="Q74" s="10">
        <v>2103</v>
      </c>
      <c r="R74" s="10">
        <f t="shared" si="6"/>
        <v>11934525</v>
      </c>
      <c r="S74" s="10">
        <f t="shared" si="7"/>
        <v>27941860.000000071</v>
      </c>
    </row>
    <row r="75" spans="1:19" x14ac:dyDescent="0.25">
      <c r="A75" s="5" t="s">
        <v>88</v>
      </c>
      <c r="B75" s="6" t="s">
        <v>17</v>
      </c>
      <c r="C75" s="6" t="s">
        <v>19</v>
      </c>
      <c r="D75" s="6">
        <v>10</v>
      </c>
      <c r="E75" s="6">
        <v>2274</v>
      </c>
      <c r="F75" s="6">
        <v>2526</v>
      </c>
      <c r="G75" s="6">
        <v>0</v>
      </c>
      <c r="H75" s="6">
        <v>0</v>
      </c>
      <c r="I75" s="6">
        <v>0</v>
      </c>
      <c r="J75" s="6">
        <v>726</v>
      </c>
      <c r="K75" s="6">
        <f t="shared" si="4"/>
        <v>726</v>
      </c>
      <c r="L75" s="6">
        <v>4074</v>
      </c>
      <c r="M75" s="6">
        <v>4049.3333333333298</v>
      </c>
      <c r="N75" s="6">
        <v>24</v>
      </c>
      <c r="O75" s="8">
        <f t="shared" si="5"/>
        <v>133.86225895316795</v>
      </c>
      <c r="Q75" s="10">
        <v>4592</v>
      </c>
      <c r="R75" s="10">
        <f t="shared" si="6"/>
        <v>3333792</v>
      </c>
      <c r="S75" s="10">
        <f t="shared" si="7"/>
        <v>18594538.666666649</v>
      </c>
    </row>
    <row r="76" spans="1:19" x14ac:dyDescent="0.25">
      <c r="A76" s="5" t="s">
        <v>89</v>
      </c>
      <c r="B76" s="6" t="s">
        <v>17</v>
      </c>
      <c r="C76" s="6" t="s">
        <v>19</v>
      </c>
      <c r="D76" s="6">
        <v>10</v>
      </c>
      <c r="E76" s="6">
        <v>2835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f t="shared" si="4"/>
        <v>0</v>
      </c>
      <c r="L76" s="6">
        <v>2835</v>
      </c>
      <c r="M76" s="6">
        <v>0</v>
      </c>
      <c r="N76" s="6">
        <v>24</v>
      </c>
      <c r="O76" s="8">
        <v>0</v>
      </c>
      <c r="Q76" s="10">
        <v>2297</v>
      </c>
      <c r="R76" s="10">
        <f t="shared" si="6"/>
        <v>0</v>
      </c>
      <c r="S76" s="10">
        <f t="shared" si="7"/>
        <v>0</v>
      </c>
    </row>
    <row r="77" spans="1:19" x14ac:dyDescent="0.25">
      <c r="A77" s="5" t="s">
        <v>90</v>
      </c>
      <c r="B77" s="6" t="s">
        <v>17</v>
      </c>
      <c r="C77" s="6" t="s">
        <v>19</v>
      </c>
      <c r="D77" s="6">
        <v>10</v>
      </c>
      <c r="E77" s="6">
        <v>2042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f t="shared" si="4"/>
        <v>0</v>
      </c>
      <c r="L77" s="6">
        <v>2042</v>
      </c>
      <c r="M77" s="6">
        <v>0</v>
      </c>
      <c r="N77" s="6">
        <v>24</v>
      </c>
      <c r="O77" s="8">
        <v>0</v>
      </c>
      <c r="Q77" s="10">
        <v>2616</v>
      </c>
      <c r="R77" s="10">
        <f t="shared" si="6"/>
        <v>0</v>
      </c>
      <c r="S77" s="10">
        <f t="shared" si="7"/>
        <v>0</v>
      </c>
    </row>
    <row r="78" spans="1:19" x14ac:dyDescent="0.25">
      <c r="A78" s="5" t="s">
        <v>91</v>
      </c>
      <c r="B78" s="6" t="s">
        <v>16</v>
      </c>
      <c r="C78" s="6" t="s">
        <v>19</v>
      </c>
      <c r="D78" s="6">
        <v>10</v>
      </c>
      <c r="E78" s="6">
        <v>14558</v>
      </c>
      <c r="F78" s="6">
        <v>85475</v>
      </c>
      <c r="G78" s="6">
        <v>0</v>
      </c>
      <c r="H78" s="6">
        <v>0</v>
      </c>
      <c r="I78" s="6">
        <v>0</v>
      </c>
      <c r="J78" s="6">
        <v>98733</v>
      </c>
      <c r="K78" s="6">
        <f t="shared" si="4"/>
        <v>98733</v>
      </c>
      <c r="L78" s="6">
        <v>1300</v>
      </c>
      <c r="M78" s="6">
        <v>14849.800000000001</v>
      </c>
      <c r="N78" s="6">
        <v>24</v>
      </c>
      <c r="O78" s="8">
        <f t="shared" si="5"/>
        <v>3.6096867308802532</v>
      </c>
      <c r="Q78" s="10">
        <v>1419</v>
      </c>
      <c r="R78" s="10">
        <f t="shared" si="6"/>
        <v>140102127</v>
      </c>
      <c r="S78" s="10">
        <f t="shared" si="7"/>
        <v>21071866.200000003</v>
      </c>
    </row>
    <row r="79" spans="1:19" x14ac:dyDescent="0.25">
      <c r="A79" s="5" t="s">
        <v>92</v>
      </c>
      <c r="B79" s="6" t="s">
        <v>17</v>
      </c>
      <c r="C79" s="6" t="s">
        <v>19</v>
      </c>
      <c r="D79" s="6">
        <v>10</v>
      </c>
      <c r="E79" s="6">
        <v>1348</v>
      </c>
      <c r="F79" s="6">
        <v>0</v>
      </c>
      <c r="G79" s="6">
        <v>0</v>
      </c>
      <c r="H79" s="6">
        <v>0</v>
      </c>
      <c r="I79" s="6">
        <v>0</v>
      </c>
      <c r="J79" s="6">
        <v>600</v>
      </c>
      <c r="K79" s="6">
        <f t="shared" si="4"/>
        <v>600</v>
      </c>
      <c r="L79" s="6">
        <v>748</v>
      </c>
      <c r="M79" s="6">
        <v>848</v>
      </c>
      <c r="N79" s="6">
        <v>24</v>
      </c>
      <c r="O79" s="8">
        <f t="shared" si="5"/>
        <v>33.92</v>
      </c>
      <c r="Q79" s="10">
        <v>2616</v>
      </c>
      <c r="R79" s="10">
        <f t="shared" si="6"/>
        <v>1569600</v>
      </c>
      <c r="S79" s="10">
        <f t="shared" si="7"/>
        <v>2218368</v>
      </c>
    </row>
    <row r="80" spans="1:19" x14ac:dyDescent="0.25">
      <c r="A80" s="5" t="s">
        <v>94</v>
      </c>
      <c r="B80" s="6" t="s">
        <v>17</v>
      </c>
      <c r="C80" s="6" t="s">
        <v>19</v>
      </c>
      <c r="D80" s="6">
        <v>10</v>
      </c>
      <c r="E80" s="6">
        <v>10882</v>
      </c>
      <c r="F80" s="6">
        <v>0</v>
      </c>
      <c r="G80" s="6">
        <v>0</v>
      </c>
      <c r="H80" s="6">
        <v>870</v>
      </c>
      <c r="I80" s="6">
        <v>10962</v>
      </c>
      <c r="J80" s="6">
        <v>0</v>
      </c>
      <c r="K80" s="6">
        <f t="shared" si="4"/>
        <v>10962</v>
      </c>
      <c r="L80" s="6">
        <v>790</v>
      </c>
      <c r="M80" s="6">
        <v>4237.1428571428605</v>
      </c>
      <c r="N80" s="6">
        <v>24</v>
      </c>
      <c r="O80" s="8">
        <f t="shared" si="5"/>
        <v>9.2767221831261324</v>
      </c>
      <c r="Q80" s="10">
        <v>7550</v>
      </c>
      <c r="R80" s="10">
        <f t="shared" si="6"/>
        <v>82763100</v>
      </c>
      <c r="S80" s="10">
        <f t="shared" si="7"/>
        <v>31990428.571428597</v>
      </c>
    </row>
    <row r="81" spans="1:19" x14ac:dyDescent="0.25">
      <c r="A81" s="2" t="s">
        <v>14</v>
      </c>
      <c r="B81" s="6" t="s">
        <v>17</v>
      </c>
      <c r="C81" s="6" t="s">
        <v>19</v>
      </c>
      <c r="D81" s="6">
        <v>10</v>
      </c>
      <c r="E81" s="6">
        <v>0</v>
      </c>
      <c r="F81" s="6">
        <v>23488</v>
      </c>
      <c r="G81" s="6">
        <v>0</v>
      </c>
      <c r="H81" s="6">
        <v>0</v>
      </c>
      <c r="I81" s="6">
        <v>4200</v>
      </c>
      <c r="J81" s="6">
        <v>0</v>
      </c>
      <c r="K81" s="6">
        <f t="shared" si="4"/>
        <v>4200</v>
      </c>
      <c r="L81" s="6">
        <v>19288</v>
      </c>
      <c r="M81" s="6">
        <v>13595.2</v>
      </c>
      <c r="N81" s="6">
        <v>24</v>
      </c>
      <c r="O81" s="8">
        <f t="shared" si="5"/>
        <v>77.68685714285715</v>
      </c>
      <c r="Q81" s="10">
        <v>7550</v>
      </c>
      <c r="R81" s="10">
        <f t="shared" si="6"/>
        <v>31710000</v>
      </c>
      <c r="S81" s="10">
        <f t="shared" si="7"/>
        <v>102643760</v>
      </c>
    </row>
    <row r="82" spans="1:19" x14ac:dyDescent="0.25">
      <c r="A82" s="5" t="s">
        <v>95</v>
      </c>
      <c r="B82" s="6" t="s">
        <v>17</v>
      </c>
      <c r="C82" s="6" t="s">
        <v>19</v>
      </c>
      <c r="D82" s="6">
        <v>10</v>
      </c>
      <c r="E82" s="6">
        <v>3412</v>
      </c>
      <c r="F82" s="6">
        <v>3513</v>
      </c>
      <c r="G82" s="6">
        <v>0</v>
      </c>
      <c r="H82" s="6">
        <v>0</v>
      </c>
      <c r="I82" s="6">
        <v>0</v>
      </c>
      <c r="J82" s="6">
        <v>3362</v>
      </c>
      <c r="K82" s="6">
        <f t="shared" si="4"/>
        <v>3362</v>
      </c>
      <c r="L82" s="6">
        <v>3563</v>
      </c>
      <c r="M82" s="6">
        <v>4289.3333333333303</v>
      </c>
      <c r="N82" s="6">
        <v>24</v>
      </c>
      <c r="O82" s="8">
        <f t="shared" si="5"/>
        <v>30.619869125520502</v>
      </c>
      <c r="Q82" s="10">
        <v>4592</v>
      </c>
      <c r="R82" s="10">
        <f t="shared" si="6"/>
        <v>15438304</v>
      </c>
      <c r="S82" s="10">
        <f t="shared" si="7"/>
        <v>19696618.666666653</v>
      </c>
    </row>
    <row r="83" spans="1:19" x14ac:dyDescent="0.25">
      <c r="A83" s="5" t="s">
        <v>96</v>
      </c>
      <c r="B83" s="6" t="s">
        <v>17</v>
      </c>
      <c r="C83" s="6" t="s">
        <v>19</v>
      </c>
      <c r="D83" s="6">
        <v>10</v>
      </c>
      <c r="E83" s="6">
        <v>7109</v>
      </c>
      <c r="F83" s="6">
        <v>5000</v>
      </c>
      <c r="G83" s="6">
        <v>0</v>
      </c>
      <c r="H83" s="6">
        <v>0</v>
      </c>
      <c r="I83" s="6">
        <v>0</v>
      </c>
      <c r="J83" s="6">
        <v>3575</v>
      </c>
      <c r="K83" s="6">
        <f t="shared" si="4"/>
        <v>3575</v>
      </c>
      <c r="L83" s="6">
        <v>8534</v>
      </c>
      <c r="M83" s="6">
        <v>6815.25</v>
      </c>
      <c r="N83" s="6">
        <v>24</v>
      </c>
      <c r="O83" s="8">
        <f t="shared" si="5"/>
        <v>45.75272727272727</v>
      </c>
      <c r="Q83" s="10">
        <v>2297</v>
      </c>
      <c r="R83" s="10">
        <f t="shared" si="6"/>
        <v>8211775</v>
      </c>
      <c r="S83" s="10">
        <f t="shared" si="7"/>
        <v>15654629.25</v>
      </c>
    </row>
    <row r="84" spans="1:19" x14ac:dyDescent="0.25">
      <c r="A84" s="5" t="s">
        <v>97</v>
      </c>
      <c r="B84" s="6" t="s">
        <v>17</v>
      </c>
      <c r="C84" s="6" t="s">
        <v>19</v>
      </c>
      <c r="D84" s="6">
        <v>10</v>
      </c>
      <c r="E84" s="6">
        <v>600</v>
      </c>
      <c r="F84" s="6">
        <v>1050</v>
      </c>
      <c r="G84" s="6">
        <v>0</v>
      </c>
      <c r="H84" s="6">
        <v>0</v>
      </c>
      <c r="I84" s="6">
        <v>0</v>
      </c>
      <c r="J84" s="6">
        <v>600</v>
      </c>
      <c r="K84" s="6">
        <f t="shared" si="4"/>
        <v>600</v>
      </c>
      <c r="L84" s="6">
        <v>1050</v>
      </c>
      <c r="M84" s="6">
        <v>525</v>
      </c>
      <c r="N84" s="6">
        <v>24</v>
      </c>
      <c r="O84" s="8">
        <f t="shared" si="5"/>
        <v>21</v>
      </c>
      <c r="Q84" s="10">
        <v>2616</v>
      </c>
      <c r="R84" s="10">
        <f t="shared" si="6"/>
        <v>1569600</v>
      </c>
      <c r="S84" s="10">
        <f t="shared" si="7"/>
        <v>1373400</v>
      </c>
    </row>
    <row r="85" spans="1:19" x14ac:dyDescent="0.25">
      <c r="A85" s="5" t="s">
        <v>98</v>
      </c>
      <c r="B85" s="6" t="s">
        <v>16</v>
      </c>
      <c r="C85" s="6" t="s">
        <v>19</v>
      </c>
      <c r="D85" s="6">
        <v>10</v>
      </c>
      <c r="E85" s="6">
        <v>15460</v>
      </c>
      <c r="F85" s="6">
        <v>77425</v>
      </c>
      <c r="G85" s="6">
        <v>0</v>
      </c>
      <c r="H85" s="6">
        <v>0</v>
      </c>
      <c r="I85" s="6">
        <v>0</v>
      </c>
      <c r="J85" s="6">
        <v>67210</v>
      </c>
      <c r="K85" s="6">
        <f t="shared" si="4"/>
        <v>67210</v>
      </c>
      <c r="L85" s="6">
        <v>25675</v>
      </c>
      <c r="M85" s="6">
        <v>25938.2352941176</v>
      </c>
      <c r="N85" s="6">
        <v>24</v>
      </c>
      <c r="O85" s="8">
        <f t="shared" si="5"/>
        <v>9.2622771471332008</v>
      </c>
      <c r="Q85" s="10">
        <v>1419</v>
      </c>
      <c r="R85" s="10">
        <f t="shared" si="6"/>
        <v>95370990</v>
      </c>
      <c r="S85" s="10">
        <f t="shared" si="7"/>
        <v>36806355.882352874</v>
      </c>
    </row>
    <row r="86" spans="1:19" x14ac:dyDescent="0.25">
      <c r="A86" s="5" t="s">
        <v>99</v>
      </c>
      <c r="B86" s="6" t="s">
        <v>17</v>
      </c>
      <c r="C86" s="6" t="s">
        <v>19</v>
      </c>
      <c r="D86" s="6">
        <v>10</v>
      </c>
      <c r="E86" s="6">
        <v>1036</v>
      </c>
      <c r="F86" s="6">
        <v>2054</v>
      </c>
      <c r="G86" s="6">
        <v>0</v>
      </c>
      <c r="H86" s="6">
        <v>0</v>
      </c>
      <c r="I86" s="6">
        <v>0</v>
      </c>
      <c r="J86" s="6">
        <v>712</v>
      </c>
      <c r="K86" s="6">
        <f t="shared" si="4"/>
        <v>712</v>
      </c>
      <c r="L86" s="6">
        <v>2378</v>
      </c>
      <c r="M86" s="6">
        <v>1031</v>
      </c>
      <c r="N86" s="6">
        <v>24</v>
      </c>
      <c r="O86" s="8">
        <f t="shared" si="5"/>
        <v>34.752808988764045</v>
      </c>
      <c r="Q86" s="10">
        <v>2616</v>
      </c>
      <c r="R86" s="10">
        <f t="shared" si="6"/>
        <v>1862592</v>
      </c>
      <c r="S86" s="10">
        <f t="shared" si="7"/>
        <v>2697096</v>
      </c>
    </row>
    <row r="87" spans="1:19" x14ac:dyDescent="0.25">
      <c r="A87" s="5" t="s">
        <v>100</v>
      </c>
      <c r="B87" s="6" t="s">
        <v>17</v>
      </c>
      <c r="C87" s="6" t="s">
        <v>19</v>
      </c>
      <c r="D87" s="6">
        <v>10</v>
      </c>
      <c r="E87" s="6">
        <v>845</v>
      </c>
      <c r="F87" s="6">
        <v>1540</v>
      </c>
      <c r="G87" s="6">
        <v>0</v>
      </c>
      <c r="H87" s="6">
        <v>0</v>
      </c>
      <c r="I87" s="6">
        <v>0</v>
      </c>
      <c r="J87" s="6">
        <v>0</v>
      </c>
      <c r="K87" s="6">
        <f t="shared" si="4"/>
        <v>0</v>
      </c>
      <c r="L87" s="6">
        <v>2385</v>
      </c>
      <c r="M87" s="6">
        <v>2385</v>
      </c>
      <c r="N87" s="6">
        <v>24</v>
      </c>
      <c r="O87" s="8">
        <v>0</v>
      </c>
      <c r="Q87" s="10">
        <v>4592</v>
      </c>
      <c r="R87" s="10">
        <f t="shared" si="6"/>
        <v>0</v>
      </c>
      <c r="S87" s="10">
        <f t="shared" si="7"/>
        <v>10951920</v>
      </c>
    </row>
    <row r="88" spans="1:19" x14ac:dyDescent="0.25">
      <c r="A88" s="5" t="s">
        <v>101</v>
      </c>
      <c r="B88" s="6" t="s">
        <v>17</v>
      </c>
      <c r="C88" s="6" t="s">
        <v>19</v>
      </c>
      <c r="D88" s="6">
        <v>10</v>
      </c>
      <c r="E88" s="6">
        <v>11155</v>
      </c>
      <c r="F88" s="6">
        <v>0</v>
      </c>
      <c r="G88" s="6">
        <v>0</v>
      </c>
      <c r="H88" s="6">
        <v>0</v>
      </c>
      <c r="I88" s="6">
        <v>0</v>
      </c>
      <c r="J88" s="6">
        <v>1625</v>
      </c>
      <c r="K88" s="6">
        <f t="shared" si="4"/>
        <v>1625</v>
      </c>
      <c r="L88" s="6">
        <v>9530</v>
      </c>
      <c r="M88" s="6">
        <v>9530</v>
      </c>
      <c r="N88" s="6">
        <v>24</v>
      </c>
      <c r="O88" s="8">
        <f t="shared" si="5"/>
        <v>140.75076923076924</v>
      </c>
      <c r="Q88" s="10">
        <v>2297</v>
      </c>
      <c r="R88" s="10">
        <f t="shared" si="6"/>
        <v>3732625</v>
      </c>
      <c r="S88" s="10">
        <f t="shared" si="7"/>
        <v>21890410</v>
      </c>
    </row>
    <row r="89" spans="1:19" x14ac:dyDescent="0.25">
      <c r="A89" s="5" t="s">
        <v>102</v>
      </c>
      <c r="B89" s="6" t="s">
        <v>17</v>
      </c>
      <c r="C89" s="6" t="s">
        <v>19</v>
      </c>
      <c r="D89" s="6">
        <v>10</v>
      </c>
      <c r="E89" s="6">
        <v>1925</v>
      </c>
      <c r="F89" s="6">
        <v>0</v>
      </c>
      <c r="G89" s="6">
        <v>0</v>
      </c>
      <c r="H89" s="6">
        <v>0</v>
      </c>
      <c r="I89" s="6">
        <v>0</v>
      </c>
      <c r="J89" s="6">
        <v>400</v>
      </c>
      <c r="K89" s="6">
        <f t="shared" si="4"/>
        <v>400</v>
      </c>
      <c r="L89" s="6">
        <v>1525</v>
      </c>
      <c r="M89" s="6">
        <v>1525</v>
      </c>
      <c r="N89" s="6">
        <v>24</v>
      </c>
      <c r="O89" s="8">
        <f t="shared" si="5"/>
        <v>91.5</v>
      </c>
      <c r="Q89" s="10">
        <v>2616</v>
      </c>
      <c r="R89" s="10">
        <f t="shared" si="6"/>
        <v>1046400</v>
      </c>
      <c r="S89" s="10">
        <f t="shared" si="7"/>
        <v>3989400</v>
      </c>
    </row>
    <row r="90" spans="1:19" x14ac:dyDescent="0.25">
      <c r="A90" s="5" t="s">
        <v>103</v>
      </c>
      <c r="B90" s="6" t="s">
        <v>16</v>
      </c>
      <c r="C90" s="6" t="s">
        <v>19</v>
      </c>
      <c r="D90" s="6">
        <v>10</v>
      </c>
      <c r="E90" s="6">
        <v>15945</v>
      </c>
      <c r="F90" s="6">
        <v>68925</v>
      </c>
      <c r="G90" s="6">
        <v>0</v>
      </c>
      <c r="H90" s="6">
        <v>0</v>
      </c>
      <c r="I90" s="6">
        <v>0</v>
      </c>
      <c r="J90" s="6">
        <v>69990</v>
      </c>
      <c r="K90" s="6">
        <f t="shared" si="4"/>
        <v>69990</v>
      </c>
      <c r="L90" s="6">
        <v>14880</v>
      </c>
      <c r="M90" s="6">
        <v>14833.4</v>
      </c>
      <c r="N90" s="6">
        <v>24</v>
      </c>
      <c r="O90" s="8">
        <f t="shared" si="5"/>
        <v>5.0864637805400772</v>
      </c>
      <c r="Q90" s="10">
        <v>1419</v>
      </c>
      <c r="R90" s="10">
        <f t="shared" si="6"/>
        <v>99315810</v>
      </c>
      <c r="S90" s="10">
        <f t="shared" si="7"/>
        <v>21048594.599999998</v>
      </c>
    </row>
    <row r="91" spans="1:19" x14ac:dyDescent="0.25">
      <c r="A91" s="5" t="s">
        <v>104</v>
      </c>
      <c r="B91" s="6" t="s">
        <v>17</v>
      </c>
      <c r="C91" s="6" t="s">
        <v>19</v>
      </c>
      <c r="D91" s="6">
        <v>10</v>
      </c>
      <c r="E91" s="6">
        <v>1189</v>
      </c>
      <c r="F91" s="6">
        <v>2100</v>
      </c>
      <c r="G91" s="6">
        <v>0</v>
      </c>
      <c r="H91" s="6">
        <v>0</v>
      </c>
      <c r="I91" s="6">
        <v>0</v>
      </c>
      <c r="J91" s="6">
        <v>850</v>
      </c>
      <c r="K91" s="6">
        <f t="shared" si="4"/>
        <v>850</v>
      </c>
      <c r="L91" s="6">
        <v>2439</v>
      </c>
      <c r="M91" s="6">
        <v>1997.3333333333301</v>
      </c>
      <c r="N91" s="6">
        <v>24</v>
      </c>
      <c r="O91" s="8">
        <f t="shared" si="5"/>
        <v>56.395294117646969</v>
      </c>
      <c r="Q91" s="10">
        <v>1419</v>
      </c>
      <c r="R91" s="10">
        <f t="shared" si="6"/>
        <v>1206150</v>
      </c>
      <c r="S91" s="10">
        <f t="shared" si="7"/>
        <v>2834215.9999999953</v>
      </c>
    </row>
    <row r="92" spans="1:19" x14ac:dyDescent="0.25">
      <c r="A92" s="5" t="s">
        <v>105</v>
      </c>
      <c r="B92" s="6" t="s">
        <v>17</v>
      </c>
      <c r="C92" s="6" t="s">
        <v>19</v>
      </c>
      <c r="D92" s="6">
        <v>10</v>
      </c>
      <c r="E92" s="6">
        <v>11333</v>
      </c>
      <c r="F92" s="6">
        <v>22202</v>
      </c>
      <c r="G92" s="6">
        <v>0</v>
      </c>
      <c r="H92" s="6">
        <v>0</v>
      </c>
      <c r="I92" s="6">
        <v>0</v>
      </c>
      <c r="J92" s="6">
        <v>27635</v>
      </c>
      <c r="K92" s="6">
        <f t="shared" si="4"/>
        <v>27635</v>
      </c>
      <c r="L92" s="6">
        <v>5900</v>
      </c>
      <c r="M92" s="6">
        <v>14177.7</v>
      </c>
      <c r="N92" s="6">
        <v>24</v>
      </c>
      <c r="O92" s="8">
        <f t="shared" si="5"/>
        <v>12.312820698389725</v>
      </c>
      <c r="Q92" s="10">
        <v>1968</v>
      </c>
      <c r="R92" s="10">
        <f t="shared" si="6"/>
        <v>54385680</v>
      </c>
      <c r="S92" s="10">
        <f t="shared" si="7"/>
        <v>27901713.600000001</v>
      </c>
    </row>
    <row r="93" spans="1:19" x14ac:dyDescent="0.25">
      <c r="A93" s="5" t="s">
        <v>108</v>
      </c>
      <c r="B93" s="6" t="s">
        <v>17</v>
      </c>
      <c r="C93" s="6" t="s">
        <v>19</v>
      </c>
      <c r="D93" s="6">
        <v>10</v>
      </c>
      <c r="E93" s="6">
        <v>13605</v>
      </c>
      <c r="F93" s="6">
        <v>22234</v>
      </c>
      <c r="G93" s="6">
        <v>0</v>
      </c>
      <c r="H93" s="6">
        <v>0</v>
      </c>
      <c r="I93" s="6">
        <v>20425</v>
      </c>
      <c r="J93" s="6">
        <v>0</v>
      </c>
      <c r="K93" s="6">
        <f t="shared" si="4"/>
        <v>20425</v>
      </c>
      <c r="L93" s="6">
        <v>15414</v>
      </c>
      <c r="M93" s="6">
        <v>15165</v>
      </c>
      <c r="N93" s="6">
        <v>24</v>
      </c>
      <c r="O93" s="8">
        <f t="shared" si="5"/>
        <v>17.819339045287638</v>
      </c>
      <c r="Q93" s="10">
        <v>1968</v>
      </c>
      <c r="R93" s="10">
        <f t="shared" si="6"/>
        <v>40196400</v>
      </c>
      <c r="S93" s="10">
        <f t="shared" si="7"/>
        <v>29844720</v>
      </c>
    </row>
    <row r="94" spans="1:19" x14ac:dyDescent="0.25">
      <c r="A94" s="5" t="s">
        <v>2</v>
      </c>
      <c r="B94" s="6" t="s">
        <v>17</v>
      </c>
      <c r="C94" s="6" t="s">
        <v>19</v>
      </c>
      <c r="D94" s="6">
        <v>10</v>
      </c>
      <c r="E94" s="6">
        <v>7328</v>
      </c>
      <c r="F94" s="6">
        <v>16271</v>
      </c>
      <c r="G94" s="6">
        <v>0</v>
      </c>
      <c r="H94" s="6">
        <v>0</v>
      </c>
      <c r="I94" s="6">
        <v>12311</v>
      </c>
      <c r="J94" s="6">
        <v>0</v>
      </c>
      <c r="K94" s="6">
        <f t="shared" si="4"/>
        <v>12311</v>
      </c>
      <c r="L94" s="6">
        <v>11288</v>
      </c>
      <c r="M94" s="6">
        <v>12867.714285714301</v>
      </c>
      <c r="N94" s="6">
        <v>24</v>
      </c>
      <c r="O94" s="8">
        <f t="shared" si="5"/>
        <v>25.085301182450102</v>
      </c>
      <c r="Q94" s="10">
        <v>2157</v>
      </c>
      <c r="R94" s="10">
        <f t="shared" si="6"/>
        <v>26554827</v>
      </c>
      <c r="S94" s="10">
        <f t="shared" si="7"/>
        <v>27755659.714285746</v>
      </c>
    </row>
    <row r="95" spans="1:19" x14ac:dyDescent="0.25">
      <c r="A95" s="5" t="s">
        <v>110</v>
      </c>
      <c r="B95" s="6" t="s">
        <v>17</v>
      </c>
      <c r="C95" s="6" t="s">
        <v>19</v>
      </c>
      <c r="D95" s="6">
        <v>10</v>
      </c>
      <c r="E95" s="6">
        <v>7940</v>
      </c>
      <c r="F95" s="6">
        <v>15096</v>
      </c>
      <c r="G95" s="6">
        <v>0</v>
      </c>
      <c r="H95" s="6">
        <v>0</v>
      </c>
      <c r="I95" s="6">
        <v>0</v>
      </c>
      <c r="J95" s="6">
        <v>12465</v>
      </c>
      <c r="K95" s="6">
        <f t="shared" si="4"/>
        <v>12465</v>
      </c>
      <c r="L95" s="6">
        <v>10571</v>
      </c>
      <c r="M95" s="6">
        <v>7839.6923076923104</v>
      </c>
      <c r="N95" s="6">
        <v>24</v>
      </c>
      <c r="O95" s="8">
        <f t="shared" si="5"/>
        <v>15.094473757289647</v>
      </c>
      <c r="Q95" s="10">
        <v>2031</v>
      </c>
      <c r="R95" s="10">
        <f t="shared" si="6"/>
        <v>25316415</v>
      </c>
      <c r="S95" s="10">
        <f t="shared" si="7"/>
        <v>15922415.076923082</v>
      </c>
    </row>
    <row r="96" spans="1:19" x14ac:dyDescent="0.25">
      <c r="A96" s="5" t="s">
        <v>111</v>
      </c>
      <c r="B96" s="6" t="s">
        <v>17</v>
      </c>
      <c r="C96" s="6" t="s">
        <v>19</v>
      </c>
      <c r="D96" s="6">
        <v>10</v>
      </c>
      <c r="E96" s="6">
        <v>13596</v>
      </c>
      <c r="F96" s="6">
        <v>3675</v>
      </c>
      <c r="G96" s="6">
        <v>0</v>
      </c>
      <c r="H96" s="6">
        <v>0</v>
      </c>
      <c r="I96" s="6">
        <v>0</v>
      </c>
      <c r="J96" s="6">
        <v>10600</v>
      </c>
      <c r="K96" s="6">
        <f t="shared" si="4"/>
        <v>10600</v>
      </c>
      <c r="L96" s="6">
        <v>6671</v>
      </c>
      <c r="M96" s="6">
        <v>6875.1</v>
      </c>
      <c r="N96" s="6">
        <v>24</v>
      </c>
      <c r="O96" s="8">
        <f t="shared" si="5"/>
        <v>15.566264150943397</v>
      </c>
      <c r="Q96" s="10">
        <v>2031</v>
      </c>
      <c r="R96" s="10">
        <f t="shared" si="6"/>
        <v>21528600</v>
      </c>
      <c r="S96" s="10">
        <f t="shared" si="7"/>
        <v>13963328.100000001</v>
      </c>
    </row>
    <row r="97" spans="1:19" x14ac:dyDescent="0.25">
      <c r="A97" s="5" t="s">
        <v>112</v>
      </c>
      <c r="B97" s="6" t="s">
        <v>17</v>
      </c>
      <c r="C97" s="6" t="s">
        <v>19</v>
      </c>
      <c r="D97" s="6">
        <v>10</v>
      </c>
      <c r="E97" s="6">
        <v>1050</v>
      </c>
      <c r="F97" s="6">
        <v>1025</v>
      </c>
      <c r="G97" s="6">
        <v>0</v>
      </c>
      <c r="H97" s="6">
        <v>0</v>
      </c>
      <c r="I97" s="6">
        <v>0</v>
      </c>
      <c r="J97" s="6">
        <v>1075</v>
      </c>
      <c r="K97" s="6">
        <f t="shared" si="4"/>
        <v>1075</v>
      </c>
      <c r="L97" s="6">
        <v>1000</v>
      </c>
      <c r="M97" s="6">
        <v>1530</v>
      </c>
      <c r="N97" s="6">
        <v>24</v>
      </c>
      <c r="O97" s="8">
        <f t="shared" si="5"/>
        <v>34.158139534883716</v>
      </c>
      <c r="Q97" s="10">
        <v>2642</v>
      </c>
      <c r="R97" s="10">
        <f t="shared" si="6"/>
        <v>2840150</v>
      </c>
      <c r="S97" s="10">
        <f t="shared" si="7"/>
        <v>4042260</v>
      </c>
    </row>
    <row r="98" spans="1:19" x14ac:dyDescent="0.25">
      <c r="A98" s="5" t="s">
        <v>113</v>
      </c>
      <c r="B98" s="6" t="s">
        <v>17</v>
      </c>
      <c r="C98" s="6" t="s">
        <v>19</v>
      </c>
      <c r="D98" s="6">
        <v>10</v>
      </c>
      <c r="E98" s="6">
        <v>1250</v>
      </c>
      <c r="F98" s="6">
        <v>1050</v>
      </c>
      <c r="G98" s="6">
        <v>0</v>
      </c>
      <c r="H98" s="6">
        <v>0</v>
      </c>
      <c r="I98" s="6">
        <v>0</v>
      </c>
      <c r="J98" s="6">
        <v>1550</v>
      </c>
      <c r="K98" s="6">
        <f t="shared" si="4"/>
        <v>1550</v>
      </c>
      <c r="L98" s="6">
        <v>750</v>
      </c>
      <c r="M98" s="6">
        <v>1100</v>
      </c>
      <c r="N98" s="6">
        <v>24</v>
      </c>
      <c r="O98" s="8">
        <f t="shared" si="5"/>
        <v>17.032258064516128</v>
      </c>
      <c r="Q98" s="10">
        <v>2642</v>
      </c>
      <c r="R98" s="10">
        <f t="shared" si="6"/>
        <v>4095100</v>
      </c>
      <c r="S98" s="10">
        <f t="shared" si="7"/>
        <v>2906200</v>
      </c>
    </row>
    <row r="99" spans="1:19" x14ac:dyDescent="0.25">
      <c r="A99" s="5" t="s">
        <v>114</v>
      </c>
      <c r="B99" s="6" t="s">
        <v>17</v>
      </c>
      <c r="C99" s="6" t="s">
        <v>19</v>
      </c>
      <c r="D99" s="6">
        <v>10</v>
      </c>
      <c r="E99" s="6">
        <v>450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f t="shared" si="4"/>
        <v>0</v>
      </c>
      <c r="L99" s="6">
        <v>450</v>
      </c>
      <c r="M99" s="6">
        <v>0</v>
      </c>
      <c r="N99" s="6">
        <v>24</v>
      </c>
      <c r="O99" s="8">
        <v>0</v>
      </c>
      <c r="Q99" s="10">
        <v>2488</v>
      </c>
      <c r="R99" s="10">
        <f t="shared" si="6"/>
        <v>0</v>
      </c>
      <c r="S99" s="10">
        <f t="shared" si="7"/>
        <v>0</v>
      </c>
    </row>
    <row r="100" spans="1:19" x14ac:dyDescent="0.25">
      <c r="A100" s="5" t="s">
        <v>115</v>
      </c>
      <c r="B100" s="6" t="s">
        <v>17</v>
      </c>
      <c r="C100" s="6" t="s">
        <v>19</v>
      </c>
      <c r="D100" s="6">
        <v>10</v>
      </c>
      <c r="E100" s="6">
        <v>4400</v>
      </c>
      <c r="F100" s="6">
        <v>1500</v>
      </c>
      <c r="G100" s="6">
        <v>0</v>
      </c>
      <c r="H100" s="6">
        <v>0</v>
      </c>
      <c r="I100" s="6">
        <v>0</v>
      </c>
      <c r="J100" s="6">
        <v>2300</v>
      </c>
      <c r="K100" s="6">
        <f t="shared" si="4"/>
        <v>2300</v>
      </c>
      <c r="L100" s="6">
        <v>3600</v>
      </c>
      <c r="M100" s="6">
        <v>4870</v>
      </c>
      <c r="N100" s="6">
        <v>24</v>
      </c>
      <c r="O100" s="8">
        <f t="shared" si="5"/>
        <v>50.817391304347822</v>
      </c>
      <c r="Q100" s="10">
        <v>2431</v>
      </c>
      <c r="R100" s="10">
        <f t="shared" si="6"/>
        <v>5591300</v>
      </c>
      <c r="S100" s="10">
        <f t="shared" si="7"/>
        <v>11838970</v>
      </c>
    </row>
    <row r="101" spans="1:19" x14ac:dyDescent="0.25">
      <c r="A101" s="5" t="s">
        <v>116</v>
      </c>
      <c r="B101" s="6" t="s">
        <v>17</v>
      </c>
      <c r="C101" s="6" t="s">
        <v>19</v>
      </c>
      <c r="D101" s="6">
        <v>10</v>
      </c>
      <c r="E101" s="6">
        <v>3310</v>
      </c>
      <c r="F101" s="6">
        <v>4494</v>
      </c>
      <c r="G101" s="6">
        <v>0</v>
      </c>
      <c r="H101" s="6">
        <v>0</v>
      </c>
      <c r="I101" s="6">
        <v>0</v>
      </c>
      <c r="J101" s="6">
        <v>4000</v>
      </c>
      <c r="K101" s="6">
        <f t="shared" si="4"/>
        <v>4000</v>
      </c>
      <c r="L101" s="6">
        <v>3804</v>
      </c>
      <c r="M101" s="6">
        <v>3836.8571428571404</v>
      </c>
      <c r="N101" s="6">
        <v>24</v>
      </c>
      <c r="O101" s="8">
        <f t="shared" si="5"/>
        <v>23.021142857142841</v>
      </c>
      <c r="Q101" s="10">
        <v>4592</v>
      </c>
      <c r="R101" s="10">
        <f t="shared" si="6"/>
        <v>18368000</v>
      </c>
      <c r="S101" s="10">
        <f t="shared" si="7"/>
        <v>17618847.999999989</v>
      </c>
    </row>
    <row r="102" spans="1:19" x14ac:dyDescent="0.25">
      <c r="A102" s="5" t="s">
        <v>117</v>
      </c>
      <c r="B102" s="6" t="s">
        <v>17</v>
      </c>
      <c r="C102" s="6" t="s">
        <v>19</v>
      </c>
      <c r="D102" s="6">
        <v>10</v>
      </c>
      <c r="E102" s="6">
        <v>2600</v>
      </c>
      <c r="F102" s="6">
        <v>0</v>
      </c>
      <c r="G102" s="6">
        <v>0</v>
      </c>
      <c r="H102" s="6">
        <v>0</v>
      </c>
      <c r="I102" s="6">
        <v>0</v>
      </c>
      <c r="J102" s="6">
        <v>250</v>
      </c>
      <c r="K102" s="6">
        <f t="shared" si="4"/>
        <v>250</v>
      </c>
      <c r="L102" s="6">
        <v>2350</v>
      </c>
      <c r="M102" s="6">
        <v>2350</v>
      </c>
      <c r="N102" s="6">
        <v>24</v>
      </c>
      <c r="O102" s="8">
        <f t="shared" si="5"/>
        <v>225.60000000000002</v>
      </c>
      <c r="Q102" s="10">
        <v>2297</v>
      </c>
      <c r="R102" s="10">
        <f t="shared" si="6"/>
        <v>574250</v>
      </c>
      <c r="S102" s="10">
        <f t="shared" si="7"/>
        <v>5397950</v>
      </c>
    </row>
    <row r="103" spans="1:19" x14ac:dyDescent="0.25">
      <c r="A103" s="5" t="s">
        <v>118</v>
      </c>
      <c r="B103" s="6" t="s">
        <v>17</v>
      </c>
      <c r="C103" s="6" t="s">
        <v>19</v>
      </c>
      <c r="D103" s="6">
        <v>10</v>
      </c>
      <c r="E103" s="6">
        <v>2025</v>
      </c>
      <c r="F103" s="6">
        <v>975</v>
      </c>
      <c r="G103" s="6">
        <v>0</v>
      </c>
      <c r="H103" s="6">
        <v>0</v>
      </c>
      <c r="I103" s="6">
        <v>0</v>
      </c>
      <c r="J103" s="6">
        <v>125</v>
      </c>
      <c r="K103" s="6">
        <f t="shared" si="4"/>
        <v>125</v>
      </c>
      <c r="L103" s="6">
        <v>2875</v>
      </c>
      <c r="M103" s="6">
        <v>2387.5</v>
      </c>
      <c r="N103" s="6">
        <v>24</v>
      </c>
      <c r="O103" s="8">
        <f t="shared" si="5"/>
        <v>458.40000000000003</v>
      </c>
      <c r="Q103" s="10">
        <v>2616</v>
      </c>
      <c r="R103" s="10">
        <f t="shared" si="6"/>
        <v>327000</v>
      </c>
      <c r="S103" s="10">
        <f t="shared" si="7"/>
        <v>6245700</v>
      </c>
    </row>
    <row r="104" spans="1:19" x14ac:dyDescent="0.25">
      <c r="A104" s="5" t="s">
        <v>119</v>
      </c>
      <c r="B104" s="6" t="s">
        <v>17</v>
      </c>
      <c r="C104" s="6" t="s">
        <v>19</v>
      </c>
      <c r="D104" s="6">
        <v>10</v>
      </c>
      <c r="E104" s="6">
        <v>4229</v>
      </c>
      <c r="F104" s="6">
        <v>16287</v>
      </c>
      <c r="G104" s="6">
        <v>0</v>
      </c>
      <c r="H104" s="6">
        <v>0</v>
      </c>
      <c r="I104" s="6">
        <v>0</v>
      </c>
      <c r="J104" s="6">
        <v>10619</v>
      </c>
      <c r="K104" s="6">
        <f t="shared" si="4"/>
        <v>10619</v>
      </c>
      <c r="L104" s="6">
        <v>9897</v>
      </c>
      <c r="M104" s="6">
        <v>9142.9</v>
      </c>
      <c r="N104" s="6">
        <v>24</v>
      </c>
      <c r="O104" s="8">
        <f t="shared" si="5"/>
        <v>20.663866654110556</v>
      </c>
      <c r="Q104" s="10">
        <v>1419</v>
      </c>
      <c r="R104" s="10">
        <f t="shared" si="6"/>
        <v>15068361</v>
      </c>
      <c r="S104" s="10">
        <f t="shared" si="7"/>
        <v>12973775.1</v>
      </c>
    </row>
    <row r="105" spans="1:19" x14ac:dyDescent="0.25">
      <c r="A105" s="5" t="s">
        <v>120</v>
      </c>
      <c r="B105" s="6" t="s">
        <v>17</v>
      </c>
      <c r="C105" s="6" t="s">
        <v>19</v>
      </c>
      <c r="D105" s="6">
        <v>10</v>
      </c>
      <c r="E105" s="6">
        <v>1560</v>
      </c>
      <c r="F105" s="6">
        <v>1984</v>
      </c>
      <c r="G105" s="6">
        <v>0</v>
      </c>
      <c r="H105" s="6">
        <v>0</v>
      </c>
      <c r="I105" s="6">
        <v>0</v>
      </c>
      <c r="J105" s="6">
        <v>300</v>
      </c>
      <c r="K105" s="6">
        <f t="shared" si="4"/>
        <v>300</v>
      </c>
      <c r="L105" s="6">
        <v>3244</v>
      </c>
      <c r="M105" s="6">
        <v>3394</v>
      </c>
      <c r="N105" s="6">
        <v>24</v>
      </c>
      <c r="O105" s="8">
        <f t="shared" si="5"/>
        <v>271.52</v>
      </c>
      <c r="Q105" s="10">
        <v>2616</v>
      </c>
      <c r="R105" s="10">
        <f t="shared" si="6"/>
        <v>784800</v>
      </c>
      <c r="S105" s="10">
        <f t="shared" si="7"/>
        <v>8878704</v>
      </c>
    </row>
    <row r="106" spans="1:19" x14ac:dyDescent="0.25">
      <c r="A106" s="5" t="s">
        <v>121</v>
      </c>
      <c r="B106" s="6" t="s">
        <v>17</v>
      </c>
      <c r="C106" s="6" t="s">
        <v>19</v>
      </c>
      <c r="D106" s="6">
        <v>10</v>
      </c>
      <c r="E106" s="6">
        <v>7564</v>
      </c>
      <c r="F106" s="6">
        <v>4200</v>
      </c>
      <c r="G106" s="6">
        <v>0</v>
      </c>
      <c r="H106" s="6">
        <v>0</v>
      </c>
      <c r="I106" s="6">
        <v>10245</v>
      </c>
      <c r="J106" s="6">
        <v>0</v>
      </c>
      <c r="K106" s="6">
        <f t="shared" si="4"/>
        <v>10245</v>
      </c>
      <c r="L106" s="6">
        <v>1519</v>
      </c>
      <c r="M106" s="6">
        <v>3750.25</v>
      </c>
      <c r="N106" s="6">
        <v>24</v>
      </c>
      <c r="O106" s="8">
        <f t="shared" si="5"/>
        <v>8.7853587115666176</v>
      </c>
      <c r="Q106" s="10">
        <v>2246</v>
      </c>
      <c r="R106" s="10">
        <f t="shared" si="6"/>
        <v>23010270</v>
      </c>
      <c r="S106" s="10">
        <f t="shared" si="7"/>
        <v>8423061.5</v>
      </c>
    </row>
    <row r="107" spans="1:19" x14ac:dyDescent="0.25">
      <c r="A107" s="5" t="s">
        <v>122</v>
      </c>
      <c r="B107" s="6" t="s">
        <v>17</v>
      </c>
      <c r="C107" s="6" t="s">
        <v>19</v>
      </c>
      <c r="D107" s="6">
        <v>10</v>
      </c>
      <c r="E107" s="6">
        <v>5089</v>
      </c>
      <c r="F107" s="6">
        <v>2508</v>
      </c>
      <c r="G107" s="6">
        <v>0</v>
      </c>
      <c r="H107" s="6">
        <v>0</v>
      </c>
      <c r="I107" s="6">
        <v>1250</v>
      </c>
      <c r="J107" s="6">
        <v>0</v>
      </c>
      <c r="K107" s="6">
        <f t="shared" si="4"/>
        <v>1250</v>
      </c>
      <c r="L107" s="6">
        <v>6347</v>
      </c>
      <c r="M107" s="6">
        <v>6972</v>
      </c>
      <c r="N107" s="6">
        <v>24</v>
      </c>
      <c r="O107" s="8">
        <f t="shared" si="5"/>
        <v>133.86240000000001</v>
      </c>
      <c r="Q107" s="10">
        <v>2355</v>
      </c>
      <c r="R107" s="10">
        <f t="shared" si="6"/>
        <v>2943750</v>
      </c>
      <c r="S107" s="10">
        <f t="shared" si="7"/>
        <v>16419060</v>
      </c>
    </row>
    <row r="108" spans="1:19" x14ac:dyDescent="0.25">
      <c r="A108" s="5" t="s">
        <v>123</v>
      </c>
      <c r="B108" s="6" t="s">
        <v>17</v>
      </c>
      <c r="C108" s="6" t="s">
        <v>19</v>
      </c>
      <c r="D108" s="6">
        <v>10</v>
      </c>
      <c r="E108" s="6">
        <v>11441</v>
      </c>
      <c r="F108" s="6">
        <v>1575</v>
      </c>
      <c r="G108" s="6">
        <v>0</v>
      </c>
      <c r="H108" s="6">
        <v>0</v>
      </c>
      <c r="I108" s="6">
        <v>0</v>
      </c>
      <c r="J108" s="6">
        <v>7750</v>
      </c>
      <c r="K108" s="6">
        <f t="shared" si="4"/>
        <v>7750</v>
      </c>
      <c r="L108" s="6">
        <v>5266</v>
      </c>
      <c r="M108" s="6">
        <v>7632.6666666666697</v>
      </c>
      <c r="N108" s="6">
        <v>24</v>
      </c>
      <c r="O108" s="8">
        <f t="shared" si="5"/>
        <v>23.636645161290332</v>
      </c>
      <c r="Q108" s="10">
        <v>2031</v>
      </c>
      <c r="R108" s="10">
        <f t="shared" si="6"/>
        <v>15740250</v>
      </c>
      <c r="S108" s="10">
        <f t="shared" si="7"/>
        <v>15501946.000000006</v>
      </c>
    </row>
    <row r="109" spans="1:19" x14ac:dyDescent="0.25">
      <c r="A109" s="5" t="s">
        <v>124</v>
      </c>
      <c r="B109" s="6" t="s">
        <v>17</v>
      </c>
      <c r="C109" s="6" t="s">
        <v>19</v>
      </c>
      <c r="D109" s="6">
        <v>10</v>
      </c>
      <c r="E109" s="6">
        <v>1925</v>
      </c>
      <c r="F109" s="6">
        <v>10400</v>
      </c>
      <c r="G109" s="6">
        <v>0</v>
      </c>
      <c r="H109" s="6">
        <v>0</v>
      </c>
      <c r="I109" s="6">
        <v>10300</v>
      </c>
      <c r="J109" s="6">
        <v>0</v>
      </c>
      <c r="K109" s="6">
        <f t="shared" si="4"/>
        <v>10300</v>
      </c>
      <c r="L109" s="6">
        <v>2025</v>
      </c>
      <c r="M109" s="6">
        <v>3690.625</v>
      </c>
      <c r="N109" s="6">
        <v>24</v>
      </c>
      <c r="O109" s="8">
        <f t="shared" si="5"/>
        <v>8.599514563106796</v>
      </c>
      <c r="Q109" s="10">
        <v>2108</v>
      </c>
      <c r="R109" s="10">
        <f t="shared" si="6"/>
        <v>21712400</v>
      </c>
      <c r="S109" s="10">
        <f t="shared" si="7"/>
        <v>7779837.5</v>
      </c>
    </row>
    <row r="110" spans="1:19" x14ac:dyDescent="0.25">
      <c r="A110" s="5" t="s">
        <v>125</v>
      </c>
      <c r="B110" s="6" t="s">
        <v>17</v>
      </c>
      <c r="C110" s="6" t="s">
        <v>19</v>
      </c>
      <c r="D110" s="6">
        <v>10</v>
      </c>
      <c r="E110" s="6">
        <v>1100</v>
      </c>
      <c r="F110" s="6">
        <v>1475</v>
      </c>
      <c r="G110" s="6">
        <v>0</v>
      </c>
      <c r="H110" s="6">
        <v>0</v>
      </c>
      <c r="I110" s="6">
        <v>1000</v>
      </c>
      <c r="J110" s="6">
        <v>0</v>
      </c>
      <c r="K110" s="6">
        <f t="shared" si="4"/>
        <v>1000</v>
      </c>
      <c r="L110" s="6">
        <v>1575</v>
      </c>
      <c r="M110" s="6">
        <v>2075</v>
      </c>
      <c r="N110" s="6">
        <v>24</v>
      </c>
      <c r="O110" s="8">
        <f t="shared" si="5"/>
        <v>49.800000000000004</v>
      </c>
      <c r="Q110" s="10">
        <v>2173</v>
      </c>
      <c r="R110" s="10">
        <f t="shared" si="6"/>
        <v>2173000</v>
      </c>
      <c r="S110" s="10">
        <f t="shared" si="7"/>
        <v>4508975</v>
      </c>
    </row>
    <row r="111" spans="1:19" x14ac:dyDescent="0.25">
      <c r="A111" s="5" t="s">
        <v>129</v>
      </c>
      <c r="B111" s="6" t="s">
        <v>17</v>
      </c>
      <c r="C111" s="6" t="s">
        <v>19</v>
      </c>
      <c r="D111" s="6">
        <v>10</v>
      </c>
      <c r="E111" s="6">
        <v>3575</v>
      </c>
      <c r="F111" s="6">
        <v>1096</v>
      </c>
      <c r="G111" s="6">
        <v>0</v>
      </c>
      <c r="H111" s="6">
        <v>0</v>
      </c>
      <c r="I111" s="6">
        <v>2596</v>
      </c>
      <c r="J111" s="6">
        <v>0</v>
      </c>
      <c r="K111" s="6">
        <f t="shared" si="4"/>
        <v>2596</v>
      </c>
      <c r="L111" s="6">
        <v>2075</v>
      </c>
      <c r="M111" s="6">
        <v>2825</v>
      </c>
      <c r="N111" s="6">
        <v>24</v>
      </c>
      <c r="O111" s="8">
        <f t="shared" si="5"/>
        <v>26.117103235747301</v>
      </c>
      <c r="Q111" s="10">
        <v>2503</v>
      </c>
      <c r="R111" s="10">
        <f t="shared" si="6"/>
        <v>6497788</v>
      </c>
      <c r="S111" s="10">
        <f t="shared" si="7"/>
        <v>7070975</v>
      </c>
    </row>
    <row r="112" spans="1:19" x14ac:dyDescent="0.25">
      <c r="A112" s="5" t="s">
        <v>130</v>
      </c>
      <c r="B112" s="6" t="s">
        <v>17</v>
      </c>
      <c r="C112" s="6" t="s">
        <v>19</v>
      </c>
      <c r="D112" s="6">
        <v>10</v>
      </c>
      <c r="E112" s="6">
        <v>3150</v>
      </c>
      <c r="F112" s="6">
        <v>3150</v>
      </c>
      <c r="G112" s="6">
        <v>0</v>
      </c>
      <c r="H112" s="6">
        <v>0</v>
      </c>
      <c r="I112" s="6">
        <v>4175</v>
      </c>
      <c r="J112" s="6">
        <v>0</v>
      </c>
      <c r="K112" s="6">
        <f t="shared" si="4"/>
        <v>4175</v>
      </c>
      <c r="L112" s="6">
        <v>2125</v>
      </c>
      <c r="M112" s="6">
        <v>2350</v>
      </c>
      <c r="N112" s="6">
        <v>24</v>
      </c>
      <c r="O112" s="8">
        <f t="shared" si="5"/>
        <v>13.508982035928144</v>
      </c>
      <c r="Q112" s="10">
        <v>2355</v>
      </c>
      <c r="R112" s="10">
        <f t="shared" si="6"/>
        <v>9832125</v>
      </c>
      <c r="S112" s="10">
        <f t="shared" si="7"/>
        <v>5534250</v>
      </c>
    </row>
    <row r="113" spans="1:19" x14ac:dyDescent="0.25">
      <c r="A113" s="5" t="s">
        <v>131</v>
      </c>
      <c r="B113" s="6" t="s">
        <v>17</v>
      </c>
      <c r="C113" s="6" t="s">
        <v>19</v>
      </c>
      <c r="D113" s="6">
        <v>10</v>
      </c>
      <c r="E113" s="6">
        <v>2054</v>
      </c>
      <c r="F113" s="6">
        <v>3570</v>
      </c>
      <c r="G113" s="6">
        <v>0</v>
      </c>
      <c r="H113" s="6">
        <v>0</v>
      </c>
      <c r="I113" s="6">
        <v>3159</v>
      </c>
      <c r="J113" s="6">
        <v>0</v>
      </c>
      <c r="K113" s="6">
        <f t="shared" si="4"/>
        <v>3159</v>
      </c>
      <c r="L113" s="6">
        <v>2465</v>
      </c>
      <c r="M113" s="6">
        <v>1694.8333333333301</v>
      </c>
      <c r="N113" s="6">
        <v>24</v>
      </c>
      <c r="O113" s="8">
        <f t="shared" si="5"/>
        <v>12.876226654004407</v>
      </c>
      <c r="Q113" s="10">
        <v>2216</v>
      </c>
      <c r="R113" s="10">
        <f t="shared" si="6"/>
        <v>7000344</v>
      </c>
      <c r="S113" s="10">
        <f t="shared" si="7"/>
        <v>3755750.6666666595</v>
      </c>
    </row>
    <row r="114" spans="1:19" x14ac:dyDescent="0.25">
      <c r="A114" s="5" t="s">
        <v>132</v>
      </c>
      <c r="B114" s="6" t="s">
        <v>17</v>
      </c>
      <c r="C114" s="6" t="s">
        <v>19</v>
      </c>
      <c r="D114" s="6">
        <v>10</v>
      </c>
      <c r="E114" s="6">
        <v>3275</v>
      </c>
      <c r="F114" s="6">
        <v>1050</v>
      </c>
      <c r="G114" s="6">
        <v>0</v>
      </c>
      <c r="H114" s="6">
        <v>0</v>
      </c>
      <c r="I114" s="6">
        <v>3425</v>
      </c>
      <c r="J114" s="6">
        <v>0</v>
      </c>
      <c r="K114" s="6">
        <f t="shared" si="4"/>
        <v>3425</v>
      </c>
      <c r="L114" s="6">
        <v>900</v>
      </c>
      <c r="M114" s="6">
        <v>1337.5</v>
      </c>
      <c r="N114" s="6">
        <v>24</v>
      </c>
      <c r="O114" s="8">
        <f t="shared" si="5"/>
        <v>9.3722627737226283</v>
      </c>
      <c r="Q114" s="10">
        <v>1968</v>
      </c>
      <c r="R114" s="10">
        <f t="shared" si="6"/>
        <v>6740400</v>
      </c>
      <c r="S114" s="10">
        <f t="shared" si="7"/>
        <v>2632200</v>
      </c>
    </row>
    <row r="115" spans="1:19" x14ac:dyDescent="0.25">
      <c r="A115" s="5" t="s">
        <v>3</v>
      </c>
      <c r="B115" s="6" t="s">
        <v>17</v>
      </c>
      <c r="C115" s="6" t="s">
        <v>19</v>
      </c>
      <c r="D115" s="6">
        <v>10</v>
      </c>
      <c r="E115" s="6">
        <v>5550</v>
      </c>
      <c r="F115" s="6">
        <v>0</v>
      </c>
      <c r="G115" s="6">
        <v>0</v>
      </c>
      <c r="H115" s="6">
        <v>0</v>
      </c>
      <c r="I115" s="6">
        <v>0</v>
      </c>
      <c r="J115" s="6">
        <v>2750</v>
      </c>
      <c r="K115" s="6">
        <f t="shared" si="4"/>
        <v>2750</v>
      </c>
      <c r="L115" s="6">
        <v>2800</v>
      </c>
      <c r="M115" s="6">
        <v>3425</v>
      </c>
      <c r="N115" s="6">
        <v>24</v>
      </c>
      <c r="O115" s="8">
        <f t="shared" si="5"/>
        <v>29.890909090909091</v>
      </c>
      <c r="Q115" s="10">
        <v>2297</v>
      </c>
      <c r="R115" s="10">
        <f t="shared" si="6"/>
        <v>6316750</v>
      </c>
      <c r="S115" s="10">
        <f t="shared" si="7"/>
        <v>7867225</v>
      </c>
    </row>
    <row r="116" spans="1:19" x14ac:dyDescent="0.25">
      <c r="A116" s="5" t="s">
        <v>4</v>
      </c>
      <c r="B116" s="6" t="s">
        <v>17</v>
      </c>
      <c r="C116" s="6" t="s">
        <v>19</v>
      </c>
      <c r="D116" s="6">
        <v>10</v>
      </c>
      <c r="E116" s="6">
        <v>2500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f t="shared" si="4"/>
        <v>0</v>
      </c>
      <c r="L116" s="6">
        <v>2500</v>
      </c>
      <c r="M116" s="6">
        <v>0</v>
      </c>
      <c r="N116" s="6">
        <v>24</v>
      </c>
      <c r="O116" s="8">
        <v>0</v>
      </c>
      <c r="Q116" s="10">
        <v>2616</v>
      </c>
      <c r="R116" s="10">
        <f t="shared" si="6"/>
        <v>0</v>
      </c>
      <c r="S116" s="10">
        <f t="shared" si="7"/>
        <v>0</v>
      </c>
    </row>
    <row r="117" spans="1:19" x14ac:dyDescent="0.25">
      <c r="A117" s="5" t="s">
        <v>136</v>
      </c>
      <c r="B117" s="6" t="s">
        <v>17</v>
      </c>
      <c r="C117" s="6" t="s">
        <v>19</v>
      </c>
      <c r="D117" s="6">
        <v>10</v>
      </c>
      <c r="E117" s="6">
        <v>2329</v>
      </c>
      <c r="F117" s="6">
        <v>0</v>
      </c>
      <c r="G117" s="6">
        <v>0</v>
      </c>
      <c r="H117" s="6">
        <v>0</v>
      </c>
      <c r="I117" s="6">
        <v>850</v>
      </c>
      <c r="J117" s="6">
        <v>0</v>
      </c>
      <c r="K117" s="6">
        <f t="shared" si="4"/>
        <v>850</v>
      </c>
      <c r="L117" s="6">
        <v>1479</v>
      </c>
      <c r="M117" s="6">
        <v>1654</v>
      </c>
      <c r="N117" s="6">
        <v>24</v>
      </c>
      <c r="O117" s="8">
        <f t="shared" si="5"/>
        <v>46.701176470588237</v>
      </c>
      <c r="Q117" s="10">
        <v>2355</v>
      </c>
      <c r="R117" s="10">
        <f t="shared" si="6"/>
        <v>2001750</v>
      </c>
      <c r="S117" s="10">
        <f t="shared" si="7"/>
        <v>3895170</v>
      </c>
    </row>
    <row r="118" spans="1:19" x14ac:dyDescent="0.25">
      <c r="A118" s="5" t="s">
        <v>137</v>
      </c>
      <c r="B118" s="6" t="s">
        <v>17</v>
      </c>
      <c r="C118" s="6" t="s">
        <v>19</v>
      </c>
      <c r="D118" s="6">
        <v>10</v>
      </c>
      <c r="E118" s="6">
        <v>1900</v>
      </c>
      <c r="F118" s="6">
        <v>0</v>
      </c>
      <c r="G118" s="6">
        <v>0</v>
      </c>
      <c r="H118" s="6">
        <v>0</v>
      </c>
      <c r="I118" s="6">
        <v>200</v>
      </c>
      <c r="J118" s="6">
        <v>0</v>
      </c>
      <c r="K118" s="6">
        <f t="shared" si="4"/>
        <v>200</v>
      </c>
      <c r="L118" s="6">
        <v>1700</v>
      </c>
      <c r="M118" s="6">
        <v>1700</v>
      </c>
      <c r="N118" s="6">
        <v>24</v>
      </c>
      <c r="O118" s="8">
        <f t="shared" si="5"/>
        <v>204</v>
      </c>
      <c r="Q118" s="10">
        <v>2372</v>
      </c>
      <c r="R118" s="10">
        <f t="shared" si="6"/>
        <v>474400</v>
      </c>
      <c r="S118" s="10">
        <f t="shared" si="7"/>
        <v>4032400</v>
      </c>
    </row>
    <row r="119" spans="1:19" x14ac:dyDescent="0.25">
      <c r="A119" s="5" t="s">
        <v>138</v>
      </c>
      <c r="B119" s="6" t="s">
        <v>17</v>
      </c>
      <c r="C119" s="6" t="s">
        <v>19</v>
      </c>
      <c r="D119" s="6">
        <v>10</v>
      </c>
      <c r="E119" s="6">
        <v>2000</v>
      </c>
      <c r="F119" s="6">
        <v>0</v>
      </c>
      <c r="G119" s="6">
        <v>0</v>
      </c>
      <c r="H119" s="6">
        <v>0</v>
      </c>
      <c r="I119" s="6">
        <v>775</v>
      </c>
      <c r="J119" s="6">
        <v>0</v>
      </c>
      <c r="K119" s="6">
        <f t="shared" si="4"/>
        <v>775</v>
      </c>
      <c r="L119" s="6">
        <v>1225</v>
      </c>
      <c r="M119" s="6">
        <v>1350</v>
      </c>
      <c r="N119" s="6">
        <v>24</v>
      </c>
      <c r="O119" s="8">
        <f t="shared" si="5"/>
        <v>41.806451612903224</v>
      </c>
      <c r="Q119" s="10">
        <v>3482</v>
      </c>
      <c r="R119" s="10">
        <f t="shared" si="6"/>
        <v>2698550</v>
      </c>
      <c r="S119" s="10">
        <f t="shared" si="7"/>
        <v>4700700</v>
      </c>
    </row>
    <row r="120" spans="1:19" x14ac:dyDescent="0.25">
      <c r="A120" s="5" t="s">
        <v>139</v>
      </c>
      <c r="B120" s="6" t="s">
        <v>17</v>
      </c>
      <c r="C120" s="6" t="s">
        <v>19</v>
      </c>
      <c r="D120" s="6">
        <v>10</v>
      </c>
      <c r="E120" s="6">
        <v>2800</v>
      </c>
      <c r="F120" s="6">
        <v>0</v>
      </c>
      <c r="G120" s="6">
        <v>0</v>
      </c>
      <c r="H120" s="6">
        <v>0</v>
      </c>
      <c r="I120" s="6">
        <v>700</v>
      </c>
      <c r="J120" s="6">
        <v>0</v>
      </c>
      <c r="K120" s="6">
        <f t="shared" si="4"/>
        <v>700</v>
      </c>
      <c r="L120" s="6">
        <v>2100</v>
      </c>
      <c r="M120" s="6">
        <v>2400</v>
      </c>
      <c r="N120" s="6">
        <v>24</v>
      </c>
      <c r="O120" s="8">
        <f t="shared" si="5"/>
        <v>82.285714285714278</v>
      </c>
      <c r="Q120" s="10">
        <v>2555</v>
      </c>
      <c r="R120" s="10">
        <f t="shared" si="6"/>
        <v>1788500</v>
      </c>
      <c r="S120" s="10">
        <f t="shared" si="7"/>
        <v>6132000</v>
      </c>
    </row>
    <row r="121" spans="1:19" x14ac:dyDescent="0.25">
      <c r="A121" s="5" t="s">
        <v>140</v>
      </c>
      <c r="B121" s="6" t="s">
        <v>17</v>
      </c>
      <c r="C121" s="6" t="s">
        <v>19</v>
      </c>
      <c r="D121" s="6">
        <v>10</v>
      </c>
      <c r="E121" s="6">
        <v>1889</v>
      </c>
      <c r="F121" s="6">
        <v>0</v>
      </c>
      <c r="G121" s="6">
        <v>0</v>
      </c>
      <c r="H121" s="6">
        <v>0</v>
      </c>
      <c r="I121" s="6">
        <v>1400</v>
      </c>
      <c r="J121" s="6">
        <v>0</v>
      </c>
      <c r="K121" s="6">
        <f t="shared" si="4"/>
        <v>1400</v>
      </c>
      <c r="L121" s="6">
        <v>489</v>
      </c>
      <c r="M121" s="6">
        <v>939</v>
      </c>
      <c r="N121" s="6">
        <v>24</v>
      </c>
      <c r="O121" s="8">
        <f t="shared" si="5"/>
        <v>16.097142857142856</v>
      </c>
      <c r="Q121" s="10">
        <v>3665</v>
      </c>
      <c r="R121" s="10">
        <f t="shared" si="6"/>
        <v>5131000</v>
      </c>
      <c r="S121" s="10">
        <f t="shared" si="7"/>
        <v>3441435</v>
      </c>
    </row>
    <row r="122" spans="1:19" x14ac:dyDescent="0.25">
      <c r="A122" s="5" t="s">
        <v>141</v>
      </c>
      <c r="B122" s="6" t="s">
        <v>17</v>
      </c>
      <c r="C122" s="6" t="s">
        <v>19</v>
      </c>
      <c r="D122" s="6">
        <v>10</v>
      </c>
      <c r="E122" s="6">
        <v>1522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f t="shared" si="4"/>
        <v>0</v>
      </c>
      <c r="L122" s="6">
        <v>1522</v>
      </c>
      <c r="M122" s="6">
        <v>0</v>
      </c>
      <c r="N122" s="6">
        <v>24</v>
      </c>
      <c r="O122" s="8">
        <v>0</v>
      </c>
      <c r="Q122" s="10">
        <v>1904</v>
      </c>
      <c r="R122" s="10">
        <f t="shared" si="6"/>
        <v>0</v>
      </c>
      <c r="S122" s="10">
        <f t="shared" si="7"/>
        <v>0</v>
      </c>
    </row>
    <row r="123" spans="1:19" x14ac:dyDescent="0.25">
      <c r="A123" s="5" t="s">
        <v>142</v>
      </c>
      <c r="B123" s="6" t="s">
        <v>17</v>
      </c>
      <c r="C123" s="6" t="s">
        <v>19</v>
      </c>
      <c r="D123" s="6">
        <v>10</v>
      </c>
      <c r="E123" s="6">
        <v>3400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f t="shared" si="4"/>
        <v>0</v>
      </c>
      <c r="L123" s="6">
        <v>3400</v>
      </c>
      <c r="M123" s="6">
        <v>0</v>
      </c>
      <c r="N123" s="6">
        <v>24</v>
      </c>
      <c r="O123" s="8">
        <v>0</v>
      </c>
      <c r="Q123" s="10">
        <v>994</v>
      </c>
      <c r="R123" s="10">
        <f t="shared" si="6"/>
        <v>0</v>
      </c>
      <c r="S123" s="10">
        <f t="shared" si="7"/>
        <v>0</v>
      </c>
    </row>
    <row r="124" spans="1:19" x14ac:dyDescent="0.25">
      <c r="A124" s="5" t="s">
        <v>143</v>
      </c>
      <c r="B124" s="6" t="s">
        <v>17</v>
      </c>
      <c r="C124" s="6" t="s">
        <v>19</v>
      </c>
      <c r="D124" s="6">
        <v>10</v>
      </c>
      <c r="E124" s="6">
        <v>425</v>
      </c>
      <c r="F124" s="6">
        <v>5000</v>
      </c>
      <c r="G124" s="6">
        <v>0</v>
      </c>
      <c r="H124" s="6">
        <v>0</v>
      </c>
      <c r="I124" s="6">
        <v>0</v>
      </c>
      <c r="J124" s="6">
        <v>2425</v>
      </c>
      <c r="K124" s="6">
        <f t="shared" si="4"/>
        <v>2425</v>
      </c>
      <c r="L124" s="6">
        <v>3000</v>
      </c>
      <c r="M124" s="6">
        <v>1250</v>
      </c>
      <c r="N124" s="6">
        <v>24</v>
      </c>
      <c r="O124" s="8">
        <f t="shared" si="5"/>
        <v>12.371134020618555</v>
      </c>
      <c r="Q124" s="10">
        <v>994</v>
      </c>
      <c r="R124" s="10">
        <f t="shared" si="6"/>
        <v>2410450</v>
      </c>
      <c r="S124" s="10">
        <f t="shared" si="7"/>
        <v>1242500</v>
      </c>
    </row>
    <row r="125" spans="1:19" x14ac:dyDescent="0.25">
      <c r="A125" s="5" t="s">
        <v>144</v>
      </c>
      <c r="B125" s="6" t="s">
        <v>17</v>
      </c>
      <c r="C125" s="6" t="s">
        <v>19</v>
      </c>
      <c r="D125" s="6">
        <v>10</v>
      </c>
      <c r="E125" s="6">
        <v>1945</v>
      </c>
      <c r="F125" s="6">
        <v>0</v>
      </c>
      <c r="G125" s="6">
        <v>0</v>
      </c>
      <c r="H125" s="6">
        <v>0</v>
      </c>
      <c r="I125" s="6">
        <v>0</v>
      </c>
      <c r="J125" s="6">
        <v>650</v>
      </c>
      <c r="K125" s="6">
        <f t="shared" si="4"/>
        <v>650</v>
      </c>
      <c r="L125" s="6">
        <v>1295</v>
      </c>
      <c r="M125" s="6">
        <v>1295</v>
      </c>
      <c r="N125" s="6">
        <v>24</v>
      </c>
      <c r="O125" s="8">
        <f t="shared" si="5"/>
        <v>47.815384615384616</v>
      </c>
      <c r="Q125" s="10">
        <v>3489</v>
      </c>
      <c r="R125" s="10">
        <f t="shared" si="6"/>
        <v>2267850</v>
      </c>
      <c r="S125" s="10">
        <f t="shared" si="7"/>
        <v>4518255</v>
      </c>
    </row>
    <row r="126" spans="1:19" x14ac:dyDescent="0.25">
      <c r="A126" s="5" t="s">
        <v>169</v>
      </c>
      <c r="B126" s="6" t="s">
        <v>17</v>
      </c>
      <c r="C126" s="6" t="s">
        <v>19</v>
      </c>
      <c r="D126" s="6">
        <v>10</v>
      </c>
      <c r="E126" s="6">
        <v>850</v>
      </c>
      <c r="F126" s="6">
        <v>0</v>
      </c>
      <c r="G126" s="6">
        <v>0</v>
      </c>
      <c r="H126" s="6">
        <v>0</v>
      </c>
      <c r="I126" s="6">
        <v>100</v>
      </c>
      <c r="J126" s="6">
        <v>0</v>
      </c>
      <c r="K126" s="6">
        <f t="shared" si="4"/>
        <v>100</v>
      </c>
      <c r="L126" s="6">
        <v>750</v>
      </c>
      <c r="M126" s="6">
        <v>750</v>
      </c>
      <c r="N126" s="6">
        <v>24</v>
      </c>
      <c r="O126" s="8">
        <f t="shared" si="5"/>
        <v>180</v>
      </c>
      <c r="Q126" s="10">
        <v>3162</v>
      </c>
      <c r="R126" s="10">
        <f t="shared" si="6"/>
        <v>316200</v>
      </c>
      <c r="S126" s="10">
        <f t="shared" si="7"/>
        <v>2371500</v>
      </c>
    </row>
    <row r="127" spans="1:19" x14ac:dyDescent="0.25">
      <c r="A127" s="5" t="s">
        <v>170</v>
      </c>
      <c r="B127" s="6" t="s">
        <v>17</v>
      </c>
      <c r="C127" s="6" t="s">
        <v>19</v>
      </c>
      <c r="D127" s="6">
        <v>10</v>
      </c>
      <c r="E127" s="6">
        <v>1563</v>
      </c>
      <c r="F127" s="6">
        <v>3121</v>
      </c>
      <c r="G127" s="6">
        <v>0</v>
      </c>
      <c r="H127" s="6">
        <v>0</v>
      </c>
      <c r="I127" s="6">
        <v>875</v>
      </c>
      <c r="J127" s="6">
        <v>0</v>
      </c>
      <c r="K127" s="6">
        <f t="shared" si="4"/>
        <v>875</v>
      </c>
      <c r="L127" s="6">
        <v>3809</v>
      </c>
      <c r="M127" s="6">
        <v>3620.6</v>
      </c>
      <c r="N127" s="6">
        <v>24</v>
      </c>
      <c r="O127" s="8">
        <f t="shared" si="5"/>
        <v>99.307885714285703</v>
      </c>
      <c r="Q127" s="10">
        <v>3567</v>
      </c>
      <c r="R127" s="10">
        <f t="shared" si="6"/>
        <v>3121125</v>
      </c>
      <c r="S127" s="10">
        <f t="shared" si="7"/>
        <v>12914680.199999999</v>
      </c>
    </row>
    <row r="128" spans="1:19" x14ac:dyDescent="0.25">
      <c r="A128" s="5" t="s">
        <v>171</v>
      </c>
      <c r="B128" s="6" t="s">
        <v>17</v>
      </c>
      <c r="C128" s="6" t="s">
        <v>19</v>
      </c>
      <c r="D128" s="6">
        <v>10</v>
      </c>
      <c r="E128" s="6">
        <v>475</v>
      </c>
      <c r="F128" s="6">
        <v>1050</v>
      </c>
      <c r="G128" s="6">
        <v>0</v>
      </c>
      <c r="H128" s="6">
        <v>0</v>
      </c>
      <c r="I128" s="6">
        <v>75</v>
      </c>
      <c r="J128" s="6">
        <v>0</v>
      </c>
      <c r="K128" s="6">
        <f t="shared" si="4"/>
        <v>75</v>
      </c>
      <c r="L128" s="6">
        <v>1450</v>
      </c>
      <c r="M128" s="6">
        <v>925</v>
      </c>
      <c r="N128" s="6">
        <v>24</v>
      </c>
      <c r="O128" s="8">
        <f t="shared" si="5"/>
        <v>296</v>
      </c>
      <c r="Q128" s="10">
        <v>3850</v>
      </c>
      <c r="R128" s="10">
        <f t="shared" si="6"/>
        <v>288750</v>
      </c>
      <c r="S128" s="10">
        <f t="shared" si="7"/>
        <v>3561250</v>
      </c>
    </row>
    <row r="129" spans="1:19" x14ac:dyDescent="0.25">
      <c r="A129" s="5" t="s">
        <v>172</v>
      </c>
      <c r="B129" s="6" t="s">
        <v>17</v>
      </c>
      <c r="C129" s="6" t="s">
        <v>19</v>
      </c>
      <c r="D129" s="6">
        <v>10</v>
      </c>
      <c r="E129" s="6">
        <v>1500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f t="shared" si="4"/>
        <v>0</v>
      </c>
      <c r="L129" s="6">
        <v>1500</v>
      </c>
      <c r="M129" s="6">
        <v>0</v>
      </c>
      <c r="N129" s="6">
        <v>24</v>
      </c>
      <c r="O129" s="8">
        <v>0</v>
      </c>
      <c r="Q129" s="10">
        <v>1402</v>
      </c>
      <c r="R129" s="10">
        <f t="shared" si="6"/>
        <v>0</v>
      </c>
      <c r="S129" s="10">
        <f t="shared" si="7"/>
        <v>0</v>
      </c>
    </row>
    <row r="130" spans="1:19" x14ac:dyDescent="0.25">
      <c r="A130" s="5" t="s">
        <v>146</v>
      </c>
      <c r="B130" s="6" t="s">
        <v>17</v>
      </c>
      <c r="C130" s="6" t="s">
        <v>19</v>
      </c>
      <c r="D130" s="6">
        <v>10</v>
      </c>
      <c r="E130" s="6">
        <v>6800</v>
      </c>
      <c r="F130" s="6">
        <v>12475</v>
      </c>
      <c r="G130" s="6">
        <v>0</v>
      </c>
      <c r="H130" s="6">
        <v>0</v>
      </c>
      <c r="I130" s="6">
        <v>2000</v>
      </c>
      <c r="J130" s="6">
        <v>6050</v>
      </c>
      <c r="K130" s="6">
        <f t="shared" si="4"/>
        <v>8050</v>
      </c>
      <c r="L130" s="6">
        <v>11225</v>
      </c>
      <c r="M130" s="6">
        <v>7996.1538461538494</v>
      </c>
      <c r="N130" s="6">
        <v>24</v>
      </c>
      <c r="O130" s="8">
        <f t="shared" si="5"/>
        <v>23.839464882943155</v>
      </c>
      <c r="Q130" s="10">
        <v>6112</v>
      </c>
      <c r="R130" s="10">
        <f t="shared" si="6"/>
        <v>49201600</v>
      </c>
      <c r="S130" s="10">
        <f t="shared" si="7"/>
        <v>48872492.307692327</v>
      </c>
    </row>
    <row r="131" spans="1:19" x14ac:dyDescent="0.25">
      <c r="A131" s="5" t="s">
        <v>147</v>
      </c>
      <c r="B131" s="6" t="s">
        <v>17</v>
      </c>
      <c r="C131" s="6" t="s">
        <v>19</v>
      </c>
      <c r="D131" s="6">
        <v>10</v>
      </c>
      <c r="E131" s="6">
        <v>1972</v>
      </c>
      <c r="F131" s="6">
        <v>0</v>
      </c>
      <c r="G131" s="6">
        <v>0</v>
      </c>
      <c r="H131" s="6">
        <v>0</v>
      </c>
      <c r="I131" s="6">
        <v>25</v>
      </c>
      <c r="J131" s="6">
        <v>1375</v>
      </c>
      <c r="K131" s="6">
        <f t="shared" ref="K131:K165" si="8">I131+J131</f>
        <v>1400</v>
      </c>
      <c r="L131" s="6">
        <v>572</v>
      </c>
      <c r="M131" s="6">
        <v>822</v>
      </c>
      <c r="N131" s="6">
        <v>24</v>
      </c>
      <c r="O131" s="8">
        <f t="shared" ref="O131:O157" si="9">(M131/(I131+J131))*N131</f>
        <v>14.091428571428573</v>
      </c>
      <c r="Q131" s="10">
        <v>2392</v>
      </c>
      <c r="R131" s="10">
        <f t="shared" ref="R131:R159" si="10">Q131*(I131+J131)</f>
        <v>3348800</v>
      </c>
      <c r="S131" s="10">
        <f t="shared" ref="S131:S159" si="11">Q131*M131</f>
        <v>1966224</v>
      </c>
    </row>
    <row r="132" spans="1:19" x14ac:dyDescent="0.25">
      <c r="A132" s="5" t="s">
        <v>148</v>
      </c>
      <c r="B132" s="6" t="s">
        <v>17</v>
      </c>
      <c r="C132" s="6" t="s">
        <v>19</v>
      </c>
      <c r="D132" s="6">
        <v>10</v>
      </c>
      <c r="E132" s="6">
        <v>24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f t="shared" si="8"/>
        <v>0</v>
      </c>
      <c r="L132" s="6">
        <v>24</v>
      </c>
      <c r="M132" s="6">
        <v>0</v>
      </c>
      <c r="N132" s="6">
        <v>24</v>
      </c>
      <c r="O132" s="8">
        <v>0</v>
      </c>
      <c r="Q132" s="10">
        <v>2651</v>
      </c>
      <c r="R132" s="10">
        <f t="shared" si="10"/>
        <v>0</v>
      </c>
      <c r="S132" s="10">
        <f t="shared" si="11"/>
        <v>0</v>
      </c>
    </row>
    <row r="133" spans="1:19" x14ac:dyDescent="0.25">
      <c r="A133" s="2" t="s">
        <v>15</v>
      </c>
      <c r="B133" s="6" t="s">
        <v>17</v>
      </c>
      <c r="C133" s="6" t="s">
        <v>19</v>
      </c>
      <c r="D133" s="6">
        <v>10</v>
      </c>
      <c r="E133" s="6">
        <v>0</v>
      </c>
      <c r="F133" s="6">
        <v>1020</v>
      </c>
      <c r="G133" s="6">
        <v>0</v>
      </c>
      <c r="H133" s="6">
        <v>0</v>
      </c>
      <c r="I133" s="6">
        <v>0</v>
      </c>
      <c r="J133" s="6">
        <v>0</v>
      </c>
      <c r="K133" s="6">
        <f t="shared" si="8"/>
        <v>0</v>
      </c>
      <c r="L133" s="6">
        <v>1020</v>
      </c>
      <c r="M133" s="6">
        <v>1020</v>
      </c>
      <c r="N133" s="6">
        <v>24</v>
      </c>
      <c r="O133" s="8">
        <v>0</v>
      </c>
      <c r="Q133" s="10">
        <v>2651</v>
      </c>
      <c r="R133" s="10">
        <f t="shared" si="10"/>
        <v>0</v>
      </c>
      <c r="S133" s="10">
        <f t="shared" si="11"/>
        <v>2704020</v>
      </c>
    </row>
    <row r="134" spans="1:19" x14ac:dyDescent="0.25">
      <c r="A134" s="5" t="s">
        <v>149</v>
      </c>
      <c r="B134" s="6" t="s">
        <v>17</v>
      </c>
      <c r="C134" s="6" t="s">
        <v>19</v>
      </c>
      <c r="D134" s="6">
        <v>10</v>
      </c>
      <c r="E134" s="6">
        <v>1531</v>
      </c>
      <c r="F134" s="6">
        <v>0</v>
      </c>
      <c r="G134" s="6">
        <v>0</v>
      </c>
      <c r="H134" s="6">
        <v>0</v>
      </c>
      <c r="I134" s="6">
        <v>590</v>
      </c>
      <c r="J134" s="6">
        <v>0</v>
      </c>
      <c r="K134" s="6">
        <f t="shared" si="8"/>
        <v>590</v>
      </c>
      <c r="L134" s="6">
        <v>941</v>
      </c>
      <c r="M134" s="6">
        <v>1197</v>
      </c>
      <c r="N134" s="6">
        <v>24</v>
      </c>
      <c r="O134" s="8">
        <f t="shared" si="9"/>
        <v>48.69152542372882</v>
      </c>
      <c r="Q134" s="10">
        <v>4343</v>
      </c>
      <c r="R134" s="10">
        <f t="shared" si="10"/>
        <v>2562370</v>
      </c>
      <c r="S134" s="10">
        <f t="shared" si="11"/>
        <v>5198571</v>
      </c>
    </row>
    <row r="135" spans="1:19" x14ac:dyDescent="0.25">
      <c r="A135" s="5" t="s">
        <v>150</v>
      </c>
      <c r="B135" s="6" t="s">
        <v>17</v>
      </c>
      <c r="C135" s="6" t="s">
        <v>19</v>
      </c>
      <c r="D135" s="6">
        <v>10</v>
      </c>
      <c r="E135" s="6">
        <v>1818</v>
      </c>
      <c r="F135" s="6">
        <v>0</v>
      </c>
      <c r="G135" s="6">
        <v>0</v>
      </c>
      <c r="H135" s="6">
        <v>0</v>
      </c>
      <c r="I135" s="6">
        <v>750</v>
      </c>
      <c r="J135" s="6">
        <v>0</v>
      </c>
      <c r="K135" s="6">
        <f t="shared" si="8"/>
        <v>750</v>
      </c>
      <c r="L135" s="6">
        <v>1068</v>
      </c>
      <c r="M135" s="6">
        <v>1334.6666666666702</v>
      </c>
      <c r="N135" s="6">
        <v>24</v>
      </c>
      <c r="O135" s="8">
        <f t="shared" si="9"/>
        <v>42.709333333333447</v>
      </c>
      <c r="Q135" s="10">
        <v>2970</v>
      </c>
      <c r="R135" s="10">
        <f t="shared" si="10"/>
        <v>2227500</v>
      </c>
      <c r="S135" s="10">
        <f t="shared" si="11"/>
        <v>3963960.0000000102</v>
      </c>
    </row>
    <row r="136" spans="1:19" x14ac:dyDescent="0.25">
      <c r="A136" s="5" t="s">
        <v>8</v>
      </c>
      <c r="B136" s="6" t="s">
        <v>17</v>
      </c>
      <c r="C136" s="6" t="s">
        <v>19</v>
      </c>
      <c r="D136" s="6">
        <v>10</v>
      </c>
      <c r="E136" s="6">
        <v>1281</v>
      </c>
      <c r="F136" s="6">
        <v>2047</v>
      </c>
      <c r="G136" s="6">
        <v>0</v>
      </c>
      <c r="H136" s="6">
        <v>0</v>
      </c>
      <c r="I136" s="6">
        <v>1105</v>
      </c>
      <c r="J136" s="6">
        <v>0</v>
      </c>
      <c r="K136" s="6">
        <f t="shared" si="8"/>
        <v>1105</v>
      </c>
      <c r="L136" s="6">
        <v>2223</v>
      </c>
      <c r="M136" s="6">
        <v>2008.1666666666702</v>
      </c>
      <c r="N136" s="6">
        <v>24</v>
      </c>
      <c r="O136" s="8">
        <f t="shared" si="9"/>
        <v>43.616289592760253</v>
      </c>
      <c r="Q136" s="10">
        <v>2970</v>
      </c>
      <c r="R136" s="10">
        <f t="shared" si="10"/>
        <v>3281850</v>
      </c>
      <c r="S136" s="10">
        <f t="shared" si="11"/>
        <v>5964255.0000000102</v>
      </c>
    </row>
    <row r="137" spans="1:19" x14ac:dyDescent="0.25">
      <c r="A137" s="5" t="s">
        <v>152</v>
      </c>
      <c r="B137" s="6" t="s">
        <v>17</v>
      </c>
      <c r="C137" s="6" t="s">
        <v>19</v>
      </c>
      <c r="D137" s="6">
        <v>10</v>
      </c>
      <c r="E137" s="6">
        <v>830</v>
      </c>
      <c r="F137" s="6">
        <v>0</v>
      </c>
      <c r="G137" s="6">
        <v>0</v>
      </c>
      <c r="H137" s="6">
        <v>0</v>
      </c>
      <c r="I137" s="6">
        <v>100</v>
      </c>
      <c r="J137" s="6">
        <v>0</v>
      </c>
      <c r="K137" s="6">
        <f t="shared" si="8"/>
        <v>100</v>
      </c>
      <c r="L137" s="6">
        <v>730</v>
      </c>
      <c r="M137" s="6">
        <v>755</v>
      </c>
      <c r="N137" s="6">
        <v>24</v>
      </c>
      <c r="O137" s="8">
        <f t="shared" si="9"/>
        <v>181.2</v>
      </c>
      <c r="Q137" s="10">
        <v>2607</v>
      </c>
      <c r="R137" s="10">
        <f t="shared" si="10"/>
        <v>260700</v>
      </c>
      <c r="S137" s="10">
        <f t="shared" si="11"/>
        <v>1968285</v>
      </c>
    </row>
    <row r="138" spans="1:19" x14ac:dyDescent="0.25">
      <c r="A138" s="5" t="s">
        <v>153</v>
      </c>
      <c r="B138" s="6" t="s">
        <v>17</v>
      </c>
      <c r="C138" s="6" t="s">
        <v>19</v>
      </c>
      <c r="D138" s="6">
        <v>10</v>
      </c>
      <c r="E138" s="6">
        <v>1453</v>
      </c>
      <c r="F138" s="6">
        <v>2500</v>
      </c>
      <c r="G138" s="6">
        <v>0</v>
      </c>
      <c r="H138" s="6">
        <v>0</v>
      </c>
      <c r="I138" s="6">
        <v>2703</v>
      </c>
      <c r="J138" s="6">
        <v>0</v>
      </c>
      <c r="K138" s="6">
        <f t="shared" si="8"/>
        <v>2703</v>
      </c>
      <c r="L138" s="6">
        <v>1250</v>
      </c>
      <c r="M138" s="6">
        <v>807.88888888888903</v>
      </c>
      <c r="N138" s="6">
        <v>24</v>
      </c>
      <c r="O138" s="8">
        <f t="shared" si="9"/>
        <v>7.1732642742631647</v>
      </c>
      <c r="Q138" s="10">
        <v>1928</v>
      </c>
      <c r="R138" s="10">
        <f t="shared" si="10"/>
        <v>5211384</v>
      </c>
      <c r="S138" s="10">
        <f t="shared" si="11"/>
        <v>1557609.777777778</v>
      </c>
    </row>
    <row r="139" spans="1:19" x14ac:dyDescent="0.25">
      <c r="A139" s="5" t="s">
        <v>154</v>
      </c>
      <c r="B139" s="6" t="s">
        <v>17</v>
      </c>
      <c r="C139" s="6" t="s">
        <v>19</v>
      </c>
      <c r="D139" s="6">
        <v>10</v>
      </c>
      <c r="E139" s="6">
        <v>23035</v>
      </c>
      <c r="F139" s="6">
        <v>0</v>
      </c>
      <c r="G139" s="6">
        <v>0</v>
      </c>
      <c r="H139" s="6">
        <v>0</v>
      </c>
      <c r="I139" s="6">
        <v>11005</v>
      </c>
      <c r="J139" s="6">
        <v>210</v>
      </c>
      <c r="K139" s="6">
        <f t="shared" si="8"/>
        <v>11215</v>
      </c>
      <c r="L139" s="6">
        <v>11820</v>
      </c>
      <c r="M139" s="6">
        <v>15377.5</v>
      </c>
      <c r="N139" s="6">
        <v>24</v>
      </c>
      <c r="O139" s="8">
        <f t="shared" si="9"/>
        <v>32.907712884529644</v>
      </c>
      <c r="Q139" s="10">
        <v>2129</v>
      </c>
      <c r="R139" s="10">
        <f t="shared" si="10"/>
        <v>23876735</v>
      </c>
      <c r="S139" s="10">
        <f t="shared" si="11"/>
        <v>32738697.5</v>
      </c>
    </row>
    <row r="140" spans="1:19" x14ac:dyDescent="0.25">
      <c r="A140" s="5" t="s">
        <v>155</v>
      </c>
      <c r="B140" s="6" t="s">
        <v>17</v>
      </c>
      <c r="C140" s="6" t="s">
        <v>19</v>
      </c>
      <c r="D140" s="6">
        <v>10</v>
      </c>
      <c r="E140" s="6">
        <v>27457</v>
      </c>
      <c r="F140" s="6">
        <v>0</v>
      </c>
      <c r="G140" s="6">
        <v>0</v>
      </c>
      <c r="H140" s="6">
        <v>0</v>
      </c>
      <c r="I140" s="6">
        <v>1500</v>
      </c>
      <c r="J140" s="6">
        <v>0</v>
      </c>
      <c r="K140" s="6">
        <f t="shared" si="8"/>
        <v>1500</v>
      </c>
      <c r="L140" s="6">
        <v>25957</v>
      </c>
      <c r="M140" s="6">
        <v>25957</v>
      </c>
      <c r="N140" s="6">
        <v>24</v>
      </c>
      <c r="O140" s="8">
        <f t="shared" si="9"/>
        <v>415.31200000000001</v>
      </c>
      <c r="Q140" s="10">
        <v>2177</v>
      </c>
      <c r="R140" s="10">
        <f t="shared" si="10"/>
        <v>3265500</v>
      </c>
      <c r="S140" s="10">
        <f t="shared" si="11"/>
        <v>56508389</v>
      </c>
    </row>
    <row r="141" spans="1:19" x14ac:dyDescent="0.25">
      <c r="A141" s="5" t="s">
        <v>156</v>
      </c>
      <c r="B141" s="6" t="s">
        <v>17</v>
      </c>
      <c r="C141" s="6" t="s">
        <v>19</v>
      </c>
      <c r="D141" s="6">
        <v>10</v>
      </c>
      <c r="E141" s="6">
        <v>7175</v>
      </c>
      <c r="F141" s="6">
        <v>28725</v>
      </c>
      <c r="G141" s="6">
        <v>0</v>
      </c>
      <c r="H141" s="6">
        <v>0</v>
      </c>
      <c r="I141" s="6">
        <v>32725</v>
      </c>
      <c r="J141" s="6">
        <v>70</v>
      </c>
      <c r="K141" s="6">
        <f t="shared" si="8"/>
        <v>32795</v>
      </c>
      <c r="L141" s="6">
        <v>3105</v>
      </c>
      <c r="M141" s="6">
        <v>11276.8181818182</v>
      </c>
      <c r="N141" s="6">
        <v>24</v>
      </c>
      <c r="O141" s="8">
        <f t="shared" si="9"/>
        <v>8.2525883934635402</v>
      </c>
      <c r="Q141" s="10">
        <v>2177</v>
      </c>
      <c r="R141" s="10">
        <f t="shared" si="10"/>
        <v>71394715</v>
      </c>
      <c r="S141" s="10">
        <f t="shared" si="11"/>
        <v>24549633.181818221</v>
      </c>
    </row>
    <row r="142" spans="1:19" x14ac:dyDescent="0.25">
      <c r="A142" s="5" t="s">
        <v>157</v>
      </c>
      <c r="B142" s="6" t="s">
        <v>17</v>
      </c>
      <c r="C142" s="6" t="s">
        <v>19</v>
      </c>
      <c r="D142" s="6">
        <v>10</v>
      </c>
      <c r="E142" s="6">
        <v>12828</v>
      </c>
      <c r="F142" s="6">
        <v>12000</v>
      </c>
      <c r="G142" s="6">
        <v>0</v>
      </c>
      <c r="H142" s="6">
        <v>0</v>
      </c>
      <c r="I142" s="6">
        <v>13615</v>
      </c>
      <c r="J142" s="6">
        <v>0</v>
      </c>
      <c r="K142" s="6">
        <f t="shared" si="8"/>
        <v>13615</v>
      </c>
      <c r="L142" s="6">
        <v>11213</v>
      </c>
      <c r="M142" s="6">
        <v>11638</v>
      </c>
      <c r="N142" s="6">
        <v>24</v>
      </c>
      <c r="O142" s="8">
        <f t="shared" si="9"/>
        <v>20.515020198310687</v>
      </c>
      <c r="Q142" s="10">
        <v>2177</v>
      </c>
      <c r="R142" s="10">
        <f t="shared" si="10"/>
        <v>29639855</v>
      </c>
      <c r="S142" s="10">
        <f t="shared" si="11"/>
        <v>25335926</v>
      </c>
    </row>
    <row r="143" spans="1:19" x14ac:dyDescent="0.25">
      <c r="A143" s="5" t="s">
        <v>158</v>
      </c>
      <c r="B143" s="6" t="s">
        <v>17</v>
      </c>
      <c r="C143" s="6" t="s">
        <v>19</v>
      </c>
      <c r="D143" s="6">
        <v>10</v>
      </c>
      <c r="E143" s="6">
        <v>9961</v>
      </c>
      <c r="F143" s="6">
        <v>13295</v>
      </c>
      <c r="G143" s="6">
        <v>0</v>
      </c>
      <c r="H143" s="6">
        <v>0</v>
      </c>
      <c r="I143" s="6">
        <v>0</v>
      </c>
      <c r="J143" s="6">
        <v>18827</v>
      </c>
      <c r="K143" s="6">
        <f t="shared" si="8"/>
        <v>18827</v>
      </c>
      <c r="L143" s="6">
        <v>4429</v>
      </c>
      <c r="M143" s="6">
        <v>3605.6153846153802</v>
      </c>
      <c r="N143" s="6">
        <v>24</v>
      </c>
      <c r="O143" s="8">
        <f t="shared" si="9"/>
        <v>4.596312170328205</v>
      </c>
      <c r="Q143" s="10">
        <v>1948</v>
      </c>
      <c r="R143" s="10">
        <f t="shared" si="10"/>
        <v>36674996</v>
      </c>
      <c r="S143" s="10">
        <f t="shared" si="11"/>
        <v>7023738.7692307606</v>
      </c>
    </row>
    <row r="144" spans="1:19" x14ac:dyDescent="0.25">
      <c r="A144" s="5" t="s">
        <v>159</v>
      </c>
      <c r="B144" s="6" t="s">
        <v>17</v>
      </c>
      <c r="C144" s="6" t="s">
        <v>19</v>
      </c>
      <c r="D144" s="6">
        <v>10</v>
      </c>
      <c r="E144" s="6">
        <v>6113</v>
      </c>
      <c r="F144" s="6">
        <v>2000</v>
      </c>
      <c r="G144" s="6">
        <v>0</v>
      </c>
      <c r="H144" s="6">
        <v>0</v>
      </c>
      <c r="I144" s="6">
        <v>0</v>
      </c>
      <c r="J144" s="6">
        <v>0</v>
      </c>
      <c r="K144" s="6">
        <f t="shared" si="8"/>
        <v>0</v>
      </c>
      <c r="L144" s="6">
        <v>8113</v>
      </c>
      <c r="M144" s="6">
        <v>8113</v>
      </c>
      <c r="N144" s="6">
        <v>24</v>
      </c>
      <c r="O144" s="8">
        <v>0</v>
      </c>
      <c r="Q144" s="10">
        <v>1989</v>
      </c>
      <c r="R144" s="10">
        <f t="shared" si="10"/>
        <v>0</v>
      </c>
      <c r="S144" s="10">
        <f t="shared" si="11"/>
        <v>16136757</v>
      </c>
    </row>
    <row r="145" spans="1:19" x14ac:dyDescent="0.25">
      <c r="A145" s="5" t="s">
        <v>160</v>
      </c>
      <c r="B145" s="6" t="s">
        <v>17</v>
      </c>
      <c r="C145" s="6" t="s">
        <v>19</v>
      </c>
      <c r="D145" s="6">
        <v>10</v>
      </c>
      <c r="E145" s="6">
        <v>17875</v>
      </c>
      <c r="F145" s="6">
        <v>0</v>
      </c>
      <c r="G145" s="6">
        <v>0</v>
      </c>
      <c r="H145" s="6">
        <v>0</v>
      </c>
      <c r="I145" s="6">
        <v>0</v>
      </c>
      <c r="J145" s="6">
        <v>1560</v>
      </c>
      <c r="K145" s="6">
        <f t="shared" si="8"/>
        <v>1560</v>
      </c>
      <c r="L145" s="6">
        <v>16315</v>
      </c>
      <c r="M145" s="6">
        <v>17065</v>
      </c>
      <c r="N145" s="6">
        <v>24</v>
      </c>
      <c r="O145" s="8">
        <f t="shared" si="9"/>
        <v>262.53846153846155</v>
      </c>
      <c r="Q145" s="10">
        <v>2181</v>
      </c>
      <c r="R145" s="10">
        <f t="shared" si="10"/>
        <v>3402360</v>
      </c>
      <c r="S145" s="10">
        <f t="shared" si="11"/>
        <v>37218765</v>
      </c>
    </row>
    <row r="146" spans="1:19" x14ac:dyDescent="0.25">
      <c r="A146" s="5" t="s">
        <v>173</v>
      </c>
      <c r="B146" s="6" t="s">
        <v>17</v>
      </c>
      <c r="C146" s="6" t="s">
        <v>19</v>
      </c>
      <c r="D146" s="6">
        <v>10</v>
      </c>
      <c r="E146" s="6">
        <v>12600</v>
      </c>
      <c r="F146" s="6">
        <v>100</v>
      </c>
      <c r="G146" s="6">
        <v>0</v>
      </c>
      <c r="H146" s="6">
        <v>0</v>
      </c>
      <c r="I146" s="6">
        <v>2500</v>
      </c>
      <c r="J146" s="6">
        <v>4150</v>
      </c>
      <c r="K146" s="6">
        <f t="shared" si="8"/>
        <v>6650</v>
      </c>
      <c r="L146" s="6">
        <v>6050</v>
      </c>
      <c r="M146" s="6">
        <v>7975</v>
      </c>
      <c r="N146" s="6">
        <v>24</v>
      </c>
      <c r="O146" s="8">
        <f t="shared" si="9"/>
        <v>28.781954887218046</v>
      </c>
      <c r="Q146" s="10">
        <v>2181</v>
      </c>
      <c r="R146" s="10">
        <f t="shared" si="10"/>
        <v>14503650</v>
      </c>
      <c r="S146" s="10">
        <f t="shared" si="11"/>
        <v>17393475</v>
      </c>
    </row>
    <row r="147" spans="1:19" x14ac:dyDescent="0.25">
      <c r="A147" s="5" t="s">
        <v>174</v>
      </c>
      <c r="B147" s="6" t="s">
        <v>17</v>
      </c>
      <c r="C147" s="6" t="s">
        <v>19</v>
      </c>
      <c r="D147" s="6">
        <v>10</v>
      </c>
      <c r="E147" s="6">
        <v>16420</v>
      </c>
      <c r="F147" s="6">
        <v>4000</v>
      </c>
      <c r="G147" s="6">
        <v>0</v>
      </c>
      <c r="H147" s="6">
        <v>0</v>
      </c>
      <c r="I147" s="6">
        <v>0</v>
      </c>
      <c r="J147" s="6">
        <v>4</v>
      </c>
      <c r="K147" s="6">
        <f t="shared" si="8"/>
        <v>4</v>
      </c>
      <c r="L147" s="6">
        <v>20416</v>
      </c>
      <c r="M147" s="6">
        <v>19752</v>
      </c>
      <c r="N147" s="6">
        <v>24</v>
      </c>
      <c r="O147" s="8">
        <f t="shared" si="9"/>
        <v>118512</v>
      </c>
      <c r="Q147" s="10">
        <v>2181</v>
      </c>
      <c r="R147" s="10">
        <f t="shared" si="10"/>
        <v>8724</v>
      </c>
      <c r="S147" s="10">
        <f t="shared" si="11"/>
        <v>43079112</v>
      </c>
    </row>
    <row r="148" spans="1:19" x14ac:dyDescent="0.25">
      <c r="A148" s="5" t="s">
        <v>175</v>
      </c>
      <c r="B148" s="6" t="s">
        <v>16</v>
      </c>
      <c r="C148" s="6" t="s">
        <v>19</v>
      </c>
      <c r="D148" s="6">
        <v>10</v>
      </c>
      <c r="E148" s="6">
        <v>21350</v>
      </c>
      <c r="F148" s="6">
        <v>117750</v>
      </c>
      <c r="G148" s="6">
        <v>0</v>
      </c>
      <c r="H148" s="6">
        <v>0</v>
      </c>
      <c r="I148" s="6">
        <v>0</v>
      </c>
      <c r="J148" s="6">
        <v>125825</v>
      </c>
      <c r="K148" s="6">
        <f t="shared" si="8"/>
        <v>125825</v>
      </c>
      <c r="L148" s="6">
        <v>13275</v>
      </c>
      <c r="M148" s="6">
        <v>19454.761904761901</v>
      </c>
      <c r="N148" s="6">
        <v>24</v>
      </c>
      <c r="O148" s="8">
        <f t="shared" si="9"/>
        <v>3.7108228548721289</v>
      </c>
      <c r="Q148" s="10">
        <v>2208</v>
      </c>
      <c r="R148" s="10">
        <f t="shared" si="10"/>
        <v>277821600</v>
      </c>
      <c r="S148" s="10">
        <f t="shared" si="11"/>
        <v>42956114.285714276</v>
      </c>
    </row>
    <row r="149" spans="1:19" x14ac:dyDescent="0.25">
      <c r="A149" s="5" t="s">
        <v>176</v>
      </c>
      <c r="B149" s="6" t="s">
        <v>16</v>
      </c>
      <c r="C149" s="6" t="s">
        <v>19</v>
      </c>
      <c r="D149" s="6">
        <v>10</v>
      </c>
      <c r="E149" s="6">
        <v>7576</v>
      </c>
      <c r="F149" s="6">
        <v>20487</v>
      </c>
      <c r="G149" s="6">
        <v>0</v>
      </c>
      <c r="H149" s="6">
        <v>0</v>
      </c>
      <c r="I149" s="6">
        <v>0</v>
      </c>
      <c r="J149" s="6">
        <v>22812</v>
      </c>
      <c r="K149" s="6">
        <f t="shared" si="8"/>
        <v>22812</v>
      </c>
      <c r="L149" s="6">
        <v>5251</v>
      </c>
      <c r="M149" s="6">
        <v>9631.538461538461</v>
      </c>
      <c r="N149" s="6">
        <v>24</v>
      </c>
      <c r="O149" s="8">
        <f t="shared" si="9"/>
        <v>10.133128313033625</v>
      </c>
      <c r="Q149" s="10">
        <v>2245</v>
      </c>
      <c r="R149" s="10">
        <f t="shared" si="10"/>
        <v>51212940</v>
      </c>
      <c r="S149" s="10">
        <f t="shared" si="11"/>
        <v>21622803.846153844</v>
      </c>
    </row>
    <row r="150" spans="1:19" x14ac:dyDescent="0.25">
      <c r="A150" s="5" t="s">
        <v>163</v>
      </c>
      <c r="B150" s="6" t="s">
        <v>17</v>
      </c>
      <c r="C150" s="6" t="s">
        <v>19</v>
      </c>
      <c r="D150" s="6">
        <v>10</v>
      </c>
      <c r="E150" s="6">
        <v>40068</v>
      </c>
      <c r="F150" s="6">
        <v>39200</v>
      </c>
      <c r="G150" s="6">
        <v>0</v>
      </c>
      <c r="H150" s="6">
        <v>0</v>
      </c>
      <c r="I150" s="6">
        <v>50850</v>
      </c>
      <c r="J150" s="6">
        <v>13235</v>
      </c>
      <c r="K150" s="6">
        <f t="shared" si="8"/>
        <v>64085</v>
      </c>
      <c r="L150" s="6">
        <v>15183</v>
      </c>
      <c r="M150" s="6">
        <v>27681.913043478296</v>
      </c>
      <c r="N150" s="6">
        <v>24</v>
      </c>
      <c r="O150" s="8">
        <f t="shared" si="9"/>
        <v>10.366948787446034</v>
      </c>
      <c r="Q150" s="10">
        <v>2355</v>
      </c>
      <c r="R150" s="10">
        <f t="shared" si="10"/>
        <v>150920175</v>
      </c>
      <c r="S150" s="10">
        <f t="shared" si="11"/>
        <v>65190905.217391387</v>
      </c>
    </row>
    <row r="151" spans="1:19" x14ac:dyDescent="0.25">
      <c r="A151" s="5" t="s">
        <v>177</v>
      </c>
      <c r="B151" s="6" t="s">
        <v>17</v>
      </c>
      <c r="C151" s="6" t="s">
        <v>19</v>
      </c>
      <c r="D151" s="6">
        <v>10</v>
      </c>
      <c r="E151" s="6">
        <v>9932</v>
      </c>
      <c r="F151" s="6">
        <v>2575</v>
      </c>
      <c r="G151" s="6">
        <v>0</v>
      </c>
      <c r="H151" s="6">
        <v>0</v>
      </c>
      <c r="I151" s="6">
        <v>0</v>
      </c>
      <c r="J151" s="6">
        <v>5835</v>
      </c>
      <c r="K151" s="6">
        <f t="shared" si="8"/>
        <v>5835</v>
      </c>
      <c r="L151" s="6">
        <v>6672</v>
      </c>
      <c r="M151" s="6">
        <v>7803.6666666666697</v>
      </c>
      <c r="N151" s="6">
        <v>24</v>
      </c>
      <c r="O151" s="8">
        <f t="shared" si="9"/>
        <v>32.097343616109697</v>
      </c>
      <c r="Q151" s="10">
        <v>2021</v>
      </c>
      <c r="R151" s="10">
        <f t="shared" si="10"/>
        <v>11792535</v>
      </c>
      <c r="S151" s="10">
        <f t="shared" si="11"/>
        <v>15771210.33333334</v>
      </c>
    </row>
    <row r="152" spans="1:19" x14ac:dyDescent="0.25">
      <c r="A152" s="5" t="s">
        <v>178</v>
      </c>
      <c r="B152" s="6" t="s">
        <v>17</v>
      </c>
      <c r="C152" s="6" t="s">
        <v>19</v>
      </c>
      <c r="D152" s="6">
        <v>10</v>
      </c>
      <c r="E152" s="6">
        <v>5943</v>
      </c>
      <c r="F152" s="6">
        <v>9675</v>
      </c>
      <c r="G152" s="6">
        <v>0</v>
      </c>
      <c r="H152" s="6">
        <v>0</v>
      </c>
      <c r="I152" s="6">
        <v>0</v>
      </c>
      <c r="J152" s="6">
        <v>7775</v>
      </c>
      <c r="K152" s="6">
        <f t="shared" si="8"/>
        <v>7775</v>
      </c>
      <c r="L152" s="6">
        <v>7843</v>
      </c>
      <c r="M152" s="6">
        <v>9204.6666666666697</v>
      </c>
      <c r="N152" s="6">
        <v>24</v>
      </c>
      <c r="O152" s="8">
        <f t="shared" si="9"/>
        <v>28.413118971061103</v>
      </c>
      <c r="Q152" s="10">
        <v>2021</v>
      </c>
      <c r="R152" s="10">
        <f t="shared" si="10"/>
        <v>15713275</v>
      </c>
      <c r="S152" s="10">
        <f t="shared" si="11"/>
        <v>18602631.33333334</v>
      </c>
    </row>
    <row r="153" spans="1:19" x14ac:dyDescent="0.25">
      <c r="A153" s="5" t="s">
        <v>179</v>
      </c>
      <c r="B153" s="6" t="s">
        <v>17</v>
      </c>
      <c r="C153" s="6" t="s">
        <v>19</v>
      </c>
      <c r="D153" s="6">
        <v>10</v>
      </c>
      <c r="E153" s="6">
        <v>7139</v>
      </c>
      <c r="F153" s="6">
        <v>6000</v>
      </c>
      <c r="G153" s="6">
        <v>0</v>
      </c>
      <c r="H153" s="6">
        <v>0</v>
      </c>
      <c r="I153" s="6">
        <v>0</v>
      </c>
      <c r="J153" s="6">
        <v>2785</v>
      </c>
      <c r="K153" s="6">
        <f t="shared" si="8"/>
        <v>2785</v>
      </c>
      <c r="L153" s="6">
        <v>10354</v>
      </c>
      <c r="M153" s="6">
        <v>9629</v>
      </c>
      <c r="N153" s="6">
        <v>24</v>
      </c>
      <c r="O153" s="8">
        <f t="shared" si="9"/>
        <v>82.978815080789943</v>
      </c>
      <c r="Q153" s="10">
        <v>2021</v>
      </c>
      <c r="R153" s="10">
        <f>Q153*(I153+J153)</f>
        <v>5628485</v>
      </c>
      <c r="S153" s="10">
        <f t="shared" si="11"/>
        <v>19460209</v>
      </c>
    </row>
    <row r="154" spans="1:19" x14ac:dyDescent="0.25">
      <c r="A154" s="5" t="s">
        <v>180</v>
      </c>
      <c r="B154" s="6" t="s">
        <v>17</v>
      </c>
      <c r="C154" s="6" t="s">
        <v>19</v>
      </c>
      <c r="D154" s="6">
        <v>10</v>
      </c>
      <c r="E154" s="6">
        <v>4000</v>
      </c>
      <c r="F154" s="6">
        <v>14000</v>
      </c>
      <c r="G154" s="6">
        <v>0</v>
      </c>
      <c r="H154" s="6">
        <v>0</v>
      </c>
      <c r="I154" s="6">
        <v>15000</v>
      </c>
      <c r="J154" s="6">
        <v>0</v>
      </c>
      <c r="K154" s="6">
        <f t="shared" si="8"/>
        <v>15000</v>
      </c>
      <c r="L154" s="6">
        <v>3000</v>
      </c>
      <c r="M154" s="6">
        <v>4714.285714285711</v>
      </c>
      <c r="N154" s="6">
        <v>24</v>
      </c>
      <c r="O154" s="8">
        <f t="shared" si="9"/>
        <v>7.5428571428571374</v>
      </c>
      <c r="Q154" s="10">
        <v>2846</v>
      </c>
      <c r="R154" s="10">
        <f t="shared" si="10"/>
        <v>42690000</v>
      </c>
      <c r="S154" s="10">
        <f t="shared" si="11"/>
        <v>13416857.142857134</v>
      </c>
    </row>
    <row r="155" spans="1:19" x14ac:dyDescent="0.25">
      <c r="A155" s="5" t="s">
        <v>11</v>
      </c>
      <c r="B155" s="6" t="s">
        <v>17</v>
      </c>
      <c r="C155" s="6" t="s">
        <v>19</v>
      </c>
      <c r="D155" s="6">
        <v>10</v>
      </c>
      <c r="E155" s="6">
        <v>5765</v>
      </c>
      <c r="F155" s="6">
        <v>8118</v>
      </c>
      <c r="G155" s="6">
        <v>0</v>
      </c>
      <c r="H155" s="6">
        <v>0</v>
      </c>
      <c r="I155" s="6">
        <v>8940</v>
      </c>
      <c r="J155" s="6">
        <v>0</v>
      </c>
      <c r="K155" s="6">
        <f t="shared" si="8"/>
        <v>8940</v>
      </c>
      <c r="L155" s="6">
        <v>4943</v>
      </c>
      <c r="M155" s="6">
        <v>5061.3333333333303</v>
      </c>
      <c r="N155" s="6">
        <v>24</v>
      </c>
      <c r="O155" s="8">
        <f t="shared" si="9"/>
        <v>13.587472035794175</v>
      </c>
      <c r="Q155" s="10">
        <v>7550</v>
      </c>
      <c r="R155" s="10">
        <f t="shared" si="10"/>
        <v>67497000</v>
      </c>
      <c r="S155" s="10">
        <f t="shared" si="11"/>
        <v>38213066.666666642</v>
      </c>
    </row>
    <row r="156" spans="1:19" x14ac:dyDescent="0.25">
      <c r="A156" s="5" t="s">
        <v>12</v>
      </c>
      <c r="B156" s="6" t="s">
        <v>17</v>
      </c>
      <c r="C156" s="6" t="s">
        <v>19</v>
      </c>
      <c r="D156" s="6">
        <v>10</v>
      </c>
      <c r="E156" s="6">
        <v>2400</v>
      </c>
      <c r="F156" s="6">
        <v>3360</v>
      </c>
      <c r="G156" s="6">
        <v>0</v>
      </c>
      <c r="H156" s="6">
        <v>0</v>
      </c>
      <c r="I156" s="6">
        <v>3650</v>
      </c>
      <c r="J156" s="6">
        <v>0</v>
      </c>
      <c r="K156" s="6">
        <f t="shared" si="8"/>
        <v>3650</v>
      </c>
      <c r="L156" s="6">
        <v>2110</v>
      </c>
      <c r="M156" s="6">
        <v>3818.3333333333298</v>
      </c>
      <c r="N156" s="6">
        <v>24</v>
      </c>
      <c r="O156" s="8">
        <f t="shared" si="9"/>
        <v>25.10684931506847</v>
      </c>
      <c r="Q156" s="10">
        <v>7550</v>
      </c>
      <c r="R156" s="10">
        <f t="shared" si="10"/>
        <v>27557500</v>
      </c>
      <c r="S156" s="10">
        <f t="shared" si="11"/>
        <v>28828416.666666642</v>
      </c>
    </row>
    <row r="157" spans="1:19" x14ac:dyDescent="0.25">
      <c r="A157" s="5" t="s">
        <v>182</v>
      </c>
      <c r="B157" s="6" t="s">
        <v>17</v>
      </c>
      <c r="C157" s="6" t="s">
        <v>19</v>
      </c>
      <c r="D157" s="6">
        <v>10</v>
      </c>
      <c r="E157" s="6">
        <v>1200</v>
      </c>
      <c r="F157" s="6">
        <v>0</v>
      </c>
      <c r="G157" s="6">
        <v>0</v>
      </c>
      <c r="H157" s="6">
        <v>0</v>
      </c>
      <c r="I157" s="6">
        <v>1000</v>
      </c>
      <c r="J157" s="6">
        <v>0</v>
      </c>
      <c r="K157" s="6">
        <f t="shared" si="8"/>
        <v>1000</v>
      </c>
      <c r="L157" s="6">
        <v>200</v>
      </c>
      <c r="M157" s="6">
        <v>200</v>
      </c>
      <c r="N157" s="6">
        <v>24</v>
      </c>
      <c r="O157" s="8">
        <f t="shared" si="9"/>
        <v>4.8000000000000007</v>
      </c>
      <c r="Q157" s="10">
        <v>2658</v>
      </c>
      <c r="R157" s="10">
        <f t="shared" si="10"/>
        <v>2658000</v>
      </c>
      <c r="S157" s="10">
        <f t="shared" si="11"/>
        <v>531600</v>
      </c>
    </row>
    <row r="158" spans="1:19" x14ac:dyDescent="0.25">
      <c r="A158" s="5" t="s">
        <v>9</v>
      </c>
      <c r="B158" s="6" t="s">
        <v>17</v>
      </c>
      <c r="C158" s="6" t="s">
        <v>19</v>
      </c>
      <c r="D158" s="6">
        <v>10</v>
      </c>
      <c r="E158" s="6">
        <v>17109</v>
      </c>
      <c r="F158" s="6">
        <v>10067</v>
      </c>
      <c r="G158" s="6">
        <v>0</v>
      </c>
      <c r="H158" s="6">
        <v>0</v>
      </c>
      <c r="I158" s="6">
        <v>0</v>
      </c>
      <c r="J158" s="6">
        <v>0</v>
      </c>
      <c r="K158" s="6">
        <f t="shared" si="8"/>
        <v>0</v>
      </c>
      <c r="L158" s="6">
        <v>27176</v>
      </c>
      <c r="M158" s="6">
        <v>25642.5</v>
      </c>
      <c r="N158" s="6">
        <v>24</v>
      </c>
      <c r="O158" s="8">
        <v>0</v>
      </c>
      <c r="Q158" s="10">
        <v>2846</v>
      </c>
      <c r="R158" s="10">
        <f t="shared" si="10"/>
        <v>0</v>
      </c>
      <c r="S158" s="10">
        <f t="shared" si="11"/>
        <v>72978555</v>
      </c>
    </row>
    <row r="159" spans="1:19" x14ac:dyDescent="0.25">
      <c r="A159" s="5" t="s">
        <v>13</v>
      </c>
      <c r="B159" s="6" t="s">
        <v>17</v>
      </c>
      <c r="C159" s="6" t="s">
        <v>19</v>
      </c>
      <c r="D159" s="6">
        <v>10</v>
      </c>
      <c r="E159" s="6">
        <v>1000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f t="shared" si="8"/>
        <v>0</v>
      </c>
      <c r="L159" s="6">
        <v>1000</v>
      </c>
      <c r="M159" s="6">
        <v>0</v>
      </c>
      <c r="N159" s="6">
        <v>24</v>
      </c>
      <c r="O159" s="8">
        <v>0</v>
      </c>
      <c r="Q159" s="10">
        <v>994</v>
      </c>
      <c r="R159" s="10">
        <f t="shared" si="10"/>
        <v>0</v>
      </c>
      <c r="S159" s="10">
        <f t="shared" si="11"/>
        <v>0</v>
      </c>
    </row>
    <row r="160" spans="1:19" ht="16.5" customHeight="1" x14ac:dyDescent="0.4">
      <c r="A160" s="17" t="s">
        <v>18</v>
      </c>
      <c r="B160" s="17"/>
      <c r="C160" s="17"/>
      <c r="D160" s="17"/>
      <c r="E160" s="18">
        <f>SUM(E2:E159)</f>
        <v>1463950</v>
      </c>
      <c r="F160" s="18">
        <f t="shared" ref="F160:M160" si="12">SUM(F2:F159)</f>
        <v>4811407</v>
      </c>
      <c r="G160" s="18">
        <f t="shared" si="12"/>
        <v>0</v>
      </c>
      <c r="H160" s="18">
        <f t="shared" si="12"/>
        <v>870</v>
      </c>
      <c r="I160" s="18">
        <f t="shared" si="12"/>
        <v>2892561</v>
      </c>
      <c r="J160" s="18">
        <f t="shared" si="12"/>
        <v>2009715</v>
      </c>
      <c r="K160" s="18">
        <f t="shared" si="12"/>
        <v>4902276</v>
      </c>
      <c r="L160" s="18">
        <f t="shared" si="12"/>
        <v>1373951</v>
      </c>
      <c r="M160" s="18">
        <f t="shared" si="12"/>
        <v>1600806.0239046516</v>
      </c>
      <c r="N160" s="18">
        <v>24</v>
      </c>
      <c r="O160" s="18">
        <f>(M160/(I160+J160))*N160</f>
        <v>7.8370423398665512</v>
      </c>
      <c r="R160" s="13">
        <f>SUM(R2:R159)</f>
        <v>10488994582</v>
      </c>
      <c r="S160" s="13">
        <f>SUM(S2:S159)</f>
        <v>3807204018.8769665</v>
      </c>
    </row>
    <row r="161" spans="4:18" x14ac:dyDescent="0.25">
      <c r="D161" s="6"/>
      <c r="K161" s="6"/>
    </row>
    <row r="162" spans="4:18" x14ac:dyDescent="0.25">
      <c r="D162" s="6"/>
      <c r="K162" s="6"/>
      <c r="Q162" s="11" t="s">
        <v>186</v>
      </c>
      <c r="R162" s="12">
        <v>5.1999999999999998E-3</v>
      </c>
    </row>
    <row r="163" spans="4:18" x14ac:dyDescent="0.25">
      <c r="D163" s="6"/>
      <c r="K163" s="6"/>
      <c r="Q163" s="11" t="s">
        <v>187</v>
      </c>
      <c r="R163" s="15">
        <f>(S160*R162)/R160</f>
        <v>1.8874507697939265E-3</v>
      </c>
    </row>
    <row r="164" spans="4:18" x14ac:dyDescent="0.25">
      <c r="D164" s="6"/>
      <c r="K164" s="6"/>
      <c r="Q164" s="11" t="s">
        <v>188</v>
      </c>
      <c r="R164" s="15">
        <v>1.5100000000000001E-3</v>
      </c>
    </row>
    <row r="165" spans="4:18" x14ac:dyDescent="0.25">
      <c r="D165" s="6"/>
      <c r="K165" s="6"/>
      <c r="Q165" s="11" t="s">
        <v>202</v>
      </c>
      <c r="R165" s="19">
        <f>(S160/R160)*N159</f>
        <v>8.7113112452027384</v>
      </c>
    </row>
  </sheetData>
  <autoFilter ref="A1:S169" xr:uid="{C85C8291-6F87-4E9B-9A04-21C5BC24260B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D20E-799C-4791-894A-DF7123E8C44B}">
  <dimension ref="A1:S165"/>
  <sheetViews>
    <sheetView workbookViewId="0">
      <pane ySplit="1" topLeftCell="A155" activePane="bottomLeft" state="frozen"/>
      <selection pane="bottomLeft" activeCell="K2" sqref="K2:K159"/>
    </sheetView>
  </sheetViews>
  <sheetFormatPr defaultRowHeight="15" x14ac:dyDescent="0.25"/>
  <cols>
    <col min="1" max="1" width="13.42578125" style="3" customWidth="1"/>
    <col min="2" max="2" width="13.42578125" customWidth="1"/>
    <col min="4" max="4" width="11.85546875" customWidth="1"/>
    <col min="5" max="5" width="12" customWidth="1"/>
    <col min="6" max="6" width="13.7109375" bestFit="1" customWidth="1"/>
    <col min="9" max="10" width="12.42578125" bestFit="1" customWidth="1"/>
    <col min="11" max="11" width="12.42578125" customWidth="1"/>
    <col min="13" max="13" width="11.42578125" customWidth="1"/>
    <col min="17" max="17" width="15" style="6" customWidth="1"/>
    <col min="18" max="19" width="19.140625" style="6" customWidth="1"/>
  </cols>
  <sheetData>
    <row r="1" spans="1:19" s="4" customFormat="1" ht="30.75" thickBot="1" x14ac:dyDescent="0.3">
      <c r="A1" s="9" t="s">
        <v>190</v>
      </c>
      <c r="B1" s="9" t="s">
        <v>189</v>
      </c>
      <c r="C1" s="9" t="s">
        <v>191</v>
      </c>
      <c r="D1" s="9" t="s">
        <v>203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221</v>
      </c>
      <c r="L1" s="9" t="s">
        <v>198</v>
      </c>
      <c r="M1" s="9" t="s">
        <v>199</v>
      </c>
      <c r="N1" s="9" t="s">
        <v>200</v>
      </c>
      <c r="O1" s="9" t="s">
        <v>201</v>
      </c>
      <c r="Q1" s="9" t="s">
        <v>183</v>
      </c>
      <c r="R1" s="9" t="s">
        <v>184</v>
      </c>
      <c r="S1" s="9" t="s">
        <v>185</v>
      </c>
    </row>
    <row r="2" spans="1:19" s="3" customFormat="1" x14ac:dyDescent="0.25">
      <c r="A2" s="5" t="s">
        <v>20</v>
      </c>
      <c r="B2" s="6" t="s">
        <v>17</v>
      </c>
      <c r="C2" s="6" t="s">
        <v>19</v>
      </c>
      <c r="D2" s="6">
        <v>10</v>
      </c>
      <c r="E2" s="6">
        <v>2410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f>I2+J2</f>
        <v>0</v>
      </c>
      <c r="L2" s="6">
        <v>2410</v>
      </c>
      <c r="M2" s="8">
        <v>0</v>
      </c>
      <c r="N2" s="6">
        <v>27</v>
      </c>
      <c r="O2" s="8">
        <v>0</v>
      </c>
      <c r="Q2" s="10">
        <v>2129</v>
      </c>
      <c r="R2" s="10">
        <f>Q2*(I2+J2)</f>
        <v>0</v>
      </c>
      <c r="S2" s="10">
        <f>Q2*M2</f>
        <v>0</v>
      </c>
    </row>
    <row r="3" spans="1:19" s="3" customFormat="1" x14ac:dyDescent="0.25">
      <c r="A3" s="5" t="s">
        <v>21</v>
      </c>
      <c r="B3" s="6" t="s">
        <v>16</v>
      </c>
      <c r="C3" s="6" t="s">
        <v>19</v>
      </c>
      <c r="D3" s="6">
        <v>10</v>
      </c>
      <c r="E3" s="6">
        <v>34556</v>
      </c>
      <c r="F3" s="6">
        <v>521100</v>
      </c>
      <c r="G3" s="6">
        <v>0</v>
      </c>
      <c r="H3" s="6">
        <v>0</v>
      </c>
      <c r="I3" s="6">
        <v>548028</v>
      </c>
      <c r="J3" s="6">
        <v>25</v>
      </c>
      <c r="K3" s="6">
        <f t="shared" ref="K3:K66" si="0">I3+J3</f>
        <v>548053</v>
      </c>
      <c r="L3" s="6">
        <v>7603</v>
      </c>
      <c r="M3" s="8">
        <v>33015.5</v>
      </c>
      <c r="N3" s="6">
        <v>27</v>
      </c>
      <c r="O3" s="8">
        <f t="shared" ref="O3:O66" si="1">(M3/(I3+J3))*N3</f>
        <v>1.6265187855919045</v>
      </c>
      <c r="Q3" s="10">
        <v>2129</v>
      </c>
      <c r="R3" s="10">
        <f t="shared" ref="R3:R66" si="2">Q3*(I3+J3)</f>
        <v>1166804837</v>
      </c>
      <c r="S3" s="10">
        <f t="shared" ref="S3:S66" si="3">Q3*M3</f>
        <v>70289999.5</v>
      </c>
    </row>
    <row r="4" spans="1:19" s="3" customFormat="1" x14ac:dyDescent="0.25">
      <c r="A4" s="5" t="s">
        <v>22</v>
      </c>
      <c r="B4" s="6" t="s">
        <v>17</v>
      </c>
      <c r="C4" s="6" t="s">
        <v>19</v>
      </c>
      <c r="D4" s="6">
        <v>10</v>
      </c>
      <c r="E4" s="6">
        <v>11376</v>
      </c>
      <c r="F4" s="6">
        <v>16800</v>
      </c>
      <c r="G4" s="6">
        <v>0</v>
      </c>
      <c r="H4" s="6">
        <v>0</v>
      </c>
      <c r="I4" s="6">
        <v>24951</v>
      </c>
      <c r="J4" s="6">
        <v>0</v>
      </c>
      <c r="K4" s="6">
        <f t="shared" si="0"/>
        <v>24951</v>
      </c>
      <c r="L4" s="6">
        <v>3225</v>
      </c>
      <c r="M4" s="8">
        <v>9957.8666666666704</v>
      </c>
      <c r="N4" s="6">
        <v>27</v>
      </c>
      <c r="O4" s="8">
        <f t="shared" si="1"/>
        <v>10.775616207767229</v>
      </c>
      <c r="Q4" s="10">
        <v>2129</v>
      </c>
      <c r="R4" s="10">
        <f t="shared" si="2"/>
        <v>53120679</v>
      </c>
      <c r="S4" s="10">
        <f t="shared" si="3"/>
        <v>21200298.13333334</v>
      </c>
    </row>
    <row r="5" spans="1:19" s="3" customFormat="1" x14ac:dyDescent="0.25">
      <c r="A5" s="5" t="s">
        <v>23</v>
      </c>
      <c r="B5" s="6" t="s">
        <v>17</v>
      </c>
      <c r="C5" s="6" t="s">
        <v>19</v>
      </c>
      <c r="D5" s="6">
        <v>10</v>
      </c>
      <c r="E5" s="6">
        <v>1170</v>
      </c>
      <c r="F5" s="6">
        <v>1028</v>
      </c>
      <c r="G5" s="6">
        <v>0</v>
      </c>
      <c r="H5" s="6">
        <v>0</v>
      </c>
      <c r="I5" s="6">
        <v>725</v>
      </c>
      <c r="J5" s="6">
        <v>0</v>
      </c>
      <c r="K5" s="6">
        <f t="shared" si="0"/>
        <v>725</v>
      </c>
      <c r="L5" s="6">
        <v>1473</v>
      </c>
      <c r="M5" s="8">
        <v>1372</v>
      </c>
      <c r="N5" s="6">
        <v>27</v>
      </c>
      <c r="O5" s="8">
        <f t="shared" si="1"/>
        <v>51.095172413793108</v>
      </c>
      <c r="Q5" s="10">
        <v>2131</v>
      </c>
      <c r="R5" s="10">
        <f t="shared" si="2"/>
        <v>1544975</v>
      </c>
      <c r="S5" s="10">
        <f t="shared" si="3"/>
        <v>2923732</v>
      </c>
    </row>
    <row r="6" spans="1:19" s="3" customFormat="1" x14ac:dyDescent="0.25">
      <c r="A6" s="5" t="s">
        <v>24</v>
      </c>
      <c r="B6" s="6" t="s">
        <v>17</v>
      </c>
      <c r="C6" s="6" t="s">
        <v>19</v>
      </c>
      <c r="D6" s="6">
        <v>10</v>
      </c>
      <c r="E6" s="6">
        <v>7775</v>
      </c>
      <c r="F6" s="6">
        <v>6000</v>
      </c>
      <c r="G6" s="6">
        <v>0</v>
      </c>
      <c r="H6" s="6">
        <v>0</v>
      </c>
      <c r="I6" s="6">
        <v>7125</v>
      </c>
      <c r="J6" s="6">
        <v>0</v>
      </c>
      <c r="K6" s="6">
        <f t="shared" si="0"/>
        <v>7125</v>
      </c>
      <c r="L6" s="6">
        <v>6650</v>
      </c>
      <c r="M6" s="8">
        <v>9712.5</v>
      </c>
      <c r="N6" s="6">
        <v>27</v>
      </c>
      <c r="O6" s="8">
        <f t="shared" si="1"/>
        <v>36.805263157894736</v>
      </c>
      <c r="Q6" s="10">
        <v>2131</v>
      </c>
      <c r="R6" s="10">
        <f t="shared" si="2"/>
        <v>15183375</v>
      </c>
      <c r="S6" s="10">
        <f t="shared" si="3"/>
        <v>20697337.5</v>
      </c>
    </row>
    <row r="7" spans="1:19" x14ac:dyDescent="0.25">
      <c r="A7" s="5" t="s">
        <v>25</v>
      </c>
      <c r="B7" s="6" t="s">
        <v>16</v>
      </c>
      <c r="C7" s="6" t="s">
        <v>19</v>
      </c>
      <c r="D7" s="6">
        <v>10</v>
      </c>
      <c r="E7" s="6">
        <v>29986</v>
      </c>
      <c r="F7" s="6">
        <v>218900</v>
      </c>
      <c r="G7" s="6">
        <v>0</v>
      </c>
      <c r="H7" s="6">
        <v>0</v>
      </c>
      <c r="I7" s="6">
        <v>240065</v>
      </c>
      <c r="J7" s="6">
        <v>200</v>
      </c>
      <c r="K7" s="6">
        <f t="shared" si="0"/>
        <v>240265</v>
      </c>
      <c r="L7" s="6">
        <v>8621</v>
      </c>
      <c r="M7" s="8">
        <v>33218.5</v>
      </c>
      <c r="N7" s="6">
        <v>27</v>
      </c>
      <c r="O7" s="8">
        <f t="shared" si="1"/>
        <v>3.7329594406176509</v>
      </c>
      <c r="Q7" s="10">
        <v>1910</v>
      </c>
      <c r="R7" s="10">
        <f>Q7*(I7+J7)</f>
        <v>458906150</v>
      </c>
      <c r="S7" s="10">
        <f>Q7*M7</f>
        <v>63447335</v>
      </c>
    </row>
    <row r="8" spans="1:19" x14ac:dyDescent="0.25">
      <c r="A8" s="5" t="s">
        <v>164</v>
      </c>
      <c r="B8" s="6" t="s">
        <v>16</v>
      </c>
      <c r="C8" s="6" t="s">
        <v>19</v>
      </c>
      <c r="D8" s="6">
        <v>10</v>
      </c>
      <c r="E8" s="6">
        <v>21500</v>
      </c>
      <c r="F8" s="6">
        <v>117525</v>
      </c>
      <c r="G8" s="6">
        <v>0</v>
      </c>
      <c r="H8" s="6">
        <v>0</v>
      </c>
      <c r="I8" s="6">
        <v>137650</v>
      </c>
      <c r="J8" s="6">
        <v>0</v>
      </c>
      <c r="K8" s="6">
        <f t="shared" si="0"/>
        <v>137650</v>
      </c>
      <c r="L8" s="6">
        <v>1375</v>
      </c>
      <c r="M8" s="8">
        <v>18354.5454545455</v>
      </c>
      <c r="N8" s="6">
        <v>27</v>
      </c>
      <c r="O8" s="8">
        <f t="shared" si="1"/>
        <v>3.6002377571574899</v>
      </c>
      <c r="Q8" s="10">
        <v>1910</v>
      </c>
      <c r="R8" s="10">
        <f t="shared" si="2"/>
        <v>262911500</v>
      </c>
      <c r="S8" s="10">
        <f t="shared" si="3"/>
        <v>35057181.818181902</v>
      </c>
    </row>
    <row r="9" spans="1:19" x14ac:dyDescent="0.25">
      <c r="A9" s="5" t="s">
        <v>26</v>
      </c>
      <c r="B9" s="6" t="s">
        <v>16</v>
      </c>
      <c r="C9" s="6" t="s">
        <v>19</v>
      </c>
      <c r="D9" s="6">
        <v>10</v>
      </c>
      <c r="E9" s="6">
        <v>56190</v>
      </c>
      <c r="F9" s="6">
        <v>14531</v>
      </c>
      <c r="G9" s="6">
        <v>0</v>
      </c>
      <c r="H9" s="6">
        <v>0</v>
      </c>
      <c r="I9" s="6">
        <v>36125</v>
      </c>
      <c r="J9" s="6">
        <v>0</v>
      </c>
      <c r="K9" s="6">
        <f t="shared" si="0"/>
        <v>36125</v>
      </c>
      <c r="L9" s="6">
        <v>34596</v>
      </c>
      <c r="M9" s="8">
        <v>37677.928571428602</v>
      </c>
      <c r="N9" s="6">
        <v>27</v>
      </c>
      <c r="O9" s="8">
        <f t="shared" si="1"/>
        <v>28.160666337123104</v>
      </c>
      <c r="Q9" s="10">
        <v>2217</v>
      </c>
      <c r="R9" s="10">
        <f t="shared" si="2"/>
        <v>80089125</v>
      </c>
      <c r="S9" s="10">
        <f t="shared" si="3"/>
        <v>83531967.642857209</v>
      </c>
    </row>
    <row r="10" spans="1:19" x14ac:dyDescent="0.25">
      <c r="A10" s="5" t="s">
        <v>27</v>
      </c>
      <c r="B10" s="6" t="s">
        <v>17</v>
      </c>
      <c r="C10" s="6" t="s">
        <v>19</v>
      </c>
      <c r="D10" s="6">
        <v>10</v>
      </c>
      <c r="E10" s="6">
        <v>1551</v>
      </c>
      <c r="F10" s="6">
        <v>17021</v>
      </c>
      <c r="G10" s="6">
        <v>0</v>
      </c>
      <c r="H10" s="6">
        <v>0</v>
      </c>
      <c r="I10" s="6">
        <v>15379</v>
      </c>
      <c r="J10" s="6">
        <v>0</v>
      </c>
      <c r="K10" s="6">
        <f t="shared" si="0"/>
        <v>15379</v>
      </c>
      <c r="L10" s="6">
        <v>3193</v>
      </c>
      <c r="M10" s="8">
        <v>10008.6363636364</v>
      </c>
      <c r="N10" s="6">
        <v>27</v>
      </c>
      <c r="O10" s="8">
        <f t="shared" si="1"/>
        <v>17.571570441392989</v>
      </c>
      <c r="Q10" s="10">
        <v>2131</v>
      </c>
      <c r="R10" s="10">
        <f t="shared" si="2"/>
        <v>32772649</v>
      </c>
      <c r="S10" s="10">
        <f t="shared" si="3"/>
        <v>21328404.090909168</v>
      </c>
    </row>
    <row r="11" spans="1:19" x14ac:dyDescent="0.25">
      <c r="A11" s="5" t="s">
        <v>28</v>
      </c>
      <c r="B11" s="6" t="s">
        <v>17</v>
      </c>
      <c r="C11" s="6" t="s">
        <v>19</v>
      </c>
      <c r="D11" s="6">
        <v>10</v>
      </c>
      <c r="E11" s="6">
        <v>2301</v>
      </c>
      <c r="F11" s="6">
        <v>0</v>
      </c>
      <c r="G11" s="6">
        <v>0</v>
      </c>
      <c r="H11" s="6">
        <v>0</v>
      </c>
      <c r="I11" s="6">
        <v>806</v>
      </c>
      <c r="J11" s="6">
        <v>0</v>
      </c>
      <c r="K11" s="6">
        <f t="shared" si="0"/>
        <v>806</v>
      </c>
      <c r="L11" s="6">
        <v>1495</v>
      </c>
      <c r="M11" s="8">
        <v>1949</v>
      </c>
      <c r="N11" s="6">
        <v>27</v>
      </c>
      <c r="O11" s="8">
        <f t="shared" si="1"/>
        <v>65.289081885856078</v>
      </c>
      <c r="Q11" s="10">
        <v>2131</v>
      </c>
      <c r="R11" s="10">
        <f t="shared" si="2"/>
        <v>1717586</v>
      </c>
      <c r="S11" s="10">
        <f t="shared" si="3"/>
        <v>4153319</v>
      </c>
    </row>
    <row r="12" spans="1:19" x14ac:dyDescent="0.25">
      <c r="A12" s="5" t="s">
        <v>29</v>
      </c>
      <c r="B12" s="6" t="s">
        <v>16</v>
      </c>
      <c r="C12" s="6" t="s">
        <v>19</v>
      </c>
      <c r="D12" s="6">
        <v>10</v>
      </c>
      <c r="E12" s="6">
        <v>31750</v>
      </c>
      <c r="F12" s="6">
        <v>389375</v>
      </c>
      <c r="G12" s="6">
        <v>0</v>
      </c>
      <c r="H12" s="6">
        <v>0</v>
      </c>
      <c r="I12" s="6">
        <v>379189</v>
      </c>
      <c r="J12" s="6">
        <v>0</v>
      </c>
      <c r="K12" s="6">
        <f t="shared" si="0"/>
        <v>379189</v>
      </c>
      <c r="L12" s="6">
        <v>41936</v>
      </c>
      <c r="M12" s="8">
        <v>28218.3461538462</v>
      </c>
      <c r="N12" s="6">
        <v>27</v>
      </c>
      <c r="O12" s="8">
        <f t="shared" si="1"/>
        <v>2.0092759709639454</v>
      </c>
      <c r="Q12" s="10">
        <v>1691</v>
      </c>
      <c r="R12" s="10">
        <f t="shared" si="2"/>
        <v>641208599</v>
      </c>
      <c r="S12" s="10">
        <f t="shared" si="3"/>
        <v>47717223.346153922</v>
      </c>
    </row>
    <row r="13" spans="1:19" x14ac:dyDescent="0.25">
      <c r="A13" s="5" t="s">
        <v>30</v>
      </c>
      <c r="B13" s="6" t="s">
        <v>17</v>
      </c>
      <c r="C13" s="6" t="s">
        <v>19</v>
      </c>
      <c r="D13" s="6">
        <v>10</v>
      </c>
      <c r="E13" s="6">
        <v>3780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f t="shared" si="0"/>
        <v>0</v>
      </c>
      <c r="L13" s="6">
        <v>3780</v>
      </c>
      <c r="M13" s="8">
        <v>0</v>
      </c>
      <c r="N13" s="6">
        <v>27</v>
      </c>
      <c r="O13" s="8">
        <v>0</v>
      </c>
      <c r="Q13" s="10">
        <v>1694</v>
      </c>
      <c r="R13" s="10">
        <f t="shared" si="2"/>
        <v>0</v>
      </c>
      <c r="S13" s="10">
        <f t="shared" si="3"/>
        <v>0</v>
      </c>
    </row>
    <row r="14" spans="1:19" x14ac:dyDescent="0.25">
      <c r="A14" s="5" t="s">
        <v>32</v>
      </c>
      <c r="B14" s="6" t="s">
        <v>16</v>
      </c>
      <c r="C14" s="6" t="s">
        <v>19</v>
      </c>
      <c r="D14" s="6">
        <v>10</v>
      </c>
      <c r="E14" s="6">
        <v>7585</v>
      </c>
      <c r="F14" s="6">
        <v>45925</v>
      </c>
      <c r="G14" s="6">
        <v>0</v>
      </c>
      <c r="H14" s="6">
        <v>0</v>
      </c>
      <c r="I14" s="6">
        <v>53510</v>
      </c>
      <c r="J14" s="6">
        <v>0</v>
      </c>
      <c r="K14" s="6">
        <f t="shared" si="0"/>
        <v>53510</v>
      </c>
      <c r="L14" s="6">
        <v>0</v>
      </c>
      <c r="M14" s="8">
        <v>6725.4583333333303</v>
      </c>
      <c r="N14" s="6">
        <v>27</v>
      </c>
      <c r="O14" s="8">
        <f t="shared" si="1"/>
        <v>3.3935222388338611</v>
      </c>
      <c r="Q14" s="10">
        <v>1890</v>
      </c>
      <c r="R14" s="10">
        <f t="shared" si="2"/>
        <v>101133900</v>
      </c>
      <c r="S14" s="10">
        <f t="shared" si="3"/>
        <v>12711116.249999994</v>
      </c>
    </row>
    <row r="15" spans="1:19" x14ac:dyDescent="0.25">
      <c r="A15" s="5" t="s">
        <v>33</v>
      </c>
      <c r="B15" s="6" t="s">
        <v>16</v>
      </c>
      <c r="C15" s="6" t="s">
        <v>19</v>
      </c>
      <c r="D15" s="6">
        <v>10</v>
      </c>
      <c r="E15" s="6">
        <v>12911</v>
      </c>
      <c r="F15" s="6">
        <v>334550</v>
      </c>
      <c r="G15" s="6">
        <v>0</v>
      </c>
      <c r="H15" s="6">
        <v>0</v>
      </c>
      <c r="I15" s="6">
        <v>339800</v>
      </c>
      <c r="J15" s="6">
        <v>0</v>
      </c>
      <c r="K15" s="6">
        <f t="shared" si="0"/>
        <v>339800</v>
      </c>
      <c r="L15" s="6">
        <v>7661</v>
      </c>
      <c r="M15" s="8">
        <v>35060.592592592606</v>
      </c>
      <c r="N15" s="6">
        <v>27</v>
      </c>
      <c r="O15" s="8">
        <f t="shared" si="1"/>
        <v>2.7858622719246626</v>
      </c>
      <c r="Q15" s="10">
        <v>2216</v>
      </c>
      <c r="R15" s="10">
        <f t="shared" si="2"/>
        <v>752996800</v>
      </c>
      <c r="S15" s="10">
        <f t="shared" si="3"/>
        <v>77694273.185185209</v>
      </c>
    </row>
    <row r="16" spans="1:19" x14ac:dyDescent="0.25">
      <c r="A16" s="5" t="s">
        <v>34</v>
      </c>
      <c r="B16" s="6" t="s">
        <v>17</v>
      </c>
      <c r="C16" s="6" t="s">
        <v>19</v>
      </c>
      <c r="D16" s="6">
        <v>10</v>
      </c>
      <c r="E16" s="6">
        <v>53464</v>
      </c>
      <c r="F16" s="6">
        <v>227775</v>
      </c>
      <c r="G16" s="6">
        <v>0</v>
      </c>
      <c r="H16" s="6">
        <v>0</v>
      </c>
      <c r="I16" s="6">
        <v>0</v>
      </c>
      <c r="J16" s="6">
        <v>273775</v>
      </c>
      <c r="K16" s="6">
        <f t="shared" si="0"/>
        <v>273775</v>
      </c>
      <c r="L16" s="6">
        <v>7464</v>
      </c>
      <c r="M16" s="8">
        <v>47019.555555555606</v>
      </c>
      <c r="N16" s="6">
        <v>27</v>
      </c>
      <c r="O16" s="8">
        <f t="shared" si="1"/>
        <v>4.637121724043471</v>
      </c>
      <c r="Q16" s="10">
        <v>2846</v>
      </c>
      <c r="R16" s="10">
        <f t="shared" si="2"/>
        <v>779163650</v>
      </c>
      <c r="S16" s="10">
        <f t="shared" si="3"/>
        <v>133817655.11111125</v>
      </c>
    </row>
    <row r="17" spans="1:19" x14ac:dyDescent="0.25">
      <c r="A17" s="5" t="s">
        <v>35</v>
      </c>
      <c r="B17" s="6" t="s">
        <v>16</v>
      </c>
      <c r="C17" s="6" t="s">
        <v>19</v>
      </c>
      <c r="D17" s="6">
        <v>10</v>
      </c>
      <c r="E17" s="6">
        <v>10353</v>
      </c>
      <c r="F17" s="6">
        <v>171250</v>
      </c>
      <c r="G17" s="6">
        <v>0</v>
      </c>
      <c r="H17" s="6">
        <v>0</v>
      </c>
      <c r="I17" s="6">
        <v>177400</v>
      </c>
      <c r="J17" s="6">
        <v>125</v>
      </c>
      <c r="K17" s="6">
        <f t="shared" si="0"/>
        <v>177525</v>
      </c>
      <c r="L17" s="6">
        <v>4078</v>
      </c>
      <c r="M17" s="8">
        <v>11945.307692307701</v>
      </c>
      <c r="N17" s="6">
        <v>27</v>
      </c>
      <c r="O17" s="8">
        <f t="shared" si="1"/>
        <v>1.8167768353319695</v>
      </c>
      <c r="Q17" s="10">
        <v>2129</v>
      </c>
      <c r="R17" s="10">
        <f t="shared" si="2"/>
        <v>377950725</v>
      </c>
      <c r="S17" s="10">
        <f t="shared" si="3"/>
        <v>25431560.076923095</v>
      </c>
    </row>
    <row r="18" spans="1:19" x14ac:dyDescent="0.25">
      <c r="A18" s="5" t="s">
        <v>36</v>
      </c>
      <c r="B18" s="6" t="s">
        <v>17</v>
      </c>
      <c r="C18" s="6" t="s">
        <v>19</v>
      </c>
      <c r="D18" s="6">
        <v>10</v>
      </c>
      <c r="E18" s="6">
        <v>3650</v>
      </c>
      <c r="F18" s="6">
        <v>1050</v>
      </c>
      <c r="G18" s="6">
        <v>0</v>
      </c>
      <c r="H18" s="6">
        <v>0</v>
      </c>
      <c r="I18" s="6">
        <v>2125</v>
      </c>
      <c r="J18" s="6">
        <v>0</v>
      </c>
      <c r="K18" s="6">
        <f t="shared" si="0"/>
        <v>2125</v>
      </c>
      <c r="L18" s="6">
        <v>2575</v>
      </c>
      <c r="M18" s="8">
        <v>3058.3333333333298</v>
      </c>
      <c r="N18" s="6">
        <v>27</v>
      </c>
      <c r="O18" s="8">
        <f t="shared" si="1"/>
        <v>38.858823529411723</v>
      </c>
      <c r="Q18" s="10">
        <v>2129</v>
      </c>
      <c r="R18" s="10">
        <f t="shared" si="2"/>
        <v>4524125</v>
      </c>
      <c r="S18" s="10">
        <f t="shared" si="3"/>
        <v>6511191.6666666595</v>
      </c>
    </row>
    <row r="19" spans="1:19" x14ac:dyDescent="0.25">
      <c r="A19" s="5" t="s">
        <v>37</v>
      </c>
      <c r="B19" s="6" t="s">
        <v>16</v>
      </c>
      <c r="C19" s="6" t="s">
        <v>19</v>
      </c>
      <c r="D19" s="6">
        <v>10</v>
      </c>
      <c r="E19" s="6">
        <v>35524</v>
      </c>
      <c r="F19" s="6">
        <v>196991</v>
      </c>
      <c r="G19" s="6">
        <v>0</v>
      </c>
      <c r="H19" s="6">
        <v>0</v>
      </c>
      <c r="I19" s="6">
        <v>0</v>
      </c>
      <c r="J19" s="6">
        <v>224391</v>
      </c>
      <c r="K19" s="6">
        <f t="shared" si="0"/>
        <v>224391</v>
      </c>
      <c r="L19" s="6">
        <v>8124</v>
      </c>
      <c r="M19" s="8">
        <v>34755.800000000003</v>
      </c>
      <c r="N19" s="6">
        <v>27</v>
      </c>
      <c r="O19" s="8">
        <f t="shared" si="1"/>
        <v>4.1820153214701126</v>
      </c>
      <c r="Q19" s="10">
        <v>2263</v>
      </c>
      <c r="R19" s="10">
        <f t="shared" si="2"/>
        <v>507796833</v>
      </c>
      <c r="S19" s="10">
        <f t="shared" si="3"/>
        <v>78652375.400000006</v>
      </c>
    </row>
    <row r="20" spans="1:19" x14ac:dyDescent="0.25">
      <c r="A20" s="5" t="s">
        <v>38</v>
      </c>
      <c r="B20" s="6" t="s">
        <v>17</v>
      </c>
      <c r="C20" s="6" t="s">
        <v>19</v>
      </c>
      <c r="D20" s="6">
        <v>10</v>
      </c>
      <c r="E20" s="6">
        <v>31544</v>
      </c>
      <c r="F20" s="6">
        <v>40624</v>
      </c>
      <c r="G20" s="6">
        <v>0</v>
      </c>
      <c r="H20" s="6">
        <v>0</v>
      </c>
      <c r="I20" s="6">
        <v>0</v>
      </c>
      <c r="J20" s="6">
        <v>38269</v>
      </c>
      <c r="K20" s="6">
        <f t="shared" si="0"/>
        <v>38269</v>
      </c>
      <c r="L20" s="6">
        <v>33899</v>
      </c>
      <c r="M20" s="8">
        <v>46582.888888888898</v>
      </c>
      <c r="N20" s="6">
        <v>27</v>
      </c>
      <c r="O20" s="8">
        <f t="shared" si="1"/>
        <v>32.865713763098071</v>
      </c>
      <c r="Q20" s="10">
        <v>2263</v>
      </c>
      <c r="R20" s="10">
        <f t="shared" si="2"/>
        <v>86602747</v>
      </c>
      <c r="S20" s="10">
        <f t="shared" si="3"/>
        <v>105417077.55555558</v>
      </c>
    </row>
    <row r="21" spans="1:19" x14ac:dyDescent="0.25">
      <c r="A21" s="5" t="s">
        <v>39</v>
      </c>
      <c r="B21" s="6" t="s">
        <v>17</v>
      </c>
      <c r="C21" s="6" t="s">
        <v>19</v>
      </c>
      <c r="D21" s="6">
        <v>10</v>
      </c>
      <c r="E21" s="6">
        <v>1996</v>
      </c>
      <c r="F21" s="6">
        <v>3000</v>
      </c>
      <c r="G21" s="6">
        <v>0</v>
      </c>
      <c r="H21" s="6">
        <v>0</v>
      </c>
      <c r="I21" s="6">
        <v>0</v>
      </c>
      <c r="J21" s="6">
        <v>0</v>
      </c>
      <c r="K21" s="6">
        <f t="shared" si="0"/>
        <v>0</v>
      </c>
      <c r="L21" s="6">
        <v>4996</v>
      </c>
      <c r="M21" s="8">
        <v>4996</v>
      </c>
      <c r="N21" s="6">
        <v>27</v>
      </c>
      <c r="O21" s="8">
        <v>0</v>
      </c>
      <c r="Q21" s="10">
        <v>2732</v>
      </c>
      <c r="R21" s="10">
        <f t="shared" si="2"/>
        <v>0</v>
      </c>
      <c r="S21" s="10">
        <f t="shared" si="3"/>
        <v>13649072</v>
      </c>
    </row>
    <row r="22" spans="1:19" x14ac:dyDescent="0.25">
      <c r="A22" s="5" t="s">
        <v>40</v>
      </c>
      <c r="B22" s="6" t="s">
        <v>17</v>
      </c>
      <c r="C22" s="6" t="s">
        <v>19</v>
      </c>
      <c r="D22" s="6">
        <v>10</v>
      </c>
      <c r="E22" s="6">
        <v>20880</v>
      </c>
      <c r="F22" s="6">
        <v>0</v>
      </c>
      <c r="G22" s="6">
        <v>0</v>
      </c>
      <c r="H22" s="6">
        <v>0</v>
      </c>
      <c r="I22" s="6">
        <v>0</v>
      </c>
      <c r="J22" s="6">
        <v>16496</v>
      </c>
      <c r="K22" s="6">
        <f t="shared" si="0"/>
        <v>16496</v>
      </c>
      <c r="L22" s="6">
        <v>4384</v>
      </c>
      <c r="M22" s="8">
        <v>11672.4444444444</v>
      </c>
      <c r="N22" s="6">
        <v>27</v>
      </c>
      <c r="O22" s="8">
        <f t="shared" si="1"/>
        <v>19.104995150339402</v>
      </c>
      <c r="Q22" s="10">
        <v>2962</v>
      </c>
      <c r="R22" s="10">
        <f t="shared" si="2"/>
        <v>48861152</v>
      </c>
      <c r="S22" s="10">
        <f t="shared" si="3"/>
        <v>34573780.444444314</v>
      </c>
    </row>
    <row r="23" spans="1:19" x14ac:dyDescent="0.25">
      <c r="A23" s="5" t="s">
        <v>41</v>
      </c>
      <c r="B23" s="6" t="s">
        <v>17</v>
      </c>
      <c r="C23" s="6" t="s">
        <v>19</v>
      </c>
      <c r="D23" s="6">
        <v>10</v>
      </c>
      <c r="E23" s="6">
        <v>124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f t="shared" si="0"/>
        <v>0</v>
      </c>
      <c r="L23" s="6">
        <v>124</v>
      </c>
      <c r="M23" s="8">
        <v>0</v>
      </c>
      <c r="N23" s="6">
        <v>27</v>
      </c>
      <c r="O23" s="8">
        <v>0</v>
      </c>
      <c r="Q23" s="10">
        <v>2263</v>
      </c>
      <c r="R23" s="10">
        <f t="shared" si="2"/>
        <v>0</v>
      </c>
      <c r="S23" s="10">
        <f t="shared" si="3"/>
        <v>0</v>
      </c>
    </row>
    <row r="24" spans="1:19" x14ac:dyDescent="0.25">
      <c r="A24" s="5" t="s">
        <v>42</v>
      </c>
      <c r="B24" s="6" t="s">
        <v>17</v>
      </c>
      <c r="C24" s="6" t="s">
        <v>19</v>
      </c>
      <c r="D24" s="6">
        <v>10</v>
      </c>
      <c r="E24" s="6">
        <v>770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si="0"/>
        <v>0</v>
      </c>
      <c r="L24" s="6">
        <v>770</v>
      </c>
      <c r="M24" s="8">
        <v>0</v>
      </c>
      <c r="N24" s="6">
        <v>27</v>
      </c>
      <c r="O24" s="8">
        <v>0</v>
      </c>
      <c r="Q24" s="10">
        <v>2263</v>
      </c>
      <c r="R24" s="10">
        <f t="shared" si="2"/>
        <v>0</v>
      </c>
      <c r="S24" s="10">
        <f t="shared" si="3"/>
        <v>0</v>
      </c>
    </row>
    <row r="25" spans="1:19" x14ac:dyDescent="0.25">
      <c r="A25" s="5" t="s">
        <v>43</v>
      </c>
      <c r="B25" s="6" t="s">
        <v>17</v>
      </c>
      <c r="C25" s="6" t="s">
        <v>19</v>
      </c>
      <c r="D25" s="6">
        <v>10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f t="shared" si="0"/>
        <v>0</v>
      </c>
      <c r="L25" s="6">
        <v>0</v>
      </c>
      <c r="M25" s="8">
        <v>0</v>
      </c>
      <c r="N25" s="6">
        <v>27</v>
      </c>
      <c r="O25" s="8">
        <v>0</v>
      </c>
      <c r="Q25" s="10">
        <v>2268</v>
      </c>
      <c r="R25" s="10">
        <f t="shared" si="2"/>
        <v>0</v>
      </c>
      <c r="S25" s="10">
        <f t="shared" si="3"/>
        <v>0</v>
      </c>
    </row>
    <row r="26" spans="1:19" x14ac:dyDescent="0.25">
      <c r="A26" s="5" t="s">
        <v>165</v>
      </c>
      <c r="B26" s="6" t="s">
        <v>16</v>
      </c>
      <c r="C26" s="6" t="s">
        <v>19</v>
      </c>
      <c r="D26" s="6">
        <v>10</v>
      </c>
      <c r="E26" s="6">
        <v>12505</v>
      </c>
      <c r="F26" s="6">
        <v>75000</v>
      </c>
      <c r="G26" s="6">
        <v>0</v>
      </c>
      <c r="H26" s="6">
        <v>0</v>
      </c>
      <c r="I26" s="6">
        <v>82500</v>
      </c>
      <c r="J26" s="6">
        <v>0</v>
      </c>
      <c r="K26" s="6">
        <f t="shared" si="0"/>
        <v>82500</v>
      </c>
      <c r="L26" s="6">
        <v>5005</v>
      </c>
      <c r="M26" s="8">
        <v>8219.2857142857101</v>
      </c>
      <c r="N26" s="6">
        <v>27</v>
      </c>
      <c r="O26" s="8">
        <f t="shared" si="1"/>
        <v>2.6899480519480505</v>
      </c>
      <c r="Q26" s="10">
        <v>2268</v>
      </c>
      <c r="R26" s="10">
        <f t="shared" si="2"/>
        <v>187110000</v>
      </c>
      <c r="S26" s="10">
        <f t="shared" si="3"/>
        <v>18641339.999999989</v>
      </c>
    </row>
    <row r="27" spans="1:19" x14ac:dyDescent="0.25">
      <c r="A27" s="5" t="s">
        <v>44</v>
      </c>
      <c r="B27" s="6" t="s">
        <v>17</v>
      </c>
      <c r="C27" s="6" t="s">
        <v>19</v>
      </c>
      <c r="D27" s="6">
        <v>10</v>
      </c>
      <c r="E27" s="6">
        <v>2492</v>
      </c>
      <c r="F27" s="6">
        <v>3150</v>
      </c>
      <c r="G27" s="6">
        <v>0</v>
      </c>
      <c r="H27" s="6">
        <v>0</v>
      </c>
      <c r="I27" s="6">
        <v>4250</v>
      </c>
      <c r="J27" s="6">
        <v>150</v>
      </c>
      <c r="K27" s="6">
        <f t="shared" si="0"/>
        <v>4400</v>
      </c>
      <c r="L27" s="6">
        <v>1242</v>
      </c>
      <c r="M27" s="8">
        <v>1675.3333333333301</v>
      </c>
      <c r="N27" s="6">
        <v>27</v>
      </c>
      <c r="O27" s="8">
        <f t="shared" si="1"/>
        <v>10.280454545454525</v>
      </c>
      <c r="Q27" s="10">
        <v>1956</v>
      </c>
      <c r="R27" s="10">
        <f t="shared" si="2"/>
        <v>8606400</v>
      </c>
      <c r="S27" s="10">
        <f t="shared" si="3"/>
        <v>3276951.9999999935</v>
      </c>
    </row>
    <row r="28" spans="1:19" x14ac:dyDescent="0.25">
      <c r="A28" s="5" t="s">
        <v>45</v>
      </c>
      <c r="B28" s="6" t="s">
        <v>16</v>
      </c>
      <c r="C28" s="6" t="s">
        <v>19</v>
      </c>
      <c r="D28" s="6">
        <v>10</v>
      </c>
      <c r="E28" s="6">
        <v>33385</v>
      </c>
      <c r="F28" s="6">
        <v>294000</v>
      </c>
      <c r="G28" s="6">
        <v>0</v>
      </c>
      <c r="H28" s="6">
        <v>0</v>
      </c>
      <c r="I28" s="6">
        <v>0</v>
      </c>
      <c r="J28" s="6">
        <v>316925</v>
      </c>
      <c r="K28" s="6">
        <f t="shared" si="0"/>
        <v>316925</v>
      </c>
      <c r="L28" s="6">
        <v>10460</v>
      </c>
      <c r="M28" s="8">
        <v>37468.214285714304</v>
      </c>
      <c r="N28" s="6">
        <v>27</v>
      </c>
      <c r="O28" s="8">
        <f t="shared" si="1"/>
        <v>3.1920542264393346</v>
      </c>
      <c r="Q28" s="10">
        <v>2031</v>
      </c>
      <c r="R28" s="10">
        <f t="shared" si="2"/>
        <v>643674675</v>
      </c>
      <c r="S28" s="10">
        <f t="shared" si="3"/>
        <v>76097943.214285746</v>
      </c>
    </row>
    <row r="29" spans="1:19" x14ac:dyDescent="0.25">
      <c r="A29" s="5" t="s">
        <v>47</v>
      </c>
      <c r="B29" s="6" t="s">
        <v>17</v>
      </c>
      <c r="C29" s="6" t="s">
        <v>19</v>
      </c>
      <c r="D29" s="6">
        <v>10</v>
      </c>
      <c r="E29" s="6">
        <v>2883</v>
      </c>
      <c r="F29" s="6">
        <v>0</v>
      </c>
      <c r="G29" s="6">
        <v>0</v>
      </c>
      <c r="H29" s="6">
        <v>0</v>
      </c>
      <c r="I29" s="6">
        <v>1350</v>
      </c>
      <c r="J29" s="6">
        <v>0</v>
      </c>
      <c r="K29" s="6">
        <f t="shared" si="0"/>
        <v>1350</v>
      </c>
      <c r="L29" s="6">
        <v>1533</v>
      </c>
      <c r="M29" s="8">
        <v>1533</v>
      </c>
      <c r="N29" s="6">
        <v>27</v>
      </c>
      <c r="O29" s="8">
        <f t="shared" si="1"/>
        <v>30.660000000000004</v>
      </c>
      <c r="Q29" s="10">
        <v>2179</v>
      </c>
      <c r="R29" s="10">
        <f t="shared" si="2"/>
        <v>2941650</v>
      </c>
      <c r="S29" s="10">
        <f t="shared" si="3"/>
        <v>3340407</v>
      </c>
    </row>
    <row r="30" spans="1:19" x14ac:dyDescent="0.25">
      <c r="A30" s="5" t="s">
        <v>48</v>
      </c>
      <c r="B30" s="6" t="s">
        <v>17</v>
      </c>
      <c r="C30" s="6" t="s">
        <v>19</v>
      </c>
      <c r="D30" s="6">
        <v>10</v>
      </c>
      <c r="E30" s="6">
        <v>1495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f t="shared" si="0"/>
        <v>0</v>
      </c>
      <c r="L30" s="6">
        <v>1495</v>
      </c>
      <c r="M30" s="8">
        <v>0</v>
      </c>
      <c r="N30" s="6">
        <v>27</v>
      </c>
      <c r="O30" s="8">
        <v>0</v>
      </c>
      <c r="Q30" s="10">
        <v>2179</v>
      </c>
      <c r="R30" s="10">
        <f t="shared" si="2"/>
        <v>0</v>
      </c>
      <c r="S30" s="10">
        <f t="shared" si="3"/>
        <v>0</v>
      </c>
    </row>
    <row r="31" spans="1:19" x14ac:dyDescent="0.25">
      <c r="A31" s="5" t="s">
        <v>46</v>
      </c>
      <c r="B31" s="6" t="s">
        <v>17</v>
      </c>
      <c r="C31" s="6" t="s">
        <v>19</v>
      </c>
      <c r="D31" s="6">
        <v>10</v>
      </c>
      <c r="E31" s="6">
        <v>2065</v>
      </c>
      <c r="F31" s="6">
        <v>0</v>
      </c>
      <c r="G31" s="6">
        <v>0</v>
      </c>
      <c r="H31" s="6">
        <v>0</v>
      </c>
      <c r="I31" s="6">
        <v>50</v>
      </c>
      <c r="J31" s="6">
        <v>0</v>
      </c>
      <c r="K31" s="6">
        <f t="shared" si="0"/>
        <v>50</v>
      </c>
      <c r="L31" s="6">
        <v>2015</v>
      </c>
      <c r="M31" s="8">
        <v>2015</v>
      </c>
      <c r="N31" s="6">
        <v>27</v>
      </c>
      <c r="O31" s="8">
        <f t="shared" si="1"/>
        <v>1088.0999999999999</v>
      </c>
      <c r="Q31" s="10">
        <v>2179</v>
      </c>
      <c r="R31" s="10">
        <f t="shared" si="2"/>
        <v>108950</v>
      </c>
      <c r="S31" s="10">
        <f t="shared" si="3"/>
        <v>4390685</v>
      </c>
    </row>
    <row r="32" spans="1:19" x14ac:dyDescent="0.25">
      <c r="A32" s="5" t="s">
        <v>49</v>
      </c>
      <c r="B32" s="6" t="s">
        <v>16</v>
      </c>
      <c r="C32" s="6" t="s">
        <v>19</v>
      </c>
      <c r="D32" s="6">
        <v>10</v>
      </c>
      <c r="E32" s="6">
        <v>5878</v>
      </c>
      <c r="F32" s="6">
        <v>77025</v>
      </c>
      <c r="G32" s="6">
        <v>0</v>
      </c>
      <c r="H32" s="6">
        <v>0</v>
      </c>
      <c r="I32" s="6">
        <v>82025</v>
      </c>
      <c r="J32" s="6">
        <v>0</v>
      </c>
      <c r="K32" s="6">
        <f t="shared" si="0"/>
        <v>82025</v>
      </c>
      <c r="L32" s="6">
        <v>878</v>
      </c>
      <c r="M32" s="8">
        <v>6254.1</v>
      </c>
      <c r="N32" s="6">
        <v>27</v>
      </c>
      <c r="O32" s="8">
        <f t="shared" si="1"/>
        <v>2.058649192319415</v>
      </c>
      <c r="Q32" s="10">
        <v>2179</v>
      </c>
      <c r="R32" s="10">
        <f t="shared" si="2"/>
        <v>178732475</v>
      </c>
      <c r="S32" s="10">
        <f t="shared" si="3"/>
        <v>13627683.9</v>
      </c>
    </row>
    <row r="33" spans="1:19" x14ac:dyDescent="0.25">
      <c r="A33" s="5" t="s">
        <v>166</v>
      </c>
      <c r="B33" s="6" t="s">
        <v>17</v>
      </c>
      <c r="C33" s="6" t="s">
        <v>19</v>
      </c>
      <c r="D33" s="6">
        <v>10</v>
      </c>
      <c r="E33" s="6">
        <v>775</v>
      </c>
      <c r="F33" s="6">
        <v>0</v>
      </c>
      <c r="G33" s="6">
        <v>0</v>
      </c>
      <c r="H33" s="6">
        <v>0</v>
      </c>
      <c r="I33" s="6">
        <v>100</v>
      </c>
      <c r="J33" s="6">
        <v>0</v>
      </c>
      <c r="K33" s="6">
        <f t="shared" si="0"/>
        <v>100</v>
      </c>
      <c r="L33" s="6">
        <v>675</v>
      </c>
      <c r="M33" s="8">
        <v>675</v>
      </c>
      <c r="N33" s="6">
        <v>27</v>
      </c>
      <c r="O33" s="8">
        <f t="shared" si="1"/>
        <v>182.25</v>
      </c>
      <c r="Q33" s="10">
        <v>3145</v>
      </c>
      <c r="R33" s="10">
        <f t="shared" si="2"/>
        <v>314500</v>
      </c>
      <c r="S33" s="10">
        <f t="shared" si="3"/>
        <v>2122875</v>
      </c>
    </row>
    <row r="34" spans="1:19" x14ac:dyDescent="0.25">
      <c r="A34" s="5" t="s">
        <v>50</v>
      </c>
      <c r="B34" s="6" t="s">
        <v>17</v>
      </c>
      <c r="C34" s="6" t="s">
        <v>19</v>
      </c>
      <c r="D34" s="6">
        <v>10</v>
      </c>
      <c r="E34" s="6">
        <v>28483</v>
      </c>
      <c r="F34" s="6">
        <v>4080</v>
      </c>
      <c r="G34" s="6">
        <v>0</v>
      </c>
      <c r="H34" s="6">
        <v>0</v>
      </c>
      <c r="I34" s="6">
        <v>14500</v>
      </c>
      <c r="J34" s="6">
        <v>0</v>
      </c>
      <c r="K34" s="6">
        <f t="shared" si="0"/>
        <v>14500</v>
      </c>
      <c r="L34" s="6">
        <v>18063</v>
      </c>
      <c r="M34" s="8">
        <v>22231.571428571398</v>
      </c>
      <c r="N34" s="6">
        <v>27</v>
      </c>
      <c r="O34" s="8">
        <f t="shared" si="1"/>
        <v>41.3967192118226</v>
      </c>
      <c r="Q34" s="10">
        <v>2179</v>
      </c>
      <c r="R34" s="10">
        <f t="shared" si="2"/>
        <v>31595500</v>
      </c>
      <c r="S34" s="10">
        <f t="shared" si="3"/>
        <v>48442594.142857075</v>
      </c>
    </row>
    <row r="35" spans="1:19" x14ac:dyDescent="0.25">
      <c r="A35" s="5" t="s">
        <v>51</v>
      </c>
      <c r="B35" s="6" t="s">
        <v>17</v>
      </c>
      <c r="C35" s="6" t="s">
        <v>19</v>
      </c>
      <c r="D35" s="6">
        <v>10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f t="shared" si="0"/>
        <v>0</v>
      </c>
      <c r="L35" s="6">
        <v>0</v>
      </c>
      <c r="M35" s="8">
        <v>0</v>
      </c>
      <c r="N35" s="6">
        <v>27</v>
      </c>
      <c r="O35" s="8">
        <v>0</v>
      </c>
      <c r="Q35" s="10">
        <v>2268</v>
      </c>
      <c r="R35" s="10">
        <f t="shared" si="2"/>
        <v>0</v>
      </c>
      <c r="S35" s="10">
        <f t="shared" si="3"/>
        <v>0</v>
      </c>
    </row>
    <row r="36" spans="1:19" x14ac:dyDescent="0.25">
      <c r="A36" s="5" t="s">
        <v>167</v>
      </c>
      <c r="B36" s="6" t="s">
        <v>17</v>
      </c>
      <c r="C36" s="6" t="s">
        <v>19</v>
      </c>
      <c r="D36" s="6">
        <v>10</v>
      </c>
      <c r="E36" s="6">
        <v>13750</v>
      </c>
      <c r="F36" s="6">
        <v>6750</v>
      </c>
      <c r="G36" s="6">
        <v>0</v>
      </c>
      <c r="H36" s="6">
        <v>0</v>
      </c>
      <c r="I36" s="6">
        <v>13750</v>
      </c>
      <c r="J36" s="6">
        <v>0</v>
      </c>
      <c r="K36" s="6">
        <f t="shared" si="0"/>
        <v>13750</v>
      </c>
      <c r="L36" s="6">
        <v>6750</v>
      </c>
      <c r="M36" s="8">
        <v>10093.75</v>
      </c>
      <c r="N36" s="6">
        <v>27</v>
      </c>
      <c r="O36" s="8">
        <f t="shared" si="1"/>
        <v>19.820454545454545</v>
      </c>
      <c r="Q36" s="10">
        <v>2268</v>
      </c>
      <c r="R36" s="10">
        <f t="shared" si="2"/>
        <v>31185000</v>
      </c>
      <c r="S36" s="10">
        <f t="shared" si="3"/>
        <v>22892625</v>
      </c>
    </row>
    <row r="37" spans="1:19" x14ac:dyDescent="0.25">
      <c r="A37" s="5" t="s">
        <v>52</v>
      </c>
      <c r="B37" s="6" t="s">
        <v>17</v>
      </c>
      <c r="C37" s="6" t="s">
        <v>19</v>
      </c>
      <c r="D37" s="6">
        <v>10</v>
      </c>
      <c r="E37" s="6">
        <v>71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f t="shared" si="0"/>
        <v>0</v>
      </c>
      <c r="L37" s="6">
        <v>71</v>
      </c>
      <c r="M37" s="8">
        <v>0</v>
      </c>
      <c r="N37" s="6">
        <v>27</v>
      </c>
      <c r="O37" s="8">
        <v>0</v>
      </c>
      <c r="Q37" s="10">
        <v>1956</v>
      </c>
      <c r="R37" s="10">
        <f t="shared" si="2"/>
        <v>0</v>
      </c>
      <c r="S37" s="10">
        <f t="shared" si="3"/>
        <v>0</v>
      </c>
    </row>
    <row r="38" spans="1:19" x14ac:dyDescent="0.25">
      <c r="A38" s="5" t="s">
        <v>53</v>
      </c>
      <c r="B38" s="6" t="s">
        <v>17</v>
      </c>
      <c r="C38" s="6" t="s">
        <v>19</v>
      </c>
      <c r="D38" s="6">
        <v>10</v>
      </c>
      <c r="E38" s="6">
        <v>85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f t="shared" si="0"/>
        <v>0</v>
      </c>
      <c r="L38" s="6">
        <v>85</v>
      </c>
      <c r="M38" s="8">
        <v>0</v>
      </c>
      <c r="N38" s="6">
        <v>27</v>
      </c>
      <c r="O38" s="8">
        <v>0</v>
      </c>
      <c r="Q38" s="10">
        <v>2218</v>
      </c>
      <c r="R38" s="10">
        <f t="shared" si="2"/>
        <v>0</v>
      </c>
      <c r="S38" s="10">
        <f t="shared" si="3"/>
        <v>0</v>
      </c>
    </row>
    <row r="39" spans="1:19" x14ac:dyDescent="0.25">
      <c r="A39" s="5" t="s">
        <v>168</v>
      </c>
      <c r="B39" s="6" t="s">
        <v>17</v>
      </c>
      <c r="C39" s="6" t="s">
        <v>19</v>
      </c>
      <c r="D39" s="6">
        <v>10</v>
      </c>
      <c r="E39" s="6">
        <v>7650</v>
      </c>
      <c r="F39" s="6">
        <v>12625</v>
      </c>
      <c r="G39" s="6">
        <v>0</v>
      </c>
      <c r="H39" s="6">
        <v>0</v>
      </c>
      <c r="I39" s="6">
        <v>11625</v>
      </c>
      <c r="J39" s="6">
        <v>0</v>
      </c>
      <c r="K39" s="6">
        <f t="shared" si="0"/>
        <v>11625</v>
      </c>
      <c r="L39" s="6">
        <v>8650</v>
      </c>
      <c r="M39" s="8">
        <v>8336.1111111111095</v>
      </c>
      <c r="N39" s="6">
        <v>27</v>
      </c>
      <c r="O39" s="8">
        <f t="shared" si="1"/>
        <v>19.36129032258064</v>
      </c>
      <c r="Q39" s="10">
        <v>2218</v>
      </c>
      <c r="R39" s="10">
        <f t="shared" si="2"/>
        <v>25784250</v>
      </c>
      <c r="S39" s="10">
        <f t="shared" si="3"/>
        <v>18489494.44444444</v>
      </c>
    </row>
    <row r="40" spans="1:19" x14ac:dyDescent="0.25">
      <c r="A40" s="5" t="s">
        <v>54</v>
      </c>
      <c r="B40" s="6" t="s">
        <v>17</v>
      </c>
      <c r="C40" s="6" t="s">
        <v>19</v>
      </c>
      <c r="D40" s="6">
        <v>10</v>
      </c>
      <c r="E40" s="6">
        <v>88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f t="shared" si="0"/>
        <v>0</v>
      </c>
      <c r="L40" s="6">
        <v>88</v>
      </c>
      <c r="M40" s="8">
        <v>0</v>
      </c>
      <c r="N40" s="6">
        <v>27</v>
      </c>
      <c r="O40" s="8">
        <v>0</v>
      </c>
      <c r="Q40" s="10">
        <v>2218</v>
      </c>
      <c r="R40" s="10">
        <f t="shared" si="2"/>
        <v>0</v>
      </c>
      <c r="S40" s="10">
        <f t="shared" si="3"/>
        <v>0</v>
      </c>
    </row>
    <row r="41" spans="1:19" x14ac:dyDescent="0.25">
      <c r="A41" s="5" t="s">
        <v>56</v>
      </c>
      <c r="B41" s="6" t="s">
        <v>16</v>
      </c>
      <c r="C41" s="6" t="s">
        <v>19</v>
      </c>
      <c r="D41" s="6">
        <v>10</v>
      </c>
      <c r="E41" s="6">
        <v>19101</v>
      </c>
      <c r="F41" s="6">
        <v>131064</v>
      </c>
      <c r="G41" s="6">
        <v>0</v>
      </c>
      <c r="H41" s="6">
        <v>0</v>
      </c>
      <c r="I41" s="6">
        <v>114439</v>
      </c>
      <c r="J41" s="6">
        <v>27925</v>
      </c>
      <c r="K41" s="6">
        <f t="shared" si="0"/>
        <v>142364</v>
      </c>
      <c r="L41" s="6">
        <v>7801</v>
      </c>
      <c r="M41" s="8">
        <v>12604.703703703701</v>
      </c>
      <c r="N41" s="6">
        <v>27</v>
      </c>
      <c r="O41" s="8">
        <f t="shared" si="1"/>
        <v>2.3905411480430443</v>
      </c>
      <c r="Q41" s="10">
        <v>2245</v>
      </c>
      <c r="R41" s="10">
        <f t="shared" si="2"/>
        <v>319607180</v>
      </c>
      <c r="S41" s="10">
        <f t="shared" si="3"/>
        <v>28297559.81481481</v>
      </c>
    </row>
    <row r="42" spans="1:19" x14ac:dyDescent="0.25">
      <c r="A42" s="5" t="s">
        <v>57</v>
      </c>
      <c r="B42" s="6" t="s">
        <v>16</v>
      </c>
      <c r="C42" s="6" t="s">
        <v>19</v>
      </c>
      <c r="D42" s="6">
        <v>10</v>
      </c>
      <c r="E42" s="6">
        <v>21114</v>
      </c>
      <c r="F42" s="6">
        <v>86439</v>
      </c>
      <c r="G42" s="6">
        <v>0</v>
      </c>
      <c r="H42" s="6">
        <v>0</v>
      </c>
      <c r="I42" s="6">
        <v>0</v>
      </c>
      <c r="J42" s="6">
        <v>94823</v>
      </c>
      <c r="K42" s="6">
        <f t="shared" si="0"/>
        <v>94823</v>
      </c>
      <c r="L42" s="6">
        <v>12730</v>
      </c>
      <c r="M42" s="8">
        <v>19092.666666666697</v>
      </c>
      <c r="N42" s="6">
        <v>27</v>
      </c>
      <c r="O42" s="8">
        <f t="shared" si="1"/>
        <v>5.4364658363477307</v>
      </c>
      <c r="Q42" s="10">
        <v>1419</v>
      </c>
      <c r="R42" s="10">
        <f t="shared" si="2"/>
        <v>134553837</v>
      </c>
      <c r="S42" s="10">
        <f t="shared" si="3"/>
        <v>27092494.000000045</v>
      </c>
    </row>
    <row r="43" spans="1:19" x14ac:dyDescent="0.25">
      <c r="A43" s="5" t="s">
        <v>58</v>
      </c>
      <c r="B43" s="6" t="s">
        <v>17</v>
      </c>
      <c r="C43" s="6" t="s">
        <v>19</v>
      </c>
      <c r="D43" s="6">
        <v>10</v>
      </c>
      <c r="E43" s="6">
        <v>995</v>
      </c>
      <c r="F43" s="6">
        <v>3725</v>
      </c>
      <c r="G43" s="6">
        <v>0</v>
      </c>
      <c r="H43" s="6">
        <v>0</v>
      </c>
      <c r="I43" s="6">
        <v>0</v>
      </c>
      <c r="J43" s="6">
        <v>1050</v>
      </c>
      <c r="K43" s="6">
        <f t="shared" si="0"/>
        <v>1050</v>
      </c>
      <c r="L43" s="6">
        <v>3670</v>
      </c>
      <c r="M43" s="8">
        <v>2332.5</v>
      </c>
      <c r="N43" s="6">
        <v>27</v>
      </c>
      <c r="O43" s="8">
        <f t="shared" si="1"/>
        <v>59.978571428571428</v>
      </c>
      <c r="Q43" s="10">
        <v>2765</v>
      </c>
      <c r="R43" s="10">
        <f t="shared" si="2"/>
        <v>2903250</v>
      </c>
      <c r="S43" s="10">
        <f t="shared" si="3"/>
        <v>6449362.5</v>
      </c>
    </row>
    <row r="44" spans="1:19" x14ac:dyDescent="0.25">
      <c r="A44" s="5" t="s">
        <v>59</v>
      </c>
      <c r="B44" s="6" t="s">
        <v>17</v>
      </c>
      <c r="C44" s="6" t="s">
        <v>19</v>
      </c>
      <c r="D44" s="6">
        <v>10</v>
      </c>
      <c r="E44" s="6">
        <v>9970</v>
      </c>
      <c r="F44" s="6">
        <v>20195</v>
      </c>
      <c r="G44" s="6">
        <v>0</v>
      </c>
      <c r="H44" s="6">
        <v>0</v>
      </c>
      <c r="I44" s="6">
        <v>0</v>
      </c>
      <c r="J44" s="6">
        <v>21305</v>
      </c>
      <c r="K44" s="6">
        <f t="shared" si="0"/>
        <v>21305</v>
      </c>
      <c r="L44" s="6">
        <v>8860</v>
      </c>
      <c r="M44" s="8">
        <v>10029.642857142899</v>
      </c>
      <c r="N44" s="6">
        <v>27</v>
      </c>
      <c r="O44" s="8">
        <f t="shared" si="1"/>
        <v>12.710648070540167</v>
      </c>
      <c r="Q44" s="10">
        <v>4592</v>
      </c>
      <c r="R44" s="10">
        <f t="shared" si="2"/>
        <v>97832560</v>
      </c>
      <c r="S44" s="10">
        <f t="shared" si="3"/>
        <v>46056120.000000194</v>
      </c>
    </row>
    <row r="45" spans="1:19" x14ac:dyDescent="0.25">
      <c r="A45" s="5" t="s">
        <v>60</v>
      </c>
      <c r="B45" s="6" t="s">
        <v>17</v>
      </c>
      <c r="C45" s="6" t="s">
        <v>19</v>
      </c>
      <c r="D45" s="6">
        <v>10</v>
      </c>
      <c r="E45" s="6">
        <v>27631</v>
      </c>
      <c r="F45" s="6">
        <v>29725</v>
      </c>
      <c r="G45" s="6">
        <v>0</v>
      </c>
      <c r="H45" s="6">
        <v>0</v>
      </c>
      <c r="I45" s="6">
        <v>0</v>
      </c>
      <c r="J45" s="6">
        <v>51021</v>
      </c>
      <c r="K45" s="6">
        <f t="shared" si="0"/>
        <v>51021</v>
      </c>
      <c r="L45" s="6">
        <v>6335</v>
      </c>
      <c r="M45" s="8">
        <v>15805.2</v>
      </c>
      <c r="N45" s="6">
        <v>27</v>
      </c>
      <c r="O45" s="8">
        <f t="shared" si="1"/>
        <v>8.364014817428119</v>
      </c>
      <c r="Q45" s="10">
        <v>2297</v>
      </c>
      <c r="R45" s="10">
        <f t="shared" si="2"/>
        <v>117195237</v>
      </c>
      <c r="S45" s="10">
        <f t="shared" si="3"/>
        <v>36304544.399999999</v>
      </c>
    </row>
    <row r="46" spans="1:19" x14ac:dyDescent="0.25">
      <c r="A46" s="5" t="s">
        <v>61</v>
      </c>
      <c r="B46" s="6" t="s">
        <v>17</v>
      </c>
      <c r="C46" s="6" t="s">
        <v>19</v>
      </c>
      <c r="D46" s="6">
        <v>10</v>
      </c>
      <c r="E46" s="6">
        <v>1029</v>
      </c>
      <c r="F46" s="6">
        <v>2087</v>
      </c>
      <c r="G46" s="6">
        <v>0</v>
      </c>
      <c r="H46" s="6">
        <v>0</v>
      </c>
      <c r="I46" s="6">
        <v>0</v>
      </c>
      <c r="J46" s="6">
        <v>0</v>
      </c>
      <c r="K46" s="6">
        <f t="shared" si="0"/>
        <v>0</v>
      </c>
      <c r="L46" s="6">
        <v>3116</v>
      </c>
      <c r="M46" s="8">
        <v>2616</v>
      </c>
      <c r="N46" s="6">
        <v>27</v>
      </c>
      <c r="O46" s="8">
        <v>0</v>
      </c>
      <c r="Q46" s="10">
        <v>2616</v>
      </c>
      <c r="R46" s="10">
        <f t="shared" si="2"/>
        <v>0</v>
      </c>
      <c r="S46" s="10">
        <f t="shared" si="3"/>
        <v>6843456</v>
      </c>
    </row>
    <row r="47" spans="1:19" x14ac:dyDescent="0.25">
      <c r="A47" s="5" t="s">
        <v>62</v>
      </c>
      <c r="B47" s="6" t="s">
        <v>17</v>
      </c>
      <c r="C47" s="6" t="s">
        <v>19</v>
      </c>
      <c r="D47" s="6">
        <v>10</v>
      </c>
      <c r="E47" s="6">
        <v>5650</v>
      </c>
      <c r="F47" s="6">
        <v>0</v>
      </c>
      <c r="G47" s="6">
        <v>0</v>
      </c>
      <c r="H47" s="6">
        <v>0</v>
      </c>
      <c r="I47" s="6">
        <v>0</v>
      </c>
      <c r="J47" s="6">
        <v>775</v>
      </c>
      <c r="K47" s="6">
        <f t="shared" si="0"/>
        <v>775</v>
      </c>
      <c r="L47" s="6">
        <v>4875</v>
      </c>
      <c r="M47" s="8">
        <v>5162.5</v>
      </c>
      <c r="N47" s="6">
        <v>27</v>
      </c>
      <c r="O47" s="8">
        <f t="shared" si="1"/>
        <v>179.85483870967741</v>
      </c>
      <c r="Q47" s="10">
        <v>2616</v>
      </c>
      <c r="R47" s="10">
        <f t="shared" si="2"/>
        <v>2027400</v>
      </c>
      <c r="S47" s="10">
        <f t="shared" si="3"/>
        <v>13505100</v>
      </c>
    </row>
    <row r="48" spans="1:19" x14ac:dyDescent="0.25">
      <c r="A48" s="5" t="s">
        <v>63</v>
      </c>
      <c r="B48" s="6" t="s">
        <v>17</v>
      </c>
      <c r="C48" s="6" t="s">
        <v>19</v>
      </c>
      <c r="D48" s="6">
        <v>10</v>
      </c>
      <c r="E48" s="6">
        <v>34689</v>
      </c>
      <c r="F48" s="6">
        <v>9500</v>
      </c>
      <c r="G48" s="6">
        <v>0</v>
      </c>
      <c r="H48" s="6">
        <v>0</v>
      </c>
      <c r="I48" s="6">
        <v>0</v>
      </c>
      <c r="J48" s="6">
        <v>44150</v>
      </c>
      <c r="K48" s="6">
        <f t="shared" si="0"/>
        <v>44150</v>
      </c>
      <c r="L48" s="6">
        <v>39</v>
      </c>
      <c r="M48" s="8">
        <v>13689</v>
      </c>
      <c r="N48" s="6">
        <v>27</v>
      </c>
      <c r="O48" s="8">
        <f t="shared" si="1"/>
        <v>8.3715288788221969</v>
      </c>
      <c r="Q48" s="10">
        <v>1968</v>
      </c>
      <c r="R48" s="10">
        <f t="shared" si="2"/>
        <v>86887200</v>
      </c>
      <c r="S48" s="10">
        <f t="shared" si="3"/>
        <v>26939952</v>
      </c>
    </row>
    <row r="49" spans="1:19" x14ac:dyDescent="0.25">
      <c r="A49" s="5" t="s">
        <v>65</v>
      </c>
      <c r="B49" s="6" t="s">
        <v>17</v>
      </c>
      <c r="C49" s="6" t="s">
        <v>19</v>
      </c>
      <c r="D49" s="6">
        <v>10</v>
      </c>
      <c r="E49" s="6">
        <v>17192</v>
      </c>
      <c r="F49" s="6">
        <v>148750</v>
      </c>
      <c r="G49" s="6">
        <v>0</v>
      </c>
      <c r="H49" s="6">
        <v>0</v>
      </c>
      <c r="I49" s="6">
        <v>0</v>
      </c>
      <c r="J49" s="6">
        <v>161380</v>
      </c>
      <c r="K49" s="6">
        <f t="shared" si="0"/>
        <v>161380</v>
      </c>
      <c r="L49" s="6">
        <v>4562</v>
      </c>
      <c r="M49" s="8">
        <v>23832.370370370398</v>
      </c>
      <c r="N49" s="6">
        <v>27</v>
      </c>
      <c r="O49" s="8">
        <f t="shared" si="1"/>
        <v>3.987321849051932</v>
      </c>
      <c r="Q49" s="10">
        <v>2503</v>
      </c>
      <c r="R49" s="10">
        <f t="shared" si="2"/>
        <v>403934140</v>
      </c>
      <c r="S49" s="10">
        <f t="shared" si="3"/>
        <v>59652423.037037104</v>
      </c>
    </row>
    <row r="50" spans="1:19" x14ac:dyDescent="0.25">
      <c r="A50" s="5" t="s">
        <v>66</v>
      </c>
      <c r="B50" s="6" t="s">
        <v>17</v>
      </c>
      <c r="C50" s="6" t="s">
        <v>19</v>
      </c>
      <c r="D50" s="6">
        <v>10</v>
      </c>
      <c r="E50" s="6">
        <v>311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f t="shared" si="0"/>
        <v>0</v>
      </c>
      <c r="L50" s="6">
        <v>311</v>
      </c>
      <c r="M50" s="8">
        <v>0</v>
      </c>
      <c r="N50" s="6">
        <v>27</v>
      </c>
      <c r="O50" s="8">
        <v>0</v>
      </c>
      <c r="Q50" s="10">
        <v>2103</v>
      </c>
      <c r="R50" s="10">
        <f t="shared" si="2"/>
        <v>0</v>
      </c>
      <c r="S50" s="10">
        <f t="shared" si="3"/>
        <v>0</v>
      </c>
    </row>
    <row r="51" spans="1:19" x14ac:dyDescent="0.25">
      <c r="A51" s="5" t="s">
        <v>67</v>
      </c>
      <c r="B51" s="6" t="s">
        <v>17</v>
      </c>
      <c r="C51" s="6" t="s">
        <v>19</v>
      </c>
      <c r="D51" s="6">
        <v>10</v>
      </c>
      <c r="E51" s="6">
        <v>4596</v>
      </c>
      <c r="F51" s="6">
        <v>29025</v>
      </c>
      <c r="G51" s="6">
        <v>0</v>
      </c>
      <c r="H51" s="6">
        <v>0</v>
      </c>
      <c r="I51" s="6">
        <v>0</v>
      </c>
      <c r="J51" s="6">
        <v>18375</v>
      </c>
      <c r="K51" s="6">
        <f t="shared" si="0"/>
        <v>18375</v>
      </c>
      <c r="L51" s="6">
        <v>15246</v>
      </c>
      <c r="M51" s="8">
        <v>10758.5</v>
      </c>
      <c r="N51" s="6">
        <v>27</v>
      </c>
      <c r="O51" s="8">
        <f t="shared" si="1"/>
        <v>15.808408163265307</v>
      </c>
      <c r="Q51" s="10">
        <v>2802</v>
      </c>
      <c r="R51" s="10">
        <f t="shared" si="2"/>
        <v>51486750</v>
      </c>
      <c r="S51" s="10">
        <f t="shared" si="3"/>
        <v>30145317</v>
      </c>
    </row>
    <row r="52" spans="1:19" x14ac:dyDescent="0.25">
      <c r="A52" s="5" t="s">
        <v>5</v>
      </c>
      <c r="B52" s="6" t="s">
        <v>17</v>
      </c>
      <c r="C52" s="6" t="s">
        <v>19</v>
      </c>
      <c r="D52" s="6">
        <v>10</v>
      </c>
      <c r="E52" s="6">
        <v>7210</v>
      </c>
      <c r="F52" s="6">
        <v>2040</v>
      </c>
      <c r="G52" s="6">
        <v>0</v>
      </c>
      <c r="H52" s="6">
        <v>0</v>
      </c>
      <c r="I52" s="6">
        <v>0</v>
      </c>
      <c r="J52" s="6">
        <v>8050</v>
      </c>
      <c r="K52" s="6">
        <f t="shared" si="0"/>
        <v>8050</v>
      </c>
      <c r="L52" s="6">
        <v>1200</v>
      </c>
      <c r="M52" s="8">
        <v>5075.7142857142899</v>
      </c>
      <c r="N52" s="6">
        <v>27</v>
      </c>
      <c r="O52" s="8">
        <f t="shared" si="1"/>
        <v>17.024134871339854</v>
      </c>
      <c r="Q52" s="10">
        <v>2103</v>
      </c>
      <c r="R52" s="10">
        <f t="shared" si="2"/>
        <v>16929150</v>
      </c>
      <c r="S52" s="10">
        <f t="shared" si="3"/>
        <v>10674227.142857151</v>
      </c>
    </row>
    <row r="53" spans="1:19" x14ac:dyDescent="0.25">
      <c r="A53" s="5" t="s">
        <v>68</v>
      </c>
      <c r="B53" s="6" t="s">
        <v>17</v>
      </c>
      <c r="C53" s="6" t="s">
        <v>19</v>
      </c>
      <c r="D53" s="6">
        <v>10</v>
      </c>
      <c r="E53" s="6">
        <v>33299</v>
      </c>
      <c r="F53" s="6">
        <v>123750</v>
      </c>
      <c r="G53" s="6">
        <v>0</v>
      </c>
      <c r="H53" s="6">
        <v>0</v>
      </c>
      <c r="I53" s="6">
        <v>150000</v>
      </c>
      <c r="J53" s="6">
        <v>0</v>
      </c>
      <c r="K53" s="6">
        <f t="shared" si="0"/>
        <v>150000</v>
      </c>
      <c r="L53" s="6">
        <v>7049</v>
      </c>
      <c r="M53" s="8">
        <v>22326.777777777799</v>
      </c>
      <c r="N53" s="6">
        <v>27</v>
      </c>
      <c r="O53" s="8">
        <f t="shared" si="1"/>
        <v>4.0188200000000043</v>
      </c>
      <c r="Q53" s="10">
        <v>2126</v>
      </c>
      <c r="R53" s="10">
        <f t="shared" si="2"/>
        <v>318900000</v>
      </c>
      <c r="S53" s="10">
        <f t="shared" si="3"/>
        <v>47466729.555555604</v>
      </c>
    </row>
    <row r="54" spans="1:19" x14ac:dyDescent="0.25">
      <c r="A54" s="5" t="s">
        <v>69</v>
      </c>
      <c r="B54" s="6" t="s">
        <v>16</v>
      </c>
      <c r="C54" s="6" t="s">
        <v>19</v>
      </c>
      <c r="D54" s="6">
        <v>10</v>
      </c>
      <c r="E54" s="6">
        <v>18255</v>
      </c>
      <c r="F54" s="6">
        <v>20425</v>
      </c>
      <c r="G54" s="6">
        <v>0</v>
      </c>
      <c r="H54" s="6">
        <v>0</v>
      </c>
      <c r="I54" s="6">
        <v>11850</v>
      </c>
      <c r="J54" s="6">
        <v>7000</v>
      </c>
      <c r="K54" s="6">
        <f t="shared" si="0"/>
        <v>18850</v>
      </c>
      <c r="L54" s="6">
        <v>19830</v>
      </c>
      <c r="M54" s="8">
        <v>23858.8461538462</v>
      </c>
      <c r="N54" s="6">
        <v>27</v>
      </c>
      <c r="O54" s="8">
        <f t="shared" si="1"/>
        <v>34.174474597021081</v>
      </c>
      <c r="Q54" s="10">
        <v>2846</v>
      </c>
      <c r="R54" s="10">
        <f t="shared" si="2"/>
        <v>53647100</v>
      </c>
      <c r="S54" s="10">
        <f t="shared" si="3"/>
        <v>67902276.153846279</v>
      </c>
    </row>
    <row r="55" spans="1:19" x14ac:dyDescent="0.25">
      <c r="A55" s="5" t="s">
        <v>0</v>
      </c>
      <c r="B55" s="6" t="s">
        <v>17</v>
      </c>
      <c r="C55" s="6" t="s">
        <v>19</v>
      </c>
      <c r="D55" s="6">
        <v>10</v>
      </c>
      <c r="E55" s="6">
        <v>1870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f t="shared" si="0"/>
        <v>0</v>
      </c>
      <c r="L55" s="6">
        <v>1870</v>
      </c>
      <c r="M55" s="8">
        <v>0</v>
      </c>
      <c r="N55" s="6">
        <v>27</v>
      </c>
      <c r="O55" s="8">
        <v>0</v>
      </c>
      <c r="Q55" s="10">
        <v>2514</v>
      </c>
      <c r="R55" s="10">
        <f t="shared" si="2"/>
        <v>0</v>
      </c>
      <c r="S55" s="10">
        <f t="shared" si="3"/>
        <v>0</v>
      </c>
    </row>
    <row r="56" spans="1:19" x14ac:dyDescent="0.25">
      <c r="A56" s="5" t="s">
        <v>71</v>
      </c>
      <c r="B56" s="6" t="s">
        <v>17</v>
      </c>
      <c r="C56" s="6" t="s">
        <v>19</v>
      </c>
      <c r="D56" s="6">
        <v>10</v>
      </c>
      <c r="E56" s="6">
        <v>413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f t="shared" si="0"/>
        <v>0</v>
      </c>
      <c r="L56" s="6">
        <v>413</v>
      </c>
      <c r="M56" s="8">
        <v>0</v>
      </c>
      <c r="N56" s="6">
        <v>27</v>
      </c>
      <c r="O56" s="8">
        <v>0</v>
      </c>
      <c r="Q56" s="10">
        <v>1956</v>
      </c>
      <c r="R56" s="10">
        <f t="shared" si="2"/>
        <v>0</v>
      </c>
      <c r="S56" s="10">
        <f t="shared" si="3"/>
        <v>0</v>
      </c>
    </row>
    <row r="57" spans="1:19" x14ac:dyDescent="0.25">
      <c r="A57" s="5" t="s">
        <v>10</v>
      </c>
      <c r="B57" s="6" t="s">
        <v>17</v>
      </c>
      <c r="C57" s="6" t="s">
        <v>19</v>
      </c>
      <c r="D57" s="6">
        <v>10</v>
      </c>
      <c r="E57" s="6">
        <v>5900</v>
      </c>
      <c r="F57" s="6">
        <v>19100</v>
      </c>
      <c r="G57" s="6">
        <v>0</v>
      </c>
      <c r="H57" s="6">
        <v>0</v>
      </c>
      <c r="I57" s="6">
        <v>0</v>
      </c>
      <c r="J57" s="6">
        <v>0</v>
      </c>
      <c r="K57" s="6">
        <f t="shared" si="0"/>
        <v>0</v>
      </c>
      <c r="L57" s="6">
        <v>25000</v>
      </c>
      <c r="M57" s="8">
        <v>20287.5</v>
      </c>
      <c r="N57" s="6">
        <v>27</v>
      </c>
      <c r="O57" s="8">
        <v>0</v>
      </c>
      <c r="Q57" s="10">
        <v>2514</v>
      </c>
      <c r="R57" s="10">
        <f t="shared" si="2"/>
        <v>0</v>
      </c>
      <c r="S57" s="10">
        <f t="shared" si="3"/>
        <v>51002775</v>
      </c>
    </row>
    <row r="58" spans="1:19" x14ac:dyDescent="0.25">
      <c r="A58" s="5" t="s">
        <v>72</v>
      </c>
      <c r="B58" s="6" t="s">
        <v>17</v>
      </c>
      <c r="C58" s="6" t="s">
        <v>19</v>
      </c>
      <c r="D58" s="6">
        <v>10</v>
      </c>
      <c r="E58" s="6">
        <v>8048</v>
      </c>
      <c r="F58" s="6">
        <v>1836</v>
      </c>
      <c r="G58" s="6">
        <v>0</v>
      </c>
      <c r="H58" s="6">
        <v>0</v>
      </c>
      <c r="I58" s="6">
        <v>0</v>
      </c>
      <c r="J58" s="6">
        <v>9736</v>
      </c>
      <c r="K58" s="6">
        <f t="shared" si="0"/>
        <v>9736</v>
      </c>
      <c r="L58" s="6">
        <v>148</v>
      </c>
      <c r="M58" s="8">
        <v>4231.7</v>
      </c>
      <c r="N58" s="6">
        <v>27</v>
      </c>
      <c r="O58" s="8">
        <f t="shared" si="1"/>
        <v>11.735404683648314</v>
      </c>
      <c r="Q58" s="10">
        <v>3391</v>
      </c>
      <c r="R58" s="10">
        <f t="shared" si="2"/>
        <v>33014776</v>
      </c>
      <c r="S58" s="10">
        <f t="shared" si="3"/>
        <v>14349694.699999999</v>
      </c>
    </row>
    <row r="59" spans="1:19" x14ac:dyDescent="0.25">
      <c r="A59" s="5" t="s">
        <v>73</v>
      </c>
      <c r="B59" s="6" t="s">
        <v>17</v>
      </c>
      <c r="C59" s="6" t="s">
        <v>19</v>
      </c>
      <c r="D59" s="6">
        <v>10</v>
      </c>
      <c r="E59" s="6">
        <v>27088</v>
      </c>
      <c r="F59" s="6">
        <v>5200</v>
      </c>
      <c r="G59" s="6">
        <v>0</v>
      </c>
      <c r="H59" s="6">
        <v>0</v>
      </c>
      <c r="I59" s="6">
        <v>0</v>
      </c>
      <c r="J59" s="6">
        <v>10590</v>
      </c>
      <c r="K59" s="6">
        <f t="shared" si="0"/>
        <v>10590</v>
      </c>
      <c r="L59" s="6">
        <v>21698</v>
      </c>
      <c r="M59" s="8">
        <v>23503.625</v>
      </c>
      <c r="N59" s="6">
        <v>27</v>
      </c>
      <c r="O59" s="8">
        <f t="shared" si="1"/>
        <v>59.924256373937673</v>
      </c>
      <c r="Q59" s="10">
        <v>3549</v>
      </c>
      <c r="R59" s="10">
        <f t="shared" si="2"/>
        <v>37583910</v>
      </c>
      <c r="S59" s="10">
        <f t="shared" si="3"/>
        <v>83414365.125</v>
      </c>
    </row>
    <row r="60" spans="1:19" x14ac:dyDescent="0.25">
      <c r="A60" s="5" t="s">
        <v>74</v>
      </c>
      <c r="B60" s="6" t="s">
        <v>17</v>
      </c>
      <c r="C60" s="6" t="s">
        <v>19</v>
      </c>
      <c r="D60" s="6">
        <v>10</v>
      </c>
      <c r="E60" s="6">
        <v>23216</v>
      </c>
      <c r="F60" s="6">
        <v>13068</v>
      </c>
      <c r="G60" s="6">
        <v>0</v>
      </c>
      <c r="H60" s="6">
        <v>0</v>
      </c>
      <c r="I60" s="6">
        <v>35202</v>
      </c>
      <c r="J60" s="6">
        <v>0</v>
      </c>
      <c r="K60" s="6">
        <f t="shared" si="0"/>
        <v>35202</v>
      </c>
      <c r="L60" s="6">
        <v>1082</v>
      </c>
      <c r="M60" s="8">
        <v>15536.666666666701</v>
      </c>
      <c r="N60" s="6">
        <v>27</v>
      </c>
      <c r="O60" s="8">
        <f t="shared" si="1"/>
        <v>11.916652462928269</v>
      </c>
      <c r="Q60" s="10">
        <v>2129</v>
      </c>
      <c r="R60" s="10">
        <f t="shared" si="2"/>
        <v>74945058</v>
      </c>
      <c r="S60" s="10">
        <f t="shared" si="3"/>
        <v>33077563.333333407</v>
      </c>
    </row>
    <row r="61" spans="1:19" x14ac:dyDescent="0.25">
      <c r="A61" s="5" t="s">
        <v>75</v>
      </c>
      <c r="B61" s="6" t="s">
        <v>17</v>
      </c>
      <c r="C61" s="6" t="s">
        <v>19</v>
      </c>
      <c r="D61" s="6">
        <v>10</v>
      </c>
      <c r="E61" s="6">
        <v>7332</v>
      </c>
      <c r="F61" s="6">
        <v>13058</v>
      </c>
      <c r="G61" s="6">
        <v>0</v>
      </c>
      <c r="H61" s="6">
        <v>0</v>
      </c>
      <c r="I61" s="6">
        <v>14950</v>
      </c>
      <c r="J61" s="6">
        <v>0</v>
      </c>
      <c r="K61" s="6">
        <f t="shared" si="0"/>
        <v>14950</v>
      </c>
      <c r="L61" s="6">
        <v>5440</v>
      </c>
      <c r="M61" s="8">
        <v>5383</v>
      </c>
      <c r="N61" s="6">
        <v>27</v>
      </c>
      <c r="O61" s="8">
        <f t="shared" si="1"/>
        <v>9.7218060200668894</v>
      </c>
      <c r="Q61" s="10">
        <v>2129</v>
      </c>
      <c r="R61" s="10">
        <f t="shared" si="2"/>
        <v>31828550</v>
      </c>
      <c r="S61" s="10">
        <f t="shared" si="3"/>
        <v>11460407</v>
      </c>
    </row>
    <row r="62" spans="1:19" x14ac:dyDescent="0.25">
      <c r="A62" s="5" t="s">
        <v>76</v>
      </c>
      <c r="B62" s="6" t="s">
        <v>17</v>
      </c>
      <c r="C62" s="6" t="s">
        <v>19</v>
      </c>
      <c r="D62" s="6">
        <v>10</v>
      </c>
      <c r="E62" s="6">
        <v>744</v>
      </c>
      <c r="F62" s="6">
        <v>0</v>
      </c>
      <c r="G62" s="6">
        <v>0</v>
      </c>
      <c r="H62" s="6">
        <v>0</v>
      </c>
      <c r="I62" s="6">
        <v>275</v>
      </c>
      <c r="J62" s="6">
        <v>0</v>
      </c>
      <c r="K62" s="6">
        <f t="shared" si="0"/>
        <v>275</v>
      </c>
      <c r="L62" s="6">
        <v>469</v>
      </c>
      <c r="M62" s="8">
        <v>575.25</v>
      </c>
      <c r="N62" s="6">
        <v>27</v>
      </c>
      <c r="O62" s="8">
        <f t="shared" si="1"/>
        <v>56.479090909090907</v>
      </c>
      <c r="Q62" s="10">
        <v>2131</v>
      </c>
      <c r="R62" s="10">
        <f t="shared" si="2"/>
        <v>586025</v>
      </c>
      <c r="S62" s="10">
        <f t="shared" si="3"/>
        <v>1225857.75</v>
      </c>
    </row>
    <row r="63" spans="1:19" x14ac:dyDescent="0.25">
      <c r="A63" s="5" t="s">
        <v>77</v>
      </c>
      <c r="B63" s="6" t="s">
        <v>17</v>
      </c>
      <c r="C63" s="6" t="s">
        <v>19</v>
      </c>
      <c r="D63" s="6">
        <v>10</v>
      </c>
      <c r="E63" s="6">
        <v>2651</v>
      </c>
      <c r="F63" s="6">
        <v>4200</v>
      </c>
      <c r="G63" s="6">
        <v>0</v>
      </c>
      <c r="H63" s="6">
        <v>0</v>
      </c>
      <c r="I63" s="6">
        <v>5130</v>
      </c>
      <c r="J63" s="6">
        <v>0</v>
      </c>
      <c r="K63" s="6">
        <f t="shared" si="0"/>
        <v>5130</v>
      </c>
      <c r="L63" s="6">
        <v>1721</v>
      </c>
      <c r="M63" s="8">
        <v>2461</v>
      </c>
      <c r="N63" s="6">
        <v>27</v>
      </c>
      <c r="O63" s="8">
        <f t="shared" si="1"/>
        <v>12.952631578947368</v>
      </c>
      <c r="Q63" s="10">
        <v>2131</v>
      </c>
      <c r="R63" s="10">
        <f t="shared" si="2"/>
        <v>10932030</v>
      </c>
      <c r="S63" s="10">
        <f t="shared" si="3"/>
        <v>5244391</v>
      </c>
    </row>
    <row r="64" spans="1:19" x14ac:dyDescent="0.25">
      <c r="A64" s="5" t="s">
        <v>78</v>
      </c>
      <c r="B64" s="6" t="s">
        <v>17</v>
      </c>
      <c r="C64" s="6" t="s">
        <v>19</v>
      </c>
      <c r="D64" s="6">
        <v>10</v>
      </c>
      <c r="E64" s="6">
        <v>44177</v>
      </c>
      <c r="F64" s="6">
        <v>8400</v>
      </c>
      <c r="G64" s="6">
        <v>0</v>
      </c>
      <c r="H64" s="6">
        <v>0</v>
      </c>
      <c r="I64" s="6">
        <v>38250</v>
      </c>
      <c r="J64" s="6">
        <v>0</v>
      </c>
      <c r="K64" s="6">
        <f t="shared" si="0"/>
        <v>38250</v>
      </c>
      <c r="L64" s="6">
        <v>14327</v>
      </c>
      <c r="M64" s="8">
        <v>29513.666666666697</v>
      </c>
      <c r="N64" s="6">
        <v>27</v>
      </c>
      <c r="O64" s="8">
        <f t="shared" si="1"/>
        <v>20.833176470588256</v>
      </c>
      <c r="Q64" s="10">
        <v>2245</v>
      </c>
      <c r="R64" s="10">
        <f t="shared" si="2"/>
        <v>85871250</v>
      </c>
      <c r="S64" s="10">
        <f t="shared" si="3"/>
        <v>66258181.666666731</v>
      </c>
    </row>
    <row r="65" spans="1:19" x14ac:dyDescent="0.25">
      <c r="A65" s="5" t="s">
        <v>79</v>
      </c>
      <c r="B65" s="6" t="s">
        <v>17</v>
      </c>
      <c r="C65" s="6" t="s">
        <v>19</v>
      </c>
      <c r="D65" s="6">
        <v>10</v>
      </c>
      <c r="E65" s="6">
        <v>873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f t="shared" si="0"/>
        <v>0</v>
      </c>
      <c r="L65" s="6">
        <v>873</v>
      </c>
      <c r="M65" s="8">
        <v>0</v>
      </c>
      <c r="N65" s="6">
        <v>27</v>
      </c>
      <c r="O65" s="8">
        <v>0</v>
      </c>
      <c r="Q65" s="10">
        <v>2121</v>
      </c>
      <c r="R65" s="10">
        <f t="shared" si="2"/>
        <v>0</v>
      </c>
      <c r="S65" s="10">
        <f t="shared" si="3"/>
        <v>0</v>
      </c>
    </row>
    <row r="66" spans="1:19" x14ac:dyDescent="0.25">
      <c r="A66" s="5" t="s">
        <v>6</v>
      </c>
      <c r="B66" s="6" t="s">
        <v>17</v>
      </c>
      <c r="C66" s="6" t="s">
        <v>19</v>
      </c>
      <c r="D66" s="6">
        <v>10</v>
      </c>
      <c r="E66" s="6">
        <v>33825</v>
      </c>
      <c r="F66" s="6">
        <v>32543</v>
      </c>
      <c r="G66" s="6">
        <v>0</v>
      </c>
      <c r="H66" s="6">
        <v>0</v>
      </c>
      <c r="I66" s="6">
        <v>48375</v>
      </c>
      <c r="J66" s="6">
        <v>0</v>
      </c>
      <c r="K66" s="6">
        <f t="shared" si="0"/>
        <v>48375</v>
      </c>
      <c r="L66" s="6">
        <v>17993</v>
      </c>
      <c r="M66" s="8">
        <v>24158.058823529398</v>
      </c>
      <c r="N66" s="6">
        <v>27</v>
      </c>
      <c r="O66" s="8">
        <f t="shared" si="1"/>
        <v>13.483567715458269</v>
      </c>
      <c r="Q66" s="10">
        <v>2121</v>
      </c>
      <c r="R66" s="10">
        <f t="shared" si="2"/>
        <v>102603375</v>
      </c>
      <c r="S66" s="10">
        <f t="shared" si="3"/>
        <v>51239242.764705852</v>
      </c>
    </row>
    <row r="67" spans="1:19" x14ac:dyDescent="0.25">
      <c r="A67" s="5" t="s">
        <v>7</v>
      </c>
      <c r="B67" s="6" t="s">
        <v>17</v>
      </c>
      <c r="C67" s="6" t="s">
        <v>19</v>
      </c>
      <c r="D67" s="6">
        <v>10</v>
      </c>
      <c r="E67" s="6">
        <v>2125</v>
      </c>
      <c r="F67" s="6">
        <v>1025</v>
      </c>
      <c r="G67" s="6">
        <v>0</v>
      </c>
      <c r="H67" s="6">
        <v>0</v>
      </c>
      <c r="I67" s="6">
        <v>500</v>
      </c>
      <c r="J67" s="6">
        <v>0</v>
      </c>
      <c r="K67" s="6">
        <f t="shared" ref="K67:K130" si="4">I67+J67</f>
        <v>500</v>
      </c>
      <c r="L67" s="6">
        <v>2650</v>
      </c>
      <c r="M67" s="8">
        <v>2900</v>
      </c>
      <c r="N67" s="6">
        <v>27</v>
      </c>
      <c r="O67" s="8">
        <f t="shared" ref="O67:O130" si="5">(M67/(I67+J67))*N67</f>
        <v>156.6</v>
      </c>
      <c r="Q67" s="10">
        <v>2121</v>
      </c>
      <c r="R67" s="10">
        <f t="shared" ref="R67:R130" si="6">Q67*(I67+J67)</f>
        <v>1060500</v>
      </c>
      <c r="S67" s="10">
        <f t="shared" ref="S67:S130" si="7">Q67*M67</f>
        <v>6150900</v>
      </c>
    </row>
    <row r="68" spans="1:19" x14ac:dyDescent="0.25">
      <c r="A68" s="5" t="s">
        <v>81</v>
      </c>
      <c r="B68" s="6" t="s">
        <v>17</v>
      </c>
      <c r="C68" s="6" t="s">
        <v>19</v>
      </c>
      <c r="D68" s="6">
        <v>10</v>
      </c>
      <c r="E68" s="6">
        <v>3930</v>
      </c>
      <c r="F68" s="6">
        <v>1575</v>
      </c>
      <c r="G68" s="6">
        <v>0</v>
      </c>
      <c r="H68" s="6">
        <v>0</v>
      </c>
      <c r="I68" s="6">
        <v>0</v>
      </c>
      <c r="J68" s="6">
        <v>2310</v>
      </c>
      <c r="K68" s="6">
        <f t="shared" si="4"/>
        <v>2310</v>
      </c>
      <c r="L68" s="6">
        <v>3195</v>
      </c>
      <c r="M68" s="8">
        <v>2818</v>
      </c>
      <c r="N68" s="6">
        <v>27</v>
      </c>
      <c r="O68" s="8">
        <f t="shared" si="5"/>
        <v>32.937662337662339</v>
      </c>
      <c r="Q68" s="10">
        <v>4592</v>
      </c>
      <c r="R68" s="10">
        <f t="shared" si="6"/>
        <v>10607520</v>
      </c>
      <c r="S68" s="10">
        <f t="shared" si="7"/>
        <v>12940256</v>
      </c>
    </row>
    <row r="69" spans="1:19" x14ac:dyDescent="0.25">
      <c r="A69" s="5" t="s">
        <v>82</v>
      </c>
      <c r="B69" s="6" t="s">
        <v>17</v>
      </c>
      <c r="C69" s="6" t="s">
        <v>19</v>
      </c>
      <c r="D69" s="6">
        <v>10</v>
      </c>
      <c r="E69" s="6">
        <v>11794</v>
      </c>
      <c r="F69" s="6">
        <v>7143</v>
      </c>
      <c r="G69" s="6">
        <v>0</v>
      </c>
      <c r="H69" s="6">
        <v>0</v>
      </c>
      <c r="I69" s="6">
        <v>0</v>
      </c>
      <c r="J69" s="6">
        <v>15683</v>
      </c>
      <c r="K69" s="6">
        <f t="shared" si="4"/>
        <v>15683</v>
      </c>
      <c r="L69" s="6">
        <v>3254</v>
      </c>
      <c r="M69" s="8">
        <v>5053.4000000000005</v>
      </c>
      <c r="N69" s="6">
        <v>27</v>
      </c>
      <c r="O69" s="8">
        <f t="shared" si="5"/>
        <v>8.6999808710068223</v>
      </c>
      <c r="Q69" s="10">
        <v>2297</v>
      </c>
      <c r="R69" s="10">
        <f t="shared" si="6"/>
        <v>36023851</v>
      </c>
      <c r="S69" s="10">
        <f t="shared" si="7"/>
        <v>11607659.800000001</v>
      </c>
    </row>
    <row r="70" spans="1:19" x14ac:dyDescent="0.25">
      <c r="A70" s="5" t="s">
        <v>83</v>
      </c>
      <c r="B70" s="6" t="s">
        <v>17</v>
      </c>
      <c r="C70" s="6" t="s">
        <v>19</v>
      </c>
      <c r="D70" s="6">
        <v>10</v>
      </c>
      <c r="E70" s="6">
        <v>3600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f t="shared" si="4"/>
        <v>0</v>
      </c>
      <c r="L70" s="6">
        <v>3600</v>
      </c>
      <c r="M70" s="8">
        <v>0</v>
      </c>
      <c r="N70" s="6">
        <v>27</v>
      </c>
      <c r="O70" s="8">
        <v>0</v>
      </c>
      <c r="Q70" s="10">
        <v>4592</v>
      </c>
      <c r="R70" s="10">
        <f t="shared" si="6"/>
        <v>0</v>
      </c>
      <c r="S70" s="10">
        <f t="shared" si="7"/>
        <v>0</v>
      </c>
    </row>
    <row r="71" spans="1:19" x14ac:dyDescent="0.25">
      <c r="A71" s="5" t="s">
        <v>84</v>
      </c>
      <c r="B71" s="6" t="s">
        <v>16</v>
      </c>
      <c r="C71" s="6" t="s">
        <v>19</v>
      </c>
      <c r="D71" s="6">
        <v>10</v>
      </c>
      <c r="E71" s="6">
        <v>27741</v>
      </c>
      <c r="F71" s="6">
        <v>121534</v>
      </c>
      <c r="G71" s="6">
        <v>0</v>
      </c>
      <c r="H71" s="6">
        <v>0</v>
      </c>
      <c r="I71" s="6">
        <v>0</v>
      </c>
      <c r="J71" s="6">
        <v>126225</v>
      </c>
      <c r="K71" s="6">
        <f t="shared" si="4"/>
        <v>126225</v>
      </c>
      <c r="L71" s="6">
        <v>23050</v>
      </c>
      <c r="M71" s="8">
        <v>22115.176470588201</v>
      </c>
      <c r="N71" s="6">
        <v>27</v>
      </c>
      <c r="O71" s="8">
        <f t="shared" si="5"/>
        <v>4.7305190311418617</v>
      </c>
      <c r="Q71" s="10">
        <v>1419</v>
      </c>
      <c r="R71" s="10">
        <f t="shared" si="6"/>
        <v>179113275</v>
      </c>
      <c r="S71" s="10">
        <f t="shared" si="7"/>
        <v>31381435.411764659</v>
      </c>
    </row>
    <row r="72" spans="1:19" x14ac:dyDescent="0.25">
      <c r="A72" s="5" t="s">
        <v>85</v>
      </c>
      <c r="B72" s="6" t="s">
        <v>17</v>
      </c>
      <c r="C72" s="6" t="s">
        <v>19</v>
      </c>
      <c r="D72" s="6">
        <v>10</v>
      </c>
      <c r="E72" s="6">
        <v>2292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f t="shared" si="4"/>
        <v>0</v>
      </c>
      <c r="L72" s="6">
        <v>2292</v>
      </c>
      <c r="M72" s="8">
        <v>0</v>
      </c>
      <c r="N72" s="6">
        <v>27</v>
      </c>
      <c r="O72" s="8">
        <v>0</v>
      </c>
      <c r="Q72" s="10">
        <v>4592</v>
      </c>
      <c r="R72" s="10">
        <f t="shared" si="6"/>
        <v>0</v>
      </c>
      <c r="S72" s="10">
        <f t="shared" si="7"/>
        <v>0</v>
      </c>
    </row>
    <row r="73" spans="1:19" x14ac:dyDescent="0.25">
      <c r="A73" s="5" t="s">
        <v>1</v>
      </c>
      <c r="B73" s="6" t="s">
        <v>17</v>
      </c>
      <c r="C73" s="6" t="s">
        <v>19</v>
      </c>
      <c r="D73" s="6">
        <v>10</v>
      </c>
      <c r="E73" s="6">
        <v>1500</v>
      </c>
      <c r="F73" s="6">
        <v>1000</v>
      </c>
      <c r="G73" s="6">
        <v>0</v>
      </c>
      <c r="H73" s="6">
        <v>0</v>
      </c>
      <c r="I73" s="6">
        <v>0</v>
      </c>
      <c r="J73" s="6">
        <v>1500</v>
      </c>
      <c r="K73" s="6">
        <f t="shared" si="4"/>
        <v>1500</v>
      </c>
      <c r="L73" s="6">
        <v>1000</v>
      </c>
      <c r="M73" s="8">
        <v>500</v>
      </c>
      <c r="N73" s="6">
        <v>27</v>
      </c>
      <c r="O73" s="8">
        <f t="shared" si="5"/>
        <v>9</v>
      </c>
      <c r="Q73" s="10">
        <v>2103</v>
      </c>
      <c r="R73" s="10">
        <f t="shared" si="6"/>
        <v>3154500</v>
      </c>
      <c r="S73" s="10">
        <f t="shared" si="7"/>
        <v>1051500</v>
      </c>
    </row>
    <row r="74" spans="1:19" x14ac:dyDescent="0.25">
      <c r="A74" s="5" t="s">
        <v>87</v>
      </c>
      <c r="B74" s="6" t="s">
        <v>17</v>
      </c>
      <c r="C74" s="6" t="s">
        <v>19</v>
      </c>
      <c r="D74" s="6">
        <v>10</v>
      </c>
      <c r="E74" s="6">
        <v>11395</v>
      </c>
      <c r="F74" s="6">
        <v>1525</v>
      </c>
      <c r="G74" s="6">
        <v>0</v>
      </c>
      <c r="H74" s="6">
        <v>0</v>
      </c>
      <c r="I74" s="6">
        <v>0</v>
      </c>
      <c r="J74" s="6">
        <v>1500</v>
      </c>
      <c r="K74" s="6">
        <f t="shared" si="4"/>
        <v>1500</v>
      </c>
      <c r="L74" s="6">
        <v>11420</v>
      </c>
      <c r="M74" s="8">
        <v>12170</v>
      </c>
      <c r="N74" s="6">
        <v>27</v>
      </c>
      <c r="O74" s="8">
        <f t="shared" si="5"/>
        <v>219.06</v>
      </c>
      <c r="Q74" s="10">
        <v>2103</v>
      </c>
      <c r="R74" s="10">
        <f t="shared" si="6"/>
        <v>3154500</v>
      </c>
      <c r="S74" s="10">
        <f t="shared" si="7"/>
        <v>25593510</v>
      </c>
    </row>
    <row r="75" spans="1:19" x14ac:dyDescent="0.25">
      <c r="A75" s="5" t="s">
        <v>88</v>
      </c>
      <c r="B75" s="6" t="s">
        <v>17</v>
      </c>
      <c r="C75" s="6" t="s">
        <v>19</v>
      </c>
      <c r="D75" s="6">
        <v>10</v>
      </c>
      <c r="E75" s="6">
        <v>4074</v>
      </c>
      <c r="F75" s="6">
        <v>3074</v>
      </c>
      <c r="G75" s="6">
        <v>0</v>
      </c>
      <c r="H75" s="6">
        <v>0</v>
      </c>
      <c r="I75" s="6">
        <v>0</v>
      </c>
      <c r="J75" s="6">
        <v>2600</v>
      </c>
      <c r="K75" s="6">
        <f t="shared" si="4"/>
        <v>2600</v>
      </c>
      <c r="L75" s="6">
        <v>4548</v>
      </c>
      <c r="M75" s="8">
        <v>3703.6</v>
      </c>
      <c r="N75" s="6">
        <v>27</v>
      </c>
      <c r="O75" s="8">
        <f t="shared" si="5"/>
        <v>38.460461538461537</v>
      </c>
      <c r="Q75" s="10">
        <v>4592</v>
      </c>
      <c r="R75" s="10">
        <f t="shared" si="6"/>
        <v>11939200</v>
      </c>
      <c r="S75" s="10">
        <f t="shared" si="7"/>
        <v>17006931.199999999</v>
      </c>
    </row>
    <row r="76" spans="1:19" x14ac:dyDescent="0.25">
      <c r="A76" s="5" t="s">
        <v>89</v>
      </c>
      <c r="B76" s="6" t="s">
        <v>17</v>
      </c>
      <c r="C76" s="6" t="s">
        <v>19</v>
      </c>
      <c r="D76" s="6">
        <v>10</v>
      </c>
      <c r="E76" s="6">
        <v>2835</v>
      </c>
      <c r="F76" s="6">
        <v>1350</v>
      </c>
      <c r="G76" s="6">
        <v>0</v>
      </c>
      <c r="H76" s="6">
        <v>0</v>
      </c>
      <c r="I76" s="6">
        <v>0</v>
      </c>
      <c r="J76" s="6">
        <v>3398</v>
      </c>
      <c r="K76" s="6">
        <f t="shared" si="4"/>
        <v>3398</v>
      </c>
      <c r="L76" s="6">
        <v>787</v>
      </c>
      <c r="M76" s="8">
        <v>2087</v>
      </c>
      <c r="N76" s="6">
        <v>27</v>
      </c>
      <c r="O76" s="8">
        <f t="shared" si="5"/>
        <v>16.582989994114183</v>
      </c>
      <c r="Q76" s="10">
        <v>2297</v>
      </c>
      <c r="R76" s="10">
        <f t="shared" si="6"/>
        <v>7805206</v>
      </c>
      <c r="S76" s="10">
        <f t="shared" si="7"/>
        <v>4793839</v>
      </c>
    </row>
    <row r="77" spans="1:19" x14ac:dyDescent="0.25">
      <c r="A77" s="5" t="s">
        <v>90</v>
      </c>
      <c r="B77" s="6" t="s">
        <v>17</v>
      </c>
      <c r="C77" s="6" t="s">
        <v>19</v>
      </c>
      <c r="D77" s="6">
        <v>10</v>
      </c>
      <c r="E77" s="6">
        <v>2042</v>
      </c>
      <c r="F77" s="6">
        <v>0</v>
      </c>
      <c r="G77" s="6">
        <v>0</v>
      </c>
      <c r="H77" s="6">
        <v>0</v>
      </c>
      <c r="I77" s="6">
        <v>0</v>
      </c>
      <c r="J77" s="6">
        <v>200</v>
      </c>
      <c r="K77" s="6">
        <f t="shared" si="4"/>
        <v>200</v>
      </c>
      <c r="L77" s="6">
        <v>1842</v>
      </c>
      <c r="M77" s="8">
        <v>1917</v>
      </c>
      <c r="N77" s="6">
        <v>27</v>
      </c>
      <c r="O77" s="8">
        <f t="shared" si="5"/>
        <v>258.79500000000002</v>
      </c>
      <c r="Q77" s="10">
        <v>2616</v>
      </c>
      <c r="R77" s="10">
        <f t="shared" si="6"/>
        <v>523200</v>
      </c>
      <c r="S77" s="10">
        <f t="shared" si="7"/>
        <v>5014872</v>
      </c>
    </row>
    <row r="78" spans="1:19" x14ac:dyDescent="0.25">
      <c r="A78" s="5" t="s">
        <v>91</v>
      </c>
      <c r="B78" s="6" t="s">
        <v>16</v>
      </c>
      <c r="C78" s="6" t="s">
        <v>19</v>
      </c>
      <c r="D78" s="6">
        <v>10</v>
      </c>
      <c r="E78" s="6">
        <v>1300</v>
      </c>
      <c r="F78" s="6">
        <v>89975</v>
      </c>
      <c r="G78" s="6">
        <v>0</v>
      </c>
      <c r="H78" s="6">
        <v>0</v>
      </c>
      <c r="I78" s="6">
        <v>0</v>
      </c>
      <c r="J78" s="6">
        <v>91050</v>
      </c>
      <c r="K78" s="6">
        <f t="shared" si="4"/>
        <v>91050</v>
      </c>
      <c r="L78" s="6">
        <v>225</v>
      </c>
      <c r="M78" s="8">
        <v>10148.8235294118</v>
      </c>
      <c r="N78" s="6">
        <v>27</v>
      </c>
      <c r="O78" s="8">
        <f t="shared" si="5"/>
        <v>3.0095358077333181</v>
      </c>
      <c r="Q78" s="10">
        <v>1419</v>
      </c>
      <c r="R78" s="10">
        <f t="shared" si="6"/>
        <v>129199950</v>
      </c>
      <c r="S78" s="10">
        <f t="shared" si="7"/>
        <v>14401180.588235345</v>
      </c>
    </row>
    <row r="79" spans="1:19" x14ac:dyDescent="0.25">
      <c r="A79" s="5" t="s">
        <v>92</v>
      </c>
      <c r="B79" s="6" t="s">
        <v>17</v>
      </c>
      <c r="C79" s="6" t="s">
        <v>19</v>
      </c>
      <c r="D79" s="6">
        <v>10</v>
      </c>
      <c r="E79" s="6">
        <v>748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f t="shared" si="4"/>
        <v>0</v>
      </c>
      <c r="L79" s="6">
        <v>748</v>
      </c>
      <c r="M79" s="8">
        <v>0</v>
      </c>
      <c r="N79" s="6">
        <v>27</v>
      </c>
      <c r="O79" s="8">
        <v>0</v>
      </c>
      <c r="Q79" s="10">
        <v>2616</v>
      </c>
      <c r="R79" s="10">
        <f t="shared" si="6"/>
        <v>0</v>
      </c>
      <c r="S79" s="10">
        <f t="shared" si="7"/>
        <v>0</v>
      </c>
    </row>
    <row r="80" spans="1:19" x14ac:dyDescent="0.25">
      <c r="A80" s="5" t="s">
        <v>94</v>
      </c>
      <c r="B80" s="6" t="s">
        <v>17</v>
      </c>
      <c r="C80" s="6" t="s">
        <v>19</v>
      </c>
      <c r="D80" s="6">
        <v>10</v>
      </c>
      <c r="E80" s="6">
        <v>790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f t="shared" si="4"/>
        <v>0</v>
      </c>
      <c r="L80" s="6">
        <v>790</v>
      </c>
      <c r="M80" s="8">
        <v>0</v>
      </c>
      <c r="N80" s="6">
        <v>27</v>
      </c>
      <c r="O80" s="8">
        <v>0</v>
      </c>
      <c r="Q80" s="10">
        <v>7550</v>
      </c>
      <c r="R80" s="10">
        <f t="shared" si="6"/>
        <v>0</v>
      </c>
      <c r="S80" s="10">
        <f t="shared" si="7"/>
        <v>0</v>
      </c>
    </row>
    <row r="81" spans="1:19" x14ac:dyDescent="0.25">
      <c r="A81" s="2" t="s">
        <v>14</v>
      </c>
      <c r="B81" s="6" t="s">
        <v>17</v>
      </c>
      <c r="C81" s="6" t="s">
        <v>19</v>
      </c>
      <c r="D81" s="6">
        <v>10</v>
      </c>
      <c r="E81" s="6">
        <v>19288</v>
      </c>
      <c r="F81" s="6">
        <v>4892</v>
      </c>
      <c r="G81" s="6">
        <v>0</v>
      </c>
      <c r="H81" s="6">
        <v>0</v>
      </c>
      <c r="I81" s="6">
        <v>7325</v>
      </c>
      <c r="J81" s="6">
        <v>0</v>
      </c>
      <c r="K81" s="6">
        <f t="shared" si="4"/>
        <v>7325</v>
      </c>
      <c r="L81" s="6">
        <v>16855</v>
      </c>
      <c r="M81" s="8">
        <v>20498.75</v>
      </c>
      <c r="N81" s="6">
        <v>27</v>
      </c>
      <c r="O81" s="8">
        <f t="shared" si="5"/>
        <v>75.558532423208192</v>
      </c>
      <c r="Q81" s="10">
        <v>7550</v>
      </c>
      <c r="R81" s="10">
        <f t="shared" si="6"/>
        <v>55303750</v>
      </c>
      <c r="S81" s="10">
        <f t="shared" si="7"/>
        <v>154765562.5</v>
      </c>
    </row>
    <row r="82" spans="1:19" x14ac:dyDescent="0.25">
      <c r="A82" s="5" t="s">
        <v>95</v>
      </c>
      <c r="B82" s="6" t="s">
        <v>17</v>
      </c>
      <c r="C82" s="6" t="s">
        <v>19</v>
      </c>
      <c r="D82" s="6">
        <v>10</v>
      </c>
      <c r="E82" s="6">
        <v>3563</v>
      </c>
      <c r="F82" s="6">
        <v>5830</v>
      </c>
      <c r="G82" s="6">
        <v>0</v>
      </c>
      <c r="H82" s="6">
        <v>0</v>
      </c>
      <c r="I82" s="6">
        <v>0</v>
      </c>
      <c r="J82" s="6">
        <v>3273</v>
      </c>
      <c r="K82" s="6">
        <f t="shared" si="4"/>
        <v>3273</v>
      </c>
      <c r="L82" s="6">
        <v>6120</v>
      </c>
      <c r="M82" s="8">
        <v>4892.5</v>
      </c>
      <c r="N82" s="6">
        <v>27</v>
      </c>
      <c r="O82" s="8">
        <f t="shared" si="5"/>
        <v>40.35976168652612</v>
      </c>
      <c r="Q82" s="10">
        <v>4592</v>
      </c>
      <c r="R82" s="10">
        <f t="shared" si="6"/>
        <v>15029616</v>
      </c>
      <c r="S82" s="10">
        <f t="shared" si="7"/>
        <v>22466360</v>
      </c>
    </row>
    <row r="83" spans="1:19" x14ac:dyDescent="0.25">
      <c r="A83" s="5" t="s">
        <v>96</v>
      </c>
      <c r="B83" s="6" t="s">
        <v>17</v>
      </c>
      <c r="C83" s="6" t="s">
        <v>19</v>
      </c>
      <c r="D83" s="6">
        <v>10</v>
      </c>
      <c r="E83" s="6">
        <v>8534</v>
      </c>
      <c r="F83" s="6">
        <v>7045</v>
      </c>
      <c r="G83" s="6">
        <v>0</v>
      </c>
      <c r="H83" s="6">
        <v>0</v>
      </c>
      <c r="I83" s="6">
        <v>0</v>
      </c>
      <c r="J83" s="6">
        <v>12775</v>
      </c>
      <c r="K83" s="6">
        <f t="shared" si="4"/>
        <v>12775</v>
      </c>
      <c r="L83" s="6">
        <v>2804</v>
      </c>
      <c r="M83" s="8">
        <v>4676.5</v>
      </c>
      <c r="N83" s="6">
        <v>27</v>
      </c>
      <c r="O83" s="8">
        <f t="shared" si="5"/>
        <v>9.8837964774951086</v>
      </c>
      <c r="Q83" s="10">
        <v>2297</v>
      </c>
      <c r="R83" s="10">
        <f t="shared" si="6"/>
        <v>29344175</v>
      </c>
      <c r="S83" s="10">
        <f t="shared" si="7"/>
        <v>10741920.5</v>
      </c>
    </row>
    <row r="84" spans="1:19" x14ac:dyDescent="0.25">
      <c r="A84" s="5" t="s">
        <v>97</v>
      </c>
      <c r="B84" s="6" t="s">
        <v>17</v>
      </c>
      <c r="C84" s="6" t="s">
        <v>19</v>
      </c>
      <c r="D84" s="6">
        <v>10</v>
      </c>
      <c r="E84" s="6">
        <v>1050</v>
      </c>
      <c r="F84" s="6">
        <v>1000</v>
      </c>
      <c r="G84" s="6">
        <v>0</v>
      </c>
      <c r="H84" s="6">
        <v>0</v>
      </c>
      <c r="I84" s="6">
        <v>0</v>
      </c>
      <c r="J84" s="6">
        <v>200</v>
      </c>
      <c r="K84" s="6">
        <f t="shared" si="4"/>
        <v>200</v>
      </c>
      <c r="L84" s="6">
        <v>1850</v>
      </c>
      <c r="M84" s="8">
        <v>1950</v>
      </c>
      <c r="N84" s="6">
        <v>27</v>
      </c>
      <c r="O84" s="8">
        <f t="shared" si="5"/>
        <v>263.25</v>
      </c>
      <c r="Q84" s="10">
        <v>2616</v>
      </c>
      <c r="R84" s="10">
        <f t="shared" si="6"/>
        <v>523200</v>
      </c>
      <c r="S84" s="10">
        <f t="shared" si="7"/>
        <v>5101200</v>
      </c>
    </row>
    <row r="85" spans="1:19" x14ac:dyDescent="0.25">
      <c r="A85" s="5" t="s">
        <v>98</v>
      </c>
      <c r="B85" s="6" t="s">
        <v>16</v>
      </c>
      <c r="C85" s="6" t="s">
        <v>19</v>
      </c>
      <c r="D85" s="6">
        <v>10</v>
      </c>
      <c r="E85" s="6">
        <v>25675</v>
      </c>
      <c r="F85" s="6">
        <v>32395</v>
      </c>
      <c r="G85" s="6">
        <v>0</v>
      </c>
      <c r="H85" s="6">
        <v>0</v>
      </c>
      <c r="I85" s="6">
        <v>0</v>
      </c>
      <c r="J85" s="6">
        <v>44714</v>
      </c>
      <c r="K85" s="6">
        <f t="shared" si="4"/>
        <v>44714</v>
      </c>
      <c r="L85" s="6">
        <v>13356</v>
      </c>
      <c r="M85" s="8">
        <v>11738.375</v>
      </c>
      <c r="N85" s="6">
        <v>27</v>
      </c>
      <c r="O85" s="8">
        <f t="shared" si="5"/>
        <v>7.0880736458379934</v>
      </c>
      <c r="Q85" s="10">
        <v>1419</v>
      </c>
      <c r="R85" s="10">
        <f t="shared" si="6"/>
        <v>63449166</v>
      </c>
      <c r="S85" s="10">
        <f t="shared" si="7"/>
        <v>16656754.125</v>
      </c>
    </row>
    <row r="86" spans="1:19" x14ac:dyDescent="0.25">
      <c r="A86" s="5" t="s">
        <v>99</v>
      </c>
      <c r="B86" s="6" t="s">
        <v>17</v>
      </c>
      <c r="C86" s="6" t="s">
        <v>19</v>
      </c>
      <c r="D86" s="6">
        <v>10</v>
      </c>
      <c r="E86" s="6">
        <v>2378</v>
      </c>
      <c r="F86" s="6">
        <v>0</v>
      </c>
      <c r="G86" s="6">
        <v>0</v>
      </c>
      <c r="H86" s="6">
        <v>0</v>
      </c>
      <c r="I86" s="6">
        <v>0</v>
      </c>
      <c r="J86" s="6">
        <v>75</v>
      </c>
      <c r="K86" s="6">
        <f t="shared" si="4"/>
        <v>75</v>
      </c>
      <c r="L86" s="6">
        <v>2303</v>
      </c>
      <c r="M86" s="8">
        <v>2303</v>
      </c>
      <c r="N86" s="6">
        <v>27</v>
      </c>
      <c r="O86" s="8">
        <f t="shared" si="5"/>
        <v>829.08</v>
      </c>
      <c r="Q86" s="10">
        <v>2616</v>
      </c>
      <c r="R86" s="10">
        <f t="shared" si="6"/>
        <v>196200</v>
      </c>
      <c r="S86" s="10">
        <f t="shared" si="7"/>
        <v>6024648</v>
      </c>
    </row>
    <row r="87" spans="1:19" x14ac:dyDescent="0.25">
      <c r="A87" s="5" t="s">
        <v>100</v>
      </c>
      <c r="B87" s="6" t="s">
        <v>17</v>
      </c>
      <c r="C87" s="6" t="s">
        <v>19</v>
      </c>
      <c r="D87" s="6">
        <v>10</v>
      </c>
      <c r="E87" s="6">
        <v>2385</v>
      </c>
      <c r="F87" s="6">
        <v>720</v>
      </c>
      <c r="G87" s="6">
        <v>0</v>
      </c>
      <c r="H87" s="6">
        <v>0</v>
      </c>
      <c r="I87" s="6">
        <v>0</v>
      </c>
      <c r="J87" s="6">
        <v>1335</v>
      </c>
      <c r="K87" s="6">
        <f t="shared" si="4"/>
        <v>1335</v>
      </c>
      <c r="L87" s="6">
        <v>1770</v>
      </c>
      <c r="M87" s="8">
        <v>2040</v>
      </c>
      <c r="N87" s="6">
        <v>27</v>
      </c>
      <c r="O87" s="8">
        <f t="shared" si="5"/>
        <v>41.258426966292134</v>
      </c>
      <c r="Q87" s="10">
        <v>4592</v>
      </c>
      <c r="R87" s="10">
        <f t="shared" si="6"/>
        <v>6130320</v>
      </c>
      <c r="S87" s="10">
        <f t="shared" si="7"/>
        <v>9367680</v>
      </c>
    </row>
    <row r="88" spans="1:19" x14ac:dyDescent="0.25">
      <c r="A88" s="5" t="s">
        <v>101</v>
      </c>
      <c r="B88" s="6" t="s">
        <v>17</v>
      </c>
      <c r="C88" s="6" t="s">
        <v>19</v>
      </c>
      <c r="D88" s="6">
        <v>10</v>
      </c>
      <c r="E88" s="6">
        <v>9530</v>
      </c>
      <c r="F88" s="6">
        <v>0</v>
      </c>
      <c r="G88" s="6">
        <v>0</v>
      </c>
      <c r="H88" s="6">
        <v>0</v>
      </c>
      <c r="I88" s="6">
        <v>0</v>
      </c>
      <c r="J88" s="6">
        <v>1650</v>
      </c>
      <c r="K88" s="6">
        <f t="shared" si="4"/>
        <v>1650</v>
      </c>
      <c r="L88" s="6">
        <v>7880</v>
      </c>
      <c r="M88" s="8">
        <v>8630</v>
      </c>
      <c r="N88" s="6">
        <v>27</v>
      </c>
      <c r="O88" s="8">
        <f t="shared" si="5"/>
        <v>141.21818181818182</v>
      </c>
      <c r="Q88" s="10">
        <v>2297</v>
      </c>
      <c r="R88" s="10">
        <f t="shared" si="6"/>
        <v>3790050</v>
      </c>
      <c r="S88" s="10">
        <f t="shared" si="7"/>
        <v>19823110</v>
      </c>
    </row>
    <row r="89" spans="1:19" x14ac:dyDescent="0.25">
      <c r="A89" s="5" t="s">
        <v>102</v>
      </c>
      <c r="B89" s="6" t="s">
        <v>17</v>
      </c>
      <c r="C89" s="6" t="s">
        <v>19</v>
      </c>
      <c r="D89" s="6">
        <v>10</v>
      </c>
      <c r="E89" s="6">
        <v>1525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f t="shared" si="4"/>
        <v>0</v>
      </c>
      <c r="L89" s="6">
        <v>1525</v>
      </c>
      <c r="M89" s="8">
        <v>0</v>
      </c>
      <c r="N89" s="6">
        <v>27</v>
      </c>
      <c r="O89" s="8">
        <v>0</v>
      </c>
      <c r="Q89" s="10">
        <v>2616</v>
      </c>
      <c r="R89" s="10">
        <f t="shared" si="6"/>
        <v>0</v>
      </c>
      <c r="S89" s="10">
        <f t="shared" si="7"/>
        <v>0</v>
      </c>
    </row>
    <row r="90" spans="1:19" x14ac:dyDescent="0.25">
      <c r="A90" s="5" t="s">
        <v>103</v>
      </c>
      <c r="B90" s="6" t="s">
        <v>16</v>
      </c>
      <c r="C90" s="6" t="s">
        <v>19</v>
      </c>
      <c r="D90" s="6">
        <v>10</v>
      </c>
      <c r="E90" s="6">
        <v>14880</v>
      </c>
      <c r="F90" s="6">
        <v>84800</v>
      </c>
      <c r="G90" s="6">
        <v>0</v>
      </c>
      <c r="H90" s="6">
        <v>0</v>
      </c>
      <c r="I90" s="6">
        <v>0</v>
      </c>
      <c r="J90" s="6">
        <v>80925</v>
      </c>
      <c r="K90" s="6">
        <f t="shared" si="4"/>
        <v>80925</v>
      </c>
      <c r="L90" s="6">
        <v>18755</v>
      </c>
      <c r="M90" s="8">
        <v>17193.125</v>
      </c>
      <c r="N90" s="6">
        <v>27</v>
      </c>
      <c r="O90" s="8">
        <f t="shared" si="5"/>
        <v>5.7363531047265992</v>
      </c>
      <c r="Q90" s="10">
        <v>1419</v>
      </c>
      <c r="R90" s="10">
        <f t="shared" si="6"/>
        <v>114832575</v>
      </c>
      <c r="S90" s="10">
        <f t="shared" si="7"/>
        <v>24397044.375</v>
      </c>
    </row>
    <row r="91" spans="1:19" x14ac:dyDescent="0.25">
      <c r="A91" s="5" t="s">
        <v>104</v>
      </c>
      <c r="B91" s="6" t="s">
        <v>17</v>
      </c>
      <c r="C91" s="6" t="s">
        <v>19</v>
      </c>
      <c r="D91" s="6">
        <v>10</v>
      </c>
      <c r="E91" s="6">
        <v>2439</v>
      </c>
      <c r="F91" s="6">
        <v>0</v>
      </c>
      <c r="G91" s="6">
        <v>0</v>
      </c>
      <c r="H91" s="6">
        <v>0</v>
      </c>
      <c r="I91" s="6">
        <v>0</v>
      </c>
      <c r="J91" s="6">
        <v>250</v>
      </c>
      <c r="K91" s="6">
        <f t="shared" si="4"/>
        <v>250</v>
      </c>
      <c r="L91" s="6">
        <v>2189</v>
      </c>
      <c r="M91" s="8">
        <v>2189</v>
      </c>
      <c r="N91" s="6">
        <v>27</v>
      </c>
      <c r="O91" s="8">
        <f t="shared" si="5"/>
        <v>236.41200000000001</v>
      </c>
      <c r="Q91" s="10">
        <v>1419</v>
      </c>
      <c r="R91" s="10">
        <f t="shared" si="6"/>
        <v>354750</v>
      </c>
      <c r="S91" s="10">
        <f t="shared" si="7"/>
        <v>3106191</v>
      </c>
    </row>
    <row r="92" spans="1:19" x14ac:dyDescent="0.25">
      <c r="A92" s="5" t="s">
        <v>105</v>
      </c>
      <c r="B92" s="6" t="s">
        <v>17</v>
      </c>
      <c r="C92" s="6" t="s">
        <v>19</v>
      </c>
      <c r="D92" s="6">
        <v>10</v>
      </c>
      <c r="E92" s="6">
        <v>5900</v>
      </c>
      <c r="F92" s="6">
        <v>0</v>
      </c>
      <c r="G92" s="6">
        <v>0</v>
      </c>
      <c r="H92" s="6">
        <v>0</v>
      </c>
      <c r="I92" s="6">
        <v>0</v>
      </c>
      <c r="J92" s="6">
        <v>5900</v>
      </c>
      <c r="K92" s="6">
        <f t="shared" si="4"/>
        <v>5900</v>
      </c>
      <c r="L92" s="6">
        <v>0</v>
      </c>
      <c r="M92" s="8">
        <v>1566.6666666666702</v>
      </c>
      <c r="N92" s="6">
        <v>27</v>
      </c>
      <c r="O92" s="8">
        <f t="shared" si="5"/>
        <v>7.1694915254237452</v>
      </c>
      <c r="Q92" s="10">
        <v>1968</v>
      </c>
      <c r="R92" s="10">
        <f t="shared" si="6"/>
        <v>11611200</v>
      </c>
      <c r="S92" s="10">
        <f t="shared" si="7"/>
        <v>3083200.000000007</v>
      </c>
    </row>
    <row r="93" spans="1:19" x14ac:dyDescent="0.25">
      <c r="A93" s="5" t="s">
        <v>108</v>
      </c>
      <c r="B93" s="6" t="s">
        <v>17</v>
      </c>
      <c r="C93" s="6" t="s">
        <v>19</v>
      </c>
      <c r="D93" s="6">
        <v>10</v>
      </c>
      <c r="E93" s="6">
        <v>15414</v>
      </c>
      <c r="F93" s="6">
        <v>10500</v>
      </c>
      <c r="G93" s="6">
        <v>0</v>
      </c>
      <c r="H93" s="6">
        <v>0</v>
      </c>
      <c r="I93" s="6">
        <v>9059</v>
      </c>
      <c r="J93" s="6">
        <v>0</v>
      </c>
      <c r="K93" s="6">
        <f t="shared" si="4"/>
        <v>9059</v>
      </c>
      <c r="L93" s="6">
        <v>16855</v>
      </c>
      <c r="M93" s="8">
        <v>15400</v>
      </c>
      <c r="N93" s="6">
        <v>27</v>
      </c>
      <c r="O93" s="8">
        <f t="shared" si="5"/>
        <v>45.899105861574121</v>
      </c>
      <c r="Q93" s="10">
        <v>1968</v>
      </c>
      <c r="R93" s="10">
        <f t="shared" si="6"/>
        <v>17828112</v>
      </c>
      <c r="S93" s="10">
        <f t="shared" si="7"/>
        <v>30307200</v>
      </c>
    </row>
    <row r="94" spans="1:19" x14ac:dyDescent="0.25">
      <c r="A94" s="5" t="s">
        <v>2</v>
      </c>
      <c r="B94" s="6" t="s">
        <v>17</v>
      </c>
      <c r="C94" s="6" t="s">
        <v>19</v>
      </c>
      <c r="D94" s="6">
        <v>10</v>
      </c>
      <c r="E94" s="6">
        <v>11288</v>
      </c>
      <c r="F94" s="6">
        <v>9312</v>
      </c>
      <c r="G94" s="6">
        <v>0</v>
      </c>
      <c r="H94" s="6">
        <v>0</v>
      </c>
      <c r="I94" s="6">
        <v>17771</v>
      </c>
      <c r="J94" s="6">
        <v>0</v>
      </c>
      <c r="K94" s="6">
        <f t="shared" si="4"/>
        <v>17771</v>
      </c>
      <c r="L94" s="6">
        <v>2829</v>
      </c>
      <c r="M94" s="8">
        <v>5336.1428571428605</v>
      </c>
      <c r="N94" s="6">
        <v>27</v>
      </c>
      <c r="O94" s="8">
        <f t="shared" si="5"/>
        <v>8.1073578944829912</v>
      </c>
      <c r="Q94" s="10">
        <v>2157</v>
      </c>
      <c r="R94" s="10">
        <f t="shared" si="6"/>
        <v>38332047</v>
      </c>
      <c r="S94" s="10">
        <f t="shared" si="7"/>
        <v>11510060.142857149</v>
      </c>
    </row>
    <row r="95" spans="1:19" x14ac:dyDescent="0.25">
      <c r="A95" s="5" t="s">
        <v>110</v>
      </c>
      <c r="B95" s="6" t="s">
        <v>17</v>
      </c>
      <c r="C95" s="6" t="s">
        <v>19</v>
      </c>
      <c r="D95" s="6">
        <v>10</v>
      </c>
      <c r="E95" s="6">
        <v>10571</v>
      </c>
      <c r="F95" s="6">
        <v>5036</v>
      </c>
      <c r="G95" s="6">
        <v>0</v>
      </c>
      <c r="H95" s="6">
        <v>0</v>
      </c>
      <c r="I95" s="6">
        <v>0</v>
      </c>
      <c r="J95" s="6">
        <v>14296</v>
      </c>
      <c r="K95" s="6">
        <f t="shared" si="4"/>
        <v>14296</v>
      </c>
      <c r="L95" s="6">
        <v>1311</v>
      </c>
      <c r="M95" s="8">
        <v>5484.2727272727298</v>
      </c>
      <c r="N95" s="6">
        <v>27</v>
      </c>
      <c r="O95" s="8">
        <f t="shared" si="5"/>
        <v>10.357817825710947</v>
      </c>
      <c r="Q95" s="10">
        <v>2031</v>
      </c>
      <c r="R95" s="10">
        <f t="shared" si="6"/>
        <v>29035176</v>
      </c>
      <c r="S95" s="10">
        <f t="shared" si="7"/>
        <v>11138557.909090914</v>
      </c>
    </row>
    <row r="96" spans="1:19" x14ac:dyDescent="0.25">
      <c r="A96" s="5" t="s">
        <v>111</v>
      </c>
      <c r="B96" s="6" t="s">
        <v>17</v>
      </c>
      <c r="C96" s="6" t="s">
        <v>19</v>
      </c>
      <c r="D96" s="6">
        <v>10</v>
      </c>
      <c r="E96" s="6">
        <v>6671</v>
      </c>
      <c r="F96" s="6">
        <v>10198</v>
      </c>
      <c r="G96" s="6">
        <v>0</v>
      </c>
      <c r="H96" s="6">
        <v>0</v>
      </c>
      <c r="I96" s="6">
        <v>0</v>
      </c>
      <c r="J96" s="6">
        <v>12148</v>
      </c>
      <c r="K96" s="6">
        <f t="shared" si="4"/>
        <v>12148</v>
      </c>
      <c r="L96" s="6">
        <v>4721</v>
      </c>
      <c r="M96" s="8">
        <v>3139.7777777777801</v>
      </c>
      <c r="N96" s="6">
        <v>27</v>
      </c>
      <c r="O96" s="8">
        <f t="shared" si="5"/>
        <v>6.9784326638129786</v>
      </c>
      <c r="Q96" s="10">
        <v>2031</v>
      </c>
      <c r="R96" s="10">
        <f t="shared" si="6"/>
        <v>24672588</v>
      </c>
      <c r="S96" s="10">
        <f t="shared" si="7"/>
        <v>6376888.6666666716</v>
      </c>
    </row>
    <row r="97" spans="1:19" x14ac:dyDescent="0.25">
      <c r="A97" s="5" t="s">
        <v>112</v>
      </c>
      <c r="B97" s="6" t="s">
        <v>17</v>
      </c>
      <c r="C97" s="6" t="s">
        <v>19</v>
      </c>
      <c r="D97" s="6">
        <v>10</v>
      </c>
      <c r="E97" s="6">
        <v>1000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f t="shared" si="4"/>
        <v>0</v>
      </c>
      <c r="L97" s="6">
        <v>1000</v>
      </c>
      <c r="M97" s="8">
        <v>0</v>
      </c>
      <c r="N97" s="6">
        <v>27</v>
      </c>
      <c r="O97" s="8">
        <v>0</v>
      </c>
      <c r="Q97" s="10">
        <v>2642</v>
      </c>
      <c r="R97" s="10">
        <f t="shared" si="6"/>
        <v>0</v>
      </c>
      <c r="S97" s="10">
        <f t="shared" si="7"/>
        <v>0</v>
      </c>
    </row>
    <row r="98" spans="1:19" x14ac:dyDescent="0.25">
      <c r="A98" s="5" t="s">
        <v>113</v>
      </c>
      <c r="B98" s="6" t="s">
        <v>17</v>
      </c>
      <c r="C98" s="6" t="s">
        <v>19</v>
      </c>
      <c r="D98" s="6">
        <v>10</v>
      </c>
      <c r="E98" s="6">
        <v>750</v>
      </c>
      <c r="F98" s="6">
        <v>1050</v>
      </c>
      <c r="G98" s="6">
        <v>0</v>
      </c>
      <c r="H98" s="6">
        <v>0</v>
      </c>
      <c r="I98" s="6">
        <v>0</v>
      </c>
      <c r="J98" s="6">
        <v>1800</v>
      </c>
      <c r="K98" s="6">
        <f t="shared" si="4"/>
        <v>1800</v>
      </c>
      <c r="L98" s="6">
        <v>0</v>
      </c>
      <c r="M98" s="8">
        <v>350</v>
      </c>
      <c r="N98" s="6">
        <v>27</v>
      </c>
      <c r="O98" s="8">
        <f t="shared" si="5"/>
        <v>5.25</v>
      </c>
      <c r="Q98" s="10">
        <v>2642</v>
      </c>
      <c r="R98" s="10">
        <f t="shared" si="6"/>
        <v>4755600</v>
      </c>
      <c r="S98" s="10">
        <f t="shared" si="7"/>
        <v>924700</v>
      </c>
    </row>
    <row r="99" spans="1:19" x14ac:dyDescent="0.25">
      <c r="A99" s="5" t="s">
        <v>114</v>
      </c>
      <c r="B99" s="6" t="s">
        <v>17</v>
      </c>
      <c r="C99" s="6" t="s">
        <v>19</v>
      </c>
      <c r="D99" s="6">
        <v>10</v>
      </c>
      <c r="E99" s="6">
        <v>450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f t="shared" si="4"/>
        <v>0</v>
      </c>
      <c r="L99" s="6">
        <v>450</v>
      </c>
      <c r="M99" s="8">
        <v>0</v>
      </c>
      <c r="N99" s="6">
        <v>27</v>
      </c>
      <c r="O99" s="8">
        <v>0</v>
      </c>
      <c r="Q99" s="10">
        <v>2488</v>
      </c>
      <c r="R99" s="10">
        <f t="shared" si="6"/>
        <v>0</v>
      </c>
      <c r="S99" s="10">
        <f t="shared" si="7"/>
        <v>0</v>
      </c>
    </row>
    <row r="100" spans="1:19" x14ac:dyDescent="0.25">
      <c r="A100" s="5" t="s">
        <v>115</v>
      </c>
      <c r="B100" s="6" t="s">
        <v>17</v>
      </c>
      <c r="C100" s="6" t="s">
        <v>19</v>
      </c>
      <c r="D100" s="6">
        <v>10</v>
      </c>
      <c r="E100" s="6">
        <v>3600</v>
      </c>
      <c r="F100" s="6">
        <v>0</v>
      </c>
      <c r="G100" s="6">
        <v>0</v>
      </c>
      <c r="H100" s="6">
        <v>0</v>
      </c>
      <c r="I100" s="6">
        <v>0</v>
      </c>
      <c r="J100" s="6">
        <v>1725</v>
      </c>
      <c r="K100" s="6">
        <f t="shared" si="4"/>
        <v>1725</v>
      </c>
      <c r="L100" s="6">
        <v>1875</v>
      </c>
      <c r="M100" s="8">
        <v>2275</v>
      </c>
      <c r="N100" s="6">
        <v>27</v>
      </c>
      <c r="O100" s="8">
        <f t="shared" si="5"/>
        <v>35.608695652173914</v>
      </c>
      <c r="Q100" s="10">
        <v>2431</v>
      </c>
      <c r="R100" s="10">
        <f t="shared" si="6"/>
        <v>4193475</v>
      </c>
      <c r="S100" s="10">
        <f t="shared" si="7"/>
        <v>5530525</v>
      </c>
    </row>
    <row r="101" spans="1:19" x14ac:dyDescent="0.25">
      <c r="A101" s="5" t="s">
        <v>116</v>
      </c>
      <c r="B101" s="6" t="s">
        <v>17</v>
      </c>
      <c r="C101" s="6" t="s">
        <v>19</v>
      </c>
      <c r="D101" s="6">
        <v>10</v>
      </c>
      <c r="E101" s="6">
        <v>3804</v>
      </c>
      <c r="F101" s="6">
        <v>7274</v>
      </c>
      <c r="G101" s="6">
        <v>0</v>
      </c>
      <c r="H101" s="6">
        <v>0</v>
      </c>
      <c r="I101" s="6">
        <v>0</v>
      </c>
      <c r="J101" s="6">
        <v>3960</v>
      </c>
      <c r="K101" s="6">
        <f t="shared" si="4"/>
        <v>3960</v>
      </c>
      <c r="L101" s="6">
        <v>7118</v>
      </c>
      <c r="M101" s="8">
        <v>7031.4000000000005</v>
      </c>
      <c r="N101" s="6">
        <v>27</v>
      </c>
      <c r="O101" s="8">
        <f t="shared" si="5"/>
        <v>47.94136363636364</v>
      </c>
      <c r="Q101" s="10">
        <v>4592</v>
      </c>
      <c r="R101" s="10">
        <f t="shared" si="6"/>
        <v>18184320</v>
      </c>
      <c r="S101" s="10">
        <f t="shared" si="7"/>
        <v>32288188.800000001</v>
      </c>
    </row>
    <row r="102" spans="1:19" x14ac:dyDescent="0.25">
      <c r="A102" s="5" t="s">
        <v>117</v>
      </c>
      <c r="B102" s="6" t="s">
        <v>17</v>
      </c>
      <c r="C102" s="6" t="s">
        <v>19</v>
      </c>
      <c r="D102" s="6">
        <v>10</v>
      </c>
      <c r="E102" s="6">
        <v>2350</v>
      </c>
      <c r="F102" s="6">
        <v>825</v>
      </c>
      <c r="G102" s="6">
        <v>0</v>
      </c>
      <c r="H102" s="6">
        <v>0</v>
      </c>
      <c r="I102" s="6">
        <v>0</v>
      </c>
      <c r="J102" s="6">
        <v>1250</v>
      </c>
      <c r="K102" s="6">
        <f t="shared" si="4"/>
        <v>1250</v>
      </c>
      <c r="L102" s="6">
        <v>1925</v>
      </c>
      <c r="M102" s="8">
        <v>1766.6666666666702</v>
      </c>
      <c r="N102" s="6">
        <v>27</v>
      </c>
      <c r="O102" s="8">
        <f t="shared" si="5"/>
        <v>38.160000000000075</v>
      </c>
      <c r="Q102" s="10">
        <v>2297</v>
      </c>
      <c r="R102" s="10">
        <f t="shared" si="6"/>
        <v>2871250</v>
      </c>
      <c r="S102" s="10">
        <f t="shared" si="7"/>
        <v>4058033.3333333414</v>
      </c>
    </row>
    <row r="103" spans="1:19" x14ac:dyDescent="0.25">
      <c r="A103" s="5" t="s">
        <v>118</v>
      </c>
      <c r="B103" s="6" t="s">
        <v>17</v>
      </c>
      <c r="C103" s="6" t="s">
        <v>19</v>
      </c>
      <c r="D103" s="6">
        <v>10</v>
      </c>
      <c r="E103" s="6">
        <v>2875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f t="shared" si="4"/>
        <v>0</v>
      </c>
      <c r="L103" s="6">
        <v>2875</v>
      </c>
      <c r="M103" s="8">
        <v>0</v>
      </c>
      <c r="N103" s="6">
        <v>27</v>
      </c>
      <c r="O103" s="8">
        <v>0</v>
      </c>
      <c r="Q103" s="10">
        <v>2616</v>
      </c>
      <c r="R103" s="10">
        <f>Q103*(I103+J103)</f>
        <v>0</v>
      </c>
      <c r="S103" s="10">
        <f t="shared" si="7"/>
        <v>0</v>
      </c>
    </row>
    <row r="104" spans="1:19" x14ac:dyDescent="0.25">
      <c r="A104" s="5" t="s">
        <v>119</v>
      </c>
      <c r="B104" s="6" t="s">
        <v>17</v>
      </c>
      <c r="C104" s="6" t="s">
        <v>19</v>
      </c>
      <c r="D104" s="6">
        <v>10</v>
      </c>
      <c r="E104" s="6">
        <v>9897</v>
      </c>
      <c r="F104" s="6">
        <v>14254</v>
      </c>
      <c r="G104" s="6">
        <v>0</v>
      </c>
      <c r="H104" s="6">
        <v>0</v>
      </c>
      <c r="I104" s="6">
        <v>0</v>
      </c>
      <c r="J104" s="6">
        <v>14551</v>
      </c>
      <c r="K104" s="6">
        <f t="shared" si="4"/>
        <v>14551</v>
      </c>
      <c r="L104" s="6">
        <v>9600</v>
      </c>
      <c r="M104" s="8">
        <v>9698.8333333333303</v>
      </c>
      <c r="N104" s="6">
        <v>27</v>
      </c>
      <c r="O104" s="8">
        <f t="shared" si="5"/>
        <v>17.996598171946939</v>
      </c>
      <c r="Q104" s="10">
        <v>1419</v>
      </c>
      <c r="R104" s="10">
        <f t="shared" si="6"/>
        <v>20647869</v>
      </c>
      <c r="S104" s="10">
        <f t="shared" si="7"/>
        <v>13762644.499999996</v>
      </c>
    </row>
    <row r="105" spans="1:19" x14ac:dyDescent="0.25">
      <c r="A105" s="5" t="s">
        <v>120</v>
      </c>
      <c r="B105" s="6" t="s">
        <v>17</v>
      </c>
      <c r="C105" s="6" t="s">
        <v>19</v>
      </c>
      <c r="D105" s="6">
        <v>10</v>
      </c>
      <c r="E105" s="6">
        <v>3244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f t="shared" si="4"/>
        <v>0</v>
      </c>
      <c r="L105" s="6">
        <v>3244</v>
      </c>
      <c r="M105" s="8">
        <v>0</v>
      </c>
      <c r="N105" s="6">
        <v>27</v>
      </c>
      <c r="O105" s="8">
        <v>0</v>
      </c>
      <c r="Q105" s="10">
        <v>2616</v>
      </c>
      <c r="R105" s="10">
        <f t="shared" si="6"/>
        <v>0</v>
      </c>
      <c r="S105" s="10">
        <f t="shared" si="7"/>
        <v>0</v>
      </c>
    </row>
    <row r="106" spans="1:19" x14ac:dyDescent="0.25">
      <c r="A106" s="5" t="s">
        <v>121</v>
      </c>
      <c r="B106" s="6" t="s">
        <v>17</v>
      </c>
      <c r="C106" s="6" t="s">
        <v>19</v>
      </c>
      <c r="D106" s="6">
        <v>10</v>
      </c>
      <c r="E106" s="6">
        <v>1519</v>
      </c>
      <c r="F106" s="6">
        <v>9420</v>
      </c>
      <c r="G106" s="6">
        <v>0</v>
      </c>
      <c r="H106" s="6">
        <v>0</v>
      </c>
      <c r="I106" s="6">
        <v>5750</v>
      </c>
      <c r="J106" s="6">
        <v>0</v>
      </c>
      <c r="K106" s="6">
        <f t="shared" si="4"/>
        <v>5750</v>
      </c>
      <c r="L106" s="6">
        <v>5189</v>
      </c>
      <c r="M106" s="8">
        <v>6307.5555555555602</v>
      </c>
      <c r="N106" s="6">
        <v>27</v>
      </c>
      <c r="O106" s="8">
        <f t="shared" si="5"/>
        <v>29.618086956521761</v>
      </c>
      <c r="Q106" s="10">
        <v>2246</v>
      </c>
      <c r="R106" s="10">
        <f t="shared" si="6"/>
        <v>12914500</v>
      </c>
      <c r="S106" s="10">
        <f t="shared" si="7"/>
        <v>14166769.777777787</v>
      </c>
    </row>
    <row r="107" spans="1:19" x14ac:dyDescent="0.25">
      <c r="A107" s="5" t="s">
        <v>122</v>
      </c>
      <c r="B107" s="6" t="s">
        <v>17</v>
      </c>
      <c r="C107" s="6" t="s">
        <v>19</v>
      </c>
      <c r="D107" s="6">
        <v>10</v>
      </c>
      <c r="E107" s="6">
        <v>6347</v>
      </c>
      <c r="F107" s="6">
        <v>6630</v>
      </c>
      <c r="G107" s="6">
        <v>0</v>
      </c>
      <c r="H107" s="6">
        <v>0</v>
      </c>
      <c r="I107" s="6">
        <v>675</v>
      </c>
      <c r="J107" s="6">
        <v>0</v>
      </c>
      <c r="K107" s="6">
        <f t="shared" si="4"/>
        <v>675</v>
      </c>
      <c r="L107" s="6">
        <v>12302</v>
      </c>
      <c r="M107" s="8">
        <v>11767</v>
      </c>
      <c r="N107" s="6">
        <v>27</v>
      </c>
      <c r="O107" s="8">
        <f t="shared" si="5"/>
        <v>470.67999999999995</v>
      </c>
      <c r="Q107" s="10">
        <v>2355</v>
      </c>
      <c r="R107" s="10">
        <f>Q107*(I107+J107)</f>
        <v>1589625</v>
      </c>
      <c r="S107" s="10">
        <f t="shared" si="7"/>
        <v>27711285</v>
      </c>
    </row>
    <row r="108" spans="1:19" x14ac:dyDescent="0.25">
      <c r="A108" s="5" t="s">
        <v>123</v>
      </c>
      <c r="B108" s="6" t="s">
        <v>17</v>
      </c>
      <c r="C108" s="6" t="s">
        <v>19</v>
      </c>
      <c r="D108" s="6">
        <v>10</v>
      </c>
      <c r="E108" s="6">
        <v>5266</v>
      </c>
      <c r="F108" s="6">
        <v>5722</v>
      </c>
      <c r="G108" s="6">
        <v>0</v>
      </c>
      <c r="H108" s="6">
        <v>0</v>
      </c>
      <c r="I108" s="6">
        <v>0</v>
      </c>
      <c r="J108" s="6">
        <v>9125</v>
      </c>
      <c r="K108" s="6">
        <f t="shared" si="4"/>
        <v>9125</v>
      </c>
      <c r="L108" s="6">
        <v>1863</v>
      </c>
      <c r="M108" s="8">
        <v>2824.2000000000003</v>
      </c>
      <c r="N108" s="6">
        <v>27</v>
      </c>
      <c r="O108" s="8">
        <f t="shared" si="5"/>
        <v>8.3565369863013714</v>
      </c>
      <c r="Q108" s="10">
        <v>2031</v>
      </c>
      <c r="R108" s="10">
        <f t="shared" si="6"/>
        <v>18532875</v>
      </c>
      <c r="S108" s="10">
        <f t="shared" si="7"/>
        <v>5735950.2000000002</v>
      </c>
    </row>
    <row r="109" spans="1:19" x14ac:dyDescent="0.25">
      <c r="A109" s="5" t="s">
        <v>124</v>
      </c>
      <c r="B109" s="6" t="s">
        <v>17</v>
      </c>
      <c r="C109" s="6" t="s">
        <v>19</v>
      </c>
      <c r="D109" s="6">
        <v>10</v>
      </c>
      <c r="E109" s="6">
        <v>2025</v>
      </c>
      <c r="F109" s="6">
        <v>1000</v>
      </c>
      <c r="G109" s="6">
        <v>0</v>
      </c>
      <c r="H109" s="6">
        <v>0</v>
      </c>
      <c r="I109" s="6">
        <v>25</v>
      </c>
      <c r="J109" s="6">
        <v>0</v>
      </c>
      <c r="K109" s="6">
        <f t="shared" si="4"/>
        <v>25</v>
      </c>
      <c r="L109" s="6">
        <v>3000</v>
      </c>
      <c r="M109" s="8">
        <v>3012.5</v>
      </c>
      <c r="N109" s="6">
        <v>27</v>
      </c>
      <c r="O109" s="8">
        <f t="shared" si="5"/>
        <v>3253.5</v>
      </c>
      <c r="Q109" s="10">
        <v>2108</v>
      </c>
      <c r="R109" s="10">
        <f t="shared" si="6"/>
        <v>52700</v>
      </c>
      <c r="S109" s="10">
        <f t="shared" si="7"/>
        <v>6350350</v>
      </c>
    </row>
    <row r="110" spans="1:19" x14ac:dyDescent="0.25">
      <c r="A110" s="5" t="s">
        <v>125</v>
      </c>
      <c r="B110" s="6" t="s">
        <v>17</v>
      </c>
      <c r="C110" s="6" t="s">
        <v>19</v>
      </c>
      <c r="D110" s="6">
        <v>10</v>
      </c>
      <c r="E110" s="6">
        <v>1575</v>
      </c>
      <c r="F110" s="6">
        <v>1000</v>
      </c>
      <c r="G110" s="6">
        <v>0</v>
      </c>
      <c r="H110" s="6">
        <v>0</v>
      </c>
      <c r="I110" s="6">
        <v>1000</v>
      </c>
      <c r="J110" s="6">
        <v>0</v>
      </c>
      <c r="K110" s="6">
        <f t="shared" si="4"/>
        <v>1000</v>
      </c>
      <c r="L110" s="6">
        <v>1575</v>
      </c>
      <c r="M110" s="8">
        <v>2075</v>
      </c>
      <c r="N110" s="6">
        <v>27</v>
      </c>
      <c r="O110" s="8">
        <f t="shared" si="5"/>
        <v>56.025000000000006</v>
      </c>
      <c r="Q110" s="10">
        <v>2173</v>
      </c>
      <c r="R110" s="10">
        <f t="shared" si="6"/>
        <v>2173000</v>
      </c>
      <c r="S110" s="10">
        <f t="shared" si="7"/>
        <v>4508975</v>
      </c>
    </row>
    <row r="111" spans="1:19" x14ac:dyDescent="0.25">
      <c r="A111" s="5" t="s">
        <v>129</v>
      </c>
      <c r="B111" s="6" t="s">
        <v>17</v>
      </c>
      <c r="C111" s="6" t="s">
        <v>19</v>
      </c>
      <c r="D111" s="6">
        <v>10</v>
      </c>
      <c r="E111" s="6">
        <v>2075</v>
      </c>
      <c r="F111" s="6">
        <v>3150</v>
      </c>
      <c r="G111" s="6">
        <v>0</v>
      </c>
      <c r="H111" s="6">
        <v>0</v>
      </c>
      <c r="I111" s="6">
        <v>3125</v>
      </c>
      <c r="J111" s="6">
        <v>0</v>
      </c>
      <c r="K111" s="6">
        <f t="shared" si="4"/>
        <v>3125</v>
      </c>
      <c r="L111" s="6">
        <v>2100</v>
      </c>
      <c r="M111" s="8">
        <v>2729.1666666666702</v>
      </c>
      <c r="N111" s="6">
        <v>27</v>
      </c>
      <c r="O111" s="8">
        <f t="shared" si="5"/>
        <v>23.58000000000003</v>
      </c>
      <c r="Q111" s="10">
        <v>2503</v>
      </c>
      <c r="R111" s="10">
        <f t="shared" si="6"/>
        <v>7821875</v>
      </c>
      <c r="S111" s="10">
        <f t="shared" si="7"/>
        <v>6831104.1666666754</v>
      </c>
    </row>
    <row r="112" spans="1:19" x14ac:dyDescent="0.25">
      <c r="A112" s="5" t="s">
        <v>130</v>
      </c>
      <c r="B112" s="6" t="s">
        <v>17</v>
      </c>
      <c r="C112" s="6" t="s">
        <v>19</v>
      </c>
      <c r="D112" s="6">
        <v>10</v>
      </c>
      <c r="E112" s="6">
        <v>2125</v>
      </c>
      <c r="F112" s="6">
        <v>3637</v>
      </c>
      <c r="G112" s="6">
        <v>0</v>
      </c>
      <c r="H112" s="6">
        <v>0</v>
      </c>
      <c r="I112" s="6">
        <v>5762</v>
      </c>
      <c r="J112" s="6">
        <v>0</v>
      </c>
      <c r="K112" s="6">
        <f t="shared" si="4"/>
        <v>5762</v>
      </c>
      <c r="L112" s="6">
        <v>0</v>
      </c>
      <c r="M112" s="8">
        <v>2887.375</v>
      </c>
      <c r="N112" s="6">
        <v>27</v>
      </c>
      <c r="O112" s="8">
        <f t="shared" si="5"/>
        <v>13.529872440124956</v>
      </c>
      <c r="Q112" s="10">
        <v>2355</v>
      </c>
      <c r="R112" s="10">
        <f t="shared" si="6"/>
        <v>13569510</v>
      </c>
      <c r="S112" s="10">
        <f t="shared" si="7"/>
        <v>6799768.125</v>
      </c>
    </row>
    <row r="113" spans="1:19" x14ac:dyDescent="0.25">
      <c r="A113" s="5" t="s">
        <v>131</v>
      </c>
      <c r="B113" s="6" t="s">
        <v>17</v>
      </c>
      <c r="C113" s="6" t="s">
        <v>19</v>
      </c>
      <c r="D113" s="6">
        <v>10</v>
      </c>
      <c r="E113" s="6">
        <v>2465</v>
      </c>
      <c r="F113" s="6">
        <v>0</v>
      </c>
      <c r="G113" s="6">
        <v>0</v>
      </c>
      <c r="H113" s="6">
        <v>0</v>
      </c>
      <c r="I113" s="6">
        <v>400</v>
      </c>
      <c r="J113" s="6">
        <v>0</v>
      </c>
      <c r="K113" s="6">
        <f t="shared" si="4"/>
        <v>400</v>
      </c>
      <c r="L113" s="6">
        <v>2065</v>
      </c>
      <c r="M113" s="8">
        <v>2165</v>
      </c>
      <c r="N113" s="6">
        <v>27</v>
      </c>
      <c r="O113" s="8">
        <f t="shared" si="5"/>
        <v>146.13749999999999</v>
      </c>
      <c r="Q113" s="10">
        <v>2216</v>
      </c>
      <c r="R113" s="10">
        <f t="shared" si="6"/>
        <v>886400</v>
      </c>
      <c r="S113" s="10">
        <f t="shared" si="7"/>
        <v>4797640</v>
      </c>
    </row>
    <row r="114" spans="1:19" x14ac:dyDescent="0.25">
      <c r="A114" s="5" t="s">
        <v>132</v>
      </c>
      <c r="B114" s="6" t="s">
        <v>17</v>
      </c>
      <c r="C114" s="6" t="s">
        <v>19</v>
      </c>
      <c r="D114" s="6">
        <v>10</v>
      </c>
      <c r="E114" s="6">
        <v>900</v>
      </c>
      <c r="F114" s="6">
        <v>2100</v>
      </c>
      <c r="G114" s="6">
        <v>0</v>
      </c>
      <c r="H114" s="6">
        <v>0</v>
      </c>
      <c r="I114" s="6">
        <v>400</v>
      </c>
      <c r="J114" s="6">
        <v>0</v>
      </c>
      <c r="K114" s="6">
        <f t="shared" si="4"/>
        <v>400</v>
      </c>
      <c r="L114" s="6">
        <v>2600</v>
      </c>
      <c r="M114" s="8">
        <v>2766.6666666666702</v>
      </c>
      <c r="N114" s="6">
        <v>27</v>
      </c>
      <c r="O114" s="8">
        <f t="shared" si="5"/>
        <v>186.75000000000023</v>
      </c>
      <c r="Q114" s="10">
        <v>1968</v>
      </c>
      <c r="R114" s="10">
        <f t="shared" si="6"/>
        <v>787200</v>
      </c>
      <c r="S114" s="10">
        <f t="shared" si="7"/>
        <v>5444800.0000000065</v>
      </c>
    </row>
    <row r="115" spans="1:19" x14ac:dyDescent="0.25">
      <c r="A115" s="5" t="s">
        <v>3</v>
      </c>
      <c r="B115" s="6" t="s">
        <v>17</v>
      </c>
      <c r="C115" s="6" t="s">
        <v>19</v>
      </c>
      <c r="D115" s="6">
        <v>10</v>
      </c>
      <c r="E115" s="6">
        <v>2800</v>
      </c>
      <c r="F115" s="6">
        <v>2000</v>
      </c>
      <c r="G115" s="6">
        <v>0</v>
      </c>
      <c r="H115" s="6">
        <v>0</v>
      </c>
      <c r="I115" s="6">
        <v>0</v>
      </c>
      <c r="J115" s="6">
        <v>2800</v>
      </c>
      <c r="K115" s="6">
        <f t="shared" si="4"/>
        <v>2800</v>
      </c>
      <c r="L115" s="6">
        <v>2000</v>
      </c>
      <c r="M115" s="8">
        <v>3408.3333333333298</v>
      </c>
      <c r="N115" s="6">
        <v>27</v>
      </c>
      <c r="O115" s="8">
        <f t="shared" si="5"/>
        <v>32.866071428571395</v>
      </c>
      <c r="Q115" s="10">
        <v>2297</v>
      </c>
      <c r="R115" s="10">
        <f t="shared" si="6"/>
        <v>6431600</v>
      </c>
      <c r="S115" s="10">
        <f t="shared" si="7"/>
        <v>7828941.6666666586</v>
      </c>
    </row>
    <row r="116" spans="1:19" x14ac:dyDescent="0.25">
      <c r="A116" s="5" t="s">
        <v>4</v>
      </c>
      <c r="B116" s="6" t="s">
        <v>17</v>
      </c>
      <c r="C116" s="6" t="s">
        <v>19</v>
      </c>
      <c r="D116" s="6">
        <v>10</v>
      </c>
      <c r="E116" s="6">
        <v>2500</v>
      </c>
      <c r="F116" s="6">
        <v>0</v>
      </c>
      <c r="G116" s="6">
        <v>0</v>
      </c>
      <c r="H116" s="6">
        <v>0</v>
      </c>
      <c r="I116" s="6">
        <v>0</v>
      </c>
      <c r="J116" s="6">
        <v>225</v>
      </c>
      <c r="K116" s="6">
        <f t="shared" si="4"/>
        <v>225</v>
      </c>
      <c r="L116" s="6">
        <v>2275</v>
      </c>
      <c r="M116" s="8">
        <v>2275</v>
      </c>
      <c r="N116" s="6">
        <v>27</v>
      </c>
      <c r="O116" s="8">
        <f t="shared" si="5"/>
        <v>273</v>
      </c>
      <c r="Q116" s="10">
        <v>2616</v>
      </c>
      <c r="R116" s="10">
        <f t="shared" si="6"/>
        <v>588600</v>
      </c>
      <c r="S116" s="10">
        <f t="shared" si="7"/>
        <v>5951400</v>
      </c>
    </row>
    <row r="117" spans="1:19" x14ac:dyDescent="0.25">
      <c r="A117" s="5" t="s">
        <v>136</v>
      </c>
      <c r="B117" s="6" t="s">
        <v>17</v>
      </c>
      <c r="C117" s="6" t="s">
        <v>19</v>
      </c>
      <c r="D117" s="6">
        <v>10</v>
      </c>
      <c r="E117" s="6">
        <v>1479</v>
      </c>
      <c r="F117" s="6">
        <v>1050</v>
      </c>
      <c r="G117" s="6">
        <v>0</v>
      </c>
      <c r="H117" s="6">
        <v>0</v>
      </c>
      <c r="I117" s="6">
        <v>375</v>
      </c>
      <c r="J117" s="6">
        <v>0</v>
      </c>
      <c r="K117" s="6">
        <f t="shared" si="4"/>
        <v>375</v>
      </c>
      <c r="L117" s="6">
        <v>2154</v>
      </c>
      <c r="M117" s="8">
        <v>2279</v>
      </c>
      <c r="N117" s="6">
        <v>27</v>
      </c>
      <c r="O117" s="8">
        <f t="shared" si="5"/>
        <v>164.08800000000002</v>
      </c>
      <c r="Q117" s="10">
        <v>2355</v>
      </c>
      <c r="R117" s="10">
        <f t="shared" si="6"/>
        <v>883125</v>
      </c>
      <c r="S117" s="10">
        <f t="shared" si="7"/>
        <v>5367045</v>
      </c>
    </row>
    <row r="118" spans="1:19" x14ac:dyDescent="0.25">
      <c r="A118" s="5" t="s">
        <v>137</v>
      </c>
      <c r="B118" s="6" t="s">
        <v>17</v>
      </c>
      <c r="C118" s="6" t="s">
        <v>19</v>
      </c>
      <c r="D118" s="6">
        <v>10</v>
      </c>
      <c r="E118" s="6">
        <v>1700</v>
      </c>
      <c r="F118" s="6">
        <v>0</v>
      </c>
      <c r="G118" s="6">
        <v>0</v>
      </c>
      <c r="H118" s="6">
        <v>0</v>
      </c>
      <c r="I118" s="6">
        <v>750</v>
      </c>
      <c r="J118" s="6">
        <v>0</v>
      </c>
      <c r="K118" s="6">
        <f t="shared" si="4"/>
        <v>750</v>
      </c>
      <c r="L118" s="6">
        <v>950</v>
      </c>
      <c r="M118" s="8">
        <v>1200</v>
      </c>
      <c r="N118" s="6">
        <v>27</v>
      </c>
      <c r="O118" s="8">
        <f t="shared" si="5"/>
        <v>43.2</v>
      </c>
      <c r="Q118" s="10">
        <v>2372</v>
      </c>
      <c r="R118" s="10">
        <f t="shared" si="6"/>
        <v>1779000</v>
      </c>
      <c r="S118" s="10">
        <f t="shared" si="7"/>
        <v>2846400</v>
      </c>
    </row>
    <row r="119" spans="1:19" x14ac:dyDescent="0.25">
      <c r="A119" s="5" t="s">
        <v>138</v>
      </c>
      <c r="B119" s="6" t="s">
        <v>17</v>
      </c>
      <c r="C119" s="6" t="s">
        <v>19</v>
      </c>
      <c r="D119" s="6">
        <v>10</v>
      </c>
      <c r="E119" s="6">
        <v>1225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f t="shared" si="4"/>
        <v>0</v>
      </c>
      <c r="L119" s="6">
        <v>1225</v>
      </c>
      <c r="M119" s="8">
        <v>0</v>
      </c>
      <c r="N119" s="6">
        <v>27</v>
      </c>
      <c r="O119" s="8">
        <v>0</v>
      </c>
      <c r="Q119" s="10">
        <v>3482</v>
      </c>
      <c r="R119" s="10">
        <f t="shared" si="6"/>
        <v>0</v>
      </c>
      <c r="S119" s="10">
        <f t="shared" si="7"/>
        <v>0</v>
      </c>
    </row>
    <row r="120" spans="1:19" x14ac:dyDescent="0.25">
      <c r="A120" s="5" t="s">
        <v>139</v>
      </c>
      <c r="B120" s="6" t="s">
        <v>17</v>
      </c>
      <c r="C120" s="6" t="s">
        <v>19</v>
      </c>
      <c r="D120" s="6">
        <v>10</v>
      </c>
      <c r="E120" s="6">
        <v>2100</v>
      </c>
      <c r="F120" s="6">
        <v>0</v>
      </c>
      <c r="G120" s="6">
        <v>0</v>
      </c>
      <c r="H120" s="6">
        <v>0</v>
      </c>
      <c r="I120" s="6">
        <v>1050</v>
      </c>
      <c r="J120" s="6">
        <v>0</v>
      </c>
      <c r="K120" s="6">
        <f t="shared" si="4"/>
        <v>1050</v>
      </c>
      <c r="L120" s="6">
        <v>1050</v>
      </c>
      <c r="M120" s="8">
        <v>1500</v>
      </c>
      <c r="N120" s="6">
        <v>27</v>
      </c>
      <c r="O120" s="8">
        <f t="shared" si="5"/>
        <v>38.571428571428569</v>
      </c>
      <c r="Q120" s="10">
        <v>2555</v>
      </c>
      <c r="R120" s="10">
        <f t="shared" si="6"/>
        <v>2682750</v>
      </c>
      <c r="S120" s="10">
        <f t="shared" si="7"/>
        <v>3832500</v>
      </c>
    </row>
    <row r="121" spans="1:19" x14ac:dyDescent="0.25">
      <c r="A121" s="5" t="s">
        <v>140</v>
      </c>
      <c r="B121" s="6" t="s">
        <v>17</v>
      </c>
      <c r="C121" s="6" t="s">
        <v>19</v>
      </c>
      <c r="D121" s="6">
        <v>10</v>
      </c>
      <c r="E121" s="6">
        <v>489</v>
      </c>
      <c r="F121" s="6">
        <v>2625</v>
      </c>
      <c r="G121" s="6">
        <v>0</v>
      </c>
      <c r="H121" s="6">
        <v>0</v>
      </c>
      <c r="I121" s="6">
        <v>1039</v>
      </c>
      <c r="J121" s="6">
        <v>0</v>
      </c>
      <c r="K121" s="6">
        <f t="shared" si="4"/>
        <v>1039</v>
      </c>
      <c r="L121" s="6">
        <v>2075</v>
      </c>
      <c r="M121" s="8">
        <v>1232.1428571428601</v>
      </c>
      <c r="N121" s="6">
        <v>27</v>
      </c>
      <c r="O121" s="8">
        <f t="shared" si="5"/>
        <v>32.019111783308205</v>
      </c>
      <c r="Q121" s="10">
        <v>3665</v>
      </c>
      <c r="R121" s="10">
        <f t="shared" si="6"/>
        <v>3807935</v>
      </c>
      <c r="S121" s="10">
        <f t="shared" si="7"/>
        <v>4515803.5714285821</v>
      </c>
    </row>
    <row r="122" spans="1:19" x14ac:dyDescent="0.25">
      <c r="A122" s="5" t="s">
        <v>141</v>
      </c>
      <c r="B122" s="6" t="s">
        <v>17</v>
      </c>
      <c r="C122" s="6" t="s">
        <v>19</v>
      </c>
      <c r="D122" s="6">
        <v>10</v>
      </c>
      <c r="E122" s="6">
        <v>1522</v>
      </c>
      <c r="F122" s="6">
        <v>0</v>
      </c>
      <c r="G122" s="6">
        <v>0</v>
      </c>
      <c r="H122" s="6">
        <v>0</v>
      </c>
      <c r="I122" s="6">
        <v>1522</v>
      </c>
      <c r="J122" s="6">
        <v>0</v>
      </c>
      <c r="K122" s="6">
        <f t="shared" si="4"/>
        <v>1522</v>
      </c>
      <c r="L122" s="6">
        <v>0</v>
      </c>
      <c r="M122" s="8">
        <v>148.5</v>
      </c>
      <c r="N122" s="6">
        <v>27</v>
      </c>
      <c r="O122" s="8">
        <f t="shared" si="5"/>
        <v>2.6343626806833114</v>
      </c>
      <c r="Q122" s="10">
        <v>1904</v>
      </c>
      <c r="R122" s="10">
        <f t="shared" si="6"/>
        <v>2897888</v>
      </c>
      <c r="S122" s="10">
        <f t="shared" si="7"/>
        <v>282744</v>
      </c>
    </row>
    <row r="123" spans="1:19" x14ac:dyDescent="0.25">
      <c r="A123" s="5" t="s">
        <v>142</v>
      </c>
      <c r="B123" s="6" t="s">
        <v>17</v>
      </c>
      <c r="C123" s="6" t="s">
        <v>19</v>
      </c>
      <c r="D123" s="6">
        <v>10</v>
      </c>
      <c r="E123" s="6">
        <v>3400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f t="shared" si="4"/>
        <v>0</v>
      </c>
      <c r="L123" s="6">
        <v>3400</v>
      </c>
      <c r="M123" s="8">
        <v>0</v>
      </c>
      <c r="N123" s="6">
        <v>27</v>
      </c>
      <c r="O123" s="8">
        <v>0</v>
      </c>
      <c r="Q123" s="10">
        <v>994</v>
      </c>
      <c r="R123" s="10">
        <f t="shared" si="6"/>
        <v>0</v>
      </c>
      <c r="S123" s="10">
        <f t="shared" si="7"/>
        <v>0</v>
      </c>
    </row>
    <row r="124" spans="1:19" x14ac:dyDescent="0.25">
      <c r="A124" s="5" t="s">
        <v>143</v>
      </c>
      <c r="B124" s="6" t="s">
        <v>17</v>
      </c>
      <c r="C124" s="6" t="s">
        <v>19</v>
      </c>
      <c r="D124" s="6">
        <v>10</v>
      </c>
      <c r="E124" s="6">
        <v>3000</v>
      </c>
      <c r="F124" s="6">
        <v>2500</v>
      </c>
      <c r="G124" s="6">
        <v>0</v>
      </c>
      <c r="H124" s="6">
        <v>0</v>
      </c>
      <c r="I124" s="6">
        <v>0</v>
      </c>
      <c r="J124" s="6">
        <v>2500</v>
      </c>
      <c r="K124" s="6">
        <f t="shared" si="4"/>
        <v>2500</v>
      </c>
      <c r="L124" s="6">
        <v>3000</v>
      </c>
      <c r="M124" s="8">
        <v>3833.3333333333298</v>
      </c>
      <c r="N124" s="6">
        <v>27</v>
      </c>
      <c r="O124" s="8">
        <f t="shared" si="5"/>
        <v>41.399999999999963</v>
      </c>
      <c r="Q124" s="10">
        <v>994</v>
      </c>
      <c r="R124" s="10">
        <f t="shared" si="6"/>
        <v>2485000</v>
      </c>
      <c r="S124" s="10">
        <f t="shared" si="7"/>
        <v>3810333.3333333298</v>
      </c>
    </row>
    <row r="125" spans="1:19" x14ac:dyDescent="0.25">
      <c r="A125" s="5" t="s">
        <v>144</v>
      </c>
      <c r="B125" s="6" t="s">
        <v>17</v>
      </c>
      <c r="C125" s="6" t="s">
        <v>19</v>
      </c>
      <c r="D125" s="6">
        <v>10</v>
      </c>
      <c r="E125" s="6">
        <v>1295</v>
      </c>
      <c r="F125" s="6">
        <v>0</v>
      </c>
      <c r="G125" s="6">
        <v>0</v>
      </c>
      <c r="H125" s="6">
        <v>0</v>
      </c>
      <c r="I125" s="6">
        <v>0</v>
      </c>
      <c r="J125" s="6">
        <v>1020</v>
      </c>
      <c r="K125" s="6">
        <f t="shared" si="4"/>
        <v>1020</v>
      </c>
      <c r="L125" s="6">
        <v>275</v>
      </c>
      <c r="M125" s="8">
        <v>758.33333333333303</v>
      </c>
      <c r="N125" s="6">
        <v>27</v>
      </c>
      <c r="O125" s="8">
        <f t="shared" si="5"/>
        <v>20.073529411764696</v>
      </c>
      <c r="Q125" s="10">
        <v>3489</v>
      </c>
      <c r="R125" s="10">
        <f t="shared" si="6"/>
        <v>3558780</v>
      </c>
      <c r="S125" s="10">
        <f t="shared" si="7"/>
        <v>2645824.9999999991</v>
      </c>
    </row>
    <row r="126" spans="1:19" x14ac:dyDescent="0.25">
      <c r="A126" s="5" t="s">
        <v>169</v>
      </c>
      <c r="B126" s="6" t="s">
        <v>17</v>
      </c>
      <c r="C126" s="6" t="s">
        <v>19</v>
      </c>
      <c r="D126" s="6">
        <v>10</v>
      </c>
      <c r="E126" s="6">
        <v>750</v>
      </c>
      <c r="F126" s="6">
        <v>1050</v>
      </c>
      <c r="G126" s="6">
        <v>0</v>
      </c>
      <c r="H126" s="6">
        <v>0</v>
      </c>
      <c r="I126" s="6">
        <v>250</v>
      </c>
      <c r="J126" s="6">
        <v>0</v>
      </c>
      <c r="K126" s="6">
        <f t="shared" si="4"/>
        <v>250</v>
      </c>
      <c r="L126" s="6">
        <v>1550</v>
      </c>
      <c r="M126" s="8">
        <v>1025</v>
      </c>
      <c r="N126" s="6">
        <v>27</v>
      </c>
      <c r="O126" s="8">
        <f t="shared" si="5"/>
        <v>110.69999999999999</v>
      </c>
      <c r="Q126" s="10">
        <v>3162</v>
      </c>
      <c r="R126" s="10">
        <f t="shared" si="6"/>
        <v>790500</v>
      </c>
      <c r="S126" s="10">
        <f t="shared" si="7"/>
        <v>3241050</v>
      </c>
    </row>
    <row r="127" spans="1:19" x14ac:dyDescent="0.25">
      <c r="A127" s="5" t="s">
        <v>170</v>
      </c>
      <c r="B127" s="6" t="s">
        <v>17</v>
      </c>
      <c r="C127" s="6" t="s">
        <v>19</v>
      </c>
      <c r="D127" s="6">
        <v>10</v>
      </c>
      <c r="E127" s="6">
        <v>3809</v>
      </c>
      <c r="F127" s="6">
        <v>2100</v>
      </c>
      <c r="G127" s="6">
        <v>0</v>
      </c>
      <c r="H127" s="6">
        <v>0</v>
      </c>
      <c r="I127" s="6">
        <v>4115</v>
      </c>
      <c r="J127" s="6">
        <v>0</v>
      </c>
      <c r="K127" s="6">
        <f t="shared" si="4"/>
        <v>4115</v>
      </c>
      <c r="L127" s="6">
        <v>1794</v>
      </c>
      <c r="M127" s="8">
        <v>3223</v>
      </c>
      <c r="N127" s="6">
        <v>27</v>
      </c>
      <c r="O127" s="8">
        <f t="shared" si="5"/>
        <v>21.14726609963548</v>
      </c>
      <c r="Q127" s="10">
        <v>3567</v>
      </c>
      <c r="R127" s="10">
        <f t="shared" si="6"/>
        <v>14678205</v>
      </c>
      <c r="S127" s="10">
        <f t="shared" si="7"/>
        <v>11496441</v>
      </c>
    </row>
    <row r="128" spans="1:19" x14ac:dyDescent="0.25">
      <c r="A128" s="5" t="s">
        <v>171</v>
      </c>
      <c r="B128" s="6" t="s">
        <v>17</v>
      </c>
      <c r="C128" s="6" t="s">
        <v>19</v>
      </c>
      <c r="D128" s="6">
        <v>10</v>
      </c>
      <c r="E128" s="6">
        <v>1450</v>
      </c>
      <c r="F128" s="6">
        <v>0</v>
      </c>
      <c r="G128" s="6">
        <v>0</v>
      </c>
      <c r="H128" s="6">
        <v>0</v>
      </c>
      <c r="I128" s="6">
        <v>250</v>
      </c>
      <c r="J128" s="6">
        <v>0</v>
      </c>
      <c r="K128" s="6">
        <f t="shared" si="4"/>
        <v>250</v>
      </c>
      <c r="L128" s="6">
        <v>1200</v>
      </c>
      <c r="M128" s="8">
        <v>1283.3333333333301</v>
      </c>
      <c r="N128" s="6">
        <v>27</v>
      </c>
      <c r="O128" s="8">
        <f t="shared" si="5"/>
        <v>138.59999999999965</v>
      </c>
      <c r="Q128" s="10">
        <v>3850</v>
      </c>
      <c r="R128" s="10">
        <f t="shared" si="6"/>
        <v>962500</v>
      </c>
      <c r="S128" s="10">
        <f t="shared" si="7"/>
        <v>4940833.3333333209</v>
      </c>
    </row>
    <row r="129" spans="1:19" x14ac:dyDescent="0.25">
      <c r="A129" s="5" t="s">
        <v>172</v>
      </c>
      <c r="B129" s="6" t="s">
        <v>17</v>
      </c>
      <c r="C129" s="6" t="s">
        <v>19</v>
      </c>
      <c r="D129" s="6">
        <v>10</v>
      </c>
      <c r="E129" s="6">
        <v>1500</v>
      </c>
      <c r="F129" s="6">
        <v>0</v>
      </c>
      <c r="G129" s="6">
        <v>0</v>
      </c>
      <c r="H129" s="6">
        <v>0</v>
      </c>
      <c r="I129" s="6">
        <v>0</v>
      </c>
      <c r="J129" s="6">
        <v>500</v>
      </c>
      <c r="K129" s="6">
        <f t="shared" si="4"/>
        <v>500</v>
      </c>
      <c r="L129" s="6">
        <v>1000</v>
      </c>
      <c r="M129" s="8">
        <v>1000</v>
      </c>
      <c r="N129" s="6">
        <v>27</v>
      </c>
      <c r="O129" s="8">
        <f t="shared" si="5"/>
        <v>54</v>
      </c>
      <c r="Q129" s="10">
        <v>1402</v>
      </c>
      <c r="R129" s="10">
        <f t="shared" si="6"/>
        <v>701000</v>
      </c>
      <c r="S129" s="10">
        <f t="shared" si="7"/>
        <v>1402000</v>
      </c>
    </row>
    <row r="130" spans="1:19" x14ac:dyDescent="0.25">
      <c r="A130" s="5" t="s">
        <v>146</v>
      </c>
      <c r="B130" s="6" t="s">
        <v>17</v>
      </c>
      <c r="C130" s="6" t="s">
        <v>19</v>
      </c>
      <c r="D130" s="6">
        <v>10</v>
      </c>
      <c r="E130" s="6">
        <v>11225</v>
      </c>
      <c r="F130" s="6">
        <v>5175</v>
      </c>
      <c r="G130" s="6">
        <v>0</v>
      </c>
      <c r="H130" s="6">
        <v>0</v>
      </c>
      <c r="I130" s="6">
        <v>2800</v>
      </c>
      <c r="J130" s="6">
        <v>5075</v>
      </c>
      <c r="K130" s="6">
        <f t="shared" si="4"/>
        <v>7875</v>
      </c>
      <c r="L130" s="6">
        <v>8525</v>
      </c>
      <c r="M130" s="8">
        <v>11145</v>
      </c>
      <c r="N130" s="6">
        <v>27</v>
      </c>
      <c r="O130" s="8">
        <f t="shared" si="5"/>
        <v>38.21142857142857</v>
      </c>
      <c r="Q130" s="10">
        <v>6112</v>
      </c>
      <c r="R130" s="10">
        <f t="shared" si="6"/>
        <v>48132000</v>
      </c>
      <c r="S130" s="10">
        <f t="shared" si="7"/>
        <v>68118240</v>
      </c>
    </row>
    <row r="131" spans="1:19" x14ac:dyDescent="0.25">
      <c r="A131" s="5" t="s">
        <v>147</v>
      </c>
      <c r="B131" s="6" t="s">
        <v>17</v>
      </c>
      <c r="C131" s="6" t="s">
        <v>19</v>
      </c>
      <c r="D131" s="6">
        <v>10</v>
      </c>
      <c r="E131" s="6">
        <v>572</v>
      </c>
      <c r="F131" s="6">
        <v>1000</v>
      </c>
      <c r="G131" s="6">
        <v>0</v>
      </c>
      <c r="H131" s="6">
        <v>0</v>
      </c>
      <c r="I131" s="6">
        <v>50</v>
      </c>
      <c r="J131" s="6">
        <v>950</v>
      </c>
      <c r="K131" s="6">
        <f t="shared" ref="K131:K159" si="8">I131+J131</f>
        <v>1000</v>
      </c>
      <c r="L131" s="6">
        <v>572</v>
      </c>
      <c r="M131" s="8">
        <v>1126.1666666666702</v>
      </c>
      <c r="N131" s="6">
        <v>27</v>
      </c>
      <c r="O131" s="8">
        <f t="shared" ref="O131:O159" si="9">(M131/(I131+J131))*N131</f>
        <v>30.406500000000094</v>
      </c>
      <c r="Q131" s="10">
        <v>2392</v>
      </c>
      <c r="R131" s="10">
        <f t="shared" ref="R131:R159" si="10">Q131*(I131+J131)</f>
        <v>2392000</v>
      </c>
      <c r="S131" s="10">
        <f t="shared" ref="S131:S159" si="11">Q131*M131</f>
        <v>2693790.6666666749</v>
      </c>
    </row>
    <row r="132" spans="1:19" x14ac:dyDescent="0.25">
      <c r="A132" s="5" t="s">
        <v>148</v>
      </c>
      <c r="B132" s="6" t="s">
        <v>17</v>
      </c>
      <c r="C132" s="6" t="s">
        <v>19</v>
      </c>
      <c r="D132" s="6">
        <v>10</v>
      </c>
      <c r="E132" s="6">
        <v>24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f t="shared" si="8"/>
        <v>0</v>
      </c>
      <c r="L132" s="6">
        <v>24</v>
      </c>
      <c r="M132" s="8">
        <v>0</v>
      </c>
      <c r="N132" s="6">
        <v>27</v>
      </c>
      <c r="O132" s="8">
        <v>0</v>
      </c>
      <c r="Q132" s="10">
        <v>2651</v>
      </c>
      <c r="R132" s="10">
        <f t="shared" si="10"/>
        <v>0</v>
      </c>
      <c r="S132" s="10">
        <f t="shared" si="11"/>
        <v>0</v>
      </c>
    </row>
    <row r="133" spans="1:19" x14ac:dyDescent="0.25">
      <c r="A133" s="2" t="s">
        <v>15</v>
      </c>
      <c r="B133" s="6" t="s">
        <v>17</v>
      </c>
      <c r="C133" s="6" t="s">
        <v>19</v>
      </c>
      <c r="D133" s="6">
        <v>10</v>
      </c>
      <c r="E133" s="6">
        <v>1020</v>
      </c>
      <c r="F133" s="6">
        <v>1020</v>
      </c>
      <c r="G133" s="6">
        <v>0</v>
      </c>
      <c r="H133" s="6">
        <v>0</v>
      </c>
      <c r="I133" s="6">
        <v>1020</v>
      </c>
      <c r="J133" s="6">
        <v>0</v>
      </c>
      <c r="K133" s="6">
        <f t="shared" si="8"/>
        <v>1020</v>
      </c>
      <c r="L133" s="6">
        <v>1020</v>
      </c>
      <c r="M133" s="8">
        <v>1401.6666666666702</v>
      </c>
      <c r="N133" s="6">
        <v>27</v>
      </c>
      <c r="O133" s="8">
        <f t="shared" si="9"/>
        <v>37.102941176470679</v>
      </c>
      <c r="Q133" s="10">
        <v>2651</v>
      </c>
      <c r="R133" s="10">
        <f t="shared" si="10"/>
        <v>2704020</v>
      </c>
      <c r="S133" s="10">
        <f t="shared" si="11"/>
        <v>3715818.3333333428</v>
      </c>
    </row>
    <row r="134" spans="1:19" x14ac:dyDescent="0.25">
      <c r="A134" s="5" t="s">
        <v>149</v>
      </c>
      <c r="B134" s="6" t="s">
        <v>17</v>
      </c>
      <c r="C134" s="6" t="s">
        <v>19</v>
      </c>
      <c r="D134" s="6">
        <v>10</v>
      </c>
      <c r="E134" s="6">
        <v>941</v>
      </c>
      <c r="F134" s="6">
        <v>1010</v>
      </c>
      <c r="G134" s="6">
        <v>0</v>
      </c>
      <c r="H134" s="6">
        <v>0</v>
      </c>
      <c r="I134" s="6">
        <v>520</v>
      </c>
      <c r="J134" s="6">
        <v>0</v>
      </c>
      <c r="K134" s="6">
        <f t="shared" si="8"/>
        <v>520</v>
      </c>
      <c r="L134" s="6">
        <v>1431</v>
      </c>
      <c r="M134" s="8">
        <v>1086</v>
      </c>
      <c r="N134" s="6">
        <v>27</v>
      </c>
      <c r="O134" s="8">
        <f t="shared" si="9"/>
        <v>56.388461538461542</v>
      </c>
      <c r="Q134" s="10">
        <v>4343</v>
      </c>
      <c r="R134" s="10">
        <f t="shared" si="10"/>
        <v>2258360</v>
      </c>
      <c r="S134" s="10">
        <f t="shared" si="11"/>
        <v>4716498</v>
      </c>
    </row>
    <row r="135" spans="1:19" x14ac:dyDescent="0.25">
      <c r="A135" s="5" t="s">
        <v>150</v>
      </c>
      <c r="B135" s="6" t="s">
        <v>17</v>
      </c>
      <c r="C135" s="6" t="s">
        <v>19</v>
      </c>
      <c r="D135" s="6">
        <v>10</v>
      </c>
      <c r="E135" s="6">
        <v>1068</v>
      </c>
      <c r="F135" s="6">
        <v>2026</v>
      </c>
      <c r="G135" s="6">
        <v>0</v>
      </c>
      <c r="H135" s="6">
        <v>0</v>
      </c>
      <c r="I135" s="6">
        <v>1050</v>
      </c>
      <c r="J135" s="6">
        <v>0</v>
      </c>
      <c r="K135" s="6">
        <f t="shared" si="8"/>
        <v>1050</v>
      </c>
      <c r="L135" s="6">
        <v>2044</v>
      </c>
      <c r="M135" s="8">
        <v>1935</v>
      </c>
      <c r="N135" s="6">
        <v>27</v>
      </c>
      <c r="O135" s="8">
        <f t="shared" si="9"/>
        <v>49.757142857142853</v>
      </c>
      <c r="Q135" s="10">
        <v>2970</v>
      </c>
      <c r="R135" s="10">
        <f t="shared" si="10"/>
        <v>3118500</v>
      </c>
      <c r="S135" s="10">
        <f t="shared" si="11"/>
        <v>5746950</v>
      </c>
    </row>
    <row r="136" spans="1:19" x14ac:dyDescent="0.25">
      <c r="A136" s="5" t="s">
        <v>8</v>
      </c>
      <c r="B136" s="6" t="s">
        <v>17</v>
      </c>
      <c r="C136" s="6" t="s">
        <v>19</v>
      </c>
      <c r="D136" s="6">
        <v>10</v>
      </c>
      <c r="E136" s="6">
        <v>2223</v>
      </c>
      <c r="F136" s="6">
        <v>0</v>
      </c>
      <c r="G136" s="6">
        <v>0</v>
      </c>
      <c r="H136" s="6">
        <v>0</v>
      </c>
      <c r="I136" s="6">
        <v>1475</v>
      </c>
      <c r="J136" s="6">
        <v>0</v>
      </c>
      <c r="K136" s="6">
        <f t="shared" si="8"/>
        <v>1475</v>
      </c>
      <c r="L136" s="6">
        <v>748</v>
      </c>
      <c r="M136" s="8">
        <v>1323</v>
      </c>
      <c r="N136" s="6">
        <v>27</v>
      </c>
      <c r="O136" s="8">
        <f t="shared" si="9"/>
        <v>24.217627118644067</v>
      </c>
      <c r="Q136" s="10">
        <v>2970</v>
      </c>
      <c r="R136" s="10">
        <f t="shared" si="10"/>
        <v>4380750</v>
      </c>
      <c r="S136" s="10">
        <f t="shared" si="11"/>
        <v>3929310</v>
      </c>
    </row>
    <row r="137" spans="1:19" x14ac:dyDescent="0.25">
      <c r="A137" s="5" t="s">
        <v>152</v>
      </c>
      <c r="B137" s="6" t="s">
        <v>17</v>
      </c>
      <c r="C137" s="6" t="s">
        <v>19</v>
      </c>
      <c r="D137" s="6">
        <v>10</v>
      </c>
      <c r="E137" s="6">
        <v>730</v>
      </c>
      <c r="F137" s="6">
        <v>0</v>
      </c>
      <c r="G137" s="6">
        <v>0</v>
      </c>
      <c r="H137" s="6">
        <v>0</v>
      </c>
      <c r="I137" s="6">
        <v>25</v>
      </c>
      <c r="J137" s="6">
        <v>0</v>
      </c>
      <c r="K137" s="6">
        <f t="shared" si="8"/>
        <v>25</v>
      </c>
      <c r="L137" s="6">
        <v>705</v>
      </c>
      <c r="M137" s="8">
        <v>705</v>
      </c>
      <c r="N137" s="6">
        <v>27</v>
      </c>
      <c r="O137" s="8">
        <f t="shared" si="9"/>
        <v>761.4</v>
      </c>
      <c r="Q137" s="10">
        <v>2607</v>
      </c>
      <c r="R137" s="10">
        <f t="shared" si="10"/>
        <v>65175</v>
      </c>
      <c r="S137" s="10">
        <f t="shared" si="11"/>
        <v>1837935</v>
      </c>
    </row>
    <row r="138" spans="1:19" x14ac:dyDescent="0.25">
      <c r="A138" s="5" t="s">
        <v>153</v>
      </c>
      <c r="B138" s="6" t="s">
        <v>17</v>
      </c>
      <c r="C138" s="6" t="s">
        <v>19</v>
      </c>
      <c r="D138" s="6">
        <v>10</v>
      </c>
      <c r="E138" s="6">
        <v>1250</v>
      </c>
      <c r="F138" s="6">
        <v>2300</v>
      </c>
      <c r="G138" s="6">
        <v>0</v>
      </c>
      <c r="H138" s="6">
        <v>0</v>
      </c>
      <c r="I138" s="6">
        <v>3050</v>
      </c>
      <c r="J138" s="6">
        <v>0</v>
      </c>
      <c r="K138" s="6">
        <f t="shared" si="8"/>
        <v>3050</v>
      </c>
      <c r="L138" s="6">
        <v>500</v>
      </c>
      <c r="M138" s="8">
        <v>1360</v>
      </c>
      <c r="N138" s="6">
        <v>27</v>
      </c>
      <c r="O138" s="8">
        <f t="shared" si="9"/>
        <v>12.039344262295081</v>
      </c>
      <c r="Q138" s="10">
        <v>1928</v>
      </c>
      <c r="R138" s="10">
        <f t="shared" si="10"/>
        <v>5880400</v>
      </c>
      <c r="S138" s="10">
        <f t="shared" si="11"/>
        <v>2622080</v>
      </c>
    </row>
    <row r="139" spans="1:19" x14ac:dyDescent="0.25">
      <c r="A139" s="5" t="s">
        <v>154</v>
      </c>
      <c r="B139" s="6" t="s">
        <v>17</v>
      </c>
      <c r="C139" s="6" t="s">
        <v>19</v>
      </c>
      <c r="D139" s="6">
        <v>10</v>
      </c>
      <c r="E139" s="6">
        <v>11820</v>
      </c>
      <c r="F139" s="6">
        <v>0</v>
      </c>
      <c r="G139" s="6">
        <v>0</v>
      </c>
      <c r="H139" s="6">
        <v>0</v>
      </c>
      <c r="I139" s="6">
        <v>2300</v>
      </c>
      <c r="J139" s="6">
        <v>95</v>
      </c>
      <c r="K139" s="6">
        <f t="shared" si="8"/>
        <v>2395</v>
      </c>
      <c r="L139" s="6">
        <v>9425</v>
      </c>
      <c r="M139" s="8">
        <v>10572.5</v>
      </c>
      <c r="N139" s="6">
        <v>27</v>
      </c>
      <c r="O139" s="8">
        <f t="shared" si="9"/>
        <v>119.18893528183716</v>
      </c>
      <c r="Q139" s="10">
        <v>2129</v>
      </c>
      <c r="R139" s="10">
        <f t="shared" si="10"/>
        <v>5098955</v>
      </c>
      <c r="S139" s="10">
        <f t="shared" si="11"/>
        <v>22508852.5</v>
      </c>
    </row>
    <row r="140" spans="1:19" x14ac:dyDescent="0.25">
      <c r="A140" s="5" t="s">
        <v>155</v>
      </c>
      <c r="B140" s="6" t="s">
        <v>17</v>
      </c>
      <c r="C140" s="6" t="s">
        <v>19</v>
      </c>
      <c r="D140" s="6">
        <v>10</v>
      </c>
      <c r="E140" s="6">
        <v>25957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f t="shared" si="8"/>
        <v>0</v>
      </c>
      <c r="L140" s="6">
        <v>25957</v>
      </c>
      <c r="M140" s="8">
        <v>0</v>
      </c>
      <c r="N140" s="6">
        <v>27</v>
      </c>
      <c r="O140" s="8">
        <v>0</v>
      </c>
      <c r="Q140" s="10">
        <v>2177</v>
      </c>
      <c r="R140" s="10">
        <f t="shared" si="10"/>
        <v>0</v>
      </c>
      <c r="S140" s="10">
        <f t="shared" si="11"/>
        <v>0</v>
      </c>
    </row>
    <row r="141" spans="1:19" x14ac:dyDescent="0.25">
      <c r="A141" s="5" t="s">
        <v>156</v>
      </c>
      <c r="B141" s="6" t="s">
        <v>17</v>
      </c>
      <c r="C141" s="6" t="s">
        <v>19</v>
      </c>
      <c r="D141" s="6">
        <v>10</v>
      </c>
      <c r="E141" s="6">
        <v>3105</v>
      </c>
      <c r="F141" s="6">
        <v>37800</v>
      </c>
      <c r="G141" s="6">
        <v>0</v>
      </c>
      <c r="H141" s="6">
        <v>0</v>
      </c>
      <c r="I141" s="6">
        <v>37610</v>
      </c>
      <c r="J141" s="6">
        <v>45</v>
      </c>
      <c r="K141" s="6">
        <f t="shared" si="8"/>
        <v>37655</v>
      </c>
      <c r="L141" s="6">
        <v>3250</v>
      </c>
      <c r="M141" s="8">
        <v>7363.4375</v>
      </c>
      <c r="N141" s="6">
        <v>27</v>
      </c>
      <c r="O141" s="8">
        <f t="shared" si="9"/>
        <v>5.2798516133315623</v>
      </c>
      <c r="Q141" s="10">
        <v>2177</v>
      </c>
      <c r="R141" s="10">
        <f t="shared" si="10"/>
        <v>81974935</v>
      </c>
      <c r="S141" s="10">
        <f t="shared" si="11"/>
        <v>16030203.4375</v>
      </c>
    </row>
    <row r="142" spans="1:19" x14ac:dyDescent="0.25">
      <c r="A142" s="5" t="s">
        <v>157</v>
      </c>
      <c r="B142" s="6" t="s">
        <v>17</v>
      </c>
      <c r="C142" s="6" t="s">
        <v>19</v>
      </c>
      <c r="D142" s="6">
        <v>10</v>
      </c>
      <c r="E142" s="6">
        <v>11213</v>
      </c>
      <c r="F142" s="6">
        <v>4080</v>
      </c>
      <c r="G142" s="6">
        <v>0</v>
      </c>
      <c r="H142" s="6">
        <v>0</v>
      </c>
      <c r="I142" s="6">
        <v>8250</v>
      </c>
      <c r="J142" s="6">
        <v>0</v>
      </c>
      <c r="K142" s="6">
        <f t="shared" si="8"/>
        <v>8250</v>
      </c>
      <c r="L142" s="6">
        <v>7043</v>
      </c>
      <c r="M142" s="8">
        <v>11403.714285714301</v>
      </c>
      <c r="N142" s="6">
        <v>27</v>
      </c>
      <c r="O142" s="8">
        <f t="shared" si="9"/>
        <v>37.321246753246804</v>
      </c>
      <c r="Q142" s="10">
        <v>2177</v>
      </c>
      <c r="R142" s="10">
        <f t="shared" si="10"/>
        <v>17960250</v>
      </c>
      <c r="S142" s="10">
        <f t="shared" si="11"/>
        <v>24825886.000000034</v>
      </c>
    </row>
    <row r="143" spans="1:19" x14ac:dyDescent="0.25">
      <c r="A143" s="5" t="s">
        <v>158</v>
      </c>
      <c r="B143" s="6" t="s">
        <v>17</v>
      </c>
      <c r="C143" s="6" t="s">
        <v>19</v>
      </c>
      <c r="D143" s="6">
        <v>10</v>
      </c>
      <c r="E143" s="6">
        <v>4429</v>
      </c>
      <c r="F143" s="6">
        <v>28307</v>
      </c>
      <c r="G143" s="6">
        <v>0</v>
      </c>
      <c r="H143" s="6">
        <v>0</v>
      </c>
      <c r="I143" s="6">
        <v>0</v>
      </c>
      <c r="J143" s="6">
        <v>24983</v>
      </c>
      <c r="K143" s="6">
        <f t="shared" si="8"/>
        <v>24983</v>
      </c>
      <c r="L143" s="6">
        <v>7753</v>
      </c>
      <c r="M143" s="8">
        <v>9301.3333333333303</v>
      </c>
      <c r="N143" s="6">
        <v>27</v>
      </c>
      <c r="O143" s="8">
        <f t="shared" si="9"/>
        <v>10.05227554737221</v>
      </c>
      <c r="Q143" s="10">
        <v>1948</v>
      </c>
      <c r="R143" s="10">
        <f t="shared" si="10"/>
        <v>48666884</v>
      </c>
      <c r="S143" s="10">
        <f t="shared" si="11"/>
        <v>18118997.333333328</v>
      </c>
    </row>
    <row r="144" spans="1:19" x14ac:dyDescent="0.25">
      <c r="A144" s="5" t="s">
        <v>159</v>
      </c>
      <c r="B144" s="6" t="s">
        <v>17</v>
      </c>
      <c r="C144" s="6" t="s">
        <v>19</v>
      </c>
      <c r="D144" s="6">
        <v>10</v>
      </c>
      <c r="E144" s="6">
        <v>8113</v>
      </c>
      <c r="F144" s="6">
        <v>5068</v>
      </c>
      <c r="G144" s="6">
        <v>0</v>
      </c>
      <c r="H144" s="6">
        <v>0</v>
      </c>
      <c r="I144" s="6">
        <v>0</v>
      </c>
      <c r="J144" s="6">
        <v>4938</v>
      </c>
      <c r="K144" s="6">
        <f t="shared" si="8"/>
        <v>4938</v>
      </c>
      <c r="L144" s="6">
        <v>8243</v>
      </c>
      <c r="M144" s="8">
        <v>8320.5714285714312</v>
      </c>
      <c r="N144" s="6">
        <v>27</v>
      </c>
      <c r="O144" s="8">
        <f t="shared" si="9"/>
        <v>45.495226523173073</v>
      </c>
      <c r="Q144" s="10">
        <v>1989</v>
      </c>
      <c r="R144" s="10">
        <f t="shared" si="10"/>
        <v>9821682</v>
      </c>
      <c r="S144" s="10">
        <f t="shared" si="11"/>
        <v>16549616.571428576</v>
      </c>
    </row>
    <row r="145" spans="1:19" x14ac:dyDescent="0.25">
      <c r="A145" s="5" t="s">
        <v>160</v>
      </c>
      <c r="B145" s="6" t="s">
        <v>17</v>
      </c>
      <c r="C145" s="6" t="s">
        <v>19</v>
      </c>
      <c r="D145" s="6">
        <v>10</v>
      </c>
      <c r="E145" s="6">
        <v>16315</v>
      </c>
      <c r="F145" s="6">
        <v>0</v>
      </c>
      <c r="G145" s="6">
        <v>0</v>
      </c>
      <c r="H145" s="6">
        <v>0</v>
      </c>
      <c r="I145" s="6">
        <v>0</v>
      </c>
      <c r="J145" s="6">
        <v>9000</v>
      </c>
      <c r="K145" s="6">
        <f t="shared" si="8"/>
        <v>9000</v>
      </c>
      <c r="L145" s="6">
        <v>7315</v>
      </c>
      <c r="M145" s="8">
        <v>11065</v>
      </c>
      <c r="N145" s="6">
        <v>27</v>
      </c>
      <c r="O145" s="8">
        <f t="shared" si="9"/>
        <v>33.195</v>
      </c>
      <c r="Q145" s="10">
        <v>2181</v>
      </c>
      <c r="R145" s="10">
        <f t="shared" si="10"/>
        <v>19629000</v>
      </c>
      <c r="S145" s="10">
        <f t="shared" si="11"/>
        <v>24132765</v>
      </c>
    </row>
    <row r="146" spans="1:19" x14ac:dyDescent="0.25">
      <c r="A146" s="5" t="s">
        <v>173</v>
      </c>
      <c r="B146" s="6" t="s">
        <v>17</v>
      </c>
      <c r="C146" s="6" t="s">
        <v>19</v>
      </c>
      <c r="D146" s="6">
        <v>10</v>
      </c>
      <c r="E146" s="6">
        <v>6050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f t="shared" si="8"/>
        <v>0</v>
      </c>
      <c r="L146" s="6">
        <v>6050</v>
      </c>
      <c r="M146" s="8">
        <v>0</v>
      </c>
      <c r="N146" s="6">
        <v>27</v>
      </c>
      <c r="O146" s="8">
        <v>0</v>
      </c>
      <c r="Q146" s="10">
        <v>2181</v>
      </c>
      <c r="R146" s="10">
        <f t="shared" si="10"/>
        <v>0</v>
      </c>
      <c r="S146" s="10">
        <f t="shared" si="11"/>
        <v>0</v>
      </c>
    </row>
    <row r="147" spans="1:19" x14ac:dyDescent="0.25">
      <c r="A147" s="5" t="s">
        <v>174</v>
      </c>
      <c r="B147" s="6" t="s">
        <v>17</v>
      </c>
      <c r="C147" s="6" t="s">
        <v>19</v>
      </c>
      <c r="D147" s="6">
        <v>10</v>
      </c>
      <c r="E147" s="6">
        <v>20416</v>
      </c>
      <c r="F147" s="6">
        <v>0</v>
      </c>
      <c r="G147" s="6">
        <v>0</v>
      </c>
      <c r="H147" s="6">
        <v>0</v>
      </c>
      <c r="I147" s="6">
        <v>13050</v>
      </c>
      <c r="J147" s="6">
        <v>0</v>
      </c>
      <c r="K147" s="6">
        <f t="shared" si="8"/>
        <v>13050</v>
      </c>
      <c r="L147" s="6">
        <v>7366</v>
      </c>
      <c r="M147" s="8">
        <v>13066</v>
      </c>
      <c r="N147" s="6">
        <v>27</v>
      </c>
      <c r="O147" s="8">
        <f t="shared" si="9"/>
        <v>27.033103448275863</v>
      </c>
      <c r="Q147" s="10">
        <v>2181</v>
      </c>
      <c r="R147" s="10">
        <f t="shared" si="10"/>
        <v>28462050</v>
      </c>
      <c r="S147" s="10">
        <f t="shared" si="11"/>
        <v>28496946</v>
      </c>
    </row>
    <row r="148" spans="1:19" x14ac:dyDescent="0.25">
      <c r="A148" s="5" t="s">
        <v>175</v>
      </c>
      <c r="B148" s="6" t="s">
        <v>16</v>
      </c>
      <c r="C148" s="6" t="s">
        <v>19</v>
      </c>
      <c r="D148" s="6">
        <v>10</v>
      </c>
      <c r="E148" s="6">
        <v>13275</v>
      </c>
      <c r="F148" s="6">
        <v>119400</v>
      </c>
      <c r="G148" s="6">
        <v>0</v>
      </c>
      <c r="H148" s="6">
        <v>0</v>
      </c>
      <c r="I148" s="6">
        <v>0</v>
      </c>
      <c r="J148" s="6">
        <v>114550</v>
      </c>
      <c r="K148" s="6">
        <f t="shared" si="8"/>
        <v>114550</v>
      </c>
      <c r="L148" s="6">
        <v>18125</v>
      </c>
      <c r="M148" s="8">
        <v>18115</v>
      </c>
      <c r="N148" s="6">
        <v>27</v>
      </c>
      <c r="O148" s="8">
        <f t="shared" si="9"/>
        <v>4.2697948494107383</v>
      </c>
      <c r="Q148" s="10">
        <v>2208</v>
      </c>
      <c r="R148" s="10">
        <f t="shared" si="10"/>
        <v>252926400</v>
      </c>
      <c r="S148" s="10">
        <f t="shared" si="11"/>
        <v>39997920</v>
      </c>
    </row>
    <row r="149" spans="1:19" x14ac:dyDescent="0.25">
      <c r="A149" s="5" t="s">
        <v>176</v>
      </c>
      <c r="B149" s="6" t="s">
        <v>16</v>
      </c>
      <c r="C149" s="6" t="s">
        <v>19</v>
      </c>
      <c r="D149" s="6">
        <v>10</v>
      </c>
      <c r="E149" s="6">
        <v>5251</v>
      </c>
      <c r="F149" s="6">
        <v>15710</v>
      </c>
      <c r="G149" s="6">
        <v>0</v>
      </c>
      <c r="H149" s="6">
        <v>0</v>
      </c>
      <c r="I149" s="6">
        <v>0</v>
      </c>
      <c r="J149" s="6">
        <v>14560</v>
      </c>
      <c r="K149" s="6">
        <f t="shared" si="8"/>
        <v>14560</v>
      </c>
      <c r="L149" s="6">
        <v>6401</v>
      </c>
      <c r="M149" s="8">
        <v>9968.777777777781</v>
      </c>
      <c r="N149" s="6">
        <v>27</v>
      </c>
      <c r="O149" s="8">
        <f t="shared" si="9"/>
        <v>18.4860576923077</v>
      </c>
      <c r="Q149" s="10">
        <v>2245</v>
      </c>
      <c r="R149" s="10">
        <f t="shared" si="10"/>
        <v>32687200</v>
      </c>
      <c r="S149" s="10">
        <f t="shared" si="11"/>
        <v>22379906.111111119</v>
      </c>
    </row>
    <row r="150" spans="1:19" x14ac:dyDescent="0.25">
      <c r="A150" s="5" t="s">
        <v>163</v>
      </c>
      <c r="B150" s="6" t="s">
        <v>17</v>
      </c>
      <c r="C150" s="6" t="s">
        <v>19</v>
      </c>
      <c r="D150" s="6">
        <v>10</v>
      </c>
      <c r="E150" s="6">
        <v>15183</v>
      </c>
      <c r="F150" s="6">
        <v>57975</v>
      </c>
      <c r="G150" s="6">
        <v>0</v>
      </c>
      <c r="H150" s="6">
        <v>0</v>
      </c>
      <c r="I150" s="6">
        <v>40725</v>
      </c>
      <c r="J150" s="6">
        <v>19125</v>
      </c>
      <c r="K150" s="6">
        <f t="shared" si="8"/>
        <v>59850</v>
      </c>
      <c r="L150" s="6">
        <v>13308</v>
      </c>
      <c r="M150" s="8">
        <v>19985.173913043502</v>
      </c>
      <c r="N150" s="6">
        <v>27</v>
      </c>
      <c r="O150" s="8">
        <f t="shared" si="9"/>
        <v>9.0158679306963165</v>
      </c>
      <c r="Q150" s="10">
        <v>2355</v>
      </c>
      <c r="R150" s="10">
        <f t="shared" si="10"/>
        <v>140946750</v>
      </c>
      <c r="S150" s="10">
        <f t="shared" si="11"/>
        <v>47065084.565217443</v>
      </c>
    </row>
    <row r="151" spans="1:19" x14ac:dyDescent="0.25">
      <c r="A151" s="5" t="s">
        <v>177</v>
      </c>
      <c r="B151" s="6" t="s">
        <v>17</v>
      </c>
      <c r="C151" s="6" t="s">
        <v>19</v>
      </c>
      <c r="D151" s="6">
        <v>10</v>
      </c>
      <c r="E151" s="6">
        <v>6672</v>
      </c>
      <c r="F151" s="6">
        <v>5635</v>
      </c>
      <c r="G151" s="6">
        <v>0</v>
      </c>
      <c r="H151" s="6">
        <v>0</v>
      </c>
      <c r="I151" s="6">
        <v>0</v>
      </c>
      <c r="J151" s="6">
        <v>8475</v>
      </c>
      <c r="K151" s="6">
        <f t="shared" si="8"/>
        <v>8475</v>
      </c>
      <c r="L151" s="6">
        <v>3832</v>
      </c>
      <c r="M151" s="8">
        <v>4653.5</v>
      </c>
      <c r="N151" s="6">
        <v>27</v>
      </c>
      <c r="O151" s="8">
        <f t="shared" si="9"/>
        <v>14.825309734513274</v>
      </c>
      <c r="Q151" s="10">
        <v>2021</v>
      </c>
      <c r="R151" s="10">
        <f t="shared" si="10"/>
        <v>17127975</v>
      </c>
      <c r="S151" s="10">
        <f t="shared" si="11"/>
        <v>9404723.5</v>
      </c>
    </row>
    <row r="152" spans="1:19" x14ac:dyDescent="0.25">
      <c r="A152" s="5" t="s">
        <v>178</v>
      </c>
      <c r="B152" s="6" t="s">
        <v>17</v>
      </c>
      <c r="C152" s="6" t="s">
        <v>19</v>
      </c>
      <c r="D152" s="6">
        <v>10</v>
      </c>
      <c r="E152" s="6">
        <v>7843</v>
      </c>
      <c r="F152" s="6">
        <v>2325</v>
      </c>
      <c r="G152" s="6">
        <v>0</v>
      </c>
      <c r="H152" s="6">
        <v>0</v>
      </c>
      <c r="I152" s="6">
        <v>0</v>
      </c>
      <c r="J152" s="6">
        <v>2610</v>
      </c>
      <c r="K152" s="6">
        <f t="shared" si="8"/>
        <v>2610</v>
      </c>
      <c r="L152" s="6">
        <v>7558</v>
      </c>
      <c r="M152" s="8">
        <v>6996</v>
      </c>
      <c r="N152" s="6">
        <v>27</v>
      </c>
      <c r="O152" s="8">
        <f t="shared" si="9"/>
        <v>72.372413793103448</v>
      </c>
      <c r="Q152" s="10">
        <v>2021</v>
      </c>
      <c r="R152" s="10">
        <f t="shared" si="10"/>
        <v>5274810</v>
      </c>
      <c r="S152" s="10">
        <f t="shared" si="11"/>
        <v>14138916</v>
      </c>
    </row>
    <row r="153" spans="1:19" x14ac:dyDescent="0.25">
      <c r="A153" s="5" t="s">
        <v>179</v>
      </c>
      <c r="B153" s="6" t="s">
        <v>17</v>
      </c>
      <c r="C153" s="6" t="s">
        <v>19</v>
      </c>
      <c r="D153" s="6">
        <v>10</v>
      </c>
      <c r="E153" s="6">
        <v>10354</v>
      </c>
      <c r="F153" s="6">
        <v>6500</v>
      </c>
      <c r="G153" s="6">
        <v>0</v>
      </c>
      <c r="H153" s="6">
        <v>0</v>
      </c>
      <c r="I153" s="6">
        <v>0</v>
      </c>
      <c r="J153" s="6">
        <v>3200</v>
      </c>
      <c r="K153" s="6">
        <f t="shared" si="8"/>
        <v>3200</v>
      </c>
      <c r="L153" s="6">
        <v>13654</v>
      </c>
      <c r="M153" s="8">
        <v>12218.375</v>
      </c>
      <c r="N153" s="6">
        <v>27</v>
      </c>
      <c r="O153" s="8">
        <f t="shared" si="9"/>
        <v>103.09253906250001</v>
      </c>
      <c r="Q153" s="10">
        <v>2021</v>
      </c>
      <c r="R153" s="10">
        <f>Q153*(I153+J153)</f>
        <v>6467200</v>
      </c>
      <c r="S153" s="10">
        <f t="shared" si="11"/>
        <v>24693335.875</v>
      </c>
    </row>
    <row r="154" spans="1:19" x14ac:dyDescent="0.25">
      <c r="A154" s="5" t="s">
        <v>180</v>
      </c>
      <c r="B154" s="6" t="s">
        <v>17</v>
      </c>
      <c r="C154" s="6" t="s">
        <v>19</v>
      </c>
      <c r="D154" s="6">
        <v>10</v>
      </c>
      <c r="E154" s="6">
        <v>3000</v>
      </c>
      <c r="F154" s="6">
        <v>13300</v>
      </c>
      <c r="G154" s="6">
        <v>0</v>
      </c>
      <c r="H154" s="6">
        <v>0</v>
      </c>
      <c r="I154" s="6">
        <v>16300</v>
      </c>
      <c r="J154" s="6">
        <v>0</v>
      </c>
      <c r="K154" s="6">
        <f t="shared" si="8"/>
        <v>16300</v>
      </c>
      <c r="L154" s="6">
        <v>0</v>
      </c>
      <c r="M154" s="8">
        <v>1969.23076923077</v>
      </c>
      <c r="N154" s="6">
        <v>27</v>
      </c>
      <c r="O154" s="8">
        <f t="shared" si="9"/>
        <v>3.2619159981123182</v>
      </c>
      <c r="Q154" s="10">
        <v>2846</v>
      </c>
      <c r="R154" s="10">
        <f t="shared" si="10"/>
        <v>46389800</v>
      </c>
      <c r="S154" s="10">
        <f t="shared" si="11"/>
        <v>5604430.7692307709</v>
      </c>
    </row>
    <row r="155" spans="1:19" x14ac:dyDescent="0.25">
      <c r="A155" s="5" t="s">
        <v>11</v>
      </c>
      <c r="B155" s="6" t="s">
        <v>17</v>
      </c>
      <c r="C155" s="6" t="s">
        <v>19</v>
      </c>
      <c r="D155" s="6">
        <v>10</v>
      </c>
      <c r="E155" s="6">
        <v>4943</v>
      </c>
      <c r="F155" s="6">
        <v>12197</v>
      </c>
      <c r="G155" s="6">
        <v>0</v>
      </c>
      <c r="H155" s="6">
        <v>0</v>
      </c>
      <c r="I155" s="6">
        <v>13038</v>
      </c>
      <c r="J155" s="6">
        <v>25</v>
      </c>
      <c r="K155" s="6">
        <f t="shared" si="8"/>
        <v>13063</v>
      </c>
      <c r="L155" s="6">
        <v>4077</v>
      </c>
      <c r="M155" s="8">
        <v>7515.125</v>
      </c>
      <c r="N155" s="6">
        <v>27</v>
      </c>
      <c r="O155" s="8">
        <f t="shared" si="9"/>
        <v>15.533060935466587</v>
      </c>
      <c r="Q155" s="10">
        <v>7550</v>
      </c>
      <c r="R155" s="10">
        <f t="shared" si="10"/>
        <v>98625650</v>
      </c>
      <c r="S155" s="10">
        <f t="shared" si="11"/>
        <v>56739193.75</v>
      </c>
    </row>
    <row r="156" spans="1:19" x14ac:dyDescent="0.25">
      <c r="A156" s="5" t="s">
        <v>12</v>
      </c>
      <c r="B156" s="6" t="s">
        <v>17</v>
      </c>
      <c r="C156" s="6" t="s">
        <v>19</v>
      </c>
      <c r="D156" s="6">
        <v>10</v>
      </c>
      <c r="E156" s="6">
        <v>2110</v>
      </c>
      <c r="F156" s="6">
        <v>0</v>
      </c>
      <c r="G156" s="6">
        <v>0</v>
      </c>
      <c r="H156" s="6">
        <v>0</v>
      </c>
      <c r="I156" s="6">
        <v>2110</v>
      </c>
      <c r="J156" s="6">
        <v>0</v>
      </c>
      <c r="K156" s="6">
        <f t="shared" si="8"/>
        <v>2110</v>
      </c>
      <c r="L156" s="6">
        <v>0</v>
      </c>
      <c r="M156" s="8">
        <v>466.66666666666703</v>
      </c>
      <c r="N156" s="6">
        <v>27</v>
      </c>
      <c r="O156" s="8">
        <f t="shared" si="9"/>
        <v>5.9715639810426584</v>
      </c>
      <c r="Q156" s="10">
        <v>7550</v>
      </c>
      <c r="R156" s="10">
        <f t="shared" si="10"/>
        <v>15930500</v>
      </c>
      <c r="S156" s="10">
        <f t="shared" si="11"/>
        <v>3523333.3333333363</v>
      </c>
    </row>
    <row r="157" spans="1:19" x14ac:dyDescent="0.25">
      <c r="A157" s="5" t="s">
        <v>182</v>
      </c>
      <c r="B157" s="6" t="s">
        <v>17</v>
      </c>
      <c r="C157" s="6" t="s">
        <v>19</v>
      </c>
      <c r="D157" s="6">
        <v>10</v>
      </c>
      <c r="E157" s="6">
        <v>200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f t="shared" si="8"/>
        <v>0</v>
      </c>
      <c r="L157" s="6">
        <v>200</v>
      </c>
      <c r="M157" s="8">
        <v>0</v>
      </c>
      <c r="N157" s="6">
        <v>27</v>
      </c>
      <c r="O157" s="8">
        <v>0</v>
      </c>
      <c r="Q157" s="10">
        <v>2658</v>
      </c>
      <c r="R157" s="10">
        <f t="shared" si="10"/>
        <v>0</v>
      </c>
      <c r="S157" s="10">
        <f t="shared" si="11"/>
        <v>0</v>
      </c>
    </row>
    <row r="158" spans="1:19" x14ac:dyDescent="0.25">
      <c r="A158" s="5" t="s">
        <v>9</v>
      </c>
      <c r="B158" s="6" t="s">
        <v>17</v>
      </c>
      <c r="C158" s="6" t="s">
        <v>19</v>
      </c>
      <c r="D158" s="6">
        <v>10</v>
      </c>
      <c r="E158" s="6">
        <v>27176</v>
      </c>
      <c r="F158" s="6">
        <v>0</v>
      </c>
      <c r="G158" s="6">
        <v>0</v>
      </c>
      <c r="H158" s="6">
        <v>0</v>
      </c>
      <c r="I158" s="6">
        <v>4500</v>
      </c>
      <c r="J158" s="6">
        <v>0</v>
      </c>
      <c r="K158" s="6">
        <f t="shared" si="8"/>
        <v>4500</v>
      </c>
      <c r="L158" s="6">
        <v>22676</v>
      </c>
      <c r="M158" s="8">
        <v>24176</v>
      </c>
      <c r="N158" s="6">
        <v>27</v>
      </c>
      <c r="O158" s="8">
        <f t="shared" si="9"/>
        <v>145.05600000000001</v>
      </c>
      <c r="Q158" s="10">
        <v>2846</v>
      </c>
      <c r="R158" s="10">
        <f t="shared" si="10"/>
        <v>12807000</v>
      </c>
      <c r="S158" s="10">
        <f t="shared" si="11"/>
        <v>68804896</v>
      </c>
    </row>
    <row r="159" spans="1:19" x14ac:dyDescent="0.25">
      <c r="A159" s="5" t="s">
        <v>13</v>
      </c>
      <c r="B159" s="6" t="s">
        <v>17</v>
      </c>
      <c r="C159" s="6" t="s">
        <v>19</v>
      </c>
      <c r="D159" s="6">
        <v>10</v>
      </c>
      <c r="E159" s="6">
        <v>1000</v>
      </c>
      <c r="F159" s="6">
        <v>0</v>
      </c>
      <c r="G159" s="6">
        <v>0</v>
      </c>
      <c r="H159" s="6">
        <v>0</v>
      </c>
      <c r="I159" s="6">
        <v>0</v>
      </c>
      <c r="J159" s="6">
        <v>1000</v>
      </c>
      <c r="K159" s="6">
        <f t="shared" si="8"/>
        <v>1000</v>
      </c>
      <c r="L159" s="6">
        <v>0</v>
      </c>
      <c r="M159" s="8">
        <v>0</v>
      </c>
      <c r="N159" s="6">
        <v>27</v>
      </c>
      <c r="O159" s="8">
        <f t="shared" si="9"/>
        <v>0</v>
      </c>
      <c r="Q159" s="10">
        <v>994</v>
      </c>
      <c r="R159" s="10">
        <f t="shared" si="10"/>
        <v>994000</v>
      </c>
      <c r="S159" s="10">
        <f t="shared" si="11"/>
        <v>0</v>
      </c>
    </row>
    <row r="160" spans="1:19" ht="17.25" customHeight="1" x14ac:dyDescent="0.4">
      <c r="A160" s="17" t="s">
        <v>18</v>
      </c>
      <c r="B160" s="17"/>
      <c r="C160" s="17"/>
      <c r="D160" s="17"/>
      <c r="E160" s="18">
        <f>SUM(E2:E159)</f>
        <v>1373951</v>
      </c>
      <c r="F160" s="18">
        <f t="shared" ref="F160:M160" si="12">SUM(F2:F159)</f>
        <v>4288349</v>
      </c>
      <c r="G160" s="18">
        <f t="shared" si="12"/>
        <v>0</v>
      </c>
      <c r="H160" s="18">
        <f t="shared" si="12"/>
        <v>0</v>
      </c>
      <c r="I160" s="18">
        <f t="shared" si="12"/>
        <v>2800515</v>
      </c>
      <c r="J160" s="18">
        <f t="shared" si="12"/>
        <v>1996630</v>
      </c>
      <c r="K160" s="18"/>
      <c r="L160" s="18">
        <f t="shared" si="12"/>
        <v>865155</v>
      </c>
      <c r="M160" s="18">
        <f t="shared" si="12"/>
        <v>1225149.1480115757</v>
      </c>
      <c r="N160" s="18">
        <v>27</v>
      </c>
      <c r="O160" s="18">
        <f>(M160/(I160+J160))*N160</f>
        <v>6.8955653823915144</v>
      </c>
      <c r="R160" s="13">
        <f>SUM(R2:R159)</f>
        <v>10321575540</v>
      </c>
      <c r="S160" s="13">
        <f>SUM(S2:S159)</f>
        <v>2993005680.1390357</v>
      </c>
    </row>
    <row r="162" spans="17:18" x14ac:dyDescent="0.25">
      <c r="Q162" s="11" t="s">
        <v>186</v>
      </c>
      <c r="R162" s="12">
        <v>5.1999999999999998E-3</v>
      </c>
    </row>
    <row r="163" spans="17:18" x14ac:dyDescent="0.25">
      <c r="Q163" s="11" t="s">
        <v>187</v>
      </c>
      <c r="R163" s="15">
        <f>(S160*R162)/R160</f>
        <v>1.5078734323464521E-3</v>
      </c>
    </row>
    <row r="164" spans="17:18" x14ac:dyDescent="0.25">
      <c r="Q164" s="11" t="s">
        <v>188</v>
      </c>
      <c r="R164" s="15">
        <v>1.5100000000000001E-3</v>
      </c>
    </row>
    <row r="165" spans="17:18" x14ac:dyDescent="0.25">
      <c r="Q165" s="11" t="s">
        <v>202</v>
      </c>
      <c r="R165" s="19">
        <f>(S160/R160)*N159</f>
        <v>7.8293428217988854</v>
      </c>
    </row>
  </sheetData>
  <autoFilter ref="A1:O159" xr:uid="{259FC53E-5E87-4E24-B780-EE912DC89CCA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78B0-D276-4F3F-A94A-EA07C4CF9B8A}">
  <dimension ref="A1:S159"/>
  <sheetViews>
    <sheetView tabSelected="1" workbookViewId="0">
      <selection activeCell="L10" sqref="L10"/>
    </sheetView>
  </sheetViews>
  <sheetFormatPr defaultRowHeight="15" x14ac:dyDescent="0.25"/>
  <cols>
    <col min="1" max="1" width="13.42578125" style="33" customWidth="1"/>
    <col min="2" max="2" width="13.42578125" style="34" customWidth="1"/>
    <col min="3" max="3" width="9.140625" style="33"/>
    <col min="4" max="4" width="12" style="33" customWidth="1"/>
    <col min="5" max="11" width="9.140625" style="33"/>
    <col min="12" max="12" width="9.5703125" style="33" bestFit="1" customWidth="1"/>
    <col min="13" max="14" width="9.140625" style="33"/>
    <col min="17" max="17" width="15" style="6" customWidth="1"/>
    <col min="18" max="19" width="19.140625" style="6" customWidth="1"/>
  </cols>
  <sheetData>
    <row r="1" spans="1:19" ht="45.75" thickBot="1" x14ac:dyDescent="0.3">
      <c r="A1" s="9" t="s">
        <v>190</v>
      </c>
      <c r="B1" s="9" t="s">
        <v>189</v>
      </c>
      <c r="C1" s="9" t="s">
        <v>191</v>
      </c>
      <c r="D1" s="9" t="s">
        <v>203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221</v>
      </c>
      <c r="L1" s="9" t="s">
        <v>198</v>
      </c>
      <c r="M1" s="9" t="s">
        <v>199</v>
      </c>
      <c r="N1" s="9" t="s">
        <v>200</v>
      </c>
      <c r="O1" s="9" t="s">
        <v>201</v>
      </c>
      <c r="Q1" s="9" t="s">
        <v>183</v>
      </c>
      <c r="R1" s="9" t="s">
        <v>184</v>
      </c>
      <c r="S1" s="9" t="s">
        <v>185</v>
      </c>
    </row>
    <row r="2" spans="1:19" x14ac:dyDescent="0.25">
      <c r="A2" s="29" t="s">
        <v>21</v>
      </c>
      <c r="B2" s="30" t="s">
        <v>16</v>
      </c>
      <c r="C2" s="31" t="s">
        <v>19</v>
      </c>
      <c r="D2" s="34">
        <v>10</v>
      </c>
      <c r="E2" s="31">
        <v>7603</v>
      </c>
      <c r="F2" s="31">
        <v>477775</v>
      </c>
      <c r="G2" s="31">
        <v>0</v>
      </c>
      <c r="H2" s="31">
        <v>0</v>
      </c>
      <c r="I2" s="31">
        <v>457800</v>
      </c>
      <c r="J2" s="31">
        <v>0</v>
      </c>
      <c r="K2" s="31">
        <f>I2+J2</f>
        <v>457800</v>
      </c>
      <c r="L2" s="31">
        <v>27578</v>
      </c>
      <c r="M2" s="32">
        <v>29139.538461538497</v>
      </c>
      <c r="N2" s="31">
        <v>26</v>
      </c>
      <c r="O2" s="32">
        <v>0</v>
      </c>
      <c r="Q2" s="10">
        <v>2129</v>
      </c>
      <c r="R2" s="10">
        <f>Q2*(I2+J2)</f>
        <v>974656200</v>
      </c>
      <c r="S2" s="10">
        <f>Q2*M2</f>
        <v>62038077.384615459</v>
      </c>
    </row>
    <row r="3" spans="1:19" x14ac:dyDescent="0.25">
      <c r="A3" s="29" t="s">
        <v>22</v>
      </c>
      <c r="B3" s="30" t="s">
        <v>17</v>
      </c>
      <c r="C3" s="31" t="s">
        <v>19</v>
      </c>
      <c r="D3" s="34">
        <v>10</v>
      </c>
      <c r="E3" s="31">
        <v>3225</v>
      </c>
      <c r="F3" s="31">
        <v>24658</v>
      </c>
      <c r="G3" s="31">
        <v>0</v>
      </c>
      <c r="H3" s="31">
        <v>0</v>
      </c>
      <c r="I3" s="31">
        <v>27883</v>
      </c>
      <c r="J3" s="31">
        <v>0</v>
      </c>
      <c r="K3" s="31">
        <f t="shared" ref="K3:K66" si="0">I3+J3</f>
        <v>27883</v>
      </c>
      <c r="L3" s="31">
        <v>0</v>
      </c>
      <c r="M3" s="32">
        <v>2828.625</v>
      </c>
      <c r="N3" s="31">
        <v>26</v>
      </c>
      <c r="O3" s="32">
        <v>2.6376017645160132</v>
      </c>
      <c r="Q3" s="10">
        <v>2129</v>
      </c>
      <c r="R3" s="10">
        <f t="shared" ref="R3:R66" si="1">Q3*(I3+J3)</f>
        <v>59362907</v>
      </c>
      <c r="S3" s="10">
        <f t="shared" ref="S3:S66" si="2">Q3*M3</f>
        <v>6022142.625</v>
      </c>
    </row>
    <row r="4" spans="1:19" x14ac:dyDescent="0.25">
      <c r="A4" s="29" t="s">
        <v>23</v>
      </c>
      <c r="B4" s="30" t="s">
        <v>17</v>
      </c>
      <c r="C4" s="31" t="s">
        <v>19</v>
      </c>
      <c r="D4" s="34">
        <v>10</v>
      </c>
      <c r="E4" s="31">
        <v>1473</v>
      </c>
      <c r="F4" s="31">
        <v>0</v>
      </c>
      <c r="G4" s="31">
        <v>0</v>
      </c>
      <c r="H4" s="31">
        <v>0</v>
      </c>
      <c r="I4" s="31">
        <v>775</v>
      </c>
      <c r="J4" s="31">
        <v>0</v>
      </c>
      <c r="K4" s="31">
        <f t="shared" si="0"/>
        <v>775</v>
      </c>
      <c r="L4" s="31">
        <v>698</v>
      </c>
      <c r="M4" s="32">
        <v>1064.6666666666702</v>
      </c>
      <c r="N4" s="31">
        <v>26</v>
      </c>
      <c r="O4" s="32">
        <v>35.717849462365706</v>
      </c>
      <c r="Q4" s="10">
        <v>2131</v>
      </c>
      <c r="R4" s="10">
        <f t="shared" si="1"/>
        <v>1651525</v>
      </c>
      <c r="S4" s="10">
        <f t="shared" si="2"/>
        <v>2268804.666666674</v>
      </c>
    </row>
    <row r="5" spans="1:19" x14ac:dyDescent="0.25">
      <c r="A5" s="29" t="s">
        <v>24</v>
      </c>
      <c r="B5" s="30" t="s">
        <v>17</v>
      </c>
      <c r="C5" s="31" t="s">
        <v>19</v>
      </c>
      <c r="D5" s="34">
        <v>10</v>
      </c>
      <c r="E5" s="31">
        <v>6650</v>
      </c>
      <c r="F5" s="31">
        <v>12017</v>
      </c>
      <c r="G5" s="31">
        <v>0</v>
      </c>
      <c r="H5" s="31">
        <v>0</v>
      </c>
      <c r="I5" s="31">
        <v>10350</v>
      </c>
      <c r="J5" s="31">
        <v>0</v>
      </c>
      <c r="K5" s="31">
        <f t="shared" si="0"/>
        <v>10350</v>
      </c>
      <c r="L5" s="31">
        <v>8317</v>
      </c>
      <c r="M5" s="32">
        <v>10650.222222222199</v>
      </c>
      <c r="N5" s="31">
        <v>26</v>
      </c>
      <c r="O5" s="32">
        <v>26.754181427804561</v>
      </c>
      <c r="Q5" s="10">
        <v>2131</v>
      </c>
      <c r="R5" s="10">
        <f t="shared" si="1"/>
        <v>22055850</v>
      </c>
      <c r="S5" s="10">
        <f t="shared" si="2"/>
        <v>22695623.555555508</v>
      </c>
    </row>
    <row r="6" spans="1:19" x14ac:dyDescent="0.25">
      <c r="A6" s="29" t="s">
        <v>25</v>
      </c>
      <c r="B6" s="30" t="s">
        <v>16</v>
      </c>
      <c r="C6" s="31" t="s">
        <v>19</v>
      </c>
      <c r="D6" s="34">
        <v>10</v>
      </c>
      <c r="E6" s="31">
        <v>8621</v>
      </c>
      <c r="F6" s="31">
        <v>570973</v>
      </c>
      <c r="G6" s="31">
        <v>0</v>
      </c>
      <c r="H6" s="31">
        <v>0</v>
      </c>
      <c r="I6" s="31">
        <v>548075</v>
      </c>
      <c r="J6" s="31">
        <v>3200</v>
      </c>
      <c r="K6" s="31">
        <f t="shared" si="0"/>
        <v>551275</v>
      </c>
      <c r="L6" s="31">
        <v>28319</v>
      </c>
      <c r="M6" s="32">
        <v>43522.200000000004</v>
      </c>
      <c r="N6" s="31">
        <v>26</v>
      </c>
      <c r="O6" s="32">
        <v>2.0526546641875654</v>
      </c>
      <c r="Q6" s="10">
        <v>1910</v>
      </c>
      <c r="R6" s="10">
        <f t="shared" si="1"/>
        <v>1052935250</v>
      </c>
      <c r="S6" s="10">
        <f t="shared" si="2"/>
        <v>83127402.000000015</v>
      </c>
    </row>
    <row r="7" spans="1:19" x14ac:dyDescent="0.25">
      <c r="A7" s="29" t="s">
        <v>164</v>
      </c>
      <c r="B7" s="30" t="s">
        <v>16</v>
      </c>
      <c r="C7" s="31" t="s">
        <v>19</v>
      </c>
      <c r="D7" s="34">
        <v>10</v>
      </c>
      <c r="E7" s="31">
        <v>1375</v>
      </c>
      <c r="F7" s="31">
        <v>177875</v>
      </c>
      <c r="G7" s="31">
        <v>0</v>
      </c>
      <c r="H7" s="31">
        <v>0</v>
      </c>
      <c r="I7" s="31">
        <v>168050</v>
      </c>
      <c r="J7" s="31">
        <v>0</v>
      </c>
      <c r="K7" s="31">
        <f t="shared" si="0"/>
        <v>168050</v>
      </c>
      <c r="L7" s="31">
        <v>11200</v>
      </c>
      <c r="M7" s="32">
        <v>11845.833333333299</v>
      </c>
      <c r="N7" s="31">
        <v>26</v>
      </c>
      <c r="O7" s="32">
        <v>1.8327382723395762</v>
      </c>
      <c r="Q7" s="10">
        <v>1910</v>
      </c>
      <c r="R7" s="10">
        <f t="shared" si="1"/>
        <v>320975500</v>
      </c>
      <c r="S7" s="10">
        <f t="shared" si="2"/>
        <v>22625541.666666601</v>
      </c>
    </row>
    <row r="8" spans="1:19" x14ac:dyDescent="0.25">
      <c r="A8" s="29" t="s">
        <v>26</v>
      </c>
      <c r="B8" s="30" t="s">
        <v>17</v>
      </c>
      <c r="C8" s="31" t="s">
        <v>19</v>
      </c>
      <c r="D8" s="34">
        <v>10</v>
      </c>
      <c r="E8" s="31">
        <v>34596</v>
      </c>
      <c r="F8" s="31">
        <v>22066</v>
      </c>
      <c r="G8" s="31">
        <v>0</v>
      </c>
      <c r="H8" s="31">
        <v>0</v>
      </c>
      <c r="I8" s="31">
        <v>54759</v>
      </c>
      <c r="J8" s="31">
        <v>0</v>
      </c>
      <c r="K8" s="31">
        <f t="shared" si="0"/>
        <v>54759</v>
      </c>
      <c r="L8" s="31">
        <v>1903</v>
      </c>
      <c r="M8" s="32">
        <v>11138.75</v>
      </c>
      <c r="N8" s="31">
        <v>26</v>
      </c>
      <c r="O8" s="32">
        <v>5.2887653171168205</v>
      </c>
      <c r="Q8" s="10">
        <v>2217</v>
      </c>
      <c r="R8" s="10">
        <f t="shared" si="1"/>
        <v>121400703</v>
      </c>
      <c r="S8" s="10">
        <f t="shared" si="2"/>
        <v>24694608.75</v>
      </c>
    </row>
    <row r="9" spans="1:19" x14ac:dyDescent="0.25">
      <c r="A9" s="29" t="s">
        <v>27</v>
      </c>
      <c r="B9" s="30" t="s">
        <v>17</v>
      </c>
      <c r="C9" s="31" t="s">
        <v>19</v>
      </c>
      <c r="D9" s="34">
        <v>10</v>
      </c>
      <c r="E9" s="31">
        <v>3193</v>
      </c>
      <c r="F9" s="31">
        <v>9300</v>
      </c>
      <c r="G9" s="31">
        <v>0</v>
      </c>
      <c r="H9" s="31">
        <v>0</v>
      </c>
      <c r="I9" s="31">
        <v>9142</v>
      </c>
      <c r="J9" s="31">
        <v>0</v>
      </c>
      <c r="K9" s="31">
        <f t="shared" si="0"/>
        <v>9142</v>
      </c>
      <c r="L9" s="31">
        <v>3351</v>
      </c>
      <c r="M9" s="32">
        <v>2432</v>
      </c>
      <c r="N9" s="31">
        <v>26</v>
      </c>
      <c r="O9" s="32">
        <v>6.9166484357908553</v>
      </c>
      <c r="Q9" s="10">
        <v>2131</v>
      </c>
      <c r="R9" s="10">
        <f t="shared" si="1"/>
        <v>19481602</v>
      </c>
      <c r="S9" s="10">
        <f t="shared" si="2"/>
        <v>5182592</v>
      </c>
    </row>
    <row r="10" spans="1:19" x14ac:dyDescent="0.25">
      <c r="A10" s="29" t="s">
        <v>28</v>
      </c>
      <c r="B10" s="30" t="s">
        <v>17</v>
      </c>
      <c r="C10" s="31" t="s">
        <v>19</v>
      </c>
      <c r="D10" s="34">
        <v>10</v>
      </c>
      <c r="E10" s="31">
        <v>1495</v>
      </c>
      <c r="F10" s="31">
        <v>500</v>
      </c>
      <c r="G10" s="31">
        <v>0</v>
      </c>
      <c r="H10" s="31">
        <v>0</v>
      </c>
      <c r="I10" s="31">
        <v>1245</v>
      </c>
      <c r="J10" s="31">
        <v>0</v>
      </c>
      <c r="K10" s="31">
        <f t="shared" si="0"/>
        <v>1245</v>
      </c>
      <c r="L10" s="31">
        <v>750</v>
      </c>
      <c r="M10" s="32">
        <v>665</v>
      </c>
      <c r="N10" s="31">
        <v>26</v>
      </c>
      <c r="O10" s="32">
        <v>13.887550200803211</v>
      </c>
      <c r="Q10" s="10">
        <v>2131</v>
      </c>
      <c r="R10" s="10">
        <f t="shared" si="1"/>
        <v>2653095</v>
      </c>
      <c r="S10" s="10">
        <f t="shared" si="2"/>
        <v>1417115</v>
      </c>
    </row>
    <row r="11" spans="1:19" x14ac:dyDescent="0.25">
      <c r="A11" s="29" t="s">
        <v>29</v>
      </c>
      <c r="B11" s="30" t="s">
        <v>16</v>
      </c>
      <c r="C11" s="31" t="s">
        <v>19</v>
      </c>
      <c r="D11" s="34">
        <v>10</v>
      </c>
      <c r="E11" s="31">
        <v>41936</v>
      </c>
      <c r="F11" s="31">
        <v>350575</v>
      </c>
      <c r="G11" s="31">
        <v>0</v>
      </c>
      <c r="H11" s="31">
        <v>0</v>
      </c>
      <c r="I11" s="31">
        <v>379925</v>
      </c>
      <c r="J11" s="31">
        <v>0</v>
      </c>
      <c r="K11" s="31">
        <f t="shared" si="0"/>
        <v>379925</v>
      </c>
      <c r="L11" s="31">
        <v>12586</v>
      </c>
      <c r="M11" s="32">
        <v>32103</v>
      </c>
      <c r="N11" s="31">
        <v>26</v>
      </c>
      <c r="O11" s="32">
        <v>2.1969546621043627</v>
      </c>
      <c r="Q11" s="10">
        <v>1691</v>
      </c>
      <c r="R11" s="10">
        <f t="shared" si="1"/>
        <v>642453175</v>
      </c>
      <c r="S11" s="10">
        <f t="shared" si="2"/>
        <v>54286173</v>
      </c>
    </row>
    <row r="12" spans="1:19" x14ac:dyDescent="0.25">
      <c r="A12" s="29" t="s">
        <v>32</v>
      </c>
      <c r="B12" s="30" t="s">
        <v>16</v>
      </c>
      <c r="C12" s="31" t="s">
        <v>19</v>
      </c>
      <c r="D12" s="34">
        <v>10</v>
      </c>
      <c r="E12" s="31">
        <v>0</v>
      </c>
      <c r="F12" s="31">
        <v>81165</v>
      </c>
      <c r="G12" s="31">
        <v>0</v>
      </c>
      <c r="H12" s="31">
        <v>0</v>
      </c>
      <c r="I12" s="31">
        <v>77665</v>
      </c>
      <c r="J12" s="31">
        <v>0</v>
      </c>
      <c r="K12" s="31">
        <f t="shared" si="0"/>
        <v>77665</v>
      </c>
      <c r="L12" s="31">
        <v>3500</v>
      </c>
      <c r="M12" s="32">
        <v>5488.0769230769201</v>
      </c>
      <c r="N12" s="31">
        <v>26</v>
      </c>
      <c r="O12" s="32">
        <v>1.8372497263889771</v>
      </c>
      <c r="Q12" s="10">
        <v>1890</v>
      </c>
      <c r="R12" s="10">
        <f t="shared" si="1"/>
        <v>146786850</v>
      </c>
      <c r="S12" s="10">
        <f t="shared" si="2"/>
        <v>10372465.384615378</v>
      </c>
    </row>
    <row r="13" spans="1:19" x14ac:dyDescent="0.25">
      <c r="A13" s="29" t="s">
        <v>33</v>
      </c>
      <c r="B13" s="30" t="s">
        <v>16</v>
      </c>
      <c r="C13" s="31" t="s">
        <v>19</v>
      </c>
      <c r="D13" s="34">
        <v>10</v>
      </c>
      <c r="E13" s="31">
        <v>7661</v>
      </c>
      <c r="F13" s="31">
        <v>350500</v>
      </c>
      <c r="G13" s="31">
        <v>0</v>
      </c>
      <c r="H13" s="31">
        <v>0</v>
      </c>
      <c r="I13" s="31">
        <v>310675</v>
      </c>
      <c r="J13" s="31">
        <v>0</v>
      </c>
      <c r="K13" s="31">
        <f t="shared" si="0"/>
        <v>310675</v>
      </c>
      <c r="L13" s="31">
        <v>47486</v>
      </c>
      <c r="M13" s="32">
        <v>58411.925925925898</v>
      </c>
      <c r="N13" s="31">
        <v>26</v>
      </c>
      <c r="O13" s="32">
        <v>0</v>
      </c>
      <c r="Q13" s="10">
        <v>2216</v>
      </c>
      <c r="R13" s="10">
        <f t="shared" si="1"/>
        <v>688455800</v>
      </c>
      <c r="S13" s="10">
        <f t="shared" si="2"/>
        <v>129440827.85185179</v>
      </c>
    </row>
    <row r="14" spans="1:19" x14ac:dyDescent="0.25">
      <c r="A14" s="29" t="s">
        <v>34</v>
      </c>
      <c r="B14" s="30" t="s">
        <v>16</v>
      </c>
      <c r="C14" s="31" t="s">
        <v>19</v>
      </c>
      <c r="D14" s="34">
        <v>10</v>
      </c>
      <c r="E14" s="31">
        <v>7464</v>
      </c>
      <c r="F14" s="31">
        <v>100228</v>
      </c>
      <c r="G14" s="31">
        <v>0</v>
      </c>
      <c r="H14" s="31">
        <v>0</v>
      </c>
      <c r="I14" s="31">
        <v>6870</v>
      </c>
      <c r="J14" s="31">
        <v>99336</v>
      </c>
      <c r="K14" s="31">
        <f t="shared" si="0"/>
        <v>106206</v>
      </c>
      <c r="L14" s="31">
        <v>1486</v>
      </c>
      <c r="M14" s="32">
        <v>22863.4</v>
      </c>
      <c r="N14" s="31">
        <v>26</v>
      </c>
      <c r="O14" s="32">
        <v>5.5971263393781898</v>
      </c>
      <c r="Q14" s="10">
        <v>2846</v>
      </c>
      <c r="R14" s="10">
        <f t="shared" si="1"/>
        <v>302262276</v>
      </c>
      <c r="S14" s="10">
        <f t="shared" si="2"/>
        <v>65069236.400000006</v>
      </c>
    </row>
    <row r="15" spans="1:19" x14ac:dyDescent="0.25">
      <c r="A15" s="29" t="s">
        <v>209</v>
      </c>
      <c r="B15" s="30" t="s">
        <v>16</v>
      </c>
      <c r="C15" s="31" t="s">
        <v>19</v>
      </c>
      <c r="D15" s="34">
        <v>10</v>
      </c>
      <c r="E15" s="31">
        <v>0</v>
      </c>
      <c r="F15" s="31">
        <v>358225</v>
      </c>
      <c r="G15" s="31">
        <v>0</v>
      </c>
      <c r="H15" s="31">
        <v>0</v>
      </c>
      <c r="I15" s="31">
        <v>0</v>
      </c>
      <c r="J15" s="31">
        <v>300250</v>
      </c>
      <c r="K15" s="31">
        <f t="shared" si="0"/>
        <v>300250</v>
      </c>
      <c r="L15" s="31">
        <v>57975</v>
      </c>
      <c r="M15" s="32">
        <v>38392.5</v>
      </c>
      <c r="N15" s="31">
        <v>26</v>
      </c>
      <c r="O15" s="32">
        <v>3.3245795170691088</v>
      </c>
      <c r="Q15" s="10">
        <v>2846</v>
      </c>
      <c r="R15" s="10">
        <f t="shared" si="1"/>
        <v>854511500</v>
      </c>
      <c r="S15" s="10">
        <f t="shared" si="2"/>
        <v>109265055</v>
      </c>
    </row>
    <row r="16" spans="1:19" x14ac:dyDescent="0.25">
      <c r="A16" s="29" t="s">
        <v>35</v>
      </c>
      <c r="B16" s="30" t="s">
        <v>16</v>
      </c>
      <c r="C16" s="31" t="s">
        <v>19</v>
      </c>
      <c r="D16" s="34">
        <v>10</v>
      </c>
      <c r="E16" s="31">
        <v>4078</v>
      </c>
      <c r="F16" s="31">
        <v>190900</v>
      </c>
      <c r="G16" s="31">
        <v>0</v>
      </c>
      <c r="H16" s="31">
        <v>0</v>
      </c>
      <c r="I16" s="31">
        <v>181650</v>
      </c>
      <c r="J16" s="31">
        <v>0</v>
      </c>
      <c r="K16" s="31">
        <f t="shared" si="0"/>
        <v>181650</v>
      </c>
      <c r="L16" s="31">
        <v>13328</v>
      </c>
      <c r="M16" s="32">
        <v>9919.4</v>
      </c>
      <c r="N16" s="31">
        <v>26</v>
      </c>
      <c r="O16" s="32">
        <v>1.4197875034406826</v>
      </c>
      <c r="Q16" s="10">
        <v>2129</v>
      </c>
      <c r="R16" s="10">
        <f t="shared" si="1"/>
        <v>386732850</v>
      </c>
      <c r="S16" s="10">
        <f t="shared" si="2"/>
        <v>21118402.599999998</v>
      </c>
    </row>
    <row r="17" spans="1:19" x14ac:dyDescent="0.25">
      <c r="A17" s="29" t="s">
        <v>36</v>
      </c>
      <c r="B17" s="30" t="s">
        <v>17</v>
      </c>
      <c r="C17" s="31" t="s">
        <v>19</v>
      </c>
      <c r="D17" s="34">
        <v>10</v>
      </c>
      <c r="E17" s="31">
        <v>2575</v>
      </c>
      <c r="F17" s="31">
        <v>1050</v>
      </c>
      <c r="G17" s="31">
        <v>0</v>
      </c>
      <c r="H17" s="31">
        <v>0</v>
      </c>
      <c r="I17" s="31">
        <v>2225</v>
      </c>
      <c r="J17" s="31">
        <v>0</v>
      </c>
      <c r="K17" s="31">
        <f t="shared" si="0"/>
        <v>2225</v>
      </c>
      <c r="L17" s="31">
        <v>1400</v>
      </c>
      <c r="M17" s="32">
        <v>2475</v>
      </c>
      <c r="N17" s="31">
        <v>26</v>
      </c>
      <c r="O17" s="32">
        <v>28.921348314606742</v>
      </c>
      <c r="Q17" s="10">
        <v>2129</v>
      </c>
      <c r="R17" s="10">
        <f t="shared" si="1"/>
        <v>4737025</v>
      </c>
      <c r="S17" s="10">
        <f t="shared" si="2"/>
        <v>5269275</v>
      </c>
    </row>
    <row r="18" spans="1:19" x14ac:dyDescent="0.25">
      <c r="A18" s="29" t="s">
        <v>37</v>
      </c>
      <c r="B18" s="30" t="s">
        <v>16</v>
      </c>
      <c r="C18" s="31" t="s">
        <v>19</v>
      </c>
      <c r="D18" s="34">
        <v>10</v>
      </c>
      <c r="E18" s="31">
        <v>8124</v>
      </c>
      <c r="F18" s="31">
        <v>148300</v>
      </c>
      <c r="G18" s="31">
        <v>0</v>
      </c>
      <c r="H18" s="31">
        <v>0</v>
      </c>
      <c r="I18" s="31">
        <v>0</v>
      </c>
      <c r="J18" s="31">
        <v>152229</v>
      </c>
      <c r="K18" s="31">
        <f t="shared" si="0"/>
        <v>152229</v>
      </c>
      <c r="L18" s="31">
        <v>4195</v>
      </c>
      <c r="M18" s="32">
        <v>41009.961538461503</v>
      </c>
      <c r="N18" s="31">
        <v>26</v>
      </c>
      <c r="O18" s="32">
        <v>7.0043092971772731</v>
      </c>
      <c r="Q18" s="10">
        <v>2263</v>
      </c>
      <c r="R18" s="10">
        <f t="shared" si="1"/>
        <v>344494227</v>
      </c>
      <c r="S18" s="10">
        <f t="shared" si="2"/>
        <v>92805542.961538374</v>
      </c>
    </row>
    <row r="19" spans="1:19" x14ac:dyDescent="0.25">
      <c r="A19" s="29" t="s">
        <v>38</v>
      </c>
      <c r="B19" s="30" t="s">
        <v>17</v>
      </c>
      <c r="C19" s="31" t="s">
        <v>19</v>
      </c>
      <c r="D19" s="34">
        <v>10</v>
      </c>
      <c r="E19" s="31">
        <v>33899</v>
      </c>
      <c r="F19" s="31">
        <v>13075</v>
      </c>
      <c r="G19" s="31">
        <v>0</v>
      </c>
      <c r="H19" s="31">
        <v>0</v>
      </c>
      <c r="I19" s="31">
        <v>0</v>
      </c>
      <c r="J19" s="31">
        <v>40625</v>
      </c>
      <c r="K19" s="31">
        <f t="shared" si="0"/>
        <v>40625</v>
      </c>
      <c r="L19" s="31">
        <v>6349</v>
      </c>
      <c r="M19" s="32">
        <v>19081.142857142899</v>
      </c>
      <c r="N19" s="31">
        <v>26</v>
      </c>
      <c r="O19" s="32">
        <v>12.211931428571456</v>
      </c>
      <c r="Q19" s="10">
        <v>2263</v>
      </c>
      <c r="R19" s="10">
        <f t="shared" si="1"/>
        <v>91934375</v>
      </c>
      <c r="S19" s="10">
        <f t="shared" si="2"/>
        <v>43180626.28571438</v>
      </c>
    </row>
    <row r="20" spans="1:19" x14ac:dyDescent="0.25">
      <c r="A20" s="29" t="s">
        <v>39</v>
      </c>
      <c r="B20" s="30" t="s">
        <v>17</v>
      </c>
      <c r="C20" s="31" t="s">
        <v>19</v>
      </c>
      <c r="D20" s="34">
        <v>10</v>
      </c>
      <c r="E20" s="31">
        <v>4996</v>
      </c>
      <c r="F20" s="31">
        <v>0</v>
      </c>
      <c r="G20" s="31">
        <v>0</v>
      </c>
      <c r="H20" s="31">
        <v>0</v>
      </c>
      <c r="I20" s="31">
        <v>0</v>
      </c>
      <c r="J20" s="31">
        <v>2000</v>
      </c>
      <c r="K20" s="31">
        <f t="shared" si="0"/>
        <v>2000</v>
      </c>
      <c r="L20" s="31">
        <v>2996</v>
      </c>
      <c r="M20" s="32">
        <v>3496</v>
      </c>
      <c r="N20" s="31">
        <v>26</v>
      </c>
      <c r="O20" s="32">
        <v>45.448</v>
      </c>
      <c r="Q20" s="10">
        <v>2732</v>
      </c>
      <c r="R20" s="10">
        <f t="shared" si="1"/>
        <v>5464000</v>
      </c>
      <c r="S20" s="10">
        <f t="shared" si="2"/>
        <v>9551072</v>
      </c>
    </row>
    <row r="21" spans="1:19" x14ac:dyDescent="0.25">
      <c r="A21" s="29" t="s">
        <v>40</v>
      </c>
      <c r="B21" s="30" t="s">
        <v>17</v>
      </c>
      <c r="C21" s="31" t="s">
        <v>19</v>
      </c>
      <c r="D21" s="34">
        <v>10</v>
      </c>
      <c r="E21" s="31">
        <v>4384</v>
      </c>
      <c r="F21" s="31">
        <v>25843</v>
      </c>
      <c r="G21" s="31">
        <v>0</v>
      </c>
      <c r="H21" s="31">
        <v>0</v>
      </c>
      <c r="I21" s="31">
        <v>0</v>
      </c>
      <c r="J21" s="31">
        <v>24293</v>
      </c>
      <c r="K21" s="31">
        <f t="shared" si="0"/>
        <v>24293</v>
      </c>
      <c r="L21" s="31">
        <v>5934</v>
      </c>
      <c r="M21" s="32">
        <v>5185.470588235291</v>
      </c>
      <c r="N21" s="31">
        <v>26</v>
      </c>
      <c r="O21" s="32">
        <v>0</v>
      </c>
      <c r="Q21" s="10">
        <v>2962</v>
      </c>
      <c r="R21" s="10">
        <f t="shared" si="1"/>
        <v>71955866</v>
      </c>
      <c r="S21" s="10">
        <f t="shared" si="2"/>
        <v>15359363.882352931</v>
      </c>
    </row>
    <row r="22" spans="1:19" x14ac:dyDescent="0.25">
      <c r="A22" s="29" t="s">
        <v>165</v>
      </c>
      <c r="B22" s="30" t="s">
        <v>16</v>
      </c>
      <c r="C22" s="31" t="s">
        <v>19</v>
      </c>
      <c r="D22" s="34">
        <v>10</v>
      </c>
      <c r="E22" s="31">
        <v>5005</v>
      </c>
      <c r="F22" s="31">
        <v>71250</v>
      </c>
      <c r="G22" s="31">
        <v>0</v>
      </c>
      <c r="H22" s="31">
        <v>0</v>
      </c>
      <c r="I22" s="31">
        <v>72500</v>
      </c>
      <c r="J22" s="31">
        <v>0</v>
      </c>
      <c r="K22" s="31">
        <f t="shared" si="0"/>
        <v>72500</v>
      </c>
      <c r="L22" s="31">
        <v>3755</v>
      </c>
      <c r="M22" s="32">
        <v>7732.2727272727298</v>
      </c>
      <c r="N22" s="31">
        <v>26</v>
      </c>
      <c r="O22" s="32">
        <v>2.772952978056427</v>
      </c>
      <c r="Q22" s="10">
        <v>2268</v>
      </c>
      <c r="R22" s="10">
        <f t="shared" si="1"/>
        <v>164430000</v>
      </c>
      <c r="S22" s="10">
        <f t="shared" si="2"/>
        <v>17536794.545454551</v>
      </c>
    </row>
    <row r="23" spans="1:19" x14ac:dyDescent="0.25">
      <c r="A23" s="29" t="s">
        <v>44</v>
      </c>
      <c r="B23" s="30" t="s">
        <v>17</v>
      </c>
      <c r="C23" s="31" t="s">
        <v>19</v>
      </c>
      <c r="D23" s="34">
        <v>10</v>
      </c>
      <c r="E23" s="31">
        <v>1242</v>
      </c>
      <c r="F23" s="31">
        <v>9450</v>
      </c>
      <c r="G23" s="31">
        <v>0</v>
      </c>
      <c r="H23" s="31">
        <v>0</v>
      </c>
      <c r="I23" s="31">
        <v>7450</v>
      </c>
      <c r="J23" s="31">
        <v>200</v>
      </c>
      <c r="K23" s="31">
        <f t="shared" si="0"/>
        <v>7650</v>
      </c>
      <c r="L23" s="31">
        <v>3042</v>
      </c>
      <c r="M23" s="32">
        <v>3394.5</v>
      </c>
      <c r="N23" s="31">
        <v>26</v>
      </c>
      <c r="O23" s="32">
        <v>0</v>
      </c>
      <c r="Q23" s="10">
        <v>1956</v>
      </c>
      <c r="R23" s="10">
        <f t="shared" si="1"/>
        <v>14963400</v>
      </c>
      <c r="S23" s="10">
        <f t="shared" si="2"/>
        <v>6639642</v>
      </c>
    </row>
    <row r="24" spans="1:19" x14ac:dyDescent="0.25">
      <c r="A24" s="29" t="s">
        <v>45</v>
      </c>
      <c r="B24" s="30" t="s">
        <v>16</v>
      </c>
      <c r="C24" s="31" t="s">
        <v>19</v>
      </c>
      <c r="D24" s="34">
        <v>10</v>
      </c>
      <c r="E24" s="31">
        <v>10460</v>
      </c>
      <c r="F24" s="31">
        <v>368450</v>
      </c>
      <c r="G24" s="31">
        <v>0</v>
      </c>
      <c r="H24" s="31">
        <v>0</v>
      </c>
      <c r="I24" s="31">
        <v>0</v>
      </c>
      <c r="J24" s="31">
        <v>368950</v>
      </c>
      <c r="K24" s="31">
        <f t="shared" si="0"/>
        <v>368950</v>
      </c>
      <c r="L24" s="31">
        <v>9960</v>
      </c>
      <c r="M24" s="32">
        <v>25618.928571428602</v>
      </c>
      <c r="N24" s="31">
        <v>26</v>
      </c>
      <c r="O24" s="32">
        <v>0</v>
      </c>
      <c r="Q24" s="10">
        <v>2031</v>
      </c>
      <c r="R24" s="10">
        <f t="shared" si="1"/>
        <v>749337450</v>
      </c>
      <c r="S24" s="10">
        <f t="shared" si="2"/>
        <v>52032043.928571492</v>
      </c>
    </row>
    <row r="25" spans="1:19" x14ac:dyDescent="0.25">
      <c r="A25" s="29" t="s">
        <v>47</v>
      </c>
      <c r="B25" s="30" t="s">
        <v>17</v>
      </c>
      <c r="C25" s="31" t="s">
        <v>19</v>
      </c>
      <c r="D25" s="34">
        <v>10</v>
      </c>
      <c r="E25" s="31">
        <v>1533</v>
      </c>
      <c r="F25" s="31">
        <v>1050</v>
      </c>
      <c r="G25" s="31">
        <v>0</v>
      </c>
      <c r="H25" s="31">
        <v>0</v>
      </c>
      <c r="I25" s="31">
        <v>550</v>
      </c>
      <c r="J25" s="31">
        <v>0</v>
      </c>
      <c r="K25" s="31">
        <f t="shared" si="0"/>
        <v>550</v>
      </c>
      <c r="L25" s="31">
        <v>2033</v>
      </c>
      <c r="M25" s="32">
        <v>1508</v>
      </c>
      <c r="N25" s="31">
        <v>26</v>
      </c>
      <c r="O25" s="32">
        <v>0</v>
      </c>
      <c r="Q25" s="10">
        <v>2179</v>
      </c>
      <c r="R25" s="10">
        <f t="shared" si="1"/>
        <v>1198450</v>
      </c>
      <c r="S25" s="10">
        <f t="shared" si="2"/>
        <v>3285932</v>
      </c>
    </row>
    <row r="26" spans="1:19" x14ac:dyDescent="0.25">
      <c r="A26" s="29" t="s">
        <v>46</v>
      </c>
      <c r="B26" s="30" t="s">
        <v>17</v>
      </c>
      <c r="C26" s="31" t="s">
        <v>19</v>
      </c>
      <c r="D26" s="34">
        <v>10</v>
      </c>
      <c r="E26" s="31">
        <v>2015</v>
      </c>
      <c r="F26" s="31">
        <v>0</v>
      </c>
      <c r="G26" s="31">
        <v>0</v>
      </c>
      <c r="H26" s="31">
        <v>0</v>
      </c>
      <c r="I26" s="31">
        <v>100</v>
      </c>
      <c r="J26" s="31">
        <v>0</v>
      </c>
      <c r="K26" s="31">
        <f t="shared" si="0"/>
        <v>100</v>
      </c>
      <c r="L26" s="31">
        <v>1915</v>
      </c>
      <c r="M26" s="32">
        <v>1940</v>
      </c>
      <c r="N26" s="31">
        <v>26</v>
      </c>
      <c r="O26" s="32">
        <v>504.4</v>
      </c>
      <c r="Q26" s="10">
        <v>2179</v>
      </c>
      <c r="R26" s="10">
        <f t="shared" si="1"/>
        <v>217900</v>
      </c>
      <c r="S26" s="10">
        <f t="shared" si="2"/>
        <v>4227260</v>
      </c>
    </row>
    <row r="27" spans="1:19" x14ac:dyDescent="0.25">
      <c r="A27" s="29" t="s">
        <v>49</v>
      </c>
      <c r="B27" s="30" t="s">
        <v>16</v>
      </c>
      <c r="C27" s="31" t="s">
        <v>19</v>
      </c>
      <c r="D27" s="34">
        <v>10</v>
      </c>
      <c r="E27" s="31">
        <v>878</v>
      </c>
      <c r="F27" s="31">
        <v>140975</v>
      </c>
      <c r="G27" s="31">
        <v>0</v>
      </c>
      <c r="H27" s="31">
        <v>0</v>
      </c>
      <c r="I27" s="31">
        <v>116000</v>
      </c>
      <c r="J27" s="31">
        <v>0</v>
      </c>
      <c r="K27" s="31">
        <f t="shared" si="0"/>
        <v>116000</v>
      </c>
      <c r="L27" s="31">
        <v>25853</v>
      </c>
      <c r="M27" s="32">
        <v>12795.307692307701</v>
      </c>
      <c r="N27" s="31">
        <v>26</v>
      </c>
      <c r="O27" s="32">
        <v>2.8679137931034502</v>
      </c>
      <c r="Q27" s="10">
        <v>2179</v>
      </c>
      <c r="R27" s="10">
        <f t="shared" si="1"/>
        <v>252764000</v>
      </c>
      <c r="S27" s="10">
        <f t="shared" si="2"/>
        <v>27880975.461538479</v>
      </c>
    </row>
    <row r="28" spans="1:19" x14ac:dyDescent="0.25">
      <c r="A28" s="29" t="s">
        <v>166</v>
      </c>
      <c r="B28" s="30" t="s">
        <v>17</v>
      </c>
      <c r="C28" s="31" t="s">
        <v>19</v>
      </c>
      <c r="D28" s="34">
        <v>10</v>
      </c>
      <c r="E28" s="31">
        <v>675</v>
      </c>
      <c r="F28" s="31">
        <v>1050</v>
      </c>
      <c r="G28" s="31">
        <v>0</v>
      </c>
      <c r="H28" s="31">
        <v>0</v>
      </c>
      <c r="I28" s="31">
        <v>1200</v>
      </c>
      <c r="J28" s="31">
        <v>0</v>
      </c>
      <c r="K28" s="31">
        <f t="shared" si="0"/>
        <v>1200</v>
      </c>
      <c r="L28" s="31">
        <v>525</v>
      </c>
      <c r="M28" s="32">
        <v>1170</v>
      </c>
      <c r="N28" s="31">
        <v>26</v>
      </c>
      <c r="O28" s="32">
        <v>25.349999999999998</v>
      </c>
      <c r="Q28" s="10">
        <v>3145</v>
      </c>
      <c r="R28" s="10">
        <f t="shared" si="1"/>
        <v>3774000</v>
      </c>
      <c r="S28" s="10">
        <f t="shared" si="2"/>
        <v>3679650</v>
      </c>
    </row>
    <row r="29" spans="1:19" x14ac:dyDescent="0.25">
      <c r="A29" s="29" t="s">
        <v>50</v>
      </c>
      <c r="B29" s="30" t="s">
        <v>17</v>
      </c>
      <c r="C29" s="31" t="s">
        <v>19</v>
      </c>
      <c r="D29" s="34">
        <v>10</v>
      </c>
      <c r="E29" s="31">
        <v>18063</v>
      </c>
      <c r="F29" s="31">
        <v>12195</v>
      </c>
      <c r="G29" s="31">
        <v>0</v>
      </c>
      <c r="H29" s="31">
        <v>0</v>
      </c>
      <c r="I29" s="31">
        <v>18600</v>
      </c>
      <c r="J29" s="31">
        <v>0</v>
      </c>
      <c r="K29" s="31">
        <f t="shared" si="0"/>
        <v>18600</v>
      </c>
      <c r="L29" s="31">
        <v>11658</v>
      </c>
      <c r="M29" s="32">
        <v>16135.142857142901</v>
      </c>
      <c r="N29" s="31">
        <v>26</v>
      </c>
      <c r="O29" s="32">
        <v>22.554500768049216</v>
      </c>
      <c r="Q29" s="10">
        <v>2179</v>
      </c>
      <c r="R29" s="10">
        <f t="shared" si="1"/>
        <v>40529400</v>
      </c>
      <c r="S29" s="10">
        <f t="shared" si="2"/>
        <v>35158476.28571438</v>
      </c>
    </row>
    <row r="30" spans="1:19" x14ac:dyDescent="0.25">
      <c r="A30" s="29" t="s">
        <v>167</v>
      </c>
      <c r="B30" s="30" t="s">
        <v>16</v>
      </c>
      <c r="C30" s="31" t="s">
        <v>19</v>
      </c>
      <c r="D30" s="34">
        <v>10</v>
      </c>
      <c r="E30" s="31">
        <v>6750</v>
      </c>
      <c r="F30" s="31">
        <v>6175</v>
      </c>
      <c r="G30" s="31">
        <v>0</v>
      </c>
      <c r="H30" s="31">
        <v>0</v>
      </c>
      <c r="I30" s="31">
        <v>7925</v>
      </c>
      <c r="J30" s="31">
        <v>0</v>
      </c>
      <c r="K30" s="31">
        <f t="shared" si="0"/>
        <v>7925</v>
      </c>
      <c r="L30" s="31">
        <v>5000</v>
      </c>
      <c r="M30" s="32">
        <v>5143.75</v>
      </c>
      <c r="N30" s="31">
        <v>26</v>
      </c>
      <c r="O30" s="32">
        <v>0</v>
      </c>
      <c r="Q30" s="10">
        <v>2268</v>
      </c>
      <c r="R30" s="10">
        <f t="shared" si="1"/>
        <v>17973900</v>
      </c>
      <c r="S30" s="10">
        <f t="shared" si="2"/>
        <v>11666025</v>
      </c>
    </row>
    <row r="31" spans="1:19" x14ac:dyDescent="0.25">
      <c r="A31" s="29" t="s">
        <v>210</v>
      </c>
      <c r="B31" s="30" t="s">
        <v>16</v>
      </c>
      <c r="C31" s="31" t="s">
        <v>19</v>
      </c>
      <c r="D31" s="34">
        <v>10</v>
      </c>
      <c r="E31" s="31">
        <v>0</v>
      </c>
      <c r="F31" s="31">
        <v>44425</v>
      </c>
      <c r="G31" s="31">
        <v>0</v>
      </c>
      <c r="H31" s="31">
        <v>0</v>
      </c>
      <c r="I31" s="31">
        <v>38125</v>
      </c>
      <c r="J31" s="31">
        <v>0</v>
      </c>
      <c r="K31" s="31">
        <f t="shared" si="0"/>
        <v>38125</v>
      </c>
      <c r="L31" s="31">
        <v>6300</v>
      </c>
      <c r="M31" s="32">
        <v>7381.25</v>
      </c>
      <c r="N31" s="31">
        <v>26</v>
      </c>
      <c r="O31" s="32">
        <v>5.0337704918032786</v>
      </c>
      <c r="Q31" s="10">
        <v>2268</v>
      </c>
      <c r="R31" s="10">
        <f t="shared" si="1"/>
        <v>86467500</v>
      </c>
      <c r="S31" s="10">
        <f t="shared" si="2"/>
        <v>16740675</v>
      </c>
    </row>
    <row r="32" spans="1:19" x14ac:dyDescent="0.25">
      <c r="A32" s="29" t="s">
        <v>168</v>
      </c>
      <c r="B32" s="30" t="s">
        <v>17</v>
      </c>
      <c r="C32" s="31" t="s">
        <v>19</v>
      </c>
      <c r="D32" s="34">
        <v>10</v>
      </c>
      <c r="E32" s="31">
        <v>8650</v>
      </c>
      <c r="F32" s="31">
        <v>12300</v>
      </c>
      <c r="G32" s="31">
        <v>0</v>
      </c>
      <c r="H32" s="31">
        <v>0</v>
      </c>
      <c r="I32" s="31">
        <v>20925</v>
      </c>
      <c r="J32" s="31">
        <v>0</v>
      </c>
      <c r="K32" s="31">
        <f t="shared" si="0"/>
        <v>20925</v>
      </c>
      <c r="L32" s="31">
        <v>25</v>
      </c>
      <c r="M32" s="32">
        <v>5077.5</v>
      </c>
      <c r="N32" s="31">
        <v>26</v>
      </c>
      <c r="O32" s="32">
        <v>6.3089605734767025</v>
      </c>
      <c r="Q32" s="10">
        <v>2218</v>
      </c>
      <c r="R32" s="10">
        <f t="shared" si="1"/>
        <v>46411650</v>
      </c>
      <c r="S32" s="10">
        <f t="shared" si="2"/>
        <v>11261895</v>
      </c>
    </row>
    <row r="33" spans="1:19" x14ac:dyDescent="0.25">
      <c r="A33" s="29" t="s">
        <v>54</v>
      </c>
      <c r="B33" s="30" t="s">
        <v>17</v>
      </c>
      <c r="C33" s="31" t="s">
        <v>19</v>
      </c>
      <c r="D33" s="34">
        <v>10</v>
      </c>
      <c r="E33" s="31">
        <v>88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f t="shared" si="0"/>
        <v>0</v>
      </c>
      <c r="L33" s="31">
        <v>88</v>
      </c>
      <c r="M33" s="32">
        <v>0</v>
      </c>
      <c r="N33" s="31">
        <v>26</v>
      </c>
      <c r="O33" s="32">
        <v>0</v>
      </c>
      <c r="Q33" s="10">
        <v>2218</v>
      </c>
      <c r="R33" s="10">
        <f t="shared" si="1"/>
        <v>0</v>
      </c>
      <c r="S33" s="10">
        <f t="shared" si="2"/>
        <v>0</v>
      </c>
    </row>
    <row r="34" spans="1:19" x14ac:dyDescent="0.25">
      <c r="A34" s="29" t="s">
        <v>56</v>
      </c>
      <c r="B34" s="30" t="s">
        <v>16</v>
      </c>
      <c r="C34" s="31" t="s">
        <v>19</v>
      </c>
      <c r="D34" s="34">
        <v>10</v>
      </c>
      <c r="E34" s="31">
        <v>7801</v>
      </c>
      <c r="F34" s="31">
        <v>192575</v>
      </c>
      <c r="G34" s="31">
        <v>0</v>
      </c>
      <c r="H34" s="31">
        <v>0</v>
      </c>
      <c r="I34" s="31">
        <v>127900</v>
      </c>
      <c r="J34" s="31">
        <v>44100</v>
      </c>
      <c r="K34" s="31">
        <f t="shared" si="0"/>
        <v>172000</v>
      </c>
      <c r="L34" s="31">
        <v>28376</v>
      </c>
      <c r="M34" s="32">
        <v>14214.888888888901</v>
      </c>
      <c r="N34" s="31">
        <v>26</v>
      </c>
      <c r="O34" s="32">
        <v>2.1487622739018106</v>
      </c>
      <c r="Q34" s="10">
        <v>2245</v>
      </c>
      <c r="R34" s="10">
        <f t="shared" si="1"/>
        <v>386140000</v>
      </c>
      <c r="S34" s="10">
        <f t="shared" si="2"/>
        <v>31912425.555555582</v>
      </c>
    </row>
    <row r="35" spans="1:19" x14ac:dyDescent="0.25">
      <c r="A35" s="29" t="s">
        <v>57</v>
      </c>
      <c r="B35" s="30" t="s">
        <v>16</v>
      </c>
      <c r="C35" s="31" t="s">
        <v>19</v>
      </c>
      <c r="D35" s="34">
        <v>10</v>
      </c>
      <c r="E35" s="31">
        <v>12730</v>
      </c>
      <c r="F35" s="31">
        <v>94850</v>
      </c>
      <c r="G35" s="31">
        <v>0</v>
      </c>
      <c r="H35" s="31">
        <v>0</v>
      </c>
      <c r="I35" s="31">
        <v>0</v>
      </c>
      <c r="J35" s="31">
        <v>92905</v>
      </c>
      <c r="K35" s="31">
        <f t="shared" si="0"/>
        <v>92905</v>
      </c>
      <c r="L35" s="31">
        <v>14675</v>
      </c>
      <c r="M35" s="32">
        <v>13218.75</v>
      </c>
      <c r="N35" s="31">
        <v>26</v>
      </c>
      <c r="O35" s="32">
        <v>0</v>
      </c>
      <c r="Q35" s="10">
        <v>1419</v>
      </c>
      <c r="R35" s="10">
        <f t="shared" si="1"/>
        <v>131832195</v>
      </c>
      <c r="S35" s="10">
        <f t="shared" si="2"/>
        <v>18757406.25</v>
      </c>
    </row>
    <row r="36" spans="1:19" x14ac:dyDescent="0.25">
      <c r="A36" s="29" t="s">
        <v>58</v>
      </c>
      <c r="B36" s="30" t="s">
        <v>17</v>
      </c>
      <c r="C36" s="31" t="s">
        <v>19</v>
      </c>
      <c r="D36" s="34">
        <v>10</v>
      </c>
      <c r="E36" s="31">
        <v>3670</v>
      </c>
      <c r="F36" s="31">
        <v>0</v>
      </c>
      <c r="G36" s="31">
        <v>0</v>
      </c>
      <c r="H36" s="31">
        <v>0</v>
      </c>
      <c r="I36" s="31">
        <v>0</v>
      </c>
      <c r="J36" s="31">
        <v>2500</v>
      </c>
      <c r="K36" s="31">
        <f t="shared" si="0"/>
        <v>2500</v>
      </c>
      <c r="L36" s="31">
        <v>1170</v>
      </c>
      <c r="M36" s="32">
        <v>1795</v>
      </c>
      <c r="N36" s="31">
        <v>26</v>
      </c>
      <c r="O36" s="32">
        <v>18.667999999999999</v>
      </c>
      <c r="Q36" s="10">
        <v>2765</v>
      </c>
      <c r="R36" s="10">
        <f t="shared" si="1"/>
        <v>6912500</v>
      </c>
      <c r="S36" s="10">
        <f t="shared" si="2"/>
        <v>4963175</v>
      </c>
    </row>
    <row r="37" spans="1:19" x14ac:dyDescent="0.25">
      <c r="A37" s="29" t="s">
        <v>59</v>
      </c>
      <c r="B37" s="30" t="s">
        <v>17</v>
      </c>
      <c r="C37" s="31" t="s">
        <v>19</v>
      </c>
      <c r="D37" s="34">
        <v>10</v>
      </c>
      <c r="E37" s="31">
        <v>8860</v>
      </c>
      <c r="F37" s="31">
        <v>24156</v>
      </c>
      <c r="G37" s="31">
        <v>0</v>
      </c>
      <c r="H37" s="31">
        <v>0</v>
      </c>
      <c r="I37" s="31">
        <v>0</v>
      </c>
      <c r="J37" s="31">
        <v>26186</v>
      </c>
      <c r="K37" s="31">
        <f t="shared" si="0"/>
        <v>26186</v>
      </c>
      <c r="L37" s="31">
        <v>6830</v>
      </c>
      <c r="M37" s="32">
        <v>14503.809523809501</v>
      </c>
      <c r="N37" s="31">
        <v>26</v>
      </c>
      <c r="O37" s="32">
        <v>0</v>
      </c>
      <c r="Q37" s="10">
        <v>4592</v>
      </c>
      <c r="R37" s="10">
        <f t="shared" si="1"/>
        <v>120246112</v>
      </c>
      <c r="S37" s="10">
        <f t="shared" si="2"/>
        <v>66601493.333333232</v>
      </c>
    </row>
    <row r="38" spans="1:19" x14ac:dyDescent="0.25">
      <c r="A38" s="29" t="s">
        <v>60</v>
      </c>
      <c r="B38" s="30" t="s">
        <v>17</v>
      </c>
      <c r="C38" s="31" t="s">
        <v>19</v>
      </c>
      <c r="D38" s="34">
        <v>10</v>
      </c>
      <c r="E38" s="31">
        <v>6335</v>
      </c>
      <c r="F38" s="31">
        <v>46456</v>
      </c>
      <c r="G38" s="31">
        <v>0</v>
      </c>
      <c r="H38" s="31">
        <v>0</v>
      </c>
      <c r="I38" s="31">
        <v>0</v>
      </c>
      <c r="J38" s="31">
        <v>46266</v>
      </c>
      <c r="K38" s="31">
        <f t="shared" si="0"/>
        <v>46266</v>
      </c>
      <c r="L38" s="31">
        <v>6525</v>
      </c>
      <c r="M38" s="32">
        <v>6483.0869565217399</v>
      </c>
      <c r="N38" s="31">
        <v>26</v>
      </c>
      <c r="O38" s="32">
        <v>0</v>
      </c>
      <c r="Q38" s="10">
        <v>2297</v>
      </c>
      <c r="R38" s="10">
        <f t="shared" si="1"/>
        <v>106273002</v>
      </c>
      <c r="S38" s="10">
        <f t="shared" si="2"/>
        <v>14891650.739130437</v>
      </c>
    </row>
    <row r="39" spans="1:19" x14ac:dyDescent="0.25">
      <c r="A39" s="29" t="s">
        <v>61</v>
      </c>
      <c r="B39" s="30" t="s">
        <v>17</v>
      </c>
      <c r="C39" s="31" t="s">
        <v>19</v>
      </c>
      <c r="D39" s="34">
        <v>10</v>
      </c>
      <c r="E39" s="31">
        <v>3116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f t="shared" si="0"/>
        <v>0</v>
      </c>
      <c r="L39" s="31">
        <v>3116</v>
      </c>
      <c r="M39" s="32">
        <v>0</v>
      </c>
      <c r="N39" s="31">
        <v>26</v>
      </c>
      <c r="O39" s="32">
        <v>0</v>
      </c>
      <c r="Q39" s="10">
        <v>2616</v>
      </c>
      <c r="R39" s="10">
        <f t="shared" si="1"/>
        <v>0</v>
      </c>
      <c r="S39" s="10">
        <f t="shared" si="2"/>
        <v>0</v>
      </c>
    </row>
    <row r="40" spans="1:19" x14ac:dyDescent="0.25">
      <c r="A40" s="29" t="s">
        <v>62</v>
      </c>
      <c r="B40" s="30" t="s">
        <v>17</v>
      </c>
      <c r="C40" s="31" t="s">
        <v>19</v>
      </c>
      <c r="D40" s="34">
        <v>10</v>
      </c>
      <c r="E40" s="31">
        <v>4875</v>
      </c>
      <c r="F40" s="31">
        <v>0</v>
      </c>
      <c r="G40" s="31">
        <v>0</v>
      </c>
      <c r="H40" s="31">
        <v>0</v>
      </c>
      <c r="I40" s="31">
        <v>0</v>
      </c>
      <c r="J40" s="31">
        <v>1150</v>
      </c>
      <c r="K40" s="31">
        <f t="shared" si="0"/>
        <v>1150</v>
      </c>
      <c r="L40" s="31">
        <v>3725</v>
      </c>
      <c r="M40" s="32">
        <v>3925</v>
      </c>
      <c r="N40" s="31">
        <v>26</v>
      </c>
      <c r="O40" s="32">
        <v>0</v>
      </c>
      <c r="Q40" s="10">
        <v>2616</v>
      </c>
      <c r="R40" s="10">
        <f t="shared" si="1"/>
        <v>3008400</v>
      </c>
      <c r="S40" s="10">
        <f t="shared" si="2"/>
        <v>10267800</v>
      </c>
    </row>
    <row r="41" spans="1:19" x14ac:dyDescent="0.25">
      <c r="A41" s="29" t="s">
        <v>63</v>
      </c>
      <c r="B41" s="30" t="s">
        <v>17</v>
      </c>
      <c r="C41" s="31" t="s">
        <v>19</v>
      </c>
      <c r="D41" s="34">
        <v>10</v>
      </c>
      <c r="E41" s="31">
        <v>39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f t="shared" si="0"/>
        <v>0</v>
      </c>
      <c r="L41" s="31">
        <v>39</v>
      </c>
      <c r="M41" s="32">
        <v>0</v>
      </c>
      <c r="N41" s="31">
        <v>26</v>
      </c>
      <c r="O41" s="32">
        <v>0</v>
      </c>
      <c r="Q41" s="10">
        <v>1968</v>
      </c>
      <c r="R41" s="10">
        <f t="shared" si="1"/>
        <v>0</v>
      </c>
      <c r="S41" s="10">
        <f t="shared" si="2"/>
        <v>0</v>
      </c>
    </row>
    <row r="42" spans="1:19" x14ac:dyDescent="0.25">
      <c r="A42" s="29" t="s">
        <v>211</v>
      </c>
      <c r="B42" s="30" t="s">
        <v>16</v>
      </c>
      <c r="C42" s="31" t="s">
        <v>19</v>
      </c>
      <c r="D42" s="34">
        <v>10</v>
      </c>
      <c r="E42" s="31">
        <v>750</v>
      </c>
      <c r="F42" s="31">
        <v>128825</v>
      </c>
      <c r="G42" s="31">
        <v>0</v>
      </c>
      <c r="H42" s="31">
        <v>0</v>
      </c>
      <c r="I42" s="31">
        <v>0</v>
      </c>
      <c r="J42" s="31">
        <v>116950</v>
      </c>
      <c r="K42" s="31">
        <f t="shared" si="0"/>
        <v>116950</v>
      </c>
      <c r="L42" s="31">
        <v>12625</v>
      </c>
      <c r="M42" s="32">
        <v>14727.272727272701</v>
      </c>
      <c r="N42" s="31">
        <v>26</v>
      </c>
      <c r="O42" s="32">
        <v>3.2741264720743071</v>
      </c>
      <c r="Q42" s="10">
        <v>1968</v>
      </c>
      <c r="R42" s="10">
        <f t="shared" si="1"/>
        <v>230157600</v>
      </c>
      <c r="S42" s="10">
        <f t="shared" si="2"/>
        <v>28983272.727272674</v>
      </c>
    </row>
    <row r="43" spans="1:19" x14ac:dyDescent="0.25">
      <c r="A43" s="29" t="s">
        <v>65</v>
      </c>
      <c r="B43" s="30" t="s">
        <v>16</v>
      </c>
      <c r="C43" s="31" t="s">
        <v>19</v>
      </c>
      <c r="D43" s="34">
        <v>10</v>
      </c>
      <c r="E43" s="31">
        <v>4562</v>
      </c>
      <c r="F43" s="31">
        <v>155000</v>
      </c>
      <c r="G43" s="31">
        <v>10550</v>
      </c>
      <c r="H43" s="31">
        <v>0</v>
      </c>
      <c r="I43" s="31">
        <v>0</v>
      </c>
      <c r="J43" s="31">
        <v>151800</v>
      </c>
      <c r="K43" s="31">
        <f t="shared" si="0"/>
        <v>151800</v>
      </c>
      <c r="L43" s="31">
        <v>18312</v>
      </c>
      <c r="M43" s="32">
        <v>34131.444444444402</v>
      </c>
      <c r="N43" s="31">
        <v>26</v>
      </c>
      <c r="O43" s="32">
        <v>5.8459654516176185</v>
      </c>
      <c r="Q43" s="10">
        <v>2503</v>
      </c>
      <c r="R43" s="10">
        <f t="shared" si="1"/>
        <v>379955400</v>
      </c>
      <c r="S43" s="10">
        <f t="shared" si="2"/>
        <v>85431005.444444343</v>
      </c>
    </row>
    <row r="44" spans="1:19" x14ac:dyDescent="0.25">
      <c r="A44" s="29" t="s">
        <v>212</v>
      </c>
      <c r="B44" s="30" t="s">
        <v>16</v>
      </c>
      <c r="C44" s="31" t="s">
        <v>19</v>
      </c>
      <c r="D44" s="34">
        <v>10</v>
      </c>
      <c r="E44" s="31">
        <v>0</v>
      </c>
      <c r="F44" s="31">
        <v>111104</v>
      </c>
      <c r="G44" s="31">
        <v>0</v>
      </c>
      <c r="H44" s="31">
        <v>0</v>
      </c>
      <c r="I44" s="31">
        <v>0</v>
      </c>
      <c r="J44" s="31">
        <v>67750</v>
      </c>
      <c r="K44" s="31">
        <f t="shared" si="0"/>
        <v>67750</v>
      </c>
      <c r="L44" s="31">
        <v>43354</v>
      </c>
      <c r="M44" s="32">
        <v>32503.333333333303</v>
      </c>
      <c r="N44" s="31">
        <v>26</v>
      </c>
      <c r="O44" s="32">
        <v>12.473603936039348</v>
      </c>
      <c r="Q44" s="10">
        <v>2503</v>
      </c>
      <c r="R44" s="10">
        <f t="shared" si="1"/>
        <v>169578250</v>
      </c>
      <c r="S44" s="10">
        <f t="shared" si="2"/>
        <v>81355843.333333254</v>
      </c>
    </row>
    <row r="45" spans="1:19" x14ac:dyDescent="0.25">
      <c r="A45" s="29" t="s">
        <v>66</v>
      </c>
      <c r="B45" s="30" t="s">
        <v>17</v>
      </c>
      <c r="C45" s="31" t="s">
        <v>19</v>
      </c>
      <c r="D45" s="34">
        <v>10</v>
      </c>
      <c r="E45" s="31">
        <v>311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f t="shared" si="0"/>
        <v>0</v>
      </c>
      <c r="L45" s="31">
        <v>311</v>
      </c>
      <c r="M45" s="32">
        <v>0</v>
      </c>
      <c r="N45" s="31">
        <v>26</v>
      </c>
      <c r="O45" s="32">
        <v>0</v>
      </c>
      <c r="Q45" s="10">
        <v>2103</v>
      </c>
      <c r="R45" s="10">
        <f t="shared" si="1"/>
        <v>0</v>
      </c>
      <c r="S45" s="10">
        <f t="shared" si="2"/>
        <v>0</v>
      </c>
    </row>
    <row r="46" spans="1:19" x14ac:dyDescent="0.25">
      <c r="A46" s="29" t="s">
        <v>67</v>
      </c>
      <c r="B46" s="30" t="s">
        <v>17</v>
      </c>
      <c r="C46" s="31" t="s">
        <v>19</v>
      </c>
      <c r="D46" s="34">
        <v>10</v>
      </c>
      <c r="E46" s="31">
        <v>15246</v>
      </c>
      <c r="F46" s="31">
        <v>4000</v>
      </c>
      <c r="G46" s="31">
        <v>0</v>
      </c>
      <c r="H46" s="31">
        <v>0</v>
      </c>
      <c r="I46" s="31">
        <v>0</v>
      </c>
      <c r="J46" s="31">
        <v>15250</v>
      </c>
      <c r="K46" s="31">
        <f t="shared" si="0"/>
        <v>15250</v>
      </c>
      <c r="L46" s="31">
        <v>3996</v>
      </c>
      <c r="M46" s="32">
        <v>10746</v>
      </c>
      <c r="N46" s="31">
        <v>26</v>
      </c>
      <c r="O46" s="32">
        <v>0</v>
      </c>
      <c r="Q46" s="10">
        <v>2802</v>
      </c>
      <c r="R46" s="10">
        <f t="shared" si="1"/>
        <v>42730500</v>
      </c>
      <c r="S46" s="10">
        <f t="shared" si="2"/>
        <v>30110292</v>
      </c>
    </row>
    <row r="47" spans="1:19" x14ac:dyDescent="0.25">
      <c r="A47" s="29" t="s">
        <v>5</v>
      </c>
      <c r="B47" s="30" t="s">
        <v>17</v>
      </c>
      <c r="C47" s="31" t="s">
        <v>19</v>
      </c>
      <c r="D47" s="34">
        <v>10</v>
      </c>
      <c r="E47" s="31">
        <v>1200</v>
      </c>
      <c r="F47" s="31">
        <v>10000</v>
      </c>
      <c r="G47" s="31">
        <v>0</v>
      </c>
      <c r="H47" s="31">
        <v>0</v>
      </c>
      <c r="I47" s="31">
        <v>0</v>
      </c>
      <c r="J47" s="31">
        <v>8750</v>
      </c>
      <c r="K47" s="31">
        <f t="shared" si="0"/>
        <v>8750</v>
      </c>
      <c r="L47" s="31">
        <v>2450</v>
      </c>
      <c r="M47" s="32">
        <v>6925</v>
      </c>
      <c r="N47" s="31">
        <v>26</v>
      </c>
      <c r="O47" s="32">
        <v>20.57714285714286</v>
      </c>
      <c r="Q47" s="10">
        <v>2103</v>
      </c>
      <c r="R47" s="10">
        <f t="shared" si="1"/>
        <v>18401250</v>
      </c>
      <c r="S47" s="10">
        <f t="shared" si="2"/>
        <v>14563275</v>
      </c>
    </row>
    <row r="48" spans="1:19" x14ac:dyDescent="0.25">
      <c r="A48" s="29" t="s">
        <v>213</v>
      </c>
      <c r="B48" s="30" t="s">
        <v>16</v>
      </c>
      <c r="C48" s="31" t="s">
        <v>19</v>
      </c>
      <c r="D48" s="34">
        <v>10</v>
      </c>
      <c r="E48" s="31">
        <v>0</v>
      </c>
      <c r="F48" s="31">
        <v>30425</v>
      </c>
      <c r="G48" s="31">
        <v>0</v>
      </c>
      <c r="H48" s="31">
        <v>0</v>
      </c>
      <c r="I48" s="31">
        <v>13700</v>
      </c>
      <c r="J48" s="31">
        <v>0</v>
      </c>
      <c r="K48" s="31">
        <f t="shared" si="0"/>
        <v>13700</v>
      </c>
      <c r="L48" s="31">
        <v>16725</v>
      </c>
      <c r="M48" s="32">
        <v>10983.333333333299</v>
      </c>
      <c r="N48" s="31">
        <v>26</v>
      </c>
      <c r="O48" s="32">
        <v>20.844282238442759</v>
      </c>
      <c r="Q48" s="10">
        <v>2126</v>
      </c>
      <c r="R48" s="10">
        <f t="shared" si="1"/>
        <v>29126200</v>
      </c>
      <c r="S48" s="10">
        <f t="shared" si="2"/>
        <v>23350566.666666593</v>
      </c>
    </row>
    <row r="49" spans="1:19" x14ac:dyDescent="0.25">
      <c r="A49" s="29" t="s">
        <v>68</v>
      </c>
      <c r="B49" s="30" t="s">
        <v>16</v>
      </c>
      <c r="C49" s="31" t="s">
        <v>19</v>
      </c>
      <c r="D49" s="34">
        <v>10</v>
      </c>
      <c r="E49" s="31">
        <v>7049</v>
      </c>
      <c r="F49" s="31">
        <v>169050</v>
      </c>
      <c r="G49" s="31">
        <v>0</v>
      </c>
      <c r="H49" s="31">
        <v>0</v>
      </c>
      <c r="I49" s="31">
        <v>163600</v>
      </c>
      <c r="J49" s="31">
        <v>0</v>
      </c>
      <c r="K49" s="31">
        <f t="shared" si="0"/>
        <v>163600</v>
      </c>
      <c r="L49" s="31">
        <v>12499</v>
      </c>
      <c r="M49" s="32">
        <v>22932.6538461538</v>
      </c>
      <c r="N49" s="31">
        <v>26</v>
      </c>
      <c r="O49" s="32">
        <v>3.6445537897310443</v>
      </c>
      <c r="Q49" s="10">
        <v>2126</v>
      </c>
      <c r="R49" s="10">
        <f t="shared" si="1"/>
        <v>347813600</v>
      </c>
      <c r="S49" s="10">
        <f t="shared" si="2"/>
        <v>48754822.076922983</v>
      </c>
    </row>
    <row r="50" spans="1:19" x14ac:dyDescent="0.25">
      <c r="A50" s="29" t="s">
        <v>69</v>
      </c>
      <c r="B50" s="30" t="s">
        <v>16</v>
      </c>
      <c r="C50" s="31" t="s">
        <v>19</v>
      </c>
      <c r="D50" s="34">
        <v>10</v>
      </c>
      <c r="E50" s="31">
        <v>19830</v>
      </c>
      <c r="F50" s="31">
        <v>66375</v>
      </c>
      <c r="G50" s="31">
        <v>0</v>
      </c>
      <c r="H50" s="31">
        <v>0</v>
      </c>
      <c r="I50" s="31">
        <v>69215</v>
      </c>
      <c r="J50" s="31">
        <v>4325</v>
      </c>
      <c r="K50" s="31">
        <f t="shared" si="0"/>
        <v>73540</v>
      </c>
      <c r="L50" s="31">
        <v>12665</v>
      </c>
      <c r="M50" s="32">
        <v>14206</v>
      </c>
      <c r="N50" s="31">
        <v>26</v>
      </c>
      <c r="O50" s="32">
        <v>0</v>
      </c>
      <c r="Q50" s="10">
        <v>2846</v>
      </c>
      <c r="R50" s="10">
        <f t="shared" si="1"/>
        <v>209294840</v>
      </c>
      <c r="S50" s="10">
        <f t="shared" si="2"/>
        <v>40430276</v>
      </c>
    </row>
    <row r="51" spans="1:19" x14ac:dyDescent="0.25">
      <c r="A51" s="29" t="s">
        <v>214</v>
      </c>
      <c r="B51" s="30" t="s">
        <v>16</v>
      </c>
      <c r="C51" s="31" t="s">
        <v>19</v>
      </c>
      <c r="D51" s="34">
        <v>10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f t="shared" si="0"/>
        <v>0</v>
      </c>
      <c r="L51" s="31">
        <v>0</v>
      </c>
      <c r="M51" s="32">
        <v>0</v>
      </c>
      <c r="N51" s="31">
        <v>26</v>
      </c>
      <c r="O51" s="32">
        <v>0</v>
      </c>
      <c r="Q51" s="10">
        <v>2846</v>
      </c>
      <c r="R51" s="10">
        <f t="shared" si="1"/>
        <v>0</v>
      </c>
      <c r="S51" s="10">
        <f t="shared" si="2"/>
        <v>0</v>
      </c>
    </row>
    <row r="52" spans="1:19" x14ac:dyDescent="0.25">
      <c r="A52" s="29" t="s">
        <v>10</v>
      </c>
      <c r="B52" s="30" t="s">
        <v>17</v>
      </c>
      <c r="C52" s="31" t="s">
        <v>19</v>
      </c>
      <c r="D52" s="34">
        <v>10</v>
      </c>
      <c r="E52" s="31">
        <v>25000</v>
      </c>
      <c r="F52" s="31">
        <v>0</v>
      </c>
      <c r="G52" s="31">
        <v>0</v>
      </c>
      <c r="H52" s="31">
        <v>0</v>
      </c>
      <c r="I52" s="31">
        <v>18425</v>
      </c>
      <c r="J52" s="31">
        <v>0</v>
      </c>
      <c r="K52" s="31">
        <f t="shared" si="0"/>
        <v>18425</v>
      </c>
      <c r="L52" s="31">
        <v>6575</v>
      </c>
      <c r="M52" s="32">
        <v>14350</v>
      </c>
      <c r="N52" s="31">
        <v>26</v>
      </c>
      <c r="O52" s="32">
        <v>20.249660786974221</v>
      </c>
      <c r="Q52" s="10">
        <v>2514</v>
      </c>
      <c r="R52" s="10">
        <f t="shared" si="1"/>
        <v>46320450</v>
      </c>
      <c r="S52" s="10">
        <f t="shared" si="2"/>
        <v>36075900</v>
      </c>
    </row>
    <row r="53" spans="1:19" x14ac:dyDescent="0.25">
      <c r="A53" s="29" t="s">
        <v>72</v>
      </c>
      <c r="B53" s="30" t="s">
        <v>17</v>
      </c>
      <c r="C53" s="31" t="s">
        <v>19</v>
      </c>
      <c r="D53" s="34">
        <v>10</v>
      </c>
      <c r="E53" s="31">
        <v>148</v>
      </c>
      <c r="F53" s="31">
        <v>17719</v>
      </c>
      <c r="G53" s="31">
        <v>0</v>
      </c>
      <c r="H53" s="31">
        <v>0</v>
      </c>
      <c r="I53" s="31">
        <v>0</v>
      </c>
      <c r="J53" s="31">
        <v>17826</v>
      </c>
      <c r="K53" s="31">
        <f t="shared" si="0"/>
        <v>17826</v>
      </c>
      <c r="L53" s="31">
        <v>41</v>
      </c>
      <c r="M53" s="32">
        <v>3151.1333333333296</v>
      </c>
      <c r="N53" s="31">
        <v>26</v>
      </c>
      <c r="O53" s="32">
        <v>4.5960656718650608</v>
      </c>
      <c r="Q53" s="10">
        <v>3391</v>
      </c>
      <c r="R53" s="10">
        <f t="shared" si="1"/>
        <v>60447966</v>
      </c>
      <c r="S53" s="10">
        <f t="shared" si="2"/>
        <v>10685493.13333332</v>
      </c>
    </row>
    <row r="54" spans="1:19" x14ac:dyDescent="0.25">
      <c r="A54" s="29" t="s">
        <v>73</v>
      </c>
      <c r="B54" s="30" t="s">
        <v>17</v>
      </c>
      <c r="C54" s="31" t="s">
        <v>19</v>
      </c>
      <c r="D54" s="34">
        <v>10</v>
      </c>
      <c r="E54" s="31">
        <v>21698</v>
      </c>
      <c r="F54" s="31">
        <v>0</v>
      </c>
      <c r="G54" s="31">
        <v>0</v>
      </c>
      <c r="H54" s="31">
        <v>0</v>
      </c>
      <c r="I54" s="31">
        <v>0</v>
      </c>
      <c r="J54" s="31">
        <v>15400</v>
      </c>
      <c r="K54" s="31">
        <f t="shared" si="0"/>
        <v>15400</v>
      </c>
      <c r="L54" s="31">
        <v>6298</v>
      </c>
      <c r="M54" s="32">
        <v>14103.555555555602</v>
      </c>
      <c r="N54" s="31">
        <v>26</v>
      </c>
      <c r="O54" s="32">
        <v>23.811197691197769</v>
      </c>
      <c r="Q54" s="10">
        <v>3549</v>
      </c>
      <c r="R54" s="10">
        <f t="shared" si="1"/>
        <v>54654600</v>
      </c>
      <c r="S54" s="10">
        <f t="shared" si="2"/>
        <v>50053518.666666828</v>
      </c>
    </row>
    <row r="55" spans="1:19" x14ac:dyDescent="0.25">
      <c r="A55" s="29" t="s">
        <v>74</v>
      </c>
      <c r="B55" s="30" t="s">
        <v>17</v>
      </c>
      <c r="C55" s="31" t="s">
        <v>19</v>
      </c>
      <c r="D55" s="34">
        <v>10</v>
      </c>
      <c r="E55" s="31">
        <v>1082</v>
      </c>
      <c r="F55" s="31">
        <v>49035</v>
      </c>
      <c r="G55" s="31">
        <v>0</v>
      </c>
      <c r="H55" s="31">
        <v>0</v>
      </c>
      <c r="I55" s="31">
        <v>29935</v>
      </c>
      <c r="J55" s="31">
        <v>0</v>
      </c>
      <c r="K55" s="31">
        <f t="shared" si="0"/>
        <v>29935</v>
      </c>
      <c r="L55" s="31">
        <v>20182</v>
      </c>
      <c r="M55" s="32">
        <v>18231.5</v>
      </c>
      <c r="N55" s="31">
        <v>26</v>
      </c>
      <c r="O55" s="32">
        <v>0</v>
      </c>
      <c r="Q55" s="10">
        <v>2129</v>
      </c>
      <c r="R55" s="10">
        <f t="shared" si="1"/>
        <v>63731615</v>
      </c>
      <c r="S55" s="10">
        <f t="shared" si="2"/>
        <v>38814863.5</v>
      </c>
    </row>
    <row r="56" spans="1:19" x14ac:dyDescent="0.25">
      <c r="A56" s="29" t="s">
        <v>75</v>
      </c>
      <c r="B56" s="30" t="s">
        <v>17</v>
      </c>
      <c r="C56" s="31" t="s">
        <v>19</v>
      </c>
      <c r="D56" s="34">
        <v>10</v>
      </c>
      <c r="E56" s="31">
        <v>5440</v>
      </c>
      <c r="F56" s="31">
        <v>12238</v>
      </c>
      <c r="G56" s="31">
        <v>0</v>
      </c>
      <c r="H56" s="31">
        <v>0</v>
      </c>
      <c r="I56" s="31">
        <v>16096</v>
      </c>
      <c r="J56" s="31">
        <v>0</v>
      </c>
      <c r="K56" s="31">
        <f t="shared" si="0"/>
        <v>16096</v>
      </c>
      <c r="L56" s="31">
        <v>1582</v>
      </c>
      <c r="M56" s="32">
        <v>6838.5714285714303</v>
      </c>
      <c r="N56" s="31">
        <v>26</v>
      </c>
      <c r="O56" s="32">
        <v>0</v>
      </c>
      <c r="Q56" s="10">
        <v>2129</v>
      </c>
      <c r="R56" s="10">
        <f t="shared" si="1"/>
        <v>34268384</v>
      </c>
      <c r="S56" s="10">
        <f t="shared" si="2"/>
        <v>14559318.571428575</v>
      </c>
    </row>
    <row r="57" spans="1:19" x14ac:dyDescent="0.25">
      <c r="A57" s="29" t="s">
        <v>76</v>
      </c>
      <c r="B57" s="30" t="s">
        <v>17</v>
      </c>
      <c r="C57" s="31" t="s">
        <v>19</v>
      </c>
      <c r="D57" s="34">
        <v>10</v>
      </c>
      <c r="E57" s="31">
        <v>469</v>
      </c>
      <c r="F57" s="31">
        <v>0</v>
      </c>
      <c r="G57" s="31">
        <v>0</v>
      </c>
      <c r="H57" s="31">
        <v>0</v>
      </c>
      <c r="I57" s="31">
        <v>125</v>
      </c>
      <c r="J57" s="31">
        <v>0</v>
      </c>
      <c r="K57" s="31">
        <f t="shared" si="0"/>
        <v>125</v>
      </c>
      <c r="L57" s="31">
        <v>344</v>
      </c>
      <c r="M57" s="32">
        <v>344</v>
      </c>
      <c r="N57" s="31">
        <v>26</v>
      </c>
      <c r="O57" s="32">
        <v>0</v>
      </c>
      <c r="Q57" s="10">
        <v>2131</v>
      </c>
      <c r="R57" s="10">
        <f t="shared" si="1"/>
        <v>266375</v>
      </c>
      <c r="S57" s="10">
        <f t="shared" si="2"/>
        <v>733064</v>
      </c>
    </row>
    <row r="58" spans="1:19" x14ac:dyDescent="0.25">
      <c r="A58" s="29" t="s">
        <v>77</v>
      </c>
      <c r="B58" s="30" t="s">
        <v>17</v>
      </c>
      <c r="C58" s="31" t="s">
        <v>19</v>
      </c>
      <c r="D58" s="34">
        <v>10</v>
      </c>
      <c r="E58" s="31">
        <v>1721</v>
      </c>
      <c r="F58" s="31">
        <v>3150</v>
      </c>
      <c r="G58" s="31">
        <v>0</v>
      </c>
      <c r="H58" s="31">
        <v>0</v>
      </c>
      <c r="I58" s="31">
        <v>4275</v>
      </c>
      <c r="J58" s="31">
        <v>0</v>
      </c>
      <c r="K58" s="31">
        <f t="shared" si="0"/>
        <v>4275</v>
      </c>
      <c r="L58" s="31">
        <v>596</v>
      </c>
      <c r="M58" s="32">
        <v>1764.75</v>
      </c>
      <c r="N58" s="31">
        <v>26</v>
      </c>
      <c r="O58" s="32">
        <v>10.73298245614035</v>
      </c>
      <c r="Q58" s="10">
        <v>2131</v>
      </c>
      <c r="R58" s="10">
        <f t="shared" si="1"/>
        <v>9110025</v>
      </c>
      <c r="S58" s="10">
        <f t="shared" si="2"/>
        <v>3760682.25</v>
      </c>
    </row>
    <row r="59" spans="1:19" x14ac:dyDescent="0.25">
      <c r="A59" s="29" t="s">
        <v>78</v>
      </c>
      <c r="B59" s="30" t="s">
        <v>17</v>
      </c>
      <c r="C59" s="31" t="s">
        <v>19</v>
      </c>
      <c r="D59" s="34">
        <v>10</v>
      </c>
      <c r="E59" s="31">
        <v>14327</v>
      </c>
      <c r="F59" s="31">
        <v>43238</v>
      </c>
      <c r="G59" s="31">
        <v>0</v>
      </c>
      <c r="H59" s="31">
        <v>0</v>
      </c>
      <c r="I59" s="31">
        <v>44200</v>
      </c>
      <c r="J59" s="31">
        <v>0</v>
      </c>
      <c r="K59" s="31">
        <f t="shared" si="0"/>
        <v>44200</v>
      </c>
      <c r="L59" s="31">
        <v>13365</v>
      </c>
      <c r="M59" s="32">
        <v>21574.5</v>
      </c>
      <c r="N59" s="31">
        <v>26</v>
      </c>
      <c r="O59" s="32">
        <v>12.690882352941175</v>
      </c>
      <c r="Q59" s="10">
        <v>2245</v>
      </c>
      <c r="R59" s="10">
        <f t="shared" si="1"/>
        <v>99229000</v>
      </c>
      <c r="S59" s="10">
        <f t="shared" si="2"/>
        <v>48434752.5</v>
      </c>
    </row>
    <row r="60" spans="1:19" x14ac:dyDescent="0.25">
      <c r="A60" s="29" t="s">
        <v>79</v>
      </c>
      <c r="B60" s="30" t="s">
        <v>17</v>
      </c>
      <c r="C60" s="31" t="s">
        <v>19</v>
      </c>
      <c r="D60" s="34">
        <v>10</v>
      </c>
      <c r="E60" s="31">
        <v>873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f t="shared" si="0"/>
        <v>0</v>
      </c>
      <c r="L60" s="31">
        <v>873</v>
      </c>
      <c r="M60" s="32">
        <v>0</v>
      </c>
      <c r="N60" s="31">
        <v>26</v>
      </c>
      <c r="O60" s="32">
        <v>0</v>
      </c>
      <c r="Q60" s="10">
        <v>2121</v>
      </c>
      <c r="R60" s="10">
        <f t="shared" si="1"/>
        <v>0</v>
      </c>
      <c r="S60" s="10">
        <f t="shared" si="2"/>
        <v>0</v>
      </c>
    </row>
    <row r="61" spans="1:19" x14ac:dyDescent="0.25">
      <c r="A61" s="29" t="s">
        <v>6</v>
      </c>
      <c r="B61" s="30" t="s">
        <v>17</v>
      </c>
      <c r="C61" s="31" t="s">
        <v>19</v>
      </c>
      <c r="D61" s="34">
        <v>10</v>
      </c>
      <c r="E61" s="31">
        <v>17993</v>
      </c>
      <c r="F61" s="31">
        <v>27889</v>
      </c>
      <c r="G61" s="31">
        <v>0</v>
      </c>
      <c r="H61" s="31">
        <v>0</v>
      </c>
      <c r="I61" s="31">
        <v>33182</v>
      </c>
      <c r="J61" s="31">
        <v>0</v>
      </c>
      <c r="K61" s="31">
        <f t="shared" si="0"/>
        <v>33182</v>
      </c>
      <c r="L61" s="31">
        <v>12700</v>
      </c>
      <c r="M61" s="32">
        <v>18439.785714285699</v>
      </c>
      <c r="N61" s="31">
        <v>26</v>
      </c>
      <c r="O61" s="32">
        <v>14.448629635688871</v>
      </c>
      <c r="Q61" s="10">
        <v>2121</v>
      </c>
      <c r="R61" s="10">
        <f t="shared" si="1"/>
        <v>70379022</v>
      </c>
      <c r="S61" s="10">
        <f t="shared" si="2"/>
        <v>39110785.49999997</v>
      </c>
    </row>
    <row r="62" spans="1:19" x14ac:dyDescent="0.25">
      <c r="A62" s="29" t="s">
        <v>7</v>
      </c>
      <c r="B62" s="30" t="s">
        <v>17</v>
      </c>
      <c r="C62" s="31" t="s">
        <v>19</v>
      </c>
      <c r="D62" s="34">
        <v>10</v>
      </c>
      <c r="E62" s="31">
        <v>2650</v>
      </c>
      <c r="F62" s="31">
        <v>0</v>
      </c>
      <c r="G62" s="31">
        <v>0</v>
      </c>
      <c r="H62" s="31">
        <v>0</v>
      </c>
      <c r="I62" s="31">
        <v>2125</v>
      </c>
      <c r="J62" s="31">
        <v>0</v>
      </c>
      <c r="K62" s="31">
        <f t="shared" si="0"/>
        <v>2125</v>
      </c>
      <c r="L62" s="31">
        <v>525</v>
      </c>
      <c r="M62" s="32">
        <v>1312.5</v>
      </c>
      <c r="N62" s="31">
        <v>26</v>
      </c>
      <c r="O62" s="32">
        <v>16.058823529411764</v>
      </c>
      <c r="Q62" s="10">
        <v>2121</v>
      </c>
      <c r="R62" s="10">
        <f t="shared" si="1"/>
        <v>4507125</v>
      </c>
      <c r="S62" s="10">
        <f t="shared" si="2"/>
        <v>2783812.5</v>
      </c>
    </row>
    <row r="63" spans="1:19" x14ac:dyDescent="0.25">
      <c r="A63" s="29" t="s">
        <v>81</v>
      </c>
      <c r="B63" s="30" t="s">
        <v>17</v>
      </c>
      <c r="C63" s="31" t="s">
        <v>19</v>
      </c>
      <c r="D63" s="34">
        <v>10</v>
      </c>
      <c r="E63" s="31">
        <v>3195</v>
      </c>
      <c r="F63" s="31">
        <v>0</v>
      </c>
      <c r="G63" s="31">
        <v>0</v>
      </c>
      <c r="H63" s="31">
        <v>0</v>
      </c>
      <c r="I63" s="31">
        <v>0</v>
      </c>
      <c r="J63" s="31">
        <v>1000</v>
      </c>
      <c r="K63" s="31">
        <f t="shared" si="0"/>
        <v>1000</v>
      </c>
      <c r="L63" s="31">
        <v>2195</v>
      </c>
      <c r="M63" s="32">
        <v>2310</v>
      </c>
      <c r="N63" s="31">
        <v>26</v>
      </c>
      <c r="O63" s="32">
        <v>60.06</v>
      </c>
      <c r="Q63" s="10">
        <v>4592</v>
      </c>
      <c r="R63" s="10">
        <f t="shared" si="1"/>
        <v>4592000</v>
      </c>
      <c r="S63" s="10">
        <f t="shared" si="2"/>
        <v>10607520</v>
      </c>
    </row>
    <row r="64" spans="1:19" x14ac:dyDescent="0.25">
      <c r="A64" s="29" t="s">
        <v>82</v>
      </c>
      <c r="B64" s="30" t="s">
        <v>17</v>
      </c>
      <c r="C64" s="31" t="s">
        <v>19</v>
      </c>
      <c r="D64" s="34">
        <v>10</v>
      </c>
      <c r="E64" s="31">
        <v>3254</v>
      </c>
      <c r="F64" s="31">
        <v>8237</v>
      </c>
      <c r="G64" s="31">
        <v>0</v>
      </c>
      <c r="H64" s="31">
        <v>0</v>
      </c>
      <c r="I64" s="31">
        <v>0</v>
      </c>
      <c r="J64" s="31">
        <v>9737</v>
      </c>
      <c r="K64" s="31">
        <f t="shared" si="0"/>
        <v>9737</v>
      </c>
      <c r="L64" s="31">
        <v>1754</v>
      </c>
      <c r="M64" s="32">
        <v>5334.4444444444407</v>
      </c>
      <c r="N64" s="31">
        <v>26</v>
      </c>
      <c r="O64" s="32">
        <v>14.244177421747507</v>
      </c>
      <c r="Q64" s="10">
        <v>2297</v>
      </c>
      <c r="R64" s="10">
        <f t="shared" si="1"/>
        <v>22365889</v>
      </c>
      <c r="S64" s="10">
        <f t="shared" si="2"/>
        <v>12253218.888888881</v>
      </c>
    </row>
    <row r="65" spans="1:19" x14ac:dyDescent="0.25">
      <c r="A65" s="29" t="s">
        <v>83</v>
      </c>
      <c r="B65" s="30" t="s">
        <v>17</v>
      </c>
      <c r="C65" s="31" t="s">
        <v>19</v>
      </c>
      <c r="D65" s="34">
        <v>10</v>
      </c>
      <c r="E65" s="31">
        <v>3600</v>
      </c>
      <c r="F65" s="31">
        <v>0</v>
      </c>
      <c r="G65" s="31">
        <v>0</v>
      </c>
      <c r="H65" s="31">
        <v>0</v>
      </c>
      <c r="I65" s="31">
        <v>0</v>
      </c>
      <c r="J65" s="31">
        <v>650</v>
      </c>
      <c r="K65" s="31">
        <f t="shared" si="0"/>
        <v>650</v>
      </c>
      <c r="L65" s="31">
        <v>2950</v>
      </c>
      <c r="M65" s="32">
        <v>3275</v>
      </c>
      <c r="N65" s="31">
        <v>26</v>
      </c>
      <c r="O65" s="32">
        <v>0</v>
      </c>
      <c r="Q65" s="10">
        <v>4592</v>
      </c>
      <c r="R65" s="10">
        <f t="shared" si="1"/>
        <v>2984800</v>
      </c>
      <c r="S65" s="10">
        <f t="shared" si="2"/>
        <v>15038800</v>
      </c>
    </row>
    <row r="66" spans="1:19" x14ac:dyDescent="0.25">
      <c r="A66" s="29" t="s">
        <v>84</v>
      </c>
      <c r="B66" s="30" t="s">
        <v>16</v>
      </c>
      <c r="C66" s="31" t="s">
        <v>19</v>
      </c>
      <c r="D66" s="34">
        <v>10</v>
      </c>
      <c r="E66" s="31">
        <v>23050</v>
      </c>
      <c r="F66" s="31">
        <v>130125</v>
      </c>
      <c r="G66" s="31">
        <v>0</v>
      </c>
      <c r="H66" s="31">
        <v>0</v>
      </c>
      <c r="I66" s="31">
        <v>0</v>
      </c>
      <c r="J66" s="31">
        <v>145059</v>
      </c>
      <c r="K66" s="31">
        <f t="shared" si="0"/>
        <v>145059</v>
      </c>
      <c r="L66" s="31">
        <v>8116</v>
      </c>
      <c r="M66" s="32">
        <v>16495.9545454545</v>
      </c>
      <c r="N66" s="31">
        <v>26</v>
      </c>
      <c r="O66" s="32">
        <v>2.9566922299327651</v>
      </c>
      <c r="Q66" s="10">
        <v>1419</v>
      </c>
      <c r="R66" s="10">
        <f t="shared" si="1"/>
        <v>205838721</v>
      </c>
      <c r="S66" s="10">
        <f t="shared" si="2"/>
        <v>23407759.499999937</v>
      </c>
    </row>
    <row r="67" spans="1:19" x14ac:dyDescent="0.25">
      <c r="A67" s="29" t="s">
        <v>85</v>
      </c>
      <c r="B67" s="30" t="s">
        <v>17</v>
      </c>
      <c r="C67" s="31" t="s">
        <v>19</v>
      </c>
      <c r="D67" s="34">
        <v>10</v>
      </c>
      <c r="E67" s="31">
        <v>2292</v>
      </c>
      <c r="F67" s="31">
        <v>3111</v>
      </c>
      <c r="G67" s="31">
        <v>0</v>
      </c>
      <c r="H67" s="31">
        <v>0</v>
      </c>
      <c r="I67" s="31">
        <v>0</v>
      </c>
      <c r="J67" s="31">
        <v>1625</v>
      </c>
      <c r="K67" s="31">
        <f t="shared" ref="K67:K130" si="3">I67+J67</f>
        <v>1625</v>
      </c>
      <c r="L67" s="31">
        <v>3778</v>
      </c>
      <c r="M67" s="32">
        <v>2743.3333333333298</v>
      </c>
      <c r="N67" s="31">
        <v>26</v>
      </c>
      <c r="O67" s="32">
        <v>43.893333333333274</v>
      </c>
      <c r="Q67" s="10">
        <v>4592</v>
      </c>
      <c r="R67" s="10">
        <f t="shared" ref="R67:R130" si="4">Q67*(I67+J67)</f>
        <v>7462000</v>
      </c>
      <c r="S67" s="10">
        <f t="shared" ref="S67:S130" si="5">Q67*M67</f>
        <v>12597386.666666651</v>
      </c>
    </row>
    <row r="68" spans="1:19" x14ac:dyDescent="0.25">
      <c r="A68" s="29" t="s">
        <v>1</v>
      </c>
      <c r="B68" s="30" t="s">
        <v>17</v>
      </c>
      <c r="C68" s="31" t="s">
        <v>19</v>
      </c>
      <c r="D68" s="34">
        <v>10</v>
      </c>
      <c r="E68" s="31">
        <v>1000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1">
        <f t="shared" si="3"/>
        <v>0</v>
      </c>
      <c r="L68" s="31">
        <v>1000</v>
      </c>
      <c r="M68" s="32">
        <v>0</v>
      </c>
      <c r="N68" s="31">
        <v>26</v>
      </c>
      <c r="O68" s="32">
        <v>0</v>
      </c>
      <c r="Q68" s="10">
        <v>2103</v>
      </c>
      <c r="R68" s="10">
        <f t="shared" si="4"/>
        <v>0</v>
      </c>
      <c r="S68" s="10">
        <f t="shared" si="5"/>
        <v>0</v>
      </c>
    </row>
    <row r="69" spans="1:19" x14ac:dyDescent="0.25">
      <c r="A69" s="29" t="s">
        <v>87</v>
      </c>
      <c r="B69" s="30" t="s">
        <v>17</v>
      </c>
      <c r="C69" s="31" t="s">
        <v>19</v>
      </c>
      <c r="D69" s="34">
        <v>10</v>
      </c>
      <c r="E69" s="31">
        <v>11420</v>
      </c>
      <c r="F69" s="31">
        <v>0</v>
      </c>
      <c r="G69" s="31">
        <v>0</v>
      </c>
      <c r="H69" s="31">
        <v>0</v>
      </c>
      <c r="I69" s="31">
        <v>0</v>
      </c>
      <c r="J69" s="31">
        <v>5070</v>
      </c>
      <c r="K69" s="31">
        <f t="shared" si="3"/>
        <v>5070</v>
      </c>
      <c r="L69" s="31">
        <v>6350</v>
      </c>
      <c r="M69" s="32">
        <v>9301</v>
      </c>
      <c r="N69" s="31">
        <v>26</v>
      </c>
      <c r="O69" s="32">
        <v>47.697435897435902</v>
      </c>
      <c r="Q69" s="10">
        <v>2103</v>
      </c>
      <c r="R69" s="10">
        <f t="shared" si="4"/>
        <v>10662210</v>
      </c>
      <c r="S69" s="10">
        <f t="shared" si="5"/>
        <v>19560003</v>
      </c>
    </row>
    <row r="70" spans="1:19" x14ac:dyDescent="0.25">
      <c r="A70" s="29" t="s">
        <v>88</v>
      </c>
      <c r="B70" s="30" t="s">
        <v>17</v>
      </c>
      <c r="C70" s="31" t="s">
        <v>19</v>
      </c>
      <c r="D70" s="34">
        <v>10</v>
      </c>
      <c r="E70" s="31">
        <v>4548</v>
      </c>
      <c r="F70" s="31">
        <v>0</v>
      </c>
      <c r="G70" s="31">
        <v>0</v>
      </c>
      <c r="H70" s="31">
        <v>0</v>
      </c>
      <c r="I70" s="31">
        <v>0</v>
      </c>
      <c r="J70" s="31">
        <v>1000</v>
      </c>
      <c r="K70" s="31">
        <f t="shared" si="3"/>
        <v>1000</v>
      </c>
      <c r="L70" s="31">
        <v>3548</v>
      </c>
      <c r="M70" s="32">
        <v>3788</v>
      </c>
      <c r="N70" s="31">
        <v>26</v>
      </c>
      <c r="O70" s="32">
        <v>0</v>
      </c>
      <c r="Q70" s="10">
        <v>4592</v>
      </c>
      <c r="R70" s="10">
        <f t="shared" si="4"/>
        <v>4592000</v>
      </c>
      <c r="S70" s="10">
        <f t="shared" si="5"/>
        <v>17394496</v>
      </c>
    </row>
    <row r="71" spans="1:19" x14ac:dyDescent="0.25">
      <c r="A71" s="29" t="s">
        <v>89</v>
      </c>
      <c r="B71" s="30" t="s">
        <v>17</v>
      </c>
      <c r="C71" s="31" t="s">
        <v>19</v>
      </c>
      <c r="D71" s="34">
        <v>10</v>
      </c>
      <c r="E71" s="31">
        <v>787</v>
      </c>
      <c r="F71" s="31">
        <v>1025</v>
      </c>
      <c r="G71" s="31">
        <v>0</v>
      </c>
      <c r="H71" s="31">
        <v>0</v>
      </c>
      <c r="I71" s="31">
        <v>0</v>
      </c>
      <c r="J71" s="31">
        <v>1025</v>
      </c>
      <c r="K71" s="31">
        <f t="shared" si="3"/>
        <v>1025</v>
      </c>
      <c r="L71" s="31">
        <v>787</v>
      </c>
      <c r="M71" s="32">
        <v>1299.5</v>
      </c>
      <c r="N71" s="31">
        <v>26</v>
      </c>
      <c r="O71" s="32">
        <v>32.962926829268291</v>
      </c>
      <c r="Q71" s="10">
        <v>2297</v>
      </c>
      <c r="R71" s="10">
        <f t="shared" si="4"/>
        <v>2354425</v>
      </c>
      <c r="S71" s="10">
        <f t="shared" si="5"/>
        <v>2984951.5</v>
      </c>
    </row>
    <row r="72" spans="1:19" x14ac:dyDescent="0.25">
      <c r="A72" s="29" t="s">
        <v>90</v>
      </c>
      <c r="B72" s="30" t="s">
        <v>17</v>
      </c>
      <c r="C72" s="31" t="s">
        <v>19</v>
      </c>
      <c r="D72" s="34">
        <v>10</v>
      </c>
      <c r="E72" s="31">
        <v>1842</v>
      </c>
      <c r="F72" s="31">
        <v>0</v>
      </c>
      <c r="G72" s="31">
        <v>0</v>
      </c>
      <c r="H72" s="31">
        <v>0</v>
      </c>
      <c r="I72" s="31">
        <v>0</v>
      </c>
      <c r="J72" s="31">
        <v>100</v>
      </c>
      <c r="K72" s="31">
        <f t="shared" si="3"/>
        <v>100</v>
      </c>
      <c r="L72" s="31">
        <v>1742</v>
      </c>
      <c r="M72" s="32">
        <v>1742</v>
      </c>
      <c r="N72" s="31">
        <v>26</v>
      </c>
      <c r="O72" s="32">
        <v>0</v>
      </c>
      <c r="Q72" s="10">
        <v>2616</v>
      </c>
      <c r="R72" s="10">
        <f t="shared" si="4"/>
        <v>261600</v>
      </c>
      <c r="S72" s="10">
        <f t="shared" si="5"/>
        <v>4557072</v>
      </c>
    </row>
    <row r="73" spans="1:19" x14ac:dyDescent="0.25">
      <c r="A73" s="29" t="s">
        <v>91</v>
      </c>
      <c r="B73" s="30" t="s">
        <v>16</v>
      </c>
      <c r="C73" s="31" t="s">
        <v>19</v>
      </c>
      <c r="D73" s="34">
        <v>10</v>
      </c>
      <c r="E73" s="31">
        <v>225</v>
      </c>
      <c r="F73" s="31">
        <v>84925</v>
      </c>
      <c r="G73" s="31">
        <v>0</v>
      </c>
      <c r="H73" s="31">
        <v>0</v>
      </c>
      <c r="I73" s="31">
        <v>0</v>
      </c>
      <c r="J73" s="31">
        <v>77425</v>
      </c>
      <c r="K73" s="31">
        <f t="shared" si="3"/>
        <v>77425</v>
      </c>
      <c r="L73" s="31">
        <v>7725</v>
      </c>
      <c r="M73" s="32">
        <v>11154.6296296296</v>
      </c>
      <c r="N73" s="31">
        <v>26</v>
      </c>
      <c r="O73" s="32">
        <v>3.7458233176670275</v>
      </c>
      <c r="Q73" s="10">
        <v>1419</v>
      </c>
      <c r="R73" s="10">
        <f t="shared" si="4"/>
        <v>109866075</v>
      </c>
      <c r="S73" s="10">
        <f t="shared" si="5"/>
        <v>15828419.444444403</v>
      </c>
    </row>
    <row r="74" spans="1:19" x14ac:dyDescent="0.25">
      <c r="A74" s="29" t="s">
        <v>92</v>
      </c>
      <c r="B74" s="30" t="s">
        <v>17</v>
      </c>
      <c r="C74" s="31" t="s">
        <v>19</v>
      </c>
      <c r="D74" s="34">
        <v>10</v>
      </c>
      <c r="E74" s="31">
        <v>748</v>
      </c>
      <c r="F74" s="31">
        <v>2100</v>
      </c>
      <c r="G74" s="31">
        <v>0</v>
      </c>
      <c r="H74" s="31">
        <v>0</v>
      </c>
      <c r="I74" s="31">
        <v>0</v>
      </c>
      <c r="J74" s="31">
        <v>1750</v>
      </c>
      <c r="K74" s="31">
        <f t="shared" si="3"/>
        <v>1750</v>
      </c>
      <c r="L74" s="31">
        <v>1098</v>
      </c>
      <c r="M74" s="32">
        <v>373</v>
      </c>
      <c r="N74" s="31">
        <v>26</v>
      </c>
      <c r="O74" s="32">
        <v>5.5417142857142858</v>
      </c>
      <c r="Q74" s="10">
        <v>2616</v>
      </c>
      <c r="R74" s="10">
        <f t="shared" si="4"/>
        <v>4578000</v>
      </c>
      <c r="S74" s="10">
        <f t="shared" si="5"/>
        <v>975768</v>
      </c>
    </row>
    <row r="75" spans="1:19" x14ac:dyDescent="0.25">
      <c r="A75" s="29" t="s">
        <v>94</v>
      </c>
      <c r="B75" s="30" t="s">
        <v>17</v>
      </c>
      <c r="C75" s="31" t="s">
        <v>19</v>
      </c>
      <c r="D75" s="34">
        <v>10</v>
      </c>
      <c r="E75" s="31">
        <v>790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f t="shared" si="3"/>
        <v>0</v>
      </c>
      <c r="L75" s="31">
        <v>790</v>
      </c>
      <c r="M75" s="32">
        <v>790</v>
      </c>
      <c r="N75" s="31">
        <v>26</v>
      </c>
      <c r="O75" s="32">
        <v>0</v>
      </c>
      <c r="Q75" s="10">
        <v>7550</v>
      </c>
      <c r="R75" s="10">
        <f t="shared" si="4"/>
        <v>0</v>
      </c>
      <c r="S75" s="10">
        <f t="shared" si="5"/>
        <v>5964500</v>
      </c>
    </row>
    <row r="76" spans="1:19" x14ac:dyDescent="0.25">
      <c r="A76" s="29" t="s">
        <v>14</v>
      </c>
      <c r="B76" s="30" t="s">
        <v>17</v>
      </c>
      <c r="C76" s="31" t="s">
        <v>19</v>
      </c>
      <c r="D76" s="34">
        <v>10</v>
      </c>
      <c r="E76" s="31">
        <v>16855</v>
      </c>
      <c r="F76" s="31">
        <v>0</v>
      </c>
      <c r="G76" s="31">
        <v>0</v>
      </c>
      <c r="H76" s="31">
        <v>0</v>
      </c>
      <c r="I76" s="31">
        <v>9330</v>
      </c>
      <c r="J76" s="31">
        <v>0</v>
      </c>
      <c r="K76" s="31">
        <f t="shared" si="3"/>
        <v>9330</v>
      </c>
      <c r="L76" s="31">
        <v>7525</v>
      </c>
      <c r="M76" s="32">
        <v>10128.333333333299</v>
      </c>
      <c r="N76" s="31">
        <v>26</v>
      </c>
      <c r="O76" s="32">
        <v>28.224723115398266</v>
      </c>
      <c r="Q76" s="10">
        <v>7550</v>
      </c>
      <c r="R76" s="10">
        <f t="shared" si="4"/>
        <v>70441500</v>
      </c>
      <c r="S76" s="10">
        <f t="shared" si="5"/>
        <v>76468916.666666403</v>
      </c>
    </row>
    <row r="77" spans="1:19" x14ac:dyDescent="0.25">
      <c r="A77" s="29" t="s">
        <v>95</v>
      </c>
      <c r="B77" s="30" t="s">
        <v>17</v>
      </c>
      <c r="C77" s="31" t="s">
        <v>19</v>
      </c>
      <c r="D77" s="34">
        <v>10</v>
      </c>
      <c r="E77" s="31">
        <v>6120</v>
      </c>
      <c r="F77" s="31">
        <v>0</v>
      </c>
      <c r="G77" s="31">
        <v>0</v>
      </c>
      <c r="H77" s="31">
        <v>0</v>
      </c>
      <c r="I77" s="31">
        <v>0</v>
      </c>
      <c r="J77" s="31">
        <v>1270</v>
      </c>
      <c r="K77" s="31">
        <f t="shared" si="3"/>
        <v>1270</v>
      </c>
      <c r="L77" s="31">
        <v>4850</v>
      </c>
      <c r="M77" s="32">
        <v>5120</v>
      </c>
      <c r="N77" s="31">
        <v>26</v>
      </c>
      <c r="O77" s="32">
        <v>104.81889763779527</v>
      </c>
      <c r="Q77" s="10">
        <v>4592</v>
      </c>
      <c r="R77" s="10">
        <f t="shared" si="4"/>
        <v>5831840</v>
      </c>
      <c r="S77" s="10">
        <f t="shared" si="5"/>
        <v>23511040</v>
      </c>
    </row>
    <row r="78" spans="1:19" x14ac:dyDescent="0.25">
      <c r="A78" s="29" t="s">
        <v>96</v>
      </c>
      <c r="B78" s="30" t="s">
        <v>17</v>
      </c>
      <c r="C78" s="31" t="s">
        <v>19</v>
      </c>
      <c r="D78" s="34">
        <v>10</v>
      </c>
      <c r="E78" s="31">
        <v>2804</v>
      </c>
      <c r="F78" s="31">
        <v>10246</v>
      </c>
      <c r="G78" s="31">
        <v>0</v>
      </c>
      <c r="H78" s="31">
        <v>0</v>
      </c>
      <c r="I78" s="31">
        <v>0</v>
      </c>
      <c r="J78" s="31">
        <v>6623</v>
      </c>
      <c r="K78" s="31">
        <f t="shared" si="3"/>
        <v>6623</v>
      </c>
      <c r="L78" s="31">
        <v>6427</v>
      </c>
      <c r="M78" s="32">
        <v>4378.25</v>
      </c>
      <c r="N78" s="31">
        <v>26</v>
      </c>
      <c r="O78" s="32">
        <v>17.187754793900044</v>
      </c>
      <c r="Q78" s="10">
        <v>2297</v>
      </c>
      <c r="R78" s="10">
        <f t="shared" si="4"/>
        <v>15213031</v>
      </c>
      <c r="S78" s="10">
        <f t="shared" si="5"/>
        <v>10056840.25</v>
      </c>
    </row>
    <row r="79" spans="1:19" x14ac:dyDescent="0.25">
      <c r="A79" s="29" t="s">
        <v>97</v>
      </c>
      <c r="B79" s="30" t="s">
        <v>17</v>
      </c>
      <c r="C79" s="31" t="s">
        <v>19</v>
      </c>
      <c r="D79" s="34">
        <v>10</v>
      </c>
      <c r="E79" s="31">
        <v>1850</v>
      </c>
      <c r="F79" s="31">
        <v>0</v>
      </c>
      <c r="G79" s="31">
        <v>0</v>
      </c>
      <c r="H79" s="31">
        <v>0</v>
      </c>
      <c r="I79" s="31">
        <v>0</v>
      </c>
      <c r="J79" s="31">
        <v>125</v>
      </c>
      <c r="K79" s="31">
        <f t="shared" si="3"/>
        <v>125</v>
      </c>
      <c r="L79" s="31">
        <v>1725</v>
      </c>
      <c r="M79" s="32">
        <v>1725</v>
      </c>
      <c r="N79" s="31">
        <v>26</v>
      </c>
      <c r="O79" s="32">
        <v>0</v>
      </c>
      <c r="Q79" s="10">
        <v>2616</v>
      </c>
      <c r="R79" s="10">
        <f t="shared" si="4"/>
        <v>327000</v>
      </c>
      <c r="S79" s="10">
        <f t="shared" si="5"/>
        <v>4512600</v>
      </c>
    </row>
    <row r="80" spans="1:19" x14ac:dyDescent="0.25">
      <c r="A80" s="29" t="s">
        <v>98</v>
      </c>
      <c r="B80" s="30" t="s">
        <v>16</v>
      </c>
      <c r="C80" s="31" t="s">
        <v>19</v>
      </c>
      <c r="D80" s="34">
        <v>10</v>
      </c>
      <c r="E80" s="31">
        <v>13356</v>
      </c>
      <c r="F80" s="31">
        <v>50000</v>
      </c>
      <c r="G80" s="31">
        <v>0</v>
      </c>
      <c r="H80" s="31">
        <v>0</v>
      </c>
      <c r="I80" s="31">
        <v>0</v>
      </c>
      <c r="J80" s="31">
        <v>55895</v>
      </c>
      <c r="K80" s="31">
        <f t="shared" si="3"/>
        <v>55895</v>
      </c>
      <c r="L80" s="31">
        <v>7461</v>
      </c>
      <c r="M80" s="32">
        <v>10397</v>
      </c>
      <c r="N80" s="31">
        <v>26</v>
      </c>
      <c r="O80" s="32">
        <v>0</v>
      </c>
      <c r="Q80" s="10">
        <v>1419</v>
      </c>
      <c r="R80" s="10">
        <f t="shared" si="4"/>
        <v>79315005</v>
      </c>
      <c r="S80" s="10">
        <f t="shared" si="5"/>
        <v>14753343</v>
      </c>
    </row>
    <row r="81" spans="1:19" x14ac:dyDescent="0.25">
      <c r="A81" s="29" t="s">
        <v>215</v>
      </c>
      <c r="B81" s="30" t="s">
        <v>17</v>
      </c>
      <c r="C81" s="31" t="s">
        <v>19</v>
      </c>
      <c r="D81" s="34">
        <v>10</v>
      </c>
      <c r="E81" s="31">
        <v>2303</v>
      </c>
      <c r="F81" s="31">
        <v>0</v>
      </c>
      <c r="G81" s="31">
        <v>0</v>
      </c>
      <c r="H81" s="31">
        <v>0</v>
      </c>
      <c r="I81" s="31">
        <v>0</v>
      </c>
      <c r="J81" s="31">
        <v>925</v>
      </c>
      <c r="K81" s="31">
        <f t="shared" si="3"/>
        <v>925</v>
      </c>
      <c r="L81" s="31">
        <v>1378</v>
      </c>
      <c r="M81" s="32">
        <v>1565.5</v>
      </c>
      <c r="N81" s="31">
        <v>26</v>
      </c>
      <c r="O81" s="32">
        <v>44.003243243243247</v>
      </c>
      <c r="Q81" s="10">
        <v>2616</v>
      </c>
      <c r="R81" s="10">
        <f t="shared" si="4"/>
        <v>2419800</v>
      </c>
      <c r="S81" s="10">
        <f t="shared" si="5"/>
        <v>4095348</v>
      </c>
    </row>
    <row r="82" spans="1:19" x14ac:dyDescent="0.25">
      <c r="A82" s="29" t="s">
        <v>100</v>
      </c>
      <c r="B82" s="30" t="s">
        <v>17</v>
      </c>
      <c r="C82" s="31" t="s">
        <v>19</v>
      </c>
      <c r="D82" s="34">
        <v>10</v>
      </c>
      <c r="E82" s="31">
        <v>1770</v>
      </c>
      <c r="F82" s="31">
        <v>0</v>
      </c>
      <c r="G82" s="31">
        <v>0</v>
      </c>
      <c r="H82" s="31">
        <v>0</v>
      </c>
      <c r="I82" s="31">
        <v>0</v>
      </c>
      <c r="J82" s="31">
        <v>720</v>
      </c>
      <c r="K82" s="31">
        <f t="shared" si="3"/>
        <v>720</v>
      </c>
      <c r="L82" s="31">
        <v>1050</v>
      </c>
      <c r="M82" s="32">
        <v>1050</v>
      </c>
      <c r="N82" s="31">
        <v>26</v>
      </c>
      <c r="O82" s="32">
        <v>37.916666666666664</v>
      </c>
      <c r="Q82" s="10">
        <v>4592</v>
      </c>
      <c r="R82" s="10">
        <f t="shared" si="4"/>
        <v>3306240</v>
      </c>
      <c r="S82" s="10">
        <f t="shared" si="5"/>
        <v>4821600</v>
      </c>
    </row>
    <row r="83" spans="1:19" x14ac:dyDescent="0.25">
      <c r="A83" s="29" t="s">
        <v>101</v>
      </c>
      <c r="B83" s="30" t="s">
        <v>17</v>
      </c>
      <c r="C83" s="31" t="s">
        <v>19</v>
      </c>
      <c r="D83" s="34">
        <v>10</v>
      </c>
      <c r="E83" s="31">
        <v>7880</v>
      </c>
      <c r="F83" s="31">
        <v>0</v>
      </c>
      <c r="G83" s="31">
        <v>0</v>
      </c>
      <c r="H83" s="31">
        <v>0</v>
      </c>
      <c r="I83" s="31">
        <v>0</v>
      </c>
      <c r="J83" s="31">
        <v>1325</v>
      </c>
      <c r="K83" s="31">
        <f t="shared" si="3"/>
        <v>1325</v>
      </c>
      <c r="L83" s="31">
        <v>6555</v>
      </c>
      <c r="M83" s="32">
        <v>6592.5</v>
      </c>
      <c r="N83" s="31">
        <v>26</v>
      </c>
      <c r="O83" s="32">
        <v>129.36226415094342</v>
      </c>
      <c r="Q83" s="10">
        <v>2297</v>
      </c>
      <c r="R83" s="10">
        <f t="shared" si="4"/>
        <v>3043525</v>
      </c>
      <c r="S83" s="10">
        <f t="shared" si="5"/>
        <v>15142972.5</v>
      </c>
    </row>
    <row r="84" spans="1:19" x14ac:dyDescent="0.25">
      <c r="A84" s="29" t="s">
        <v>102</v>
      </c>
      <c r="B84" s="30" t="s">
        <v>17</v>
      </c>
      <c r="C84" s="31" t="s">
        <v>19</v>
      </c>
      <c r="D84" s="34">
        <v>10</v>
      </c>
      <c r="E84" s="31">
        <v>1525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1">
        <f t="shared" si="3"/>
        <v>0</v>
      </c>
      <c r="L84" s="31">
        <v>1525</v>
      </c>
      <c r="M84" s="32">
        <v>0</v>
      </c>
      <c r="N84" s="31">
        <v>26</v>
      </c>
      <c r="O84" s="32">
        <v>0</v>
      </c>
      <c r="Q84" s="10">
        <v>2616</v>
      </c>
      <c r="R84" s="10">
        <f t="shared" si="4"/>
        <v>0</v>
      </c>
      <c r="S84" s="10">
        <f t="shared" si="5"/>
        <v>0</v>
      </c>
    </row>
    <row r="85" spans="1:19" x14ac:dyDescent="0.25">
      <c r="A85" s="29" t="s">
        <v>103</v>
      </c>
      <c r="B85" s="30" t="s">
        <v>16</v>
      </c>
      <c r="C85" s="31" t="s">
        <v>19</v>
      </c>
      <c r="D85" s="34">
        <v>10</v>
      </c>
      <c r="E85" s="31">
        <v>18755</v>
      </c>
      <c r="F85" s="31">
        <v>80075</v>
      </c>
      <c r="G85" s="31">
        <v>0</v>
      </c>
      <c r="H85" s="31">
        <v>0</v>
      </c>
      <c r="I85" s="31">
        <v>0</v>
      </c>
      <c r="J85" s="31">
        <v>84425</v>
      </c>
      <c r="K85" s="31">
        <f t="shared" si="3"/>
        <v>84425</v>
      </c>
      <c r="L85" s="31">
        <v>14405</v>
      </c>
      <c r="M85" s="32">
        <v>11601.36</v>
      </c>
      <c r="N85" s="31">
        <v>26</v>
      </c>
      <c r="O85" s="32">
        <v>3.5728203731122297</v>
      </c>
      <c r="Q85" s="10">
        <v>1419</v>
      </c>
      <c r="R85" s="10">
        <f t="shared" si="4"/>
        <v>119799075</v>
      </c>
      <c r="S85" s="10">
        <f t="shared" si="5"/>
        <v>16462329.840000002</v>
      </c>
    </row>
    <row r="86" spans="1:19" x14ac:dyDescent="0.25">
      <c r="A86" s="29" t="s">
        <v>104</v>
      </c>
      <c r="B86" s="30" t="s">
        <v>17</v>
      </c>
      <c r="C86" s="31" t="s">
        <v>19</v>
      </c>
      <c r="D86" s="34">
        <v>10</v>
      </c>
      <c r="E86" s="31">
        <v>2189</v>
      </c>
      <c r="F86" s="31">
        <v>0</v>
      </c>
      <c r="G86" s="31">
        <v>0</v>
      </c>
      <c r="H86" s="31">
        <v>0</v>
      </c>
      <c r="I86" s="31">
        <v>0</v>
      </c>
      <c r="J86" s="31">
        <v>800</v>
      </c>
      <c r="K86" s="31">
        <f t="shared" si="3"/>
        <v>800</v>
      </c>
      <c r="L86" s="31">
        <v>1389</v>
      </c>
      <c r="M86" s="32">
        <v>1389</v>
      </c>
      <c r="N86" s="31">
        <v>26</v>
      </c>
      <c r="O86" s="32">
        <v>45.142499999999998</v>
      </c>
      <c r="Q86" s="10">
        <v>1419</v>
      </c>
      <c r="R86" s="10">
        <f t="shared" si="4"/>
        <v>1135200</v>
      </c>
      <c r="S86" s="10">
        <f t="shared" si="5"/>
        <v>1970991</v>
      </c>
    </row>
    <row r="87" spans="1:19" x14ac:dyDescent="0.25">
      <c r="A87" s="29" t="s">
        <v>105</v>
      </c>
      <c r="B87" s="30" t="s">
        <v>17</v>
      </c>
      <c r="C87" s="31" t="s">
        <v>19</v>
      </c>
      <c r="D87" s="34">
        <v>10</v>
      </c>
      <c r="E87" s="31">
        <v>0</v>
      </c>
      <c r="F87" s="31">
        <v>4437</v>
      </c>
      <c r="G87" s="31">
        <v>0</v>
      </c>
      <c r="H87" s="31">
        <v>0</v>
      </c>
      <c r="I87" s="31">
        <v>0</v>
      </c>
      <c r="J87" s="31">
        <v>4437</v>
      </c>
      <c r="K87" s="31">
        <f t="shared" si="3"/>
        <v>4437</v>
      </c>
      <c r="L87" s="31">
        <v>0</v>
      </c>
      <c r="M87" s="32">
        <v>2218.5</v>
      </c>
      <c r="N87" s="31">
        <v>26</v>
      </c>
      <c r="O87" s="32">
        <v>13</v>
      </c>
      <c r="Q87" s="10">
        <v>1968</v>
      </c>
      <c r="R87" s="10">
        <f t="shared" si="4"/>
        <v>8732016</v>
      </c>
      <c r="S87" s="10">
        <f t="shared" si="5"/>
        <v>4366008</v>
      </c>
    </row>
    <row r="88" spans="1:19" x14ac:dyDescent="0.25">
      <c r="A88" s="29" t="s">
        <v>216</v>
      </c>
      <c r="B88" s="30" t="s">
        <v>17</v>
      </c>
      <c r="C88" s="31" t="s">
        <v>19</v>
      </c>
      <c r="D88" s="34">
        <v>10</v>
      </c>
      <c r="E88" s="31">
        <v>5286</v>
      </c>
      <c r="F88" s="31">
        <v>41761</v>
      </c>
      <c r="G88" s="31">
        <v>0</v>
      </c>
      <c r="H88" s="31">
        <v>0</v>
      </c>
      <c r="I88" s="31">
        <v>0</v>
      </c>
      <c r="J88" s="31">
        <v>45547</v>
      </c>
      <c r="K88" s="31">
        <f t="shared" si="3"/>
        <v>45547</v>
      </c>
      <c r="L88" s="31">
        <v>1500</v>
      </c>
      <c r="M88" s="32">
        <v>8380.4285714285688</v>
      </c>
      <c r="N88" s="31">
        <v>26</v>
      </c>
      <c r="O88" s="32">
        <v>4.783874741632661</v>
      </c>
      <c r="Q88" s="10">
        <v>1968</v>
      </c>
      <c r="R88" s="10">
        <f t="shared" si="4"/>
        <v>89636496</v>
      </c>
      <c r="S88" s="10">
        <f t="shared" si="5"/>
        <v>16492683.428571424</v>
      </c>
    </row>
    <row r="89" spans="1:19" x14ac:dyDescent="0.25">
      <c r="A89" s="29" t="s">
        <v>108</v>
      </c>
      <c r="B89" s="30" t="s">
        <v>17</v>
      </c>
      <c r="C89" s="31" t="s">
        <v>19</v>
      </c>
      <c r="D89" s="34">
        <v>10</v>
      </c>
      <c r="E89" s="31">
        <v>16855</v>
      </c>
      <c r="F89" s="31">
        <v>3700</v>
      </c>
      <c r="G89" s="31">
        <v>0</v>
      </c>
      <c r="H89" s="31">
        <v>0</v>
      </c>
      <c r="I89" s="31">
        <v>14100</v>
      </c>
      <c r="J89" s="31">
        <v>0</v>
      </c>
      <c r="K89" s="31">
        <f t="shared" si="3"/>
        <v>14100</v>
      </c>
      <c r="L89" s="31">
        <v>6455</v>
      </c>
      <c r="M89" s="32">
        <v>14307.777777777801</v>
      </c>
      <c r="N89" s="31">
        <v>26</v>
      </c>
      <c r="O89" s="32">
        <v>0</v>
      </c>
      <c r="Q89" s="10">
        <v>1968</v>
      </c>
      <c r="R89" s="10">
        <f t="shared" si="4"/>
        <v>27748800</v>
      </c>
      <c r="S89" s="10">
        <f t="shared" si="5"/>
        <v>28157706.666666713</v>
      </c>
    </row>
    <row r="90" spans="1:19" x14ac:dyDescent="0.25">
      <c r="A90" s="29" t="s">
        <v>2</v>
      </c>
      <c r="B90" s="30" t="s">
        <v>17</v>
      </c>
      <c r="C90" s="31" t="s">
        <v>19</v>
      </c>
      <c r="D90" s="34">
        <v>10</v>
      </c>
      <c r="E90" s="31">
        <v>2829</v>
      </c>
      <c r="F90" s="31">
        <v>15115</v>
      </c>
      <c r="G90" s="31">
        <v>0</v>
      </c>
      <c r="H90" s="31">
        <v>0</v>
      </c>
      <c r="I90" s="31">
        <v>10923</v>
      </c>
      <c r="J90" s="31">
        <v>0</v>
      </c>
      <c r="K90" s="31">
        <f t="shared" si="3"/>
        <v>10923</v>
      </c>
      <c r="L90" s="31">
        <v>7021</v>
      </c>
      <c r="M90" s="32">
        <v>11530.222222222199</v>
      </c>
      <c r="N90" s="31">
        <v>26</v>
      </c>
      <c r="O90" s="32">
        <v>27.445370116064922</v>
      </c>
      <c r="Q90" s="10">
        <v>2157</v>
      </c>
      <c r="R90" s="10">
        <f t="shared" si="4"/>
        <v>23560911</v>
      </c>
      <c r="S90" s="10">
        <f t="shared" si="5"/>
        <v>24870689.333333284</v>
      </c>
    </row>
    <row r="91" spans="1:19" x14ac:dyDescent="0.25">
      <c r="A91" s="29" t="s">
        <v>110</v>
      </c>
      <c r="B91" s="30" t="s">
        <v>17</v>
      </c>
      <c r="C91" s="31" t="s">
        <v>19</v>
      </c>
      <c r="D91" s="34">
        <v>10</v>
      </c>
      <c r="E91" s="31">
        <v>1311</v>
      </c>
      <c r="F91" s="31">
        <v>12182</v>
      </c>
      <c r="G91" s="31">
        <v>0</v>
      </c>
      <c r="H91" s="31">
        <v>0</v>
      </c>
      <c r="I91" s="31">
        <v>0</v>
      </c>
      <c r="J91" s="31">
        <v>12194</v>
      </c>
      <c r="K91" s="31">
        <f t="shared" si="3"/>
        <v>12194</v>
      </c>
      <c r="L91" s="31">
        <v>1299</v>
      </c>
      <c r="M91" s="32">
        <v>4535.5</v>
      </c>
      <c r="N91" s="31">
        <v>26</v>
      </c>
      <c r="O91" s="32">
        <v>9.6705756929637516</v>
      </c>
      <c r="Q91" s="10">
        <v>2031</v>
      </c>
      <c r="R91" s="10">
        <f t="shared" si="4"/>
        <v>24766014</v>
      </c>
      <c r="S91" s="10">
        <f t="shared" si="5"/>
        <v>9211600.5</v>
      </c>
    </row>
    <row r="92" spans="1:19" x14ac:dyDescent="0.25">
      <c r="A92" s="29" t="s">
        <v>111</v>
      </c>
      <c r="B92" s="30" t="s">
        <v>17</v>
      </c>
      <c r="C92" s="31" t="s">
        <v>19</v>
      </c>
      <c r="D92" s="34">
        <v>10</v>
      </c>
      <c r="E92" s="31">
        <v>4721</v>
      </c>
      <c r="F92" s="31">
        <v>16000</v>
      </c>
      <c r="G92" s="31">
        <v>0</v>
      </c>
      <c r="H92" s="31">
        <v>0</v>
      </c>
      <c r="I92" s="31">
        <v>0</v>
      </c>
      <c r="J92" s="31">
        <v>13910</v>
      </c>
      <c r="K92" s="31">
        <f t="shared" si="3"/>
        <v>13910</v>
      </c>
      <c r="L92" s="31">
        <v>6811</v>
      </c>
      <c r="M92" s="32">
        <v>10280.285714285701</v>
      </c>
      <c r="N92" s="31">
        <v>26</v>
      </c>
      <c r="O92" s="32">
        <v>19.215487316421871</v>
      </c>
      <c r="Q92" s="10">
        <v>2031</v>
      </c>
      <c r="R92" s="10">
        <f t="shared" si="4"/>
        <v>28251210</v>
      </c>
      <c r="S92" s="10">
        <f t="shared" si="5"/>
        <v>20879260.285714258</v>
      </c>
    </row>
    <row r="93" spans="1:19" x14ac:dyDescent="0.25">
      <c r="A93" s="29" t="s">
        <v>116</v>
      </c>
      <c r="B93" s="30" t="s">
        <v>17</v>
      </c>
      <c r="C93" s="31" t="s">
        <v>19</v>
      </c>
      <c r="D93" s="34">
        <v>10</v>
      </c>
      <c r="E93" s="31">
        <v>7118</v>
      </c>
      <c r="F93" s="31">
        <v>0</v>
      </c>
      <c r="G93" s="31">
        <v>0</v>
      </c>
      <c r="H93" s="31">
        <v>0</v>
      </c>
      <c r="I93" s="31">
        <v>0</v>
      </c>
      <c r="J93" s="31">
        <v>2340</v>
      </c>
      <c r="K93" s="31">
        <f t="shared" si="3"/>
        <v>2340</v>
      </c>
      <c r="L93" s="31">
        <v>4778</v>
      </c>
      <c r="M93" s="32">
        <v>5408</v>
      </c>
      <c r="N93" s="31">
        <v>26</v>
      </c>
      <c r="O93" s="32">
        <v>60.088888888888881</v>
      </c>
      <c r="Q93" s="10">
        <v>4592</v>
      </c>
      <c r="R93" s="10">
        <f t="shared" si="4"/>
        <v>10745280</v>
      </c>
      <c r="S93" s="10">
        <f t="shared" si="5"/>
        <v>24833536</v>
      </c>
    </row>
    <row r="94" spans="1:19" x14ac:dyDescent="0.25">
      <c r="A94" s="29" t="s">
        <v>117</v>
      </c>
      <c r="B94" s="30" t="s">
        <v>17</v>
      </c>
      <c r="C94" s="31" t="s">
        <v>19</v>
      </c>
      <c r="D94" s="34">
        <v>10</v>
      </c>
      <c r="E94" s="31">
        <v>1925</v>
      </c>
      <c r="F94" s="31">
        <v>0</v>
      </c>
      <c r="G94" s="31">
        <v>0</v>
      </c>
      <c r="H94" s="31">
        <v>0</v>
      </c>
      <c r="I94" s="31">
        <v>0</v>
      </c>
      <c r="J94" s="31">
        <v>925</v>
      </c>
      <c r="K94" s="31">
        <f t="shared" si="3"/>
        <v>925</v>
      </c>
      <c r="L94" s="31">
        <v>1000</v>
      </c>
      <c r="M94" s="32">
        <v>1391.6666666666702</v>
      </c>
      <c r="N94" s="31">
        <v>26</v>
      </c>
      <c r="O94" s="32">
        <v>39.117117117117218</v>
      </c>
      <c r="Q94" s="10">
        <v>2297</v>
      </c>
      <c r="R94" s="10">
        <f t="shared" si="4"/>
        <v>2124725</v>
      </c>
      <c r="S94" s="10">
        <f t="shared" si="5"/>
        <v>3196658.3333333414</v>
      </c>
    </row>
    <row r="95" spans="1:19" x14ac:dyDescent="0.25">
      <c r="A95" s="29" t="s">
        <v>118</v>
      </c>
      <c r="B95" s="30" t="s">
        <v>17</v>
      </c>
      <c r="C95" s="31" t="s">
        <v>19</v>
      </c>
      <c r="D95" s="34">
        <v>10</v>
      </c>
      <c r="E95" s="31">
        <v>2875</v>
      </c>
      <c r="F95" s="31">
        <v>0</v>
      </c>
      <c r="G95" s="31">
        <v>0</v>
      </c>
      <c r="H95" s="31">
        <v>0</v>
      </c>
      <c r="I95" s="31">
        <v>0</v>
      </c>
      <c r="J95" s="31">
        <v>350</v>
      </c>
      <c r="K95" s="31">
        <f t="shared" si="3"/>
        <v>350</v>
      </c>
      <c r="L95" s="31">
        <v>2525</v>
      </c>
      <c r="M95" s="32">
        <v>2658.3333333333298</v>
      </c>
      <c r="N95" s="31">
        <v>26</v>
      </c>
      <c r="O95" s="32">
        <v>197.47619047619023</v>
      </c>
      <c r="Q95" s="10">
        <v>2616</v>
      </c>
      <c r="R95" s="10">
        <f t="shared" si="4"/>
        <v>915600</v>
      </c>
      <c r="S95" s="10">
        <f t="shared" si="5"/>
        <v>6954199.9999999907</v>
      </c>
    </row>
    <row r="96" spans="1:19" x14ac:dyDescent="0.25">
      <c r="A96" s="29" t="s">
        <v>119</v>
      </c>
      <c r="B96" s="30" t="s">
        <v>17</v>
      </c>
      <c r="C96" s="31" t="s">
        <v>19</v>
      </c>
      <c r="D96" s="34">
        <v>10</v>
      </c>
      <c r="E96" s="31">
        <v>9600</v>
      </c>
      <c r="F96" s="31">
        <v>16975</v>
      </c>
      <c r="G96" s="31">
        <v>0</v>
      </c>
      <c r="H96" s="31">
        <v>0</v>
      </c>
      <c r="I96" s="31">
        <v>0</v>
      </c>
      <c r="J96" s="31">
        <v>9000</v>
      </c>
      <c r="K96" s="31">
        <f t="shared" si="3"/>
        <v>9000</v>
      </c>
      <c r="L96" s="31">
        <v>17575</v>
      </c>
      <c r="M96" s="32">
        <v>17413.888888888898</v>
      </c>
      <c r="N96" s="31">
        <v>26</v>
      </c>
      <c r="O96" s="32">
        <v>50.306790123456814</v>
      </c>
      <c r="Q96" s="10">
        <v>1419</v>
      </c>
      <c r="R96" s="10">
        <f t="shared" si="4"/>
        <v>12771000</v>
      </c>
      <c r="S96" s="10">
        <f t="shared" si="5"/>
        <v>24710308.333333347</v>
      </c>
    </row>
    <row r="97" spans="1:19" x14ac:dyDescent="0.25">
      <c r="A97" s="29" t="s">
        <v>120</v>
      </c>
      <c r="B97" s="30" t="s">
        <v>17</v>
      </c>
      <c r="C97" s="31" t="s">
        <v>19</v>
      </c>
      <c r="D97" s="34">
        <v>10</v>
      </c>
      <c r="E97" s="31">
        <v>3244</v>
      </c>
      <c r="F97" s="31">
        <v>0</v>
      </c>
      <c r="G97" s="31">
        <v>0</v>
      </c>
      <c r="H97" s="31">
        <v>0</v>
      </c>
      <c r="I97" s="31">
        <v>0</v>
      </c>
      <c r="J97" s="31">
        <v>519</v>
      </c>
      <c r="K97" s="31">
        <f t="shared" si="3"/>
        <v>519</v>
      </c>
      <c r="L97" s="31">
        <v>2725</v>
      </c>
      <c r="M97" s="32">
        <v>2767.5</v>
      </c>
      <c r="N97" s="31">
        <v>26</v>
      </c>
      <c r="O97" s="32">
        <v>0</v>
      </c>
      <c r="Q97" s="10">
        <v>2616</v>
      </c>
      <c r="R97" s="10">
        <f t="shared" si="4"/>
        <v>1357704</v>
      </c>
      <c r="S97" s="10">
        <f t="shared" si="5"/>
        <v>7239780</v>
      </c>
    </row>
    <row r="98" spans="1:19" x14ac:dyDescent="0.25">
      <c r="A98" s="29" t="s">
        <v>121</v>
      </c>
      <c r="B98" s="30" t="s">
        <v>17</v>
      </c>
      <c r="C98" s="31" t="s">
        <v>19</v>
      </c>
      <c r="D98" s="34">
        <v>10</v>
      </c>
      <c r="E98" s="31">
        <v>5189</v>
      </c>
      <c r="F98" s="31">
        <v>11121</v>
      </c>
      <c r="G98" s="31">
        <v>0</v>
      </c>
      <c r="H98" s="31">
        <v>0</v>
      </c>
      <c r="I98" s="31">
        <v>14091</v>
      </c>
      <c r="J98" s="31">
        <v>0</v>
      </c>
      <c r="K98" s="31">
        <f t="shared" si="3"/>
        <v>14091</v>
      </c>
      <c r="L98" s="31">
        <v>2219</v>
      </c>
      <c r="M98" s="32">
        <v>5601.4285714285697</v>
      </c>
      <c r="N98" s="31">
        <v>26</v>
      </c>
      <c r="O98" s="32">
        <v>10.335472490039232</v>
      </c>
      <c r="Q98" s="10">
        <v>2246</v>
      </c>
      <c r="R98" s="10">
        <f t="shared" si="4"/>
        <v>31648386</v>
      </c>
      <c r="S98" s="10">
        <f t="shared" si="5"/>
        <v>12580808.571428567</v>
      </c>
    </row>
    <row r="99" spans="1:19" x14ac:dyDescent="0.25">
      <c r="A99" s="29" t="s">
        <v>122</v>
      </c>
      <c r="B99" s="30" t="s">
        <v>17</v>
      </c>
      <c r="C99" s="31" t="s">
        <v>19</v>
      </c>
      <c r="D99" s="34">
        <v>10</v>
      </c>
      <c r="E99" s="31">
        <v>12302</v>
      </c>
      <c r="F99" s="31">
        <v>0</v>
      </c>
      <c r="G99" s="31">
        <v>0</v>
      </c>
      <c r="H99" s="31">
        <v>0</v>
      </c>
      <c r="I99" s="31">
        <v>4455</v>
      </c>
      <c r="J99" s="31">
        <v>0</v>
      </c>
      <c r="K99" s="31">
        <f t="shared" si="3"/>
        <v>4455</v>
      </c>
      <c r="L99" s="31">
        <v>7847</v>
      </c>
      <c r="M99" s="32">
        <v>9324.5</v>
      </c>
      <c r="N99" s="31">
        <v>26</v>
      </c>
      <c r="O99" s="32">
        <v>0</v>
      </c>
      <c r="Q99" s="10">
        <v>2355</v>
      </c>
      <c r="R99" s="10">
        <f t="shared" si="4"/>
        <v>10491525</v>
      </c>
      <c r="S99" s="10">
        <f t="shared" si="5"/>
        <v>21959197.5</v>
      </c>
    </row>
    <row r="100" spans="1:19" x14ac:dyDescent="0.25">
      <c r="A100" s="29" t="s">
        <v>123</v>
      </c>
      <c r="B100" s="30" t="s">
        <v>17</v>
      </c>
      <c r="C100" s="31" t="s">
        <v>19</v>
      </c>
      <c r="D100" s="34">
        <v>10</v>
      </c>
      <c r="E100" s="31">
        <v>1863</v>
      </c>
      <c r="F100" s="31">
        <v>10251</v>
      </c>
      <c r="G100" s="31">
        <v>0</v>
      </c>
      <c r="H100" s="31">
        <v>0</v>
      </c>
      <c r="I100" s="31">
        <v>0</v>
      </c>
      <c r="J100" s="31">
        <v>10501</v>
      </c>
      <c r="K100" s="31">
        <f t="shared" si="3"/>
        <v>10501</v>
      </c>
      <c r="L100" s="31">
        <v>1613</v>
      </c>
      <c r="M100" s="32">
        <v>2337.0714285714303</v>
      </c>
      <c r="N100" s="31">
        <v>26</v>
      </c>
      <c r="O100" s="32">
        <v>5.7864829199940182</v>
      </c>
      <c r="Q100" s="10">
        <v>2031</v>
      </c>
      <c r="R100" s="10">
        <f t="shared" si="4"/>
        <v>21327531</v>
      </c>
      <c r="S100" s="10">
        <f t="shared" si="5"/>
        <v>4746592.0714285746</v>
      </c>
    </row>
    <row r="101" spans="1:19" x14ac:dyDescent="0.25">
      <c r="A101" s="29" t="s">
        <v>124</v>
      </c>
      <c r="B101" s="30" t="s">
        <v>17</v>
      </c>
      <c r="C101" s="31" t="s">
        <v>19</v>
      </c>
      <c r="D101" s="34">
        <v>10</v>
      </c>
      <c r="E101" s="31">
        <v>3000</v>
      </c>
      <c r="F101" s="31">
        <v>6850</v>
      </c>
      <c r="G101" s="31">
        <v>0</v>
      </c>
      <c r="H101" s="31">
        <v>0</v>
      </c>
      <c r="I101" s="31">
        <v>3725</v>
      </c>
      <c r="J101" s="31">
        <v>0</v>
      </c>
      <c r="K101" s="31">
        <f t="shared" si="3"/>
        <v>3725</v>
      </c>
      <c r="L101" s="31">
        <v>6125</v>
      </c>
      <c r="M101" s="32">
        <v>6933.3333333333303</v>
      </c>
      <c r="N101" s="31">
        <v>26</v>
      </c>
      <c r="O101" s="32">
        <v>48.393736017897069</v>
      </c>
      <c r="Q101" s="10">
        <v>2108</v>
      </c>
      <c r="R101" s="10">
        <f t="shared" si="4"/>
        <v>7852300</v>
      </c>
      <c r="S101" s="10">
        <f t="shared" si="5"/>
        <v>14615466.66666666</v>
      </c>
    </row>
    <row r="102" spans="1:19" x14ac:dyDescent="0.25">
      <c r="A102" s="29" t="s">
        <v>125</v>
      </c>
      <c r="B102" s="30" t="s">
        <v>17</v>
      </c>
      <c r="C102" s="31" t="s">
        <v>19</v>
      </c>
      <c r="D102" s="34">
        <v>10</v>
      </c>
      <c r="E102" s="31">
        <v>1575</v>
      </c>
      <c r="F102" s="31">
        <v>1000</v>
      </c>
      <c r="G102" s="31">
        <v>0</v>
      </c>
      <c r="H102" s="31">
        <v>0</v>
      </c>
      <c r="I102" s="31">
        <v>350</v>
      </c>
      <c r="J102" s="31">
        <v>0</v>
      </c>
      <c r="K102" s="31">
        <f t="shared" si="3"/>
        <v>350</v>
      </c>
      <c r="L102" s="31">
        <v>2225</v>
      </c>
      <c r="M102" s="32">
        <v>1725</v>
      </c>
      <c r="N102" s="31">
        <v>26</v>
      </c>
      <c r="O102" s="32">
        <v>128.14285714285714</v>
      </c>
      <c r="Q102" s="10">
        <v>2173</v>
      </c>
      <c r="R102" s="10">
        <f t="shared" si="4"/>
        <v>760550</v>
      </c>
      <c r="S102" s="10">
        <f t="shared" si="5"/>
        <v>3748425</v>
      </c>
    </row>
    <row r="103" spans="1:19" x14ac:dyDescent="0.25">
      <c r="A103" s="29" t="s">
        <v>129</v>
      </c>
      <c r="B103" s="30" t="s">
        <v>17</v>
      </c>
      <c r="C103" s="31" t="s">
        <v>19</v>
      </c>
      <c r="D103" s="34">
        <v>10</v>
      </c>
      <c r="E103" s="31">
        <v>2100</v>
      </c>
      <c r="F103" s="31">
        <v>4193</v>
      </c>
      <c r="G103" s="31">
        <v>0</v>
      </c>
      <c r="H103" s="31">
        <v>0</v>
      </c>
      <c r="I103" s="31">
        <v>4893</v>
      </c>
      <c r="J103" s="31">
        <v>0</v>
      </c>
      <c r="K103" s="31">
        <f t="shared" si="3"/>
        <v>4893</v>
      </c>
      <c r="L103" s="31">
        <v>1400</v>
      </c>
      <c r="M103" s="32">
        <v>3759</v>
      </c>
      <c r="N103" s="31">
        <v>26</v>
      </c>
      <c r="O103" s="32">
        <v>0</v>
      </c>
      <c r="Q103" s="10">
        <v>2503</v>
      </c>
      <c r="R103" s="10">
        <f t="shared" si="4"/>
        <v>12247179</v>
      </c>
      <c r="S103" s="10">
        <f t="shared" si="5"/>
        <v>9408777</v>
      </c>
    </row>
    <row r="104" spans="1:19" x14ac:dyDescent="0.25">
      <c r="A104" s="29" t="s">
        <v>130</v>
      </c>
      <c r="B104" s="30" t="s">
        <v>17</v>
      </c>
      <c r="C104" s="31" t="s">
        <v>19</v>
      </c>
      <c r="D104" s="34">
        <v>10</v>
      </c>
      <c r="E104" s="31">
        <v>0</v>
      </c>
      <c r="F104" s="31">
        <v>1575</v>
      </c>
      <c r="G104" s="31">
        <v>0</v>
      </c>
      <c r="H104" s="31">
        <v>0</v>
      </c>
      <c r="I104" s="31">
        <v>1575</v>
      </c>
      <c r="J104" s="31">
        <v>0</v>
      </c>
      <c r="K104" s="31">
        <f t="shared" si="3"/>
        <v>1575</v>
      </c>
      <c r="L104" s="31">
        <v>0</v>
      </c>
      <c r="M104" s="32">
        <v>787.5</v>
      </c>
      <c r="N104" s="31">
        <v>26</v>
      </c>
      <c r="O104" s="32">
        <v>13</v>
      </c>
      <c r="Q104" s="10">
        <v>2355</v>
      </c>
      <c r="R104" s="10">
        <f t="shared" si="4"/>
        <v>3709125</v>
      </c>
      <c r="S104" s="10">
        <f t="shared" si="5"/>
        <v>1854562.5</v>
      </c>
    </row>
    <row r="105" spans="1:19" x14ac:dyDescent="0.25">
      <c r="A105" s="29" t="s">
        <v>131</v>
      </c>
      <c r="B105" s="30" t="s">
        <v>17</v>
      </c>
      <c r="C105" s="31" t="s">
        <v>19</v>
      </c>
      <c r="D105" s="34">
        <v>10</v>
      </c>
      <c r="E105" s="31">
        <v>2065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1">
        <f t="shared" si="3"/>
        <v>0</v>
      </c>
      <c r="L105" s="31">
        <v>2065</v>
      </c>
      <c r="M105" s="32">
        <v>0</v>
      </c>
      <c r="N105" s="31">
        <v>26</v>
      </c>
      <c r="O105" s="32">
        <v>0</v>
      </c>
      <c r="Q105" s="10">
        <v>2216</v>
      </c>
      <c r="R105" s="10">
        <f t="shared" si="4"/>
        <v>0</v>
      </c>
      <c r="S105" s="10">
        <f t="shared" si="5"/>
        <v>0</v>
      </c>
    </row>
    <row r="106" spans="1:19" x14ac:dyDescent="0.25">
      <c r="A106" s="29" t="s">
        <v>132</v>
      </c>
      <c r="B106" s="30" t="s">
        <v>17</v>
      </c>
      <c r="C106" s="31" t="s">
        <v>19</v>
      </c>
      <c r="D106" s="34">
        <v>10</v>
      </c>
      <c r="E106" s="31">
        <v>2600</v>
      </c>
      <c r="F106" s="31">
        <v>1050</v>
      </c>
      <c r="G106" s="31">
        <v>0</v>
      </c>
      <c r="H106" s="31">
        <v>0</v>
      </c>
      <c r="I106" s="31">
        <v>1250</v>
      </c>
      <c r="J106" s="31">
        <v>0</v>
      </c>
      <c r="K106" s="31">
        <f t="shared" si="3"/>
        <v>1250</v>
      </c>
      <c r="L106" s="31">
        <v>2400</v>
      </c>
      <c r="M106" s="32">
        <v>1875</v>
      </c>
      <c r="N106" s="31">
        <v>26</v>
      </c>
      <c r="O106" s="32">
        <v>39</v>
      </c>
      <c r="Q106" s="10">
        <v>1968</v>
      </c>
      <c r="R106" s="10">
        <f t="shared" si="4"/>
        <v>2460000</v>
      </c>
      <c r="S106" s="10">
        <f t="shared" si="5"/>
        <v>3690000</v>
      </c>
    </row>
    <row r="107" spans="1:19" x14ac:dyDescent="0.25">
      <c r="A107" s="29" t="s">
        <v>3</v>
      </c>
      <c r="B107" s="30" t="s">
        <v>17</v>
      </c>
      <c r="C107" s="31" t="s">
        <v>19</v>
      </c>
      <c r="D107" s="34">
        <v>10</v>
      </c>
      <c r="E107" s="31">
        <v>2000</v>
      </c>
      <c r="F107" s="31">
        <v>2000</v>
      </c>
      <c r="G107" s="31">
        <v>0</v>
      </c>
      <c r="H107" s="31">
        <v>0</v>
      </c>
      <c r="I107" s="31">
        <v>0</v>
      </c>
      <c r="J107" s="31">
        <v>3000</v>
      </c>
      <c r="K107" s="31">
        <f t="shared" si="3"/>
        <v>3000</v>
      </c>
      <c r="L107" s="31">
        <v>1000</v>
      </c>
      <c r="M107" s="32">
        <v>750</v>
      </c>
      <c r="N107" s="31">
        <v>26</v>
      </c>
      <c r="O107" s="32">
        <v>6.5</v>
      </c>
      <c r="Q107" s="10">
        <v>2297</v>
      </c>
      <c r="R107" s="10">
        <f t="shared" si="4"/>
        <v>6891000</v>
      </c>
      <c r="S107" s="10">
        <f t="shared" si="5"/>
        <v>1722750</v>
      </c>
    </row>
    <row r="108" spans="1:19" x14ac:dyDescent="0.25">
      <c r="A108" s="29" t="s">
        <v>4</v>
      </c>
      <c r="B108" s="30" t="s">
        <v>17</v>
      </c>
      <c r="C108" s="31" t="s">
        <v>19</v>
      </c>
      <c r="D108" s="34">
        <v>10</v>
      </c>
      <c r="E108" s="31">
        <v>2275</v>
      </c>
      <c r="F108" s="31">
        <v>0</v>
      </c>
      <c r="G108" s="31">
        <v>0</v>
      </c>
      <c r="H108" s="31">
        <v>0</v>
      </c>
      <c r="I108" s="31">
        <v>0</v>
      </c>
      <c r="J108" s="31">
        <v>1873</v>
      </c>
      <c r="K108" s="31">
        <f t="shared" si="3"/>
        <v>1873</v>
      </c>
      <c r="L108" s="31">
        <v>402</v>
      </c>
      <c r="M108" s="32">
        <v>1267.6000000000001</v>
      </c>
      <c r="N108" s="31">
        <v>26</v>
      </c>
      <c r="O108" s="32">
        <v>17.596155899626272</v>
      </c>
      <c r="Q108" s="10">
        <v>2616</v>
      </c>
      <c r="R108" s="10">
        <f t="shared" si="4"/>
        <v>4899768</v>
      </c>
      <c r="S108" s="10">
        <f t="shared" si="5"/>
        <v>3316041.6000000006</v>
      </c>
    </row>
    <row r="109" spans="1:19" x14ac:dyDescent="0.25">
      <c r="A109" s="29" t="s">
        <v>136</v>
      </c>
      <c r="B109" s="30" t="s">
        <v>17</v>
      </c>
      <c r="C109" s="31" t="s">
        <v>19</v>
      </c>
      <c r="D109" s="34">
        <v>10</v>
      </c>
      <c r="E109" s="31">
        <v>2154</v>
      </c>
      <c r="F109" s="31">
        <v>0</v>
      </c>
      <c r="G109" s="31">
        <v>0</v>
      </c>
      <c r="H109" s="31">
        <v>0</v>
      </c>
      <c r="I109" s="31">
        <v>1400</v>
      </c>
      <c r="J109" s="31">
        <v>0</v>
      </c>
      <c r="K109" s="31">
        <f t="shared" si="3"/>
        <v>1400</v>
      </c>
      <c r="L109" s="31">
        <v>754</v>
      </c>
      <c r="M109" s="32">
        <v>904</v>
      </c>
      <c r="N109" s="31">
        <v>26</v>
      </c>
      <c r="O109" s="32">
        <v>16.788571428571426</v>
      </c>
      <c r="Q109" s="10">
        <v>2355</v>
      </c>
      <c r="R109" s="10">
        <f t="shared" si="4"/>
        <v>3297000</v>
      </c>
      <c r="S109" s="10">
        <f t="shared" si="5"/>
        <v>2128920</v>
      </c>
    </row>
    <row r="110" spans="1:19" x14ac:dyDescent="0.25">
      <c r="A110" s="29" t="s">
        <v>137</v>
      </c>
      <c r="B110" s="30" t="s">
        <v>17</v>
      </c>
      <c r="C110" s="31" t="s">
        <v>19</v>
      </c>
      <c r="D110" s="34">
        <v>10</v>
      </c>
      <c r="E110" s="31">
        <v>950</v>
      </c>
      <c r="F110" s="31">
        <v>0</v>
      </c>
      <c r="G110" s="31">
        <v>0</v>
      </c>
      <c r="H110" s="31">
        <v>0</v>
      </c>
      <c r="I110" s="31">
        <v>0</v>
      </c>
      <c r="J110" s="31">
        <v>0</v>
      </c>
      <c r="K110" s="31">
        <f t="shared" si="3"/>
        <v>0</v>
      </c>
      <c r="L110" s="31">
        <v>950</v>
      </c>
      <c r="M110" s="32">
        <v>0</v>
      </c>
      <c r="N110" s="31">
        <v>26</v>
      </c>
      <c r="O110" s="32">
        <v>0</v>
      </c>
      <c r="Q110" s="10">
        <v>2372</v>
      </c>
      <c r="R110" s="10">
        <f t="shared" si="4"/>
        <v>0</v>
      </c>
      <c r="S110" s="10">
        <f t="shared" si="5"/>
        <v>0</v>
      </c>
    </row>
    <row r="111" spans="1:19" x14ac:dyDescent="0.25">
      <c r="A111" s="29" t="s">
        <v>138</v>
      </c>
      <c r="B111" s="30" t="s">
        <v>17</v>
      </c>
      <c r="C111" s="31" t="s">
        <v>19</v>
      </c>
      <c r="D111" s="34">
        <v>10</v>
      </c>
      <c r="E111" s="31">
        <v>1225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f t="shared" si="3"/>
        <v>0</v>
      </c>
      <c r="L111" s="31">
        <v>1225</v>
      </c>
      <c r="M111" s="32">
        <v>0</v>
      </c>
      <c r="N111" s="31">
        <v>26</v>
      </c>
      <c r="O111" s="32">
        <v>0</v>
      </c>
      <c r="Q111" s="10">
        <v>3482</v>
      </c>
      <c r="R111" s="10">
        <f t="shared" si="4"/>
        <v>0</v>
      </c>
      <c r="S111" s="10">
        <f t="shared" si="5"/>
        <v>0</v>
      </c>
    </row>
    <row r="112" spans="1:19" x14ac:dyDescent="0.25">
      <c r="A112" s="29" t="s">
        <v>139</v>
      </c>
      <c r="B112" s="30" t="s">
        <v>17</v>
      </c>
      <c r="C112" s="31" t="s">
        <v>19</v>
      </c>
      <c r="D112" s="34">
        <v>10</v>
      </c>
      <c r="E112" s="31">
        <v>1050</v>
      </c>
      <c r="F112" s="31">
        <v>0</v>
      </c>
      <c r="G112" s="31">
        <v>0</v>
      </c>
      <c r="H112" s="31">
        <v>0</v>
      </c>
      <c r="I112" s="31">
        <v>1050</v>
      </c>
      <c r="J112" s="31">
        <v>0</v>
      </c>
      <c r="K112" s="31">
        <f t="shared" si="3"/>
        <v>1050</v>
      </c>
      <c r="L112" s="31">
        <v>0</v>
      </c>
      <c r="M112" s="32">
        <v>0</v>
      </c>
      <c r="N112" s="31">
        <v>26</v>
      </c>
      <c r="O112" s="32">
        <v>0</v>
      </c>
      <c r="Q112" s="10">
        <v>2555</v>
      </c>
      <c r="R112" s="10">
        <f t="shared" si="4"/>
        <v>2682750</v>
      </c>
      <c r="S112" s="10">
        <f t="shared" si="5"/>
        <v>0</v>
      </c>
    </row>
    <row r="113" spans="1:19" x14ac:dyDescent="0.25">
      <c r="A113" s="29" t="s">
        <v>140</v>
      </c>
      <c r="B113" s="30" t="s">
        <v>17</v>
      </c>
      <c r="C113" s="31" t="s">
        <v>19</v>
      </c>
      <c r="D113" s="34">
        <v>10</v>
      </c>
      <c r="E113" s="31">
        <v>2075</v>
      </c>
      <c r="F113" s="31">
        <v>1050</v>
      </c>
      <c r="G113" s="31">
        <v>0</v>
      </c>
      <c r="H113" s="31">
        <v>0</v>
      </c>
      <c r="I113" s="31">
        <v>2075</v>
      </c>
      <c r="J113" s="31">
        <v>0</v>
      </c>
      <c r="K113" s="31">
        <f t="shared" si="3"/>
        <v>2075</v>
      </c>
      <c r="L113" s="31">
        <v>1050</v>
      </c>
      <c r="M113" s="32">
        <v>1503.125</v>
      </c>
      <c r="N113" s="31">
        <v>26</v>
      </c>
      <c r="O113" s="32">
        <v>18.83433734939759</v>
      </c>
      <c r="Q113" s="10">
        <v>3665</v>
      </c>
      <c r="R113" s="10">
        <f t="shared" si="4"/>
        <v>7604875</v>
      </c>
      <c r="S113" s="10">
        <f t="shared" si="5"/>
        <v>5508953.125</v>
      </c>
    </row>
    <row r="114" spans="1:19" x14ac:dyDescent="0.25">
      <c r="A114" s="29" t="s">
        <v>142</v>
      </c>
      <c r="B114" s="30" t="s">
        <v>17</v>
      </c>
      <c r="C114" s="31" t="s">
        <v>19</v>
      </c>
      <c r="D114" s="34">
        <v>10</v>
      </c>
      <c r="E114" s="31">
        <v>3400</v>
      </c>
      <c r="F114" s="31">
        <v>0</v>
      </c>
      <c r="G114" s="31">
        <v>0</v>
      </c>
      <c r="H114" s="31">
        <v>0</v>
      </c>
      <c r="I114" s="31">
        <v>0</v>
      </c>
      <c r="J114" s="31">
        <v>2500</v>
      </c>
      <c r="K114" s="31">
        <f t="shared" si="3"/>
        <v>2500</v>
      </c>
      <c r="L114" s="31">
        <v>900</v>
      </c>
      <c r="M114" s="32">
        <v>900</v>
      </c>
      <c r="N114" s="31">
        <v>26</v>
      </c>
      <c r="O114" s="32">
        <v>9.36</v>
      </c>
      <c r="Q114" s="10">
        <v>994</v>
      </c>
      <c r="R114" s="10">
        <f t="shared" si="4"/>
        <v>2485000</v>
      </c>
      <c r="S114" s="10">
        <f t="shared" si="5"/>
        <v>894600</v>
      </c>
    </row>
    <row r="115" spans="1:19" x14ac:dyDescent="0.25">
      <c r="A115" s="29" t="s">
        <v>143</v>
      </c>
      <c r="B115" s="30" t="s">
        <v>17</v>
      </c>
      <c r="C115" s="31" t="s">
        <v>19</v>
      </c>
      <c r="D115" s="34">
        <v>10</v>
      </c>
      <c r="E115" s="31">
        <v>3000</v>
      </c>
      <c r="F115" s="31">
        <v>1000</v>
      </c>
      <c r="G115" s="31">
        <v>0</v>
      </c>
      <c r="H115" s="31">
        <v>0</v>
      </c>
      <c r="I115" s="31">
        <v>0</v>
      </c>
      <c r="J115" s="31">
        <v>3000</v>
      </c>
      <c r="K115" s="31">
        <f t="shared" si="3"/>
        <v>3000</v>
      </c>
      <c r="L115" s="31">
        <v>1000</v>
      </c>
      <c r="M115" s="32">
        <v>1000</v>
      </c>
      <c r="N115" s="31">
        <v>26</v>
      </c>
      <c r="O115" s="32">
        <v>8.6666666666666661</v>
      </c>
      <c r="Q115" s="10">
        <v>994</v>
      </c>
      <c r="R115" s="10">
        <f t="shared" si="4"/>
        <v>2982000</v>
      </c>
      <c r="S115" s="10">
        <f t="shared" si="5"/>
        <v>994000</v>
      </c>
    </row>
    <row r="116" spans="1:19" x14ac:dyDescent="0.25">
      <c r="A116" s="29" t="s">
        <v>144</v>
      </c>
      <c r="B116" s="30" t="s">
        <v>17</v>
      </c>
      <c r="C116" s="31" t="s">
        <v>19</v>
      </c>
      <c r="D116" s="34">
        <v>10</v>
      </c>
      <c r="E116" s="31">
        <v>275</v>
      </c>
      <c r="F116" s="31">
        <v>1020</v>
      </c>
      <c r="G116" s="31">
        <v>0</v>
      </c>
      <c r="H116" s="31">
        <v>0</v>
      </c>
      <c r="I116" s="31">
        <v>0</v>
      </c>
      <c r="J116" s="31">
        <v>275</v>
      </c>
      <c r="K116" s="31">
        <f t="shared" si="3"/>
        <v>275</v>
      </c>
      <c r="L116" s="31">
        <v>1020</v>
      </c>
      <c r="M116" s="32">
        <v>510</v>
      </c>
      <c r="N116" s="31">
        <v>26</v>
      </c>
      <c r="O116" s="32">
        <v>48.218181818181819</v>
      </c>
      <c r="Q116" s="10">
        <v>3489</v>
      </c>
      <c r="R116" s="10">
        <f t="shared" si="4"/>
        <v>959475</v>
      </c>
      <c r="S116" s="10">
        <f t="shared" si="5"/>
        <v>1779390</v>
      </c>
    </row>
    <row r="117" spans="1:19" x14ac:dyDescent="0.25">
      <c r="A117" s="29" t="s">
        <v>169</v>
      </c>
      <c r="B117" s="30" t="s">
        <v>17</v>
      </c>
      <c r="C117" s="31" t="s">
        <v>19</v>
      </c>
      <c r="D117" s="34">
        <v>10</v>
      </c>
      <c r="E117" s="31">
        <v>1550</v>
      </c>
      <c r="F117" s="31">
        <v>0</v>
      </c>
      <c r="G117" s="31">
        <v>0</v>
      </c>
      <c r="H117" s="31">
        <v>0</v>
      </c>
      <c r="I117" s="31">
        <v>275</v>
      </c>
      <c r="J117" s="31">
        <v>0</v>
      </c>
      <c r="K117" s="31">
        <f t="shared" si="3"/>
        <v>275</v>
      </c>
      <c r="L117" s="31">
        <v>1275</v>
      </c>
      <c r="M117" s="32">
        <v>1375</v>
      </c>
      <c r="N117" s="31">
        <v>26</v>
      </c>
      <c r="O117" s="32">
        <v>130</v>
      </c>
      <c r="Q117" s="10">
        <v>3162</v>
      </c>
      <c r="R117" s="10">
        <f t="shared" si="4"/>
        <v>869550</v>
      </c>
      <c r="S117" s="10">
        <f t="shared" si="5"/>
        <v>4347750</v>
      </c>
    </row>
    <row r="118" spans="1:19" x14ac:dyDescent="0.25">
      <c r="A118" s="29" t="s">
        <v>170</v>
      </c>
      <c r="B118" s="30" t="s">
        <v>17</v>
      </c>
      <c r="C118" s="31" t="s">
        <v>19</v>
      </c>
      <c r="D118" s="34">
        <v>10</v>
      </c>
      <c r="E118" s="31">
        <v>1794</v>
      </c>
      <c r="F118" s="31">
        <v>2625</v>
      </c>
      <c r="G118" s="31">
        <v>0</v>
      </c>
      <c r="H118" s="31">
        <v>0</v>
      </c>
      <c r="I118" s="31">
        <v>3421</v>
      </c>
      <c r="J118" s="31">
        <v>0</v>
      </c>
      <c r="K118" s="31">
        <f t="shared" si="3"/>
        <v>3421</v>
      </c>
      <c r="L118" s="31">
        <v>998</v>
      </c>
      <c r="M118" s="32">
        <v>1322.5</v>
      </c>
      <c r="N118" s="31">
        <v>26</v>
      </c>
      <c r="O118" s="32">
        <v>10.051154633148201</v>
      </c>
      <c r="Q118" s="10">
        <v>3567</v>
      </c>
      <c r="R118" s="10">
        <f t="shared" si="4"/>
        <v>12202707</v>
      </c>
      <c r="S118" s="10">
        <f t="shared" si="5"/>
        <v>4717357.5</v>
      </c>
    </row>
    <row r="119" spans="1:19" x14ac:dyDescent="0.25">
      <c r="A119" s="29" t="s">
        <v>171</v>
      </c>
      <c r="B119" s="30" t="s">
        <v>17</v>
      </c>
      <c r="C119" s="31" t="s">
        <v>19</v>
      </c>
      <c r="D119" s="34">
        <v>10</v>
      </c>
      <c r="E119" s="31">
        <v>1200</v>
      </c>
      <c r="F119" s="31">
        <v>0</v>
      </c>
      <c r="G119" s="31">
        <v>0</v>
      </c>
      <c r="H119" s="31">
        <v>0</v>
      </c>
      <c r="I119" s="31">
        <v>100</v>
      </c>
      <c r="J119" s="31">
        <v>0</v>
      </c>
      <c r="K119" s="31">
        <f t="shared" si="3"/>
        <v>100</v>
      </c>
      <c r="L119" s="31">
        <v>1100</v>
      </c>
      <c r="M119" s="32">
        <v>1125</v>
      </c>
      <c r="N119" s="31">
        <v>26</v>
      </c>
      <c r="O119" s="32">
        <v>0</v>
      </c>
      <c r="Q119" s="10">
        <v>3850</v>
      </c>
      <c r="R119" s="10">
        <f t="shared" si="4"/>
        <v>385000</v>
      </c>
      <c r="S119" s="10">
        <f t="shared" si="5"/>
        <v>4331250</v>
      </c>
    </row>
    <row r="120" spans="1:19" x14ac:dyDescent="0.25">
      <c r="A120" s="29" t="s">
        <v>172</v>
      </c>
      <c r="B120" s="30" t="s">
        <v>17</v>
      </c>
      <c r="C120" s="31" t="s">
        <v>19</v>
      </c>
      <c r="D120" s="34">
        <v>10</v>
      </c>
      <c r="E120" s="31">
        <v>1000</v>
      </c>
      <c r="F120" s="31">
        <v>1000</v>
      </c>
      <c r="G120" s="31">
        <v>0</v>
      </c>
      <c r="H120" s="31">
        <v>0</v>
      </c>
      <c r="I120" s="31">
        <v>0</v>
      </c>
      <c r="J120" s="31">
        <v>500</v>
      </c>
      <c r="K120" s="31">
        <f t="shared" si="3"/>
        <v>500</v>
      </c>
      <c r="L120" s="31">
        <v>1500</v>
      </c>
      <c r="M120" s="32">
        <v>1000</v>
      </c>
      <c r="N120" s="31">
        <v>26</v>
      </c>
      <c r="O120" s="32">
        <v>52</v>
      </c>
      <c r="Q120" s="10">
        <v>1402</v>
      </c>
      <c r="R120" s="10">
        <f t="shared" si="4"/>
        <v>701000</v>
      </c>
      <c r="S120" s="10">
        <f t="shared" si="5"/>
        <v>1402000</v>
      </c>
    </row>
    <row r="121" spans="1:19" x14ac:dyDescent="0.25">
      <c r="A121" s="29" t="s">
        <v>146</v>
      </c>
      <c r="B121" s="30" t="s">
        <v>17</v>
      </c>
      <c r="C121" s="31" t="s">
        <v>19</v>
      </c>
      <c r="D121" s="34">
        <v>10</v>
      </c>
      <c r="E121" s="31">
        <v>8525</v>
      </c>
      <c r="F121" s="31">
        <v>4725</v>
      </c>
      <c r="G121" s="31">
        <v>0</v>
      </c>
      <c r="H121" s="31">
        <v>0</v>
      </c>
      <c r="I121" s="31">
        <v>4100</v>
      </c>
      <c r="J121" s="31">
        <v>5975</v>
      </c>
      <c r="K121" s="31">
        <f t="shared" si="3"/>
        <v>10075</v>
      </c>
      <c r="L121" s="31">
        <v>3175</v>
      </c>
      <c r="M121" s="32">
        <v>5533.9285714285697</v>
      </c>
      <c r="N121" s="31">
        <v>26</v>
      </c>
      <c r="O121" s="32">
        <v>14.281105990783406</v>
      </c>
      <c r="Q121" s="10">
        <v>6112</v>
      </c>
      <c r="R121" s="10">
        <f t="shared" si="4"/>
        <v>61578400</v>
      </c>
      <c r="S121" s="10">
        <f t="shared" si="5"/>
        <v>33823371.428571418</v>
      </c>
    </row>
    <row r="122" spans="1:19" x14ac:dyDescent="0.25">
      <c r="A122" s="29" t="s">
        <v>147</v>
      </c>
      <c r="B122" s="30" t="s">
        <v>17</v>
      </c>
      <c r="C122" s="31" t="s">
        <v>19</v>
      </c>
      <c r="D122" s="34">
        <v>10</v>
      </c>
      <c r="E122" s="31">
        <v>572</v>
      </c>
      <c r="F122" s="31">
        <v>1000</v>
      </c>
      <c r="G122" s="31">
        <v>0</v>
      </c>
      <c r="H122" s="31">
        <v>0</v>
      </c>
      <c r="I122" s="31">
        <v>50</v>
      </c>
      <c r="J122" s="31">
        <v>625</v>
      </c>
      <c r="K122" s="31">
        <f t="shared" si="3"/>
        <v>675</v>
      </c>
      <c r="L122" s="31">
        <v>897</v>
      </c>
      <c r="M122" s="32">
        <v>1263.6666666666702</v>
      </c>
      <c r="N122" s="31">
        <v>26</v>
      </c>
      <c r="O122" s="32">
        <v>48.674567901234703</v>
      </c>
      <c r="Q122" s="10">
        <v>2392</v>
      </c>
      <c r="R122" s="10">
        <f t="shared" si="4"/>
        <v>1614600</v>
      </c>
      <c r="S122" s="10">
        <f t="shared" si="5"/>
        <v>3022690.6666666749</v>
      </c>
    </row>
    <row r="123" spans="1:19" x14ac:dyDescent="0.25">
      <c r="A123" s="29" t="s">
        <v>148</v>
      </c>
      <c r="B123" s="30" t="s">
        <v>17</v>
      </c>
      <c r="C123" s="31" t="s">
        <v>19</v>
      </c>
      <c r="D123" s="34">
        <v>10</v>
      </c>
      <c r="E123" s="31">
        <v>24</v>
      </c>
      <c r="F123" s="31">
        <v>0</v>
      </c>
      <c r="G123" s="31">
        <v>0</v>
      </c>
      <c r="H123" s="31">
        <v>0</v>
      </c>
      <c r="I123" s="31">
        <v>0</v>
      </c>
      <c r="J123" s="31">
        <v>0</v>
      </c>
      <c r="K123" s="31">
        <f t="shared" si="3"/>
        <v>0</v>
      </c>
      <c r="L123" s="31">
        <v>24</v>
      </c>
      <c r="M123" s="32">
        <v>0</v>
      </c>
      <c r="N123" s="31">
        <v>26</v>
      </c>
      <c r="O123" s="32">
        <v>0</v>
      </c>
      <c r="Q123" s="10">
        <v>2651</v>
      </c>
      <c r="R123" s="10">
        <f t="shared" si="4"/>
        <v>0</v>
      </c>
      <c r="S123" s="10">
        <f t="shared" si="5"/>
        <v>0</v>
      </c>
    </row>
    <row r="124" spans="1:19" x14ac:dyDescent="0.25">
      <c r="A124" s="29" t="s">
        <v>15</v>
      </c>
      <c r="B124" s="30" t="s">
        <v>17</v>
      </c>
      <c r="C124" s="31" t="s">
        <v>19</v>
      </c>
      <c r="D124" s="34">
        <v>10</v>
      </c>
      <c r="E124" s="31">
        <v>1020</v>
      </c>
      <c r="F124" s="31">
        <v>0</v>
      </c>
      <c r="G124" s="31">
        <v>0</v>
      </c>
      <c r="H124" s="31">
        <v>0</v>
      </c>
      <c r="I124" s="31">
        <v>1020</v>
      </c>
      <c r="J124" s="31">
        <v>0</v>
      </c>
      <c r="K124" s="31">
        <f t="shared" si="3"/>
        <v>1020</v>
      </c>
      <c r="L124" s="31">
        <v>0</v>
      </c>
      <c r="M124" s="32">
        <v>260</v>
      </c>
      <c r="N124" s="31">
        <v>26</v>
      </c>
      <c r="O124" s="32">
        <v>6.6274509803921564</v>
      </c>
      <c r="Q124" s="10">
        <v>2651</v>
      </c>
      <c r="R124" s="10">
        <f t="shared" si="4"/>
        <v>2704020</v>
      </c>
      <c r="S124" s="10">
        <f t="shared" si="5"/>
        <v>689260</v>
      </c>
    </row>
    <row r="125" spans="1:19" x14ac:dyDescent="0.25">
      <c r="A125" s="29" t="s">
        <v>149</v>
      </c>
      <c r="B125" s="30" t="s">
        <v>17</v>
      </c>
      <c r="C125" s="31" t="s">
        <v>19</v>
      </c>
      <c r="D125" s="34">
        <v>10</v>
      </c>
      <c r="E125" s="31">
        <v>1431</v>
      </c>
      <c r="F125" s="31">
        <v>1033</v>
      </c>
      <c r="G125" s="31">
        <v>0</v>
      </c>
      <c r="H125" s="31">
        <v>0</v>
      </c>
      <c r="I125" s="31">
        <v>530</v>
      </c>
      <c r="J125" s="31">
        <v>0</v>
      </c>
      <c r="K125" s="31">
        <f t="shared" si="3"/>
        <v>530</v>
      </c>
      <c r="L125" s="31">
        <v>1934</v>
      </c>
      <c r="M125" s="32">
        <v>1465.3333333333301</v>
      </c>
      <c r="N125" s="31">
        <v>26</v>
      </c>
      <c r="O125" s="32">
        <v>71.884276729559588</v>
      </c>
      <c r="Q125" s="10">
        <v>4343</v>
      </c>
      <c r="R125" s="10">
        <f t="shared" si="4"/>
        <v>2301790</v>
      </c>
      <c r="S125" s="10">
        <f t="shared" si="5"/>
        <v>6363942.6666666521</v>
      </c>
    </row>
    <row r="126" spans="1:19" x14ac:dyDescent="0.25">
      <c r="A126" s="29" t="s">
        <v>150</v>
      </c>
      <c r="B126" s="30" t="s">
        <v>17</v>
      </c>
      <c r="C126" s="31" t="s">
        <v>19</v>
      </c>
      <c r="D126" s="34">
        <v>10</v>
      </c>
      <c r="E126" s="31">
        <v>2044</v>
      </c>
      <c r="F126" s="31">
        <v>1031</v>
      </c>
      <c r="G126" s="31">
        <v>0</v>
      </c>
      <c r="H126" s="31">
        <v>0</v>
      </c>
      <c r="I126" s="31">
        <v>1573</v>
      </c>
      <c r="J126" s="31">
        <v>0</v>
      </c>
      <c r="K126" s="31">
        <f t="shared" si="3"/>
        <v>1573</v>
      </c>
      <c r="L126" s="31">
        <v>1502</v>
      </c>
      <c r="M126" s="32">
        <v>1910.3333333333301</v>
      </c>
      <c r="N126" s="31">
        <v>26</v>
      </c>
      <c r="O126" s="32">
        <v>31.575757575757521</v>
      </c>
      <c r="Q126" s="10">
        <v>2970</v>
      </c>
      <c r="R126" s="10">
        <f t="shared" si="4"/>
        <v>4671810</v>
      </c>
      <c r="S126" s="10">
        <f t="shared" si="5"/>
        <v>5673689.9999999907</v>
      </c>
    </row>
    <row r="127" spans="1:19" x14ac:dyDescent="0.25">
      <c r="A127" s="29" t="s">
        <v>8</v>
      </c>
      <c r="B127" s="30" t="s">
        <v>17</v>
      </c>
      <c r="C127" s="31" t="s">
        <v>19</v>
      </c>
      <c r="D127" s="34">
        <v>10</v>
      </c>
      <c r="E127" s="31">
        <v>748</v>
      </c>
      <c r="F127" s="31">
        <v>2053</v>
      </c>
      <c r="G127" s="31">
        <v>0</v>
      </c>
      <c r="H127" s="31">
        <v>0</v>
      </c>
      <c r="I127" s="31">
        <v>1203</v>
      </c>
      <c r="J127" s="31">
        <v>0</v>
      </c>
      <c r="K127" s="31">
        <f t="shared" si="3"/>
        <v>1203</v>
      </c>
      <c r="L127" s="31">
        <v>1598</v>
      </c>
      <c r="M127" s="32">
        <v>1259.8</v>
      </c>
      <c r="N127" s="31">
        <v>26</v>
      </c>
      <c r="O127" s="32">
        <v>27.227597672485455</v>
      </c>
      <c r="Q127" s="10">
        <v>2970</v>
      </c>
      <c r="R127" s="10">
        <f t="shared" si="4"/>
        <v>3572910</v>
      </c>
      <c r="S127" s="10">
        <f t="shared" si="5"/>
        <v>3741606</v>
      </c>
    </row>
    <row r="128" spans="1:19" x14ac:dyDescent="0.25">
      <c r="A128" s="29" t="s">
        <v>152</v>
      </c>
      <c r="B128" s="30" t="s">
        <v>17</v>
      </c>
      <c r="C128" s="31" t="s">
        <v>19</v>
      </c>
      <c r="D128" s="34">
        <v>10</v>
      </c>
      <c r="E128" s="31">
        <v>705</v>
      </c>
      <c r="F128" s="31">
        <v>0</v>
      </c>
      <c r="G128" s="31">
        <v>0</v>
      </c>
      <c r="H128" s="31">
        <v>0</v>
      </c>
      <c r="I128" s="31">
        <v>50</v>
      </c>
      <c r="J128" s="31">
        <v>0</v>
      </c>
      <c r="K128" s="31">
        <f t="shared" si="3"/>
        <v>50</v>
      </c>
      <c r="L128" s="31">
        <v>655</v>
      </c>
      <c r="M128" s="32">
        <v>655</v>
      </c>
      <c r="N128" s="31">
        <v>26</v>
      </c>
      <c r="O128" s="32">
        <v>340.59999999999997</v>
      </c>
      <c r="Q128" s="10">
        <v>2607</v>
      </c>
      <c r="R128" s="10">
        <f t="shared" si="4"/>
        <v>130350</v>
      </c>
      <c r="S128" s="10">
        <f t="shared" si="5"/>
        <v>1707585</v>
      </c>
    </row>
    <row r="129" spans="1:19" x14ac:dyDescent="0.25">
      <c r="A129" s="29" t="s">
        <v>153</v>
      </c>
      <c r="B129" s="30" t="s">
        <v>17</v>
      </c>
      <c r="C129" s="31" t="s">
        <v>19</v>
      </c>
      <c r="D129" s="34">
        <v>10</v>
      </c>
      <c r="E129" s="31">
        <v>500</v>
      </c>
      <c r="F129" s="31">
        <v>3550</v>
      </c>
      <c r="G129" s="31">
        <v>0</v>
      </c>
      <c r="H129" s="31">
        <v>0</v>
      </c>
      <c r="I129" s="31">
        <v>3625</v>
      </c>
      <c r="J129" s="31">
        <v>0</v>
      </c>
      <c r="K129" s="31">
        <f t="shared" si="3"/>
        <v>3625</v>
      </c>
      <c r="L129" s="31">
        <v>425</v>
      </c>
      <c r="M129" s="32">
        <v>1203.125</v>
      </c>
      <c r="N129" s="31">
        <v>26</v>
      </c>
      <c r="O129" s="32">
        <v>8.6293103448275872</v>
      </c>
      <c r="Q129" s="10">
        <v>1928</v>
      </c>
      <c r="R129" s="10">
        <f t="shared" si="4"/>
        <v>6989000</v>
      </c>
      <c r="S129" s="10">
        <f t="shared" si="5"/>
        <v>2319625</v>
      </c>
    </row>
    <row r="130" spans="1:19" x14ac:dyDescent="0.25">
      <c r="A130" s="29" t="s">
        <v>154</v>
      </c>
      <c r="B130" s="30" t="s">
        <v>17</v>
      </c>
      <c r="C130" s="31" t="s">
        <v>19</v>
      </c>
      <c r="D130" s="34">
        <v>10</v>
      </c>
      <c r="E130" s="31">
        <v>9425</v>
      </c>
      <c r="F130" s="31">
        <v>0</v>
      </c>
      <c r="G130" s="31">
        <v>0</v>
      </c>
      <c r="H130" s="31">
        <v>0</v>
      </c>
      <c r="I130" s="31">
        <v>6300</v>
      </c>
      <c r="J130" s="31">
        <v>180</v>
      </c>
      <c r="K130" s="31">
        <f t="shared" si="3"/>
        <v>6480</v>
      </c>
      <c r="L130" s="31">
        <v>2945</v>
      </c>
      <c r="M130" s="32">
        <v>5586.6666666666697</v>
      </c>
      <c r="N130" s="31">
        <v>26</v>
      </c>
      <c r="O130" s="32">
        <v>22.415637860082317</v>
      </c>
      <c r="Q130" s="10">
        <v>2129</v>
      </c>
      <c r="R130" s="10">
        <f t="shared" si="4"/>
        <v>13795920</v>
      </c>
      <c r="S130" s="10">
        <f t="shared" si="5"/>
        <v>11894013.33333334</v>
      </c>
    </row>
    <row r="131" spans="1:19" x14ac:dyDescent="0.25">
      <c r="A131" s="29" t="s">
        <v>155</v>
      </c>
      <c r="B131" s="30" t="s">
        <v>17</v>
      </c>
      <c r="C131" s="31" t="s">
        <v>19</v>
      </c>
      <c r="D131" s="34">
        <v>10</v>
      </c>
      <c r="E131" s="31">
        <v>25957</v>
      </c>
      <c r="F131" s="31">
        <v>0</v>
      </c>
      <c r="G131" s="31">
        <v>0</v>
      </c>
      <c r="H131" s="31">
        <v>0</v>
      </c>
      <c r="I131" s="31">
        <v>6055</v>
      </c>
      <c r="J131" s="31">
        <v>0</v>
      </c>
      <c r="K131" s="31">
        <f t="shared" ref="K131:K153" si="6">I131+J131</f>
        <v>6055</v>
      </c>
      <c r="L131" s="31">
        <v>19902</v>
      </c>
      <c r="M131" s="32">
        <v>22152</v>
      </c>
      <c r="N131" s="31">
        <v>26</v>
      </c>
      <c r="O131" s="32">
        <v>95.120066061106527</v>
      </c>
      <c r="Q131" s="10">
        <v>2177</v>
      </c>
      <c r="R131" s="10">
        <f t="shared" ref="R131:R153" si="7">Q131*(I131+J131)</f>
        <v>13181735</v>
      </c>
      <c r="S131" s="10">
        <f t="shared" ref="S131:S153" si="8">Q131*M131</f>
        <v>48224904</v>
      </c>
    </row>
    <row r="132" spans="1:19" x14ac:dyDescent="0.25">
      <c r="A132" s="29" t="s">
        <v>217</v>
      </c>
      <c r="B132" s="30" t="s">
        <v>17</v>
      </c>
      <c r="C132" s="31" t="s">
        <v>19</v>
      </c>
      <c r="D132" s="34">
        <v>10</v>
      </c>
      <c r="E132" s="31">
        <v>0</v>
      </c>
      <c r="F132" s="31">
        <v>15857</v>
      </c>
      <c r="G132" s="31">
        <v>0</v>
      </c>
      <c r="H132" s="31">
        <v>0</v>
      </c>
      <c r="I132" s="31">
        <v>15857</v>
      </c>
      <c r="J132" s="31">
        <v>0</v>
      </c>
      <c r="K132" s="31">
        <f t="shared" si="6"/>
        <v>15857</v>
      </c>
      <c r="L132" s="31">
        <v>0</v>
      </c>
      <c r="M132" s="32">
        <v>5790.625</v>
      </c>
      <c r="N132" s="31">
        <v>26</v>
      </c>
      <c r="O132" s="32">
        <v>0</v>
      </c>
      <c r="Q132" s="10">
        <v>2177</v>
      </c>
      <c r="R132" s="10">
        <f t="shared" si="7"/>
        <v>34520689</v>
      </c>
      <c r="S132" s="10">
        <f t="shared" si="8"/>
        <v>12606190.625</v>
      </c>
    </row>
    <row r="133" spans="1:19" x14ac:dyDescent="0.25">
      <c r="A133" s="29" t="s">
        <v>218</v>
      </c>
      <c r="B133" s="30" t="s">
        <v>17</v>
      </c>
      <c r="C133" s="31" t="s">
        <v>19</v>
      </c>
      <c r="D133" s="34">
        <v>10</v>
      </c>
      <c r="E133" s="31">
        <v>0</v>
      </c>
      <c r="F133" s="31">
        <v>14875</v>
      </c>
      <c r="G133" s="31">
        <v>0</v>
      </c>
      <c r="H133" s="31">
        <v>0</v>
      </c>
      <c r="I133" s="31">
        <v>4300</v>
      </c>
      <c r="J133" s="31">
        <v>0</v>
      </c>
      <c r="K133" s="31">
        <f t="shared" si="6"/>
        <v>4300</v>
      </c>
      <c r="L133" s="31">
        <v>10575</v>
      </c>
      <c r="M133" s="32">
        <v>10989.285714285701</v>
      </c>
      <c r="N133" s="31">
        <v>26</v>
      </c>
      <c r="O133" s="32">
        <v>66.446843853820525</v>
      </c>
      <c r="Q133" s="10">
        <v>2177</v>
      </c>
      <c r="R133" s="10">
        <f t="shared" si="7"/>
        <v>9361100</v>
      </c>
      <c r="S133" s="10">
        <f t="shared" si="8"/>
        <v>23923674.99999997</v>
      </c>
    </row>
    <row r="134" spans="1:19" x14ac:dyDescent="0.25">
      <c r="A134" s="29" t="s">
        <v>156</v>
      </c>
      <c r="B134" s="30" t="s">
        <v>17</v>
      </c>
      <c r="C134" s="31" t="s">
        <v>19</v>
      </c>
      <c r="D134" s="34">
        <v>10</v>
      </c>
      <c r="E134" s="31">
        <v>3250</v>
      </c>
      <c r="F134" s="31">
        <v>13915</v>
      </c>
      <c r="G134" s="31">
        <v>0</v>
      </c>
      <c r="H134" s="31">
        <v>0</v>
      </c>
      <c r="I134" s="31">
        <v>17165</v>
      </c>
      <c r="J134" s="31">
        <v>0</v>
      </c>
      <c r="K134" s="31">
        <f t="shared" si="6"/>
        <v>17165</v>
      </c>
      <c r="L134" s="31">
        <v>0</v>
      </c>
      <c r="M134" s="32">
        <v>3828.125</v>
      </c>
      <c r="N134" s="31">
        <v>26</v>
      </c>
      <c r="O134" s="32">
        <v>5.7984998543547919</v>
      </c>
      <c r="Q134" s="10">
        <v>2177</v>
      </c>
      <c r="R134" s="10">
        <f t="shared" si="7"/>
        <v>37368205</v>
      </c>
      <c r="S134" s="10">
        <f t="shared" si="8"/>
        <v>8333828.125</v>
      </c>
    </row>
    <row r="135" spans="1:19" x14ac:dyDescent="0.25">
      <c r="A135" s="29" t="s">
        <v>157</v>
      </c>
      <c r="B135" s="30" t="s">
        <v>17</v>
      </c>
      <c r="C135" s="31" t="s">
        <v>19</v>
      </c>
      <c r="D135" s="34">
        <v>10</v>
      </c>
      <c r="E135" s="31">
        <v>7043</v>
      </c>
      <c r="F135" s="31">
        <v>0</v>
      </c>
      <c r="G135" s="31">
        <v>0</v>
      </c>
      <c r="H135" s="31">
        <v>0</v>
      </c>
      <c r="I135" s="31">
        <v>6983</v>
      </c>
      <c r="J135" s="31">
        <v>0</v>
      </c>
      <c r="K135" s="31">
        <f t="shared" si="6"/>
        <v>6983</v>
      </c>
      <c r="L135" s="31">
        <v>60</v>
      </c>
      <c r="M135" s="32">
        <v>735</v>
      </c>
      <c r="N135" s="31">
        <v>26</v>
      </c>
      <c r="O135" s="32">
        <v>2.7366461406272378</v>
      </c>
      <c r="Q135" s="10">
        <v>2177</v>
      </c>
      <c r="R135" s="10">
        <f t="shared" si="7"/>
        <v>15201991</v>
      </c>
      <c r="S135" s="10">
        <f t="shared" si="8"/>
        <v>1600095</v>
      </c>
    </row>
    <row r="136" spans="1:19" x14ac:dyDescent="0.25">
      <c r="A136" s="29" t="s">
        <v>158</v>
      </c>
      <c r="B136" s="30" t="s">
        <v>17</v>
      </c>
      <c r="C136" s="31" t="s">
        <v>19</v>
      </c>
      <c r="D136" s="34">
        <v>10</v>
      </c>
      <c r="E136" s="31">
        <v>7753</v>
      </c>
      <c r="F136" s="31">
        <v>20547</v>
      </c>
      <c r="G136" s="31">
        <v>0</v>
      </c>
      <c r="H136" s="31">
        <v>0</v>
      </c>
      <c r="I136" s="31">
        <v>0</v>
      </c>
      <c r="J136" s="31">
        <v>20332</v>
      </c>
      <c r="K136" s="31">
        <f t="shared" si="6"/>
        <v>20332</v>
      </c>
      <c r="L136" s="31">
        <v>7968</v>
      </c>
      <c r="M136" s="32">
        <v>7186.0769230769201</v>
      </c>
      <c r="N136" s="31">
        <v>26</v>
      </c>
      <c r="O136" s="32">
        <v>9.1893566791264956</v>
      </c>
      <c r="Q136" s="10">
        <v>1948</v>
      </c>
      <c r="R136" s="10">
        <f t="shared" si="7"/>
        <v>39606736</v>
      </c>
      <c r="S136" s="10">
        <f t="shared" si="8"/>
        <v>13998477.84615384</v>
      </c>
    </row>
    <row r="137" spans="1:19" x14ac:dyDescent="0.25">
      <c r="A137" s="29" t="s">
        <v>159</v>
      </c>
      <c r="B137" s="30" t="s">
        <v>17</v>
      </c>
      <c r="C137" s="31" t="s">
        <v>19</v>
      </c>
      <c r="D137" s="34">
        <v>10</v>
      </c>
      <c r="E137" s="31">
        <v>8243</v>
      </c>
      <c r="F137" s="31">
        <v>0</v>
      </c>
      <c r="G137" s="31">
        <v>0</v>
      </c>
      <c r="H137" s="31">
        <v>0</v>
      </c>
      <c r="I137" s="31">
        <v>0</v>
      </c>
      <c r="J137" s="31">
        <v>3518</v>
      </c>
      <c r="K137" s="31">
        <f t="shared" si="6"/>
        <v>3518</v>
      </c>
      <c r="L137" s="31">
        <v>4725</v>
      </c>
      <c r="M137" s="32">
        <v>5891.6666666666697</v>
      </c>
      <c r="N137" s="31">
        <v>26</v>
      </c>
      <c r="O137" s="32">
        <v>43.542732613227237</v>
      </c>
      <c r="Q137" s="10">
        <v>1989</v>
      </c>
      <c r="R137" s="10">
        <f t="shared" si="7"/>
        <v>6997302</v>
      </c>
      <c r="S137" s="10">
        <f t="shared" si="8"/>
        <v>11718525.000000006</v>
      </c>
    </row>
    <row r="138" spans="1:19" x14ac:dyDescent="0.25">
      <c r="A138" s="29" t="s">
        <v>160</v>
      </c>
      <c r="B138" s="30" t="s">
        <v>17</v>
      </c>
      <c r="C138" s="31" t="s">
        <v>19</v>
      </c>
      <c r="D138" s="34">
        <v>10</v>
      </c>
      <c r="E138" s="31">
        <v>7315</v>
      </c>
      <c r="F138" s="31">
        <v>0</v>
      </c>
      <c r="G138" s="31">
        <v>0</v>
      </c>
      <c r="H138" s="31">
        <v>0</v>
      </c>
      <c r="I138" s="31">
        <v>0</v>
      </c>
      <c r="J138" s="31">
        <v>0</v>
      </c>
      <c r="K138" s="31">
        <f t="shared" si="6"/>
        <v>0</v>
      </c>
      <c r="L138" s="31">
        <v>7315</v>
      </c>
      <c r="M138" s="32">
        <v>0</v>
      </c>
      <c r="N138" s="31">
        <v>26</v>
      </c>
      <c r="O138" s="32">
        <v>0</v>
      </c>
      <c r="Q138" s="10">
        <v>2181</v>
      </c>
      <c r="R138" s="10">
        <f t="shared" si="7"/>
        <v>0</v>
      </c>
      <c r="S138" s="10">
        <f t="shared" si="8"/>
        <v>0</v>
      </c>
    </row>
    <row r="139" spans="1:19" x14ac:dyDescent="0.25">
      <c r="A139" s="29" t="s">
        <v>173</v>
      </c>
      <c r="B139" s="30" t="s">
        <v>17</v>
      </c>
      <c r="C139" s="31" t="s">
        <v>19</v>
      </c>
      <c r="D139" s="34">
        <v>10</v>
      </c>
      <c r="E139" s="31">
        <v>6050</v>
      </c>
      <c r="F139" s="31">
        <v>0</v>
      </c>
      <c r="G139" s="31">
        <v>0</v>
      </c>
      <c r="H139" s="31">
        <v>0</v>
      </c>
      <c r="I139" s="31">
        <v>4090</v>
      </c>
      <c r="J139" s="31">
        <v>0</v>
      </c>
      <c r="K139" s="31">
        <f t="shared" si="6"/>
        <v>4090</v>
      </c>
      <c r="L139" s="31">
        <v>1960</v>
      </c>
      <c r="M139" s="32">
        <v>2260</v>
      </c>
      <c r="N139" s="31">
        <v>26</v>
      </c>
      <c r="O139" s="32">
        <v>14.366748166259168</v>
      </c>
      <c r="Q139" s="10">
        <v>2181</v>
      </c>
      <c r="R139" s="10">
        <f t="shared" si="7"/>
        <v>8920290</v>
      </c>
      <c r="S139" s="10">
        <f t="shared" si="8"/>
        <v>4929060</v>
      </c>
    </row>
    <row r="140" spans="1:19" x14ac:dyDescent="0.25">
      <c r="A140" s="29" t="s">
        <v>174</v>
      </c>
      <c r="B140" s="30" t="s">
        <v>17</v>
      </c>
      <c r="C140" s="31" t="s">
        <v>19</v>
      </c>
      <c r="D140" s="34">
        <v>10</v>
      </c>
      <c r="E140" s="31">
        <v>7366</v>
      </c>
      <c r="F140" s="31">
        <v>31900</v>
      </c>
      <c r="G140" s="31">
        <v>0</v>
      </c>
      <c r="H140" s="31">
        <v>0</v>
      </c>
      <c r="I140" s="31">
        <v>12625</v>
      </c>
      <c r="J140" s="31">
        <v>18841</v>
      </c>
      <c r="K140" s="31">
        <f t="shared" si="6"/>
        <v>31466</v>
      </c>
      <c r="L140" s="31">
        <v>7800</v>
      </c>
      <c r="M140" s="32">
        <v>4976.4615384615399</v>
      </c>
      <c r="N140" s="31">
        <v>26</v>
      </c>
      <c r="O140" s="32">
        <v>0</v>
      </c>
      <c r="Q140" s="10">
        <v>2181</v>
      </c>
      <c r="R140" s="10">
        <f t="shared" si="7"/>
        <v>68627346</v>
      </c>
      <c r="S140" s="10">
        <f t="shared" si="8"/>
        <v>10853662.615384618</v>
      </c>
    </row>
    <row r="141" spans="1:19" x14ac:dyDescent="0.25">
      <c r="A141" s="29" t="s">
        <v>219</v>
      </c>
      <c r="B141" s="30" t="s">
        <v>17</v>
      </c>
      <c r="C141" s="31" t="s">
        <v>19</v>
      </c>
      <c r="D141" s="34">
        <v>10</v>
      </c>
      <c r="E141" s="31">
        <v>600</v>
      </c>
      <c r="F141" s="31">
        <v>35700</v>
      </c>
      <c r="G141" s="31">
        <v>0</v>
      </c>
      <c r="H141" s="31">
        <v>0</v>
      </c>
      <c r="I141" s="31">
        <v>28950</v>
      </c>
      <c r="J141" s="31">
        <v>2500</v>
      </c>
      <c r="K141" s="31">
        <f t="shared" si="6"/>
        <v>31450</v>
      </c>
      <c r="L141" s="31">
        <v>4850</v>
      </c>
      <c r="M141" s="32">
        <v>9155.5555555555602</v>
      </c>
      <c r="N141" s="31">
        <v>26</v>
      </c>
      <c r="O141" s="32">
        <v>7.5689807454513369</v>
      </c>
      <c r="Q141" s="10">
        <v>2181</v>
      </c>
      <c r="R141" s="10">
        <f t="shared" si="7"/>
        <v>68592450</v>
      </c>
      <c r="S141" s="10">
        <f t="shared" si="8"/>
        <v>19968266.666666675</v>
      </c>
    </row>
    <row r="142" spans="1:19" x14ac:dyDescent="0.25">
      <c r="A142" s="29" t="s">
        <v>175</v>
      </c>
      <c r="B142" s="30" t="s">
        <v>16</v>
      </c>
      <c r="C142" s="31" t="s">
        <v>19</v>
      </c>
      <c r="D142" s="34">
        <v>10</v>
      </c>
      <c r="E142" s="31">
        <v>18125</v>
      </c>
      <c r="F142" s="31">
        <v>159450</v>
      </c>
      <c r="G142" s="31">
        <v>0</v>
      </c>
      <c r="H142" s="31">
        <v>0</v>
      </c>
      <c r="I142" s="31">
        <v>0</v>
      </c>
      <c r="J142" s="31">
        <v>162075</v>
      </c>
      <c r="K142" s="31">
        <f t="shared" si="6"/>
        <v>162075</v>
      </c>
      <c r="L142" s="31">
        <v>15500</v>
      </c>
      <c r="M142" s="32">
        <v>12459.615384615401</v>
      </c>
      <c r="N142" s="31">
        <v>26</v>
      </c>
      <c r="O142" s="32">
        <v>1.9987660033934933</v>
      </c>
      <c r="Q142" s="10">
        <v>2208</v>
      </c>
      <c r="R142" s="10">
        <f t="shared" si="7"/>
        <v>357861600</v>
      </c>
      <c r="S142" s="10">
        <f t="shared" si="8"/>
        <v>27510830.769230805</v>
      </c>
    </row>
    <row r="143" spans="1:19" x14ac:dyDescent="0.25">
      <c r="A143" s="29" t="s">
        <v>176</v>
      </c>
      <c r="B143" s="30" t="s">
        <v>16</v>
      </c>
      <c r="C143" s="31" t="s">
        <v>19</v>
      </c>
      <c r="D143" s="34">
        <v>10</v>
      </c>
      <c r="E143" s="31">
        <v>6401</v>
      </c>
      <c r="F143" s="31">
        <v>13843</v>
      </c>
      <c r="G143" s="31">
        <v>0</v>
      </c>
      <c r="H143" s="31">
        <v>0</v>
      </c>
      <c r="I143" s="31">
        <v>0</v>
      </c>
      <c r="J143" s="31">
        <v>17243</v>
      </c>
      <c r="K143" s="31">
        <f t="shared" si="6"/>
        <v>17243</v>
      </c>
      <c r="L143" s="31">
        <v>3001</v>
      </c>
      <c r="M143" s="32">
        <v>4115.3333333333303</v>
      </c>
      <c r="N143" s="31">
        <v>26</v>
      </c>
      <c r="O143" s="32">
        <v>6.2053393647663739</v>
      </c>
      <c r="Q143" s="10">
        <v>2245</v>
      </c>
      <c r="R143" s="10">
        <f t="shared" si="7"/>
        <v>38710535</v>
      </c>
      <c r="S143" s="10">
        <f t="shared" si="8"/>
        <v>9238923.3333333265</v>
      </c>
    </row>
    <row r="144" spans="1:19" x14ac:dyDescent="0.25">
      <c r="A144" s="29" t="s">
        <v>163</v>
      </c>
      <c r="B144" s="30" t="s">
        <v>17</v>
      </c>
      <c r="C144" s="31" t="s">
        <v>19</v>
      </c>
      <c r="D144" s="34">
        <v>10</v>
      </c>
      <c r="E144" s="31">
        <v>13308</v>
      </c>
      <c r="F144" s="31">
        <v>64950</v>
      </c>
      <c r="G144" s="31">
        <v>0</v>
      </c>
      <c r="H144" s="31">
        <v>0</v>
      </c>
      <c r="I144" s="31">
        <v>48150</v>
      </c>
      <c r="J144" s="31">
        <v>24025</v>
      </c>
      <c r="K144" s="31">
        <f t="shared" si="6"/>
        <v>72175</v>
      </c>
      <c r="L144" s="31">
        <v>6083</v>
      </c>
      <c r="M144" s="32">
        <v>17668.5769230769</v>
      </c>
      <c r="N144" s="31">
        <v>26</v>
      </c>
      <c r="O144" s="32">
        <v>6.3648493245583566</v>
      </c>
      <c r="Q144" s="10">
        <v>2355</v>
      </c>
      <c r="R144" s="10">
        <f t="shared" si="7"/>
        <v>169972125</v>
      </c>
      <c r="S144" s="10">
        <f t="shared" si="8"/>
        <v>41609498.6538461</v>
      </c>
    </row>
    <row r="145" spans="1:19" x14ac:dyDescent="0.25">
      <c r="A145" s="29" t="s">
        <v>177</v>
      </c>
      <c r="B145" s="30" t="s">
        <v>17</v>
      </c>
      <c r="C145" s="31" t="s">
        <v>19</v>
      </c>
      <c r="D145" s="34">
        <v>10</v>
      </c>
      <c r="E145" s="31">
        <v>3832</v>
      </c>
      <c r="F145" s="31">
        <v>3139</v>
      </c>
      <c r="G145" s="31">
        <v>0</v>
      </c>
      <c r="H145" s="31">
        <v>0</v>
      </c>
      <c r="I145" s="31">
        <v>0</v>
      </c>
      <c r="J145" s="31">
        <v>4414</v>
      </c>
      <c r="K145" s="31">
        <f t="shared" si="6"/>
        <v>4414</v>
      </c>
      <c r="L145" s="31">
        <v>2557</v>
      </c>
      <c r="M145" s="32">
        <v>5167.6000000000004</v>
      </c>
      <c r="N145" s="31">
        <v>26</v>
      </c>
      <c r="O145" s="32">
        <v>30.438966923425468</v>
      </c>
      <c r="Q145" s="10">
        <v>2021</v>
      </c>
      <c r="R145" s="10">
        <f t="shared" si="7"/>
        <v>8920694</v>
      </c>
      <c r="S145" s="10">
        <f t="shared" si="8"/>
        <v>10443719.600000001</v>
      </c>
    </row>
    <row r="146" spans="1:19" x14ac:dyDescent="0.25">
      <c r="A146" s="29" t="s">
        <v>178</v>
      </c>
      <c r="B146" s="30" t="s">
        <v>17</v>
      </c>
      <c r="C146" s="31" t="s">
        <v>19</v>
      </c>
      <c r="D146" s="34">
        <v>10</v>
      </c>
      <c r="E146" s="31">
        <v>7558</v>
      </c>
      <c r="F146" s="31">
        <v>5000</v>
      </c>
      <c r="G146" s="31">
        <v>0</v>
      </c>
      <c r="H146" s="31">
        <v>0</v>
      </c>
      <c r="I146" s="31">
        <v>0</v>
      </c>
      <c r="J146" s="31">
        <v>5250</v>
      </c>
      <c r="K146" s="31">
        <f t="shared" si="6"/>
        <v>5250</v>
      </c>
      <c r="L146" s="31">
        <v>7308</v>
      </c>
      <c r="M146" s="32">
        <v>9908</v>
      </c>
      <c r="N146" s="31">
        <v>26</v>
      </c>
      <c r="O146" s="32">
        <v>0</v>
      </c>
      <c r="Q146" s="10">
        <v>2021</v>
      </c>
      <c r="R146" s="10">
        <f t="shared" si="7"/>
        <v>10610250</v>
      </c>
      <c r="S146" s="10">
        <f t="shared" si="8"/>
        <v>20024068</v>
      </c>
    </row>
    <row r="147" spans="1:19" x14ac:dyDescent="0.25">
      <c r="A147" s="29" t="s">
        <v>179</v>
      </c>
      <c r="B147" s="30" t="s">
        <v>17</v>
      </c>
      <c r="C147" s="31" t="s">
        <v>19</v>
      </c>
      <c r="D147" s="34">
        <v>10</v>
      </c>
      <c r="E147" s="31">
        <v>13654</v>
      </c>
      <c r="F147" s="31">
        <v>0</v>
      </c>
      <c r="G147" s="31">
        <v>0</v>
      </c>
      <c r="H147" s="31">
        <v>0</v>
      </c>
      <c r="I147" s="31">
        <v>0</v>
      </c>
      <c r="J147" s="31">
        <v>7490</v>
      </c>
      <c r="K147" s="31">
        <f t="shared" si="6"/>
        <v>7490</v>
      </c>
      <c r="L147" s="31">
        <v>6164</v>
      </c>
      <c r="M147" s="32">
        <v>8839</v>
      </c>
      <c r="N147" s="31">
        <v>26</v>
      </c>
      <c r="O147" s="32">
        <v>30.682777036048062</v>
      </c>
      <c r="Q147" s="10">
        <v>2021</v>
      </c>
      <c r="R147" s="10">
        <f t="shared" si="7"/>
        <v>15137290</v>
      </c>
      <c r="S147" s="10">
        <f t="shared" si="8"/>
        <v>17863619</v>
      </c>
    </row>
    <row r="148" spans="1:19" x14ac:dyDescent="0.25">
      <c r="A148" s="29" t="s">
        <v>220</v>
      </c>
      <c r="B148" s="30" t="s">
        <v>17</v>
      </c>
      <c r="C148" s="31" t="s">
        <v>19</v>
      </c>
      <c r="D148" s="34">
        <v>10</v>
      </c>
      <c r="E148" s="31">
        <v>0</v>
      </c>
      <c r="F148" s="31">
        <v>18000</v>
      </c>
      <c r="G148" s="31">
        <v>0</v>
      </c>
      <c r="H148" s="31">
        <v>0</v>
      </c>
      <c r="I148" s="31">
        <v>15000</v>
      </c>
      <c r="J148" s="31">
        <v>0</v>
      </c>
      <c r="K148" s="31">
        <f t="shared" si="6"/>
        <v>15000</v>
      </c>
      <c r="L148" s="31">
        <v>3000</v>
      </c>
      <c r="M148" s="32">
        <v>2125</v>
      </c>
      <c r="N148" s="31">
        <v>26</v>
      </c>
      <c r="O148" s="32">
        <v>3.6833333333333331</v>
      </c>
      <c r="Q148" s="10">
        <v>2846</v>
      </c>
      <c r="R148" s="10">
        <f t="shared" si="7"/>
        <v>42690000</v>
      </c>
      <c r="S148" s="10">
        <f t="shared" si="8"/>
        <v>6047750</v>
      </c>
    </row>
    <row r="149" spans="1:19" x14ac:dyDescent="0.25">
      <c r="A149" s="29" t="s">
        <v>180</v>
      </c>
      <c r="B149" s="30" t="s">
        <v>17</v>
      </c>
      <c r="C149" s="31" t="s">
        <v>19</v>
      </c>
      <c r="D149" s="34">
        <v>10</v>
      </c>
      <c r="E149" s="31">
        <v>0</v>
      </c>
      <c r="F149" s="31">
        <v>18000</v>
      </c>
      <c r="G149" s="31">
        <v>0</v>
      </c>
      <c r="H149" s="31">
        <v>0</v>
      </c>
      <c r="I149" s="31">
        <v>15000</v>
      </c>
      <c r="J149" s="31">
        <v>0</v>
      </c>
      <c r="K149" s="31">
        <f t="shared" si="6"/>
        <v>15000</v>
      </c>
      <c r="L149" s="31">
        <v>3000</v>
      </c>
      <c r="M149" s="32">
        <v>3777.7777777777801</v>
      </c>
      <c r="N149" s="31">
        <v>26</v>
      </c>
      <c r="O149" s="32">
        <v>6.5481481481481518</v>
      </c>
      <c r="Q149" s="10">
        <v>2846</v>
      </c>
      <c r="R149" s="10">
        <f t="shared" si="7"/>
        <v>42690000</v>
      </c>
      <c r="S149" s="10">
        <f t="shared" si="8"/>
        <v>10751555.555555562</v>
      </c>
    </row>
    <row r="150" spans="1:19" x14ac:dyDescent="0.25">
      <c r="A150" s="29" t="s">
        <v>11</v>
      </c>
      <c r="B150" s="30" t="s">
        <v>17</v>
      </c>
      <c r="C150" s="31" t="s">
        <v>19</v>
      </c>
      <c r="D150" s="34">
        <v>10</v>
      </c>
      <c r="E150" s="31">
        <v>4077</v>
      </c>
      <c r="F150" s="31">
        <v>15190</v>
      </c>
      <c r="G150" s="31">
        <v>0</v>
      </c>
      <c r="H150" s="31">
        <v>0</v>
      </c>
      <c r="I150" s="31">
        <v>19242</v>
      </c>
      <c r="J150" s="31">
        <v>0</v>
      </c>
      <c r="K150" s="31">
        <f t="shared" si="6"/>
        <v>19242</v>
      </c>
      <c r="L150" s="31">
        <v>25</v>
      </c>
      <c r="M150" s="32">
        <v>2769.6</v>
      </c>
      <c r="N150" s="31">
        <v>26</v>
      </c>
      <c r="O150" s="32">
        <v>3.7423136888057371</v>
      </c>
      <c r="Q150" s="10">
        <v>7550</v>
      </c>
      <c r="R150" s="10">
        <f t="shared" si="7"/>
        <v>145277100</v>
      </c>
      <c r="S150" s="10">
        <f t="shared" si="8"/>
        <v>20910480</v>
      </c>
    </row>
    <row r="151" spans="1:19" x14ac:dyDescent="0.25">
      <c r="A151" s="29" t="s">
        <v>12</v>
      </c>
      <c r="B151" s="30" t="s">
        <v>17</v>
      </c>
      <c r="C151" s="31" t="s">
        <v>19</v>
      </c>
      <c r="D151" s="34">
        <v>10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f t="shared" si="6"/>
        <v>0</v>
      </c>
      <c r="L151" s="31">
        <v>0</v>
      </c>
      <c r="M151" s="32">
        <v>0</v>
      </c>
      <c r="N151" s="31">
        <v>0</v>
      </c>
      <c r="O151" s="31">
        <v>0</v>
      </c>
      <c r="Q151" s="10">
        <v>7550</v>
      </c>
      <c r="R151" s="10">
        <f t="shared" si="7"/>
        <v>0</v>
      </c>
      <c r="S151" s="10">
        <f t="shared" si="8"/>
        <v>0</v>
      </c>
    </row>
    <row r="152" spans="1:19" x14ac:dyDescent="0.25">
      <c r="A152" s="29" t="s">
        <v>9</v>
      </c>
      <c r="B152" s="30" t="s">
        <v>17</v>
      </c>
      <c r="C152" s="31" t="s">
        <v>19</v>
      </c>
      <c r="D152" s="34">
        <v>10</v>
      </c>
      <c r="E152" s="31">
        <v>22676</v>
      </c>
      <c r="F152" s="31">
        <v>0</v>
      </c>
      <c r="G152" s="31">
        <v>0</v>
      </c>
      <c r="H152" s="31">
        <v>0</v>
      </c>
      <c r="I152" s="31">
        <v>15626</v>
      </c>
      <c r="J152" s="31">
        <v>0</v>
      </c>
      <c r="K152" s="31">
        <f t="shared" si="6"/>
        <v>15626</v>
      </c>
      <c r="L152" s="31">
        <v>7050</v>
      </c>
      <c r="M152" s="32">
        <v>14148.800000000001</v>
      </c>
      <c r="N152" s="31">
        <v>26</v>
      </c>
      <c r="O152" s="32">
        <v>23.542096505823629</v>
      </c>
      <c r="Q152" s="10">
        <v>2846</v>
      </c>
      <c r="R152" s="10">
        <f t="shared" si="7"/>
        <v>44471596</v>
      </c>
      <c r="S152" s="10">
        <f t="shared" si="8"/>
        <v>40267484.800000004</v>
      </c>
    </row>
    <row r="153" spans="1:19" x14ac:dyDescent="0.25">
      <c r="A153" s="29" t="s">
        <v>13</v>
      </c>
      <c r="B153" s="30" t="s">
        <v>17</v>
      </c>
      <c r="C153" s="31" t="s">
        <v>19</v>
      </c>
      <c r="D153" s="34">
        <v>10</v>
      </c>
      <c r="E153" s="31">
        <v>0</v>
      </c>
      <c r="F153" s="31">
        <v>1000</v>
      </c>
      <c r="G153" s="31">
        <v>0</v>
      </c>
      <c r="H153" s="31">
        <v>0</v>
      </c>
      <c r="I153" s="31">
        <v>0</v>
      </c>
      <c r="J153" s="31">
        <v>0</v>
      </c>
      <c r="K153" s="31">
        <f t="shared" si="6"/>
        <v>0</v>
      </c>
      <c r="L153" s="31">
        <v>1000</v>
      </c>
      <c r="M153" s="32">
        <v>1000</v>
      </c>
      <c r="N153" s="31">
        <v>26</v>
      </c>
      <c r="O153" s="32">
        <v>0</v>
      </c>
      <c r="Q153" s="10">
        <v>994</v>
      </c>
      <c r="R153" s="10">
        <f t="shared" si="7"/>
        <v>0</v>
      </c>
      <c r="S153" s="10">
        <f t="shared" si="8"/>
        <v>994000</v>
      </c>
    </row>
    <row r="154" spans="1:19" ht="17.25" x14ac:dyDescent="0.4">
      <c r="R154" s="13">
        <f>SUM(R2:R153)</f>
        <v>12436946884</v>
      </c>
      <c r="S154" s="13">
        <f>SUM(S2:S153)</f>
        <v>2739964359.341495</v>
      </c>
    </row>
    <row r="156" spans="1:19" x14ac:dyDescent="0.25">
      <c r="Q156" s="11" t="s">
        <v>186</v>
      </c>
      <c r="R156" s="12">
        <v>5.1999999999999998E-3</v>
      </c>
    </row>
    <row r="157" spans="1:19" x14ac:dyDescent="0.25">
      <c r="Q157" s="11" t="s">
        <v>187</v>
      </c>
      <c r="R157" s="15">
        <f>(S154*R156)/R154</f>
        <v>1.145603885058433E-3</v>
      </c>
    </row>
    <row r="158" spans="1:19" x14ac:dyDescent="0.25">
      <c r="Q158" s="11" t="s">
        <v>188</v>
      </c>
      <c r="R158" s="15">
        <v>1.5100000000000001E-3</v>
      </c>
    </row>
    <row r="159" spans="1:19" x14ac:dyDescent="0.25">
      <c r="Q159" s="11" t="s">
        <v>202</v>
      </c>
      <c r="R159" s="19">
        <f>(S154/R154)*N152</f>
        <v>5.7280194252921657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BCF2-F64F-4707-92AC-70DB39D2837A}">
  <dimension ref="A1:E9"/>
  <sheetViews>
    <sheetView workbookViewId="0">
      <selection activeCell="H6" sqref="H6"/>
    </sheetView>
  </sheetViews>
  <sheetFormatPr defaultRowHeight="15" x14ac:dyDescent="0.25"/>
  <cols>
    <col min="1" max="1" width="13.42578125" style="22" customWidth="1"/>
    <col min="2" max="2" width="17.7109375" style="22" customWidth="1"/>
    <col min="3" max="3" width="9.140625" style="22"/>
    <col min="4" max="4" width="12.28515625" style="22" customWidth="1"/>
    <col min="5" max="5" width="11.85546875" style="22" customWidth="1"/>
    <col min="6" max="16384" width="9.140625" style="22"/>
  </cols>
  <sheetData>
    <row r="1" spans="1:5" s="21" customFormat="1" ht="30.75" thickBot="1" x14ac:dyDescent="0.3">
      <c r="A1" s="9" t="s">
        <v>204</v>
      </c>
      <c r="B1" s="9" t="s">
        <v>205</v>
      </c>
      <c r="C1" s="9" t="s">
        <v>191</v>
      </c>
      <c r="D1" s="9" t="s">
        <v>207</v>
      </c>
      <c r="E1" s="9" t="s">
        <v>208</v>
      </c>
    </row>
    <row r="2" spans="1:5" x14ac:dyDescent="0.25">
      <c r="A2" s="22" t="str">
        <f>CHOOSE(ROW(A1), "Januari", "Februari", "Maret", "April", "Mei", "Juni", "Juli", "Agustus", "September", "Oktober", "November", "Desember")</f>
        <v>Januari</v>
      </c>
      <c r="B2" s="22">
        <f t="shared" ref="B2:B3" si="0">1454*11</f>
        <v>15994</v>
      </c>
      <c r="C2" s="22" t="s">
        <v>19</v>
      </c>
      <c r="D2" s="25">
        <v>1631152.9294163601</v>
      </c>
      <c r="E2" s="24">
        <f>B2/D2</f>
        <v>9.8053344426281257E-3</v>
      </c>
    </row>
    <row r="3" spans="1:5" x14ac:dyDescent="0.25">
      <c r="A3" s="22" t="str">
        <f>CHOOSE(ROW(A2), "Januari", "Februari", "Maret", "April", "Mei", "Juni", "Juli", "Agustus", "September", "Oktober", "November", "Desember")</f>
        <v>Februari</v>
      </c>
      <c r="B3" s="22">
        <f t="shared" si="0"/>
        <v>15994</v>
      </c>
      <c r="C3" s="22" t="s">
        <v>19</v>
      </c>
      <c r="D3" s="25">
        <v>1457537.3748939792</v>
      </c>
      <c r="E3" s="24">
        <f t="shared" ref="E3:E7" si="1">B3/D3</f>
        <v>1.0973303515570843E-2</v>
      </c>
    </row>
    <row r="4" spans="1:5" x14ac:dyDescent="0.25">
      <c r="A4" s="22" t="str">
        <f t="shared" ref="A4:A8" si="2">CHOOSE(ROW(A3), "Januari", "Februari", "Maret", "April", "Mei", "Juni", "Juli", "Agustus", "September", "Oktober", "November", "Desember")</f>
        <v>Maret</v>
      </c>
      <c r="B4" s="22">
        <f>1454*11</f>
        <v>15994</v>
      </c>
      <c r="C4" s="22" t="s">
        <v>19</v>
      </c>
      <c r="D4" s="25">
        <v>1450306.3560255961</v>
      </c>
      <c r="E4" s="24">
        <f t="shared" si="1"/>
        <v>1.1028014828418586E-2</v>
      </c>
    </row>
    <row r="5" spans="1:5" x14ac:dyDescent="0.25">
      <c r="A5" s="22" t="str">
        <f t="shared" si="2"/>
        <v>April</v>
      </c>
      <c r="B5" s="22">
        <f>961*11</f>
        <v>10571</v>
      </c>
      <c r="C5" s="22" t="s">
        <v>19</v>
      </c>
      <c r="D5" s="25">
        <v>1396181.4520379901</v>
      </c>
      <c r="E5" s="24">
        <f t="shared" si="1"/>
        <v>7.5713654443479621E-3</v>
      </c>
    </row>
    <row r="6" spans="1:5" x14ac:dyDescent="0.25">
      <c r="A6" s="22" t="str">
        <f t="shared" si="2"/>
        <v>Mei</v>
      </c>
      <c r="B6" s="22">
        <f>1470*11</f>
        <v>16170</v>
      </c>
      <c r="C6" s="22" t="s">
        <v>19</v>
      </c>
      <c r="D6" s="25">
        <v>1436159.9864347195</v>
      </c>
      <c r="E6" s="24">
        <f t="shared" si="1"/>
        <v>1.1259191282819525E-2</v>
      </c>
    </row>
    <row r="7" spans="1:5" x14ac:dyDescent="0.25">
      <c r="A7" s="22" t="str">
        <f t="shared" si="2"/>
        <v>Juni</v>
      </c>
      <c r="B7" s="22">
        <f>1148*11</f>
        <v>12628</v>
      </c>
      <c r="C7" s="22" t="s">
        <v>19</v>
      </c>
      <c r="D7" s="25">
        <v>1600806.0239046516</v>
      </c>
      <c r="E7" s="24">
        <f t="shared" si="1"/>
        <v>7.888526037150994E-3</v>
      </c>
    </row>
    <row r="8" spans="1:5" x14ac:dyDescent="0.25">
      <c r="A8" s="22" t="str">
        <f t="shared" si="2"/>
        <v>Juli</v>
      </c>
      <c r="B8" s="22">
        <f>1530*11</f>
        <v>16830</v>
      </c>
      <c r="C8" s="22" t="s">
        <v>19</v>
      </c>
      <c r="D8" s="25">
        <v>1225149.1480115757</v>
      </c>
      <c r="E8" s="24">
        <f>B8/D8</f>
        <v>1.3737102970128322E-2</v>
      </c>
    </row>
    <row r="9" spans="1:5" ht="17.25" x14ac:dyDescent="0.4">
      <c r="A9" s="23" t="s">
        <v>206</v>
      </c>
      <c r="B9" s="26">
        <f>AVERAGE(B2:B8)</f>
        <v>14883</v>
      </c>
      <c r="C9" s="23" t="s">
        <v>19</v>
      </c>
      <c r="D9" s="27">
        <f>AVERAGE(D2:D8)</f>
        <v>1456756.1815321248</v>
      </c>
      <c r="E9" s="28">
        <f>B9/D9</f>
        <v>1.0216534646413509E-2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</vt:lpstr>
      <vt:lpstr>Feb</vt:lpstr>
      <vt:lpstr>Mar</vt:lpstr>
      <vt:lpstr>Apr</vt:lpstr>
      <vt:lpstr>Mei</vt:lpstr>
      <vt:lpstr>Juni</vt:lpstr>
      <vt:lpstr>Juli</vt:lpstr>
      <vt:lpstr>Aug</vt:lpstr>
      <vt:lpstr>Reject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MT07</dc:creator>
  <cp:lastModifiedBy>MT07</cp:lastModifiedBy>
  <dcterms:created xsi:type="dcterms:W3CDTF">2024-09-05T09:06:14Z</dcterms:created>
  <dcterms:modified xsi:type="dcterms:W3CDTF">2024-09-24T09:27:42Z</dcterms:modified>
</cp:coreProperties>
</file>