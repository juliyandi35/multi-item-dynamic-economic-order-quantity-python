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(plastik)" sheetId="1" r:id="rId4"/>
    <sheet state="visible" name="Feb (plastik)" sheetId="2" r:id="rId5"/>
    <sheet state="visible" name="Mar (plastik)" sheetId="3" r:id="rId6"/>
    <sheet state="visible" name="Apr (plastik)" sheetId="4" r:id="rId7"/>
    <sheet state="visible" name="Mei (plastik)" sheetId="5" r:id="rId8"/>
    <sheet state="visible" name="Juni (plastik)" sheetId="6" r:id="rId9"/>
    <sheet state="visible" name="Juli (plastik)" sheetId="7" r:id="rId10"/>
    <sheet state="visible" name="Aug (plastik)" sheetId="8" r:id="rId11"/>
  </sheets>
  <definedNames>
    <definedName hidden="1" localSheetId="7" name="_xlnm._FilterDatabase">'Aug (plastik)'!$U$3:$X$95</definedName>
  </definedNames>
  <calcPr/>
  <extLst>
    <ext uri="GoogleSheetsCustomDataVersion2">
      <go:sheetsCustomData xmlns:go="http://customooxmlschemas.google.com/" r:id="rId12" roundtripDataChecksum="SGJB+K5CMPvIEPjJdTttX2e/+0KVzLXx6gfYkE7EL1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">
      <text>
        <t xml:space="preserve">======
ID#AAABWS4jCuE
MT07    (2024-09-24 14:19:13)
Sisa PO (Purchase Order)
yg belum dikirim supplier</t>
      </text>
    </comment>
    <comment authorId="0" ref="B3">
      <text>
        <t xml:space="preserve">======
ID#AAABWS4jCuA
MT07    (2024-09-24 14:19:13)
Unit of Measurement</t>
      </text>
    </comment>
    <comment authorId="0" ref="N3">
      <text>
        <t xml:space="preserve">======
ID#AAABWS4jCt8
MT07    (2024-09-24 14:19:13)
Days of Inventory
lama waktu barang disimpan digudang</t>
      </text>
    </comment>
  </commentList>
  <extLst>
    <ext uri="GoogleSheetsCustomDataVersion2">
      <go:sheetsCustomData xmlns:go="http://customooxmlschemas.google.com/" r:id="rId1" roundtripDataSignature="AMtx7mgzJwXzYsrFeO3SoT9g4GSqXZpQMg=="/>
    </ext>
  </extLst>
</comments>
</file>

<file path=xl/sharedStrings.xml><?xml version="1.0" encoding="utf-8"?>
<sst xmlns="http://schemas.openxmlformats.org/spreadsheetml/2006/main" count="1631" uniqueCount="181">
  <si>
    <t xml:space="preserve">Bunga Bank BI = </t>
  </si>
  <si>
    <t>Ratio CC =</t>
  </si>
  <si>
    <t xml:space="preserve">Periode Bulan : </t>
  </si>
  <si>
    <t>'JANUARI 2024</t>
  </si>
  <si>
    <t>PLASTIK</t>
  </si>
  <si>
    <t>ITEM DESCRIPTION</t>
  </si>
  <si>
    <t>UOM</t>
  </si>
  <si>
    <t>LEAD TIME (HARI)</t>
  </si>
  <si>
    <t>SALDO AWAL</t>
  </si>
  <si>
    <t>MASUK 1</t>
  </si>
  <si>
    <t>MASUK 2</t>
  </si>
  <si>
    <t>KOREKSI</t>
  </si>
  <si>
    <t>KELUAR 1</t>
  </si>
  <si>
    <t>KELUAR 2</t>
  </si>
  <si>
    <t>TOTAL KELUAR</t>
  </si>
  <si>
    <t>SALDO AKHIR</t>
  </si>
  <si>
    <t>SALDO
RATA-RATA</t>
  </si>
  <si>
    <t>HARI KERJA</t>
  </si>
  <si>
    <t>DOI
(HARI)</t>
  </si>
  <si>
    <t>AVAL
(HARI)</t>
  </si>
  <si>
    <t>SISA PO 
BERJALAN</t>
  </si>
  <si>
    <t>SISA PO
&lt; 28 HR</t>
  </si>
  <si>
    <t>SISA PO
&gt; 28 HR</t>
  </si>
  <si>
    <t>HARGA</t>
  </si>
  <si>
    <t>KELUAR (in value)</t>
  </si>
  <si>
    <t>RATA-RATA (in value)</t>
  </si>
  <si>
    <t>Plastik A</t>
  </si>
  <si>
    <t>ROL</t>
  </si>
  <si>
    <t>Plastik B</t>
  </si>
  <si>
    <t>Plastik C</t>
  </si>
  <si>
    <t>Plastik D</t>
  </si>
  <si>
    <t>Plastik E</t>
  </si>
  <si>
    <t>Plastik F</t>
  </si>
  <si>
    <t xml:space="preserve"> </t>
  </si>
  <si>
    <t>Plastik G</t>
  </si>
  <si>
    <t>Plastik H</t>
  </si>
  <si>
    <t>Plastik I</t>
  </si>
  <si>
    <t>Plastik J</t>
  </si>
  <si>
    <t>Plastik K</t>
  </si>
  <si>
    <t>Plastik L</t>
  </si>
  <si>
    <t>Plastik M</t>
  </si>
  <si>
    <t>Plastik N</t>
  </si>
  <si>
    <t>Plastik O</t>
  </si>
  <si>
    <t>Plastik P</t>
  </si>
  <si>
    <t>Plastik Q</t>
  </si>
  <si>
    <t>Plastik R</t>
  </si>
  <si>
    <t>Plastik S</t>
  </si>
  <si>
    <t>Plastik T</t>
  </si>
  <si>
    <t>Plastik U</t>
  </si>
  <si>
    <t>Plastik V</t>
  </si>
  <si>
    <t>Plastik W</t>
  </si>
  <si>
    <t>Plastik X</t>
  </si>
  <si>
    <t>Plastik Y</t>
  </si>
  <si>
    <t>Plastik Z</t>
  </si>
  <si>
    <t>Plastik AA</t>
  </si>
  <si>
    <t>Plastik AB</t>
  </si>
  <si>
    <t>Plastik AC</t>
  </si>
  <si>
    <t>Plastik AD</t>
  </si>
  <si>
    <t>Plastik AE</t>
  </si>
  <si>
    <t>Plastik AF</t>
  </si>
  <si>
    <t>Plastik AG</t>
  </si>
  <si>
    <t>Plastik AH</t>
  </si>
  <si>
    <t>Plastik AI</t>
  </si>
  <si>
    <t>Plastik AJ</t>
  </si>
  <si>
    <t>Plastik AK</t>
  </si>
  <si>
    <t>Plastik AL</t>
  </si>
  <si>
    <t>Plastik AM</t>
  </si>
  <si>
    <t>Plastik AN</t>
  </si>
  <si>
    <t>Plastik AO</t>
  </si>
  <si>
    <t>Plastik AP</t>
  </si>
  <si>
    <t>Plastik AQ</t>
  </si>
  <si>
    <t>Plastik AR</t>
  </si>
  <si>
    <t>Plastik AS</t>
  </si>
  <si>
    <t>Plastik AT</t>
  </si>
  <si>
    <t>Plastik AU</t>
  </si>
  <si>
    <t>Plastik AV</t>
  </si>
  <si>
    <t>Plastik AW</t>
  </si>
  <si>
    <t>Plastik AX</t>
  </si>
  <si>
    <t>Plastik AY</t>
  </si>
  <si>
    <t>Plastik AZ</t>
  </si>
  <si>
    <t>Plastik BA</t>
  </si>
  <si>
    <t>Plastik BB</t>
  </si>
  <si>
    <t>Plastik BC</t>
  </si>
  <si>
    <t>Plastik BD</t>
  </si>
  <si>
    <t>Plastik BE</t>
  </si>
  <si>
    <t>Plastik BF</t>
  </si>
  <si>
    <t>Plastik BG</t>
  </si>
  <si>
    <t>Plastik BH</t>
  </si>
  <si>
    <t>Plastik BI</t>
  </si>
  <si>
    <t>Plastik BJ</t>
  </si>
  <si>
    <t>Plastik BK</t>
  </si>
  <si>
    <t>Plastik BL</t>
  </si>
  <si>
    <t>Plastik BM</t>
  </si>
  <si>
    <t>Plastik BN</t>
  </si>
  <si>
    <t>Plastik BO</t>
  </si>
  <si>
    <t>Plastik BP</t>
  </si>
  <si>
    <t>Plastik BQ</t>
  </si>
  <si>
    <t>DOI JAN 2024</t>
  </si>
  <si>
    <t>GRAND TOTAL</t>
  </si>
  <si>
    <t>Target DOI 2024</t>
  </si>
  <si>
    <t>hari</t>
  </si>
  <si>
    <t>'Februari 2024</t>
  </si>
  <si>
    <t>KELUAR</t>
  </si>
  <si>
    <t>RATA-RATA</t>
  </si>
  <si>
    <t>Plastik BR</t>
  </si>
  <si>
    <t>Plastik BS</t>
  </si>
  <si>
    <t>Plastik BT</t>
  </si>
  <si>
    <t>Plastik BU</t>
  </si>
  <si>
    <t>Plastik BV</t>
  </si>
  <si>
    <t>Plastik BW</t>
  </si>
  <si>
    <t>Plastik BX</t>
  </si>
  <si>
    <t>Plastik BY</t>
  </si>
  <si>
    <t>Plastik BZ</t>
  </si>
  <si>
    <t>Plastik CA</t>
  </si>
  <si>
    <t>Plastik CB</t>
  </si>
  <si>
    <t>Plastik CC</t>
  </si>
  <si>
    <t>Plastik CD</t>
  </si>
  <si>
    <t>Plastik CE</t>
  </si>
  <si>
    <t>DOI FEB 2024</t>
  </si>
  <si>
    <t>'Maret 2024</t>
  </si>
  <si>
    <t>Plastik CF</t>
  </si>
  <si>
    <t>Plastik CG</t>
  </si>
  <si>
    <t>Plastik CH</t>
  </si>
  <si>
    <t>Plastik CI</t>
  </si>
  <si>
    <t>Plastik CJ</t>
  </si>
  <si>
    <t>Plastik CK</t>
  </si>
  <si>
    <t>Plastik CL</t>
  </si>
  <si>
    <t>Plastik CM</t>
  </si>
  <si>
    <t>Plastik CN</t>
  </si>
  <si>
    <t>Plastik CO</t>
  </si>
  <si>
    <t>Plastik CP</t>
  </si>
  <si>
    <t>Plastik CQ</t>
  </si>
  <si>
    <t>Plastik CR</t>
  </si>
  <si>
    <t>Plastik CS</t>
  </si>
  <si>
    <t>Plastik CT</t>
  </si>
  <si>
    <t>Plastik CU</t>
  </si>
  <si>
    <t>Plastik CV</t>
  </si>
  <si>
    <t>Plastik CW</t>
  </si>
  <si>
    <t>Plastik CX</t>
  </si>
  <si>
    <t>Plastik CY</t>
  </si>
  <si>
    <t>Plastik CZ</t>
  </si>
  <si>
    <t>Plastik DA</t>
  </si>
  <si>
    <t>Plastik DB</t>
  </si>
  <si>
    <t>DOI MAR 2024</t>
  </si>
  <si>
    <t>'April 2024</t>
  </si>
  <si>
    <t>Plastik DC</t>
  </si>
  <si>
    <t>Plastik DS</t>
  </si>
  <si>
    <t>Plastik DD</t>
  </si>
  <si>
    <t>Plastik DE</t>
  </si>
  <si>
    <t>Plastik DF</t>
  </si>
  <si>
    <t>Plastik DG</t>
  </si>
  <si>
    <t>Plastik DH</t>
  </si>
  <si>
    <t>DOI APR 2024</t>
  </si>
  <si>
    <t>'Mei 2024</t>
  </si>
  <si>
    <t>Plastik DI</t>
  </si>
  <si>
    <t>Plastik DJ</t>
  </si>
  <si>
    <t>Plastik DK</t>
  </si>
  <si>
    <t>Plastik DT</t>
  </si>
  <si>
    <t>Plastik DL</t>
  </si>
  <si>
    <t>Plastik DM</t>
  </si>
  <si>
    <t>Plastik DU</t>
  </si>
  <si>
    <t>Plastik DV</t>
  </si>
  <si>
    <t>Plastik DW</t>
  </si>
  <si>
    <t>Plastik DN</t>
  </si>
  <si>
    <t>DOI MEI 2024</t>
  </si>
  <si>
    <t>'Juni 2024</t>
  </si>
  <si>
    <t>Plastik DX</t>
  </si>
  <si>
    <t>Plastik DY</t>
  </si>
  <si>
    <t>DOI JUNI 2024</t>
  </si>
  <si>
    <t>'Juli 2024</t>
  </si>
  <si>
    <t>Plastik DZ</t>
  </si>
  <si>
    <t>Plastik EA</t>
  </si>
  <si>
    <t>Plastik EB</t>
  </si>
  <si>
    <t>Plastik EC</t>
  </si>
  <si>
    <t>Plastik ED</t>
  </si>
  <si>
    <t>Plastik EE</t>
  </si>
  <si>
    <t>DOI JULI 2024</t>
  </si>
  <si>
    <t>'Aug 2024</t>
  </si>
  <si>
    <t>Plastik EF</t>
  </si>
  <si>
    <t>Plastik EG</t>
  </si>
  <si>
    <t>DOI AUG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</si>
</sst>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_);_(@_)"/>
    <numFmt numFmtId="165" formatCode="0.000%"/>
    <numFmt numFmtId="166" formatCode="#,###\ "/>
    <numFmt numFmtId="167" formatCode="_(* #,##0.00_);_(* \(#,##0.00\);_(* &quot;-&quot;_);_(@_)"/>
    <numFmt numFmtId="168" formatCode="#,##0.00\ "/>
    <numFmt numFmtId="169" formatCode="_-* #,##0_-;\-* #,##0_-;_-* &quot;-&quot;??_-;_-@"/>
    <numFmt numFmtId="170" formatCode="_-&quot;Rp&quot;* #,##0_-;\-&quot;Rp&quot;* #,##0_-;_-&quot;Rp&quot;* &quot;-&quot;??_-;_-@"/>
  </numFmts>
  <fonts count="7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rgb="FFC00000"/>
      <name val="Calibri"/>
    </font>
    <font>
      <b/>
      <sz val="11.0"/>
      <color rgb="FFC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quotePrefix="1" borderId="0" fillId="0" fontId="3" numFmtId="49" xfId="0" applyAlignment="1" applyFont="1" applyNumberFormat="1">
      <alignment horizontal="center" vertical="center"/>
    </xf>
    <xf borderId="0" fillId="0" fontId="3" numFmtId="166" xfId="0" applyAlignment="1" applyFont="1" applyNumberFormat="1">
      <alignment vertical="center"/>
    </xf>
    <xf borderId="1" fillId="2" fontId="4" numFmtId="166" xfId="0" applyAlignment="1" applyBorder="1" applyFill="1" applyFont="1" applyNumberFormat="1">
      <alignment horizontal="center" vertical="center"/>
    </xf>
    <xf borderId="0" fillId="0" fontId="3" numFmtId="167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5" numFmtId="168" xfId="0" applyAlignment="1" applyFont="1" applyNumberFormat="1">
      <alignment vertical="center"/>
    </xf>
    <xf borderId="2" fillId="3" fontId="4" numFmtId="0" xfId="0" applyAlignment="1" applyBorder="1" applyFill="1" applyFont="1">
      <alignment horizontal="center" vertical="center"/>
    </xf>
    <xf borderId="2" fillId="3" fontId="4" numFmtId="166" xfId="0" applyAlignment="1" applyBorder="1" applyFont="1" applyNumberFormat="1">
      <alignment horizontal="center" shrinkToFit="0" vertical="center" wrapText="1"/>
    </xf>
    <xf borderId="2" fillId="3" fontId="4" numFmtId="166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2" fillId="3" fontId="6" numFmtId="168" xfId="0" applyAlignment="1" applyBorder="1" applyFont="1" applyNumberFormat="1">
      <alignment horizontal="center" shrinkToFit="0" vertical="center" wrapText="1"/>
    </xf>
    <xf borderId="0" fillId="0" fontId="3" numFmtId="169" xfId="0" applyAlignment="1" applyFont="1" applyNumberFormat="1">
      <alignment horizontal="center" shrinkToFit="0" vertical="center" wrapText="1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9" xfId="0" applyAlignment="1" applyFont="1" applyNumberFormat="1">
      <alignment horizontal="right" shrinkToFit="0" vertical="center" wrapText="1"/>
    </xf>
    <xf borderId="0" fillId="0" fontId="1" numFmtId="170" xfId="0" applyFont="1" applyNumberFormat="1"/>
    <xf borderId="3" fillId="3" fontId="2" numFmtId="0" xfId="0" applyAlignment="1" applyBorder="1" applyFont="1">
      <alignment horizontal="left" vertical="center"/>
    </xf>
    <xf borderId="3" fillId="3" fontId="2" numFmtId="0" xfId="0" applyAlignment="1" applyBorder="1" applyFont="1">
      <alignment vertical="center"/>
    </xf>
    <xf borderId="3" fillId="3" fontId="2" numFmtId="4" xfId="0" applyAlignment="1" applyBorder="1" applyFont="1" applyNumberFormat="1">
      <alignment vertical="center"/>
    </xf>
    <xf borderId="3" fillId="3" fontId="2" numFmtId="164" xfId="0" applyAlignment="1" applyBorder="1" applyFont="1" applyNumberFormat="1">
      <alignment vertical="center"/>
    </xf>
    <xf borderId="3" fillId="3" fontId="2" numFmtId="169" xfId="0" applyAlignment="1" applyBorder="1" applyFont="1" applyNumberFormat="1">
      <alignment vertical="center"/>
    </xf>
    <xf borderId="3" fillId="3" fontId="4" numFmtId="169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3" fillId="3" fontId="2" numFmtId="170" xfId="0" applyAlignment="1" applyBorder="1" applyFont="1" applyNumberFormat="1">
      <alignment vertical="center"/>
    </xf>
    <xf borderId="0" fillId="0" fontId="1" numFmtId="4" xfId="0" applyFont="1" applyNumberFormat="1"/>
    <xf borderId="0" fillId="0" fontId="3" numFmtId="168" xfId="0" applyAlignment="1" applyFont="1" applyNumberFormat="1">
      <alignment vertical="center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2" numFmtId="165" xfId="0" applyFont="1" applyNumberFormat="1"/>
    <xf borderId="2" fillId="3" fontId="4" numFmtId="164" xfId="0" applyAlignment="1" applyBorder="1" applyFont="1" applyNumberFormat="1">
      <alignment horizontal="center" shrinkToFit="0" vertical="center" wrapText="1"/>
    </xf>
    <xf borderId="0" fillId="0" fontId="3" numFmtId="168" xfId="0" applyAlignment="1" applyFont="1" applyNumberFormat="1">
      <alignment horizontal="right" shrinkToFit="0" vertical="center" wrapText="1"/>
    </xf>
    <xf borderId="0" fillId="0" fontId="1" numFmtId="169" xfId="0" applyFont="1" applyNumberFormat="1"/>
    <xf borderId="3" fillId="3" fontId="4" numFmtId="168" xfId="0" applyAlignment="1" applyBorder="1" applyFont="1" applyNumberFormat="1">
      <alignment vertical="center"/>
    </xf>
    <xf borderId="3" fillId="3" fontId="2" numFmtId="3" xfId="0" applyAlignment="1" applyBorder="1" applyFont="1" applyNumberFormat="1">
      <alignment vertical="center"/>
    </xf>
    <xf borderId="0" fillId="0" fontId="3" numFmtId="0" xfId="0" applyAlignment="1" applyFont="1">
      <alignment horizontal="center"/>
    </xf>
    <xf borderId="1" fillId="4" fontId="3" numFmtId="0" xfId="0" applyAlignment="1" applyBorder="1" applyFill="1" applyFont="1">
      <alignment horizontal="center" vertical="center"/>
    </xf>
    <xf borderId="0" fillId="0" fontId="1" numFmtId="10" xfId="0" applyFont="1" applyNumberFormat="1"/>
    <xf borderId="2" fillId="3" fontId="4" numFmtId="168" xfId="0" applyAlignment="1" applyBorder="1" applyFont="1" applyNumberFormat="1">
      <alignment horizontal="center" shrinkToFit="0" vertical="center" wrapText="1"/>
    </xf>
    <xf borderId="0" fillId="0" fontId="3" numFmtId="16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7.86"/>
    <col customWidth="1" min="2" max="2" width="15.0"/>
    <col customWidth="1" min="3" max="3" width="11.14"/>
    <col customWidth="1" min="4" max="4" width="17.29"/>
    <col customWidth="1" min="5" max="6" width="11.86"/>
    <col customWidth="1" min="7" max="7" width="9.57"/>
    <col customWidth="1" min="8" max="8" width="13.29"/>
    <col customWidth="1" min="9" max="10" width="10.29"/>
    <col customWidth="1" min="11" max="11" width="12.71"/>
    <col customWidth="1" min="12" max="12" width="11.57"/>
    <col customWidth="1" min="13" max="13" width="11.43"/>
    <col customWidth="1" min="14" max="14" width="9.29"/>
    <col customWidth="1" min="15" max="15" width="8.86"/>
    <col customWidth="1" min="16" max="17" width="13.29"/>
    <col customWidth="1" min="18" max="18" width="7.86"/>
    <col customWidth="1" min="19" max="19" width="16.43"/>
    <col customWidth="1" min="20" max="20" width="13.0"/>
    <col customWidth="1" min="21" max="21" width="18.29"/>
    <col customWidth="1" min="22" max="22" width="21.86"/>
    <col customWidth="1" min="23" max="23" width="13.86"/>
    <col customWidth="1" min="24" max="26" width="8.71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4" t="s">
        <v>0</v>
      </c>
      <c r="T1" s="5">
        <v>0.0052</v>
      </c>
      <c r="U1" s="4" t="s">
        <v>1</v>
      </c>
      <c r="V1" s="6">
        <f>(V73*$T$1)/U73</f>
        <v>0.007004833135</v>
      </c>
      <c r="W1" s="2"/>
      <c r="X1" s="2"/>
      <c r="Y1" s="2"/>
      <c r="Z1" s="2"/>
    </row>
    <row r="2" ht="12.75" customHeight="1">
      <c r="A2" s="7"/>
      <c r="B2" s="8" t="s">
        <v>2</v>
      </c>
      <c r="C2" s="8"/>
      <c r="D2" s="9" t="s">
        <v>3</v>
      </c>
      <c r="E2" s="10"/>
      <c r="F2" s="11" t="s">
        <v>4</v>
      </c>
      <c r="G2" s="10"/>
      <c r="H2" s="10"/>
      <c r="I2" s="12"/>
      <c r="J2" s="12"/>
      <c r="K2" s="10"/>
      <c r="L2" s="10"/>
      <c r="M2" s="13"/>
      <c r="N2" s="8"/>
      <c r="O2" s="14"/>
      <c r="P2" s="14"/>
      <c r="Q2" s="10"/>
      <c r="R2" s="10"/>
      <c r="S2" s="10"/>
      <c r="T2" s="2"/>
      <c r="U2" s="2"/>
      <c r="V2" s="2"/>
      <c r="W2" s="2"/>
      <c r="X2" s="2"/>
      <c r="Y2" s="2"/>
      <c r="Z2" s="2"/>
    </row>
    <row r="3" ht="12.75" customHeight="1">
      <c r="A3" s="15" t="s">
        <v>5</v>
      </c>
      <c r="B3" s="15" t="s">
        <v>6</v>
      </c>
      <c r="C3" s="16" t="s">
        <v>7</v>
      </c>
      <c r="D3" s="16" t="s">
        <v>8</v>
      </c>
      <c r="E3" s="16" t="s">
        <v>9</v>
      </c>
      <c r="F3" s="16" t="s">
        <v>10</v>
      </c>
      <c r="G3" s="17" t="s">
        <v>11</v>
      </c>
      <c r="H3" s="16" t="s">
        <v>12</v>
      </c>
      <c r="I3" s="16" t="s">
        <v>13</v>
      </c>
      <c r="J3" s="16" t="s">
        <v>14</v>
      </c>
      <c r="K3" s="16" t="s">
        <v>15</v>
      </c>
      <c r="L3" s="16" t="s">
        <v>16</v>
      </c>
      <c r="M3" s="18" t="s">
        <v>17</v>
      </c>
      <c r="N3" s="19" t="s">
        <v>18</v>
      </c>
      <c r="O3" s="19" t="s">
        <v>19</v>
      </c>
      <c r="P3" s="18" t="s">
        <v>20</v>
      </c>
      <c r="Q3" s="18" t="s">
        <v>21</v>
      </c>
      <c r="R3" s="18" t="s">
        <v>22</v>
      </c>
      <c r="S3" s="2"/>
      <c r="T3" s="18" t="s">
        <v>23</v>
      </c>
      <c r="U3" s="18" t="s">
        <v>24</v>
      </c>
      <c r="V3" s="18" t="s">
        <v>25</v>
      </c>
      <c r="W3" s="2"/>
      <c r="X3" s="2"/>
      <c r="Y3" s="2"/>
      <c r="Z3" s="2"/>
    </row>
    <row r="4" ht="12.75" customHeight="1">
      <c r="A4" s="8" t="s">
        <v>26</v>
      </c>
      <c r="B4" s="8" t="s">
        <v>27</v>
      </c>
      <c r="C4" s="8">
        <v>14.0</v>
      </c>
      <c r="D4" s="20">
        <v>57.0</v>
      </c>
      <c r="E4" s="20">
        <v>0.0</v>
      </c>
      <c r="F4" s="20">
        <v>0.0</v>
      </c>
      <c r="G4" s="21">
        <v>0.0</v>
      </c>
      <c r="H4" s="20">
        <v>57.0</v>
      </c>
      <c r="I4" s="20">
        <v>0.0</v>
      </c>
      <c r="J4" s="20">
        <f t="shared" ref="J4:J72" si="1">H4+I4</f>
        <v>57</v>
      </c>
      <c r="K4" s="20">
        <v>0.0</v>
      </c>
      <c r="L4" s="20">
        <v>18.0</v>
      </c>
      <c r="M4" s="22">
        <v>26.0</v>
      </c>
      <c r="N4" s="20">
        <f t="shared" ref="N4:N35" si="2">(L4/(H4+I4))*M4</f>
        <v>8.210526316</v>
      </c>
      <c r="O4" s="23">
        <v>0.0</v>
      </c>
      <c r="P4" s="20">
        <v>0.0</v>
      </c>
      <c r="Q4" s="20">
        <v>0.0</v>
      </c>
      <c r="R4" s="20">
        <v>0.0</v>
      </c>
      <c r="S4" s="2"/>
      <c r="T4" s="2">
        <v>1631375.0</v>
      </c>
      <c r="U4" s="24">
        <f t="shared" ref="U4:U72" si="3">T4*(H4+I4)</f>
        <v>92988375</v>
      </c>
      <c r="V4" s="24">
        <f t="shared" ref="V4:V72" si="4">T4*L4</f>
        <v>29364750</v>
      </c>
      <c r="W4" s="2"/>
      <c r="X4" s="2"/>
      <c r="Y4" s="2"/>
      <c r="Z4" s="2"/>
    </row>
    <row r="5" ht="12.75" customHeight="1">
      <c r="A5" s="8" t="s">
        <v>28</v>
      </c>
      <c r="B5" s="8" t="s">
        <v>27</v>
      </c>
      <c r="C5" s="8">
        <v>14.0</v>
      </c>
      <c r="D5" s="20">
        <v>69.0</v>
      </c>
      <c r="E5" s="20">
        <v>124.0</v>
      </c>
      <c r="F5" s="20">
        <v>0.0</v>
      </c>
      <c r="G5" s="21">
        <v>0.0</v>
      </c>
      <c r="H5" s="20">
        <v>69.0</v>
      </c>
      <c r="I5" s="20">
        <v>0.0</v>
      </c>
      <c r="J5" s="20">
        <f t="shared" si="1"/>
        <v>69</v>
      </c>
      <c r="K5" s="20">
        <v>124.0</v>
      </c>
      <c r="L5" s="20">
        <v>145.75</v>
      </c>
      <c r="M5" s="22">
        <v>26.0</v>
      </c>
      <c r="N5" s="20">
        <f t="shared" si="2"/>
        <v>54.92028986</v>
      </c>
      <c r="O5" s="23">
        <v>48.52173913043478</v>
      </c>
      <c r="P5" s="20">
        <v>0.0</v>
      </c>
      <c r="Q5" s="20">
        <v>0.0</v>
      </c>
      <c r="R5" s="20">
        <v>0.0</v>
      </c>
      <c r="S5" s="2"/>
      <c r="T5" s="2">
        <v>844750.0</v>
      </c>
      <c r="U5" s="24">
        <f t="shared" si="3"/>
        <v>58287750</v>
      </c>
      <c r="V5" s="24">
        <f t="shared" si="4"/>
        <v>123122312.5</v>
      </c>
      <c r="W5" s="2"/>
      <c r="X5" s="2"/>
      <c r="Y5" s="2"/>
      <c r="Z5" s="2"/>
    </row>
    <row r="6" ht="12.75" customHeight="1">
      <c r="A6" s="8" t="s">
        <v>29</v>
      </c>
      <c r="B6" s="8" t="s">
        <v>27</v>
      </c>
      <c r="C6" s="8">
        <v>14.0</v>
      </c>
      <c r="D6" s="20">
        <v>135.0</v>
      </c>
      <c r="E6" s="20">
        <v>99.0</v>
      </c>
      <c r="F6" s="20">
        <v>0.0</v>
      </c>
      <c r="G6" s="21">
        <v>0.0</v>
      </c>
      <c r="H6" s="20">
        <v>20.0</v>
      </c>
      <c r="I6" s="20">
        <v>0.0</v>
      </c>
      <c r="J6" s="20">
        <f t="shared" si="1"/>
        <v>20</v>
      </c>
      <c r="K6" s="20">
        <v>214.0</v>
      </c>
      <c r="L6" s="20">
        <v>151.333333333333</v>
      </c>
      <c r="M6" s="22">
        <v>26.0</v>
      </c>
      <c r="N6" s="20">
        <f t="shared" si="2"/>
        <v>196.7333333</v>
      </c>
      <c r="O6" s="23">
        <v>288.9</v>
      </c>
      <c r="P6" s="20">
        <v>7.0</v>
      </c>
      <c r="Q6" s="20">
        <v>0.0</v>
      </c>
      <c r="R6" s="20">
        <v>0.0</v>
      </c>
      <c r="S6" s="2"/>
      <c r="T6" s="2">
        <v>928605.0</v>
      </c>
      <c r="U6" s="24">
        <f t="shared" si="3"/>
        <v>18572100</v>
      </c>
      <c r="V6" s="24">
        <f t="shared" si="4"/>
        <v>140528890</v>
      </c>
      <c r="W6" s="2"/>
      <c r="X6" s="2"/>
      <c r="Y6" s="2"/>
      <c r="Z6" s="2"/>
    </row>
    <row r="7" ht="12.75" customHeight="1">
      <c r="A7" s="8" t="s">
        <v>30</v>
      </c>
      <c r="B7" s="8" t="s">
        <v>27</v>
      </c>
      <c r="C7" s="8">
        <v>14.0</v>
      </c>
      <c r="D7" s="20">
        <v>44.0</v>
      </c>
      <c r="E7" s="20">
        <v>151.0</v>
      </c>
      <c r="F7" s="20">
        <v>0.0</v>
      </c>
      <c r="G7" s="21">
        <v>0.0</v>
      </c>
      <c r="H7" s="20">
        <v>142.0</v>
      </c>
      <c r="I7" s="20">
        <v>0.0</v>
      </c>
      <c r="J7" s="20">
        <f t="shared" si="1"/>
        <v>142</v>
      </c>
      <c r="K7" s="20">
        <v>53.0</v>
      </c>
      <c r="L7" s="20">
        <v>133.833333333333</v>
      </c>
      <c r="M7" s="22">
        <v>26.0</v>
      </c>
      <c r="N7" s="20">
        <f t="shared" si="2"/>
        <v>24.50469484</v>
      </c>
      <c r="O7" s="23">
        <v>10.077464788732394</v>
      </c>
      <c r="P7" s="20">
        <v>1.0</v>
      </c>
      <c r="Q7" s="20">
        <v>100.0</v>
      </c>
      <c r="R7" s="20">
        <v>0.0</v>
      </c>
      <c r="S7" s="2"/>
      <c r="T7" s="2">
        <v>1329900.0</v>
      </c>
      <c r="U7" s="24">
        <f t="shared" si="3"/>
        <v>188845800</v>
      </c>
      <c r="V7" s="24">
        <f t="shared" si="4"/>
        <v>177984950</v>
      </c>
      <c r="W7" s="2"/>
      <c r="X7" s="2"/>
      <c r="Y7" s="2"/>
      <c r="Z7" s="2"/>
    </row>
    <row r="8" ht="12.75" customHeight="1">
      <c r="A8" s="8" t="s">
        <v>31</v>
      </c>
      <c r="B8" s="8" t="s">
        <v>27</v>
      </c>
      <c r="C8" s="8">
        <v>14.0</v>
      </c>
      <c r="D8" s="20">
        <v>10.0</v>
      </c>
      <c r="E8" s="20">
        <v>700.0</v>
      </c>
      <c r="F8" s="20">
        <v>0.0</v>
      </c>
      <c r="G8" s="21">
        <v>0.0</v>
      </c>
      <c r="H8" s="20">
        <v>214.0</v>
      </c>
      <c r="I8" s="20">
        <v>0.0</v>
      </c>
      <c r="J8" s="20">
        <f t="shared" si="1"/>
        <v>214</v>
      </c>
      <c r="K8" s="20">
        <v>496.0</v>
      </c>
      <c r="L8" s="20">
        <v>564.4</v>
      </c>
      <c r="M8" s="22">
        <v>26.0</v>
      </c>
      <c r="N8" s="20">
        <f t="shared" si="2"/>
        <v>68.57196262</v>
      </c>
      <c r="O8" s="23">
        <v>62.57943925233644</v>
      </c>
      <c r="P8" s="20">
        <v>0.0</v>
      </c>
      <c r="Q8" s="20">
        <v>0.0</v>
      </c>
      <c r="R8" s="20">
        <v>0.0</v>
      </c>
      <c r="S8" s="2"/>
      <c r="T8" s="2">
        <v>841116.0</v>
      </c>
      <c r="U8" s="24">
        <f t="shared" si="3"/>
        <v>179998824</v>
      </c>
      <c r="V8" s="24">
        <f t="shared" si="4"/>
        <v>474725870.4</v>
      </c>
      <c r="W8" s="2"/>
      <c r="X8" s="2"/>
      <c r="Y8" s="2"/>
      <c r="Z8" s="2"/>
    </row>
    <row r="9" ht="12.75" customHeight="1">
      <c r="A9" s="8" t="s">
        <v>32</v>
      </c>
      <c r="B9" s="8" t="s">
        <v>27</v>
      </c>
      <c r="C9" s="8">
        <v>14.0</v>
      </c>
      <c r="D9" s="20" t="s">
        <v>33</v>
      </c>
      <c r="E9" s="20">
        <v>0.0</v>
      </c>
      <c r="F9" s="20">
        <v>0.0</v>
      </c>
      <c r="G9" s="21">
        <v>0.0</v>
      </c>
      <c r="H9" s="20">
        <v>18.0</v>
      </c>
      <c r="I9" s="20">
        <v>0.0</v>
      </c>
      <c r="J9" s="20">
        <f t="shared" si="1"/>
        <v>18</v>
      </c>
      <c r="K9" s="20">
        <v>66.0</v>
      </c>
      <c r="L9" s="20">
        <v>66.0</v>
      </c>
      <c r="M9" s="22">
        <v>26.0</v>
      </c>
      <c r="N9" s="20">
        <f t="shared" si="2"/>
        <v>95.33333333</v>
      </c>
      <c r="O9" s="23">
        <v>99.0</v>
      </c>
      <c r="P9" s="20">
        <v>0.0</v>
      </c>
      <c r="Q9" s="20">
        <v>0.0</v>
      </c>
      <c r="R9" s="20">
        <v>0.0</v>
      </c>
      <c r="S9" s="2"/>
      <c r="T9" s="2">
        <v>928605.0</v>
      </c>
      <c r="U9" s="24">
        <f t="shared" si="3"/>
        <v>16714890</v>
      </c>
      <c r="V9" s="24">
        <f t="shared" si="4"/>
        <v>61287930</v>
      </c>
      <c r="W9" s="2"/>
      <c r="X9" s="2"/>
      <c r="Y9" s="2"/>
      <c r="Z9" s="2"/>
    </row>
    <row r="10" ht="12.75" customHeight="1">
      <c r="A10" s="8" t="s">
        <v>34</v>
      </c>
      <c r="B10" s="8" t="s">
        <v>27</v>
      </c>
      <c r="C10" s="8">
        <v>14.0</v>
      </c>
      <c r="D10" s="20">
        <v>54.0</v>
      </c>
      <c r="E10" s="20">
        <v>183.0</v>
      </c>
      <c r="F10" s="20">
        <v>0.0</v>
      </c>
      <c r="G10" s="21">
        <v>0.0</v>
      </c>
      <c r="H10" s="20">
        <v>72.0</v>
      </c>
      <c r="I10" s="20">
        <v>0.0</v>
      </c>
      <c r="J10" s="20">
        <f t="shared" si="1"/>
        <v>72</v>
      </c>
      <c r="K10" s="20">
        <v>165.0</v>
      </c>
      <c r="L10" s="20">
        <v>118.875</v>
      </c>
      <c r="M10" s="22">
        <v>26.0</v>
      </c>
      <c r="N10" s="20">
        <f t="shared" si="2"/>
        <v>42.92708333</v>
      </c>
      <c r="O10" s="23">
        <v>61.87499999999999</v>
      </c>
      <c r="P10" s="20">
        <v>0.0</v>
      </c>
      <c r="Q10" s="20">
        <v>0.0</v>
      </c>
      <c r="R10" s="20">
        <v>0.0</v>
      </c>
      <c r="S10" s="2"/>
      <c r="T10" s="2">
        <v>3438210.0</v>
      </c>
      <c r="U10" s="24">
        <f t="shared" si="3"/>
        <v>247551120</v>
      </c>
      <c r="V10" s="24">
        <f t="shared" si="4"/>
        <v>408717213.8</v>
      </c>
      <c r="W10" s="2"/>
      <c r="X10" s="2"/>
      <c r="Y10" s="2"/>
      <c r="Z10" s="2"/>
    </row>
    <row r="11" ht="12.75" customHeight="1">
      <c r="A11" s="8" t="s">
        <v>35</v>
      </c>
      <c r="B11" s="8" t="s">
        <v>27</v>
      </c>
      <c r="C11" s="8">
        <v>14.0</v>
      </c>
      <c r="D11" s="20">
        <v>590.0</v>
      </c>
      <c r="E11" s="20">
        <v>2258.0</v>
      </c>
      <c r="F11" s="20">
        <v>0.0</v>
      </c>
      <c r="G11" s="21">
        <v>0.0</v>
      </c>
      <c r="H11" s="20">
        <v>1063.0</v>
      </c>
      <c r="I11" s="20">
        <v>0.0</v>
      </c>
      <c r="J11" s="20">
        <f t="shared" si="1"/>
        <v>1063</v>
      </c>
      <c r="K11" s="20">
        <v>1785.0</v>
      </c>
      <c r="L11" s="20">
        <v>1213.63636363636</v>
      </c>
      <c r="M11" s="22">
        <v>26.0</v>
      </c>
      <c r="N11" s="20">
        <f t="shared" si="2"/>
        <v>29.68442658</v>
      </c>
      <c r="O11" s="23">
        <v>45.33866415804327</v>
      </c>
      <c r="P11" s="20">
        <v>154.0</v>
      </c>
      <c r="Q11" s="20">
        <v>0.0</v>
      </c>
      <c r="R11" s="20">
        <v>0.0</v>
      </c>
      <c r="S11" s="2"/>
      <c r="T11" s="2">
        <v>165230.0</v>
      </c>
      <c r="U11" s="24">
        <f t="shared" si="3"/>
        <v>175639490</v>
      </c>
      <c r="V11" s="24">
        <f t="shared" si="4"/>
        <v>200529136.4</v>
      </c>
      <c r="W11" s="2"/>
      <c r="X11" s="2"/>
      <c r="Y11" s="2"/>
      <c r="Z11" s="2"/>
    </row>
    <row r="12" ht="12.75" customHeight="1">
      <c r="A12" s="8" t="s">
        <v>36</v>
      </c>
      <c r="B12" s="8" t="s">
        <v>27</v>
      </c>
      <c r="C12" s="8">
        <v>14.0</v>
      </c>
      <c r="D12" s="20">
        <v>230.0</v>
      </c>
      <c r="E12" s="20">
        <v>32.0</v>
      </c>
      <c r="F12" s="20">
        <v>0.0</v>
      </c>
      <c r="G12" s="21">
        <v>0.0</v>
      </c>
      <c r="H12" s="20">
        <v>30.0</v>
      </c>
      <c r="I12" s="20">
        <v>0.0</v>
      </c>
      <c r="J12" s="20">
        <f t="shared" si="1"/>
        <v>30</v>
      </c>
      <c r="K12" s="20">
        <v>232.0</v>
      </c>
      <c r="L12" s="20">
        <v>237.75</v>
      </c>
      <c r="M12" s="22">
        <v>26.0</v>
      </c>
      <c r="N12" s="20">
        <f t="shared" si="2"/>
        <v>206.05</v>
      </c>
      <c r="O12" s="23">
        <v>208.8</v>
      </c>
      <c r="P12" s="20">
        <v>0.0</v>
      </c>
      <c r="Q12" s="20">
        <v>60.0</v>
      </c>
      <c r="R12" s="20">
        <v>0.0</v>
      </c>
      <c r="S12" s="2"/>
      <c r="T12" s="2">
        <v>1516675.0</v>
      </c>
      <c r="U12" s="24">
        <f t="shared" si="3"/>
        <v>45500250</v>
      </c>
      <c r="V12" s="24">
        <f t="shared" si="4"/>
        <v>360589481.3</v>
      </c>
      <c r="W12" s="2"/>
      <c r="X12" s="2"/>
      <c r="Y12" s="2"/>
      <c r="Z12" s="2"/>
    </row>
    <row r="13" ht="12.75" customHeight="1">
      <c r="A13" s="8" t="s">
        <v>37</v>
      </c>
      <c r="B13" s="8" t="s">
        <v>27</v>
      </c>
      <c r="C13" s="8">
        <v>14.0</v>
      </c>
      <c r="D13" s="20">
        <v>72.0</v>
      </c>
      <c r="E13" s="20">
        <v>0.0</v>
      </c>
      <c r="F13" s="20">
        <v>0.0</v>
      </c>
      <c r="G13" s="21">
        <v>0.0</v>
      </c>
      <c r="H13" s="20">
        <v>3.0</v>
      </c>
      <c r="I13" s="20">
        <v>0.0</v>
      </c>
      <c r="J13" s="20">
        <f t="shared" si="1"/>
        <v>3</v>
      </c>
      <c r="K13" s="20">
        <v>69.0</v>
      </c>
      <c r="L13" s="20">
        <v>69.5</v>
      </c>
      <c r="M13" s="22">
        <v>26.0</v>
      </c>
      <c r="N13" s="20">
        <f t="shared" si="2"/>
        <v>602.3333333</v>
      </c>
      <c r="O13" s="23">
        <v>621.0</v>
      </c>
      <c r="P13" s="20">
        <v>0.0</v>
      </c>
      <c r="Q13" s="20">
        <v>0.0</v>
      </c>
      <c r="R13" s="20">
        <v>0.0</v>
      </c>
      <c r="S13" s="2"/>
      <c r="T13" s="2">
        <v>1516675.0</v>
      </c>
      <c r="U13" s="24">
        <f t="shared" si="3"/>
        <v>4550025</v>
      </c>
      <c r="V13" s="24">
        <f t="shared" si="4"/>
        <v>105408912.5</v>
      </c>
      <c r="W13" s="2"/>
      <c r="X13" s="2"/>
      <c r="Y13" s="2"/>
      <c r="Z13" s="2"/>
    </row>
    <row r="14" ht="12.75" customHeight="1">
      <c r="A14" s="8" t="s">
        <v>38</v>
      </c>
      <c r="B14" s="8" t="s">
        <v>27</v>
      </c>
      <c r="C14" s="8">
        <v>14.0</v>
      </c>
      <c r="D14" s="20">
        <v>37.0</v>
      </c>
      <c r="E14" s="20">
        <v>0.0</v>
      </c>
      <c r="F14" s="20">
        <v>0.0</v>
      </c>
      <c r="G14" s="21">
        <v>0.0</v>
      </c>
      <c r="H14" s="20">
        <v>10.0</v>
      </c>
      <c r="I14" s="20">
        <v>0.0</v>
      </c>
      <c r="J14" s="20">
        <f t="shared" si="1"/>
        <v>10</v>
      </c>
      <c r="K14" s="20">
        <v>27.0</v>
      </c>
      <c r="L14" s="20">
        <v>30.5</v>
      </c>
      <c r="M14" s="22">
        <v>26.0</v>
      </c>
      <c r="N14" s="20">
        <f t="shared" si="2"/>
        <v>79.3</v>
      </c>
      <c r="O14" s="23">
        <v>72.9</v>
      </c>
      <c r="P14" s="20">
        <v>0.0</v>
      </c>
      <c r="Q14" s="20">
        <v>0.0</v>
      </c>
      <c r="R14" s="20">
        <v>0.0</v>
      </c>
      <c r="S14" s="2"/>
      <c r="T14" s="2">
        <v>1516675.0</v>
      </c>
      <c r="U14" s="24">
        <f t="shared" si="3"/>
        <v>15166750</v>
      </c>
      <c r="V14" s="24">
        <f t="shared" si="4"/>
        <v>46258587.5</v>
      </c>
      <c r="W14" s="2"/>
      <c r="X14" s="2"/>
      <c r="Y14" s="2"/>
      <c r="Z14" s="2"/>
    </row>
    <row r="15" ht="12.75" customHeight="1">
      <c r="A15" s="8" t="s">
        <v>39</v>
      </c>
      <c r="B15" s="8" t="s">
        <v>27</v>
      </c>
      <c r="C15" s="8">
        <v>14.0</v>
      </c>
      <c r="D15" s="20">
        <v>47.0</v>
      </c>
      <c r="E15" s="20">
        <v>15.0</v>
      </c>
      <c r="F15" s="20">
        <v>0.0</v>
      </c>
      <c r="G15" s="21">
        <v>0.0</v>
      </c>
      <c r="H15" s="20">
        <v>16.0</v>
      </c>
      <c r="I15" s="20">
        <v>0.0</v>
      </c>
      <c r="J15" s="20">
        <f t="shared" si="1"/>
        <v>16</v>
      </c>
      <c r="K15" s="20">
        <v>46.0</v>
      </c>
      <c r="L15" s="20">
        <v>50.5714285714286</v>
      </c>
      <c r="M15" s="22">
        <v>26.0</v>
      </c>
      <c r="N15" s="20">
        <f t="shared" si="2"/>
        <v>82.17857143</v>
      </c>
      <c r="O15" s="23">
        <v>77.625</v>
      </c>
      <c r="P15" s="20">
        <v>0.0</v>
      </c>
      <c r="Q15" s="20">
        <v>15.0</v>
      </c>
      <c r="R15" s="20">
        <v>0.0</v>
      </c>
      <c r="S15" s="2"/>
      <c r="T15" s="2">
        <v>1516675.0</v>
      </c>
      <c r="U15" s="24">
        <f t="shared" si="3"/>
        <v>24266800</v>
      </c>
      <c r="V15" s="24">
        <f t="shared" si="4"/>
        <v>76700421.43</v>
      </c>
      <c r="W15" s="2"/>
      <c r="X15" s="2"/>
      <c r="Y15" s="2"/>
      <c r="Z15" s="2"/>
    </row>
    <row r="16" ht="12.75" customHeight="1">
      <c r="A16" s="8" t="s">
        <v>40</v>
      </c>
      <c r="B16" s="8" t="s">
        <v>27</v>
      </c>
      <c r="C16" s="8">
        <v>14.0</v>
      </c>
      <c r="D16" s="20">
        <v>37.0</v>
      </c>
      <c r="E16" s="20">
        <v>87.0</v>
      </c>
      <c r="F16" s="20">
        <v>0.0</v>
      </c>
      <c r="G16" s="21">
        <v>0.0</v>
      </c>
      <c r="H16" s="20">
        <v>63.0</v>
      </c>
      <c r="I16" s="20">
        <v>0.0</v>
      </c>
      <c r="J16" s="20">
        <f t="shared" si="1"/>
        <v>63</v>
      </c>
      <c r="K16" s="20">
        <v>61.0</v>
      </c>
      <c r="L16" s="20">
        <v>36.642857142857096</v>
      </c>
      <c r="M16" s="22">
        <v>26.0</v>
      </c>
      <c r="N16" s="20">
        <f t="shared" si="2"/>
        <v>15.12244898</v>
      </c>
      <c r="O16" s="23">
        <v>26.142857142857142</v>
      </c>
      <c r="P16" s="20">
        <v>3.0</v>
      </c>
      <c r="Q16" s="20">
        <v>0.0</v>
      </c>
      <c r="R16" s="20">
        <v>0.0</v>
      </c>
      <c r="S16" s="2"/>
      <c r="T16" s="2">
        <v>1516675.0</v>
      </c>
      <c r="U16" s="24">
        <f t="shared" si="3"/>
        <v>95550525</v>
      </c>
      <c r="V16" s="24">
        <f t="shared" si="4"/>
        <v>55575305.36</v>
      </c>
      <c r="W16" s="2"/>
      <c r="X16" s="2"/>
      <c r="Y16" s="2"/>
      <c r="Z16" s="2"/>
    </row>
    <row r="17" ht="12.75" customHeight="1">
      <c r="A17" s="8" t="s">
        <v>41</v>
      </c>
      <c r="B17" s="8" t="s">
        <v>27</v>
      </c>
      <c r="C17" s="8">
        <v>14.0</v>
      </c>
      <c r="D17" s="20">
        <v>38.0</v>
      </c>
      <c r="E17" s="20">
        <v>37.0</v>
      </c>
      <c r="F17" s="20">
        <v>0.0</v>
      </c>
      <c r="G17" s="21">
        <v>0.0</v>
      </c>
      <c r="H17" s="20">
        <v>4.0</v>
      </c>
      <c r="I17" s="20">
        <v>0.0</v>
      </c>
      <c r="J17" s="20">
        <f t="shared" si="1"/>
        <v>4</v>
      </c>
      <c r="K17" s="20">
        <v>71.0</v>
      </c>
      <c r="L17" s="20">
        <v>73.0</v>
      </c>
      <c r="M17" s="22">
        <v>26.0</v>
      </c>
      <c r="N17" s="20">
        <f t="shared" si="2"/>
        <v>474.5</v>
      </c>
      <c r="O17" s="23">
        <v>479.25</v>
      </c>
      <c r="P17" s="20">
        <v>0.0</v>
      </c>
      <c r="Q17" s="20">
        <v>0.0</v>
      </c>
      <c r="R17" s="20">
        <v>0.0</v>
      </c>
      <c r="S17" s="2"/>
      <c r="T17" s="2">
        <v>1516675.0</v>
      </c>
      <c r="U17" s="24">
        <f t="shared" si="3"/>
        <v>6066700</v>
      </c>
      <c r="V17" s="24">
        <f t="shared" si="4"/>
        <v>110717275</v>
      </c>
      <c r="W17" s="2"/>
      <c r="X17" s="2"/>
      <c r="Y17" s="2"/>
      <c r="Z17" s="2"/>
    </row>
    <row r="18" ht="12.75" customHeight="1">
      <c r="A18" s="8" t="s">
        <v>42</v>
      </c>
      <c r="B18" s="8" t="s">
        <v>27</v>
      </c>
      <c r="C18" s="8">
        <v>14.0</v>
      </c>
      <c r="D18" s="20">
        <v>117.0</v>
      </c>
      <c r="E18" s="20">
        <v>183.0</v>
      </c>
      <c r="F18" s="20">
        <v>0.0</v>
      </c>
      <c r="G18" s="21">
        <v>0.0</v>
      </c>
      <c r="H18" s="20">
        <v>200.0</v>
      </c>
      <c r="I18" s="20">
        <v>0.0</v>
      </c>
      <c r="J18" s="20">
        <f t="shared" si="1"/>
        <v>200</v>
      </c>
      <c r="K18" s="20">
        <v>100.0</v>
      </c>
      <c r="L18" s="20">
        <v>143.666666666667</v>
      </c>
      <c r="M18" s="22">
        <v>26.0</v>
      </c>
      <c r="N18" s="20">
        <f t="shared" si="2"/>
        <v>18.67666667</v>
      </c>
      <c r="O18" s="23">
        <v>13.5</v>
      </c>
      <c r="P18" s="20">
        <v>8.0</v>
      </c>
      <c r="Q18" s="20">
        <v>200.0</v>
      </c>
      <c r="R18" s="20">
        <v>0.0</v>
      </c>
      <c r="S18" s="2"/>
      <c r="T18" s="2">
        <v>1345865.0</v>
      </c>
      <c r="U18" s="24">
        <f t="shared" si="3"/>
        <v>269173000</v>
      </c>
      <c r="V18" s="24">
        <f t="shared" si="4"/>
        <v>193355938.3</v>
      </c>
      <c r="W18" s="2"/>
      <c r="X18" s="2"/>
      <c r="Y18" s="2"/>
      <c r="Z18" s="2"/>
    </row>
    <row r="19" ht="12.75" customHeight="1">
      <c r="A19" s="8" t="s">
        <v>43</v>
      </c>
      <c r="B19" s="8" t="s">
        <v>27</v>
      </c>
      <c r="C19" s="8">
        <v>14.0</v>
      </c>
      <c r="D19" s="20">
        <v>20.0</v>
      </c>
      <c r="E19" s="20">
        <v>0.0</v>
      </c>
      <c r="F19" s="20">
        <v>0.0</v>
      </c>
      <c r="G19" s="21">
        <v>0.0</v>
      </c>
      <c r="H19" s="20">
        <v>6.0</v>
      </c>
      <c r="I19" s="20">
        <v>0.0</v>
      </c>
      <c r="J19" s="20">
        <f t="shared" si="1"/>
        <v>6</v>
      </c>
      <c r="K19" s="20">
        <v>14.0</v>
      </c>
      <c r="L19" s="20">
        <v>15.5</v>
      </c>
      <c r="M19" s="22">
        <v>26.0</v>
      </c>
      <c r="N19" s="20">
        <f t="shared" si="2"/>
        <v>67.16666667</v>
      </c>
      <c r="O19" s="23">
        <v>63.00000000000001</v>
      </c>
      <c r="P19" s="20">
        <v>0.0</v>
      </c>
      <c r="Q19" s="20">
        <v>0.0</v>
      </c>
      <c r="R19" s="20">
        <v>0.0</v>
      </c>
      <c r="S19" s="2"/>
      <c r="T19" s="2">
        <v>1326180.0</v>
      </c>
      <c r="U19" s="24">
        <f t="shared" si="3"/>
        <v>7957080</v>
      </c>
      <c r="V19" s="24">
        <f t="shared" si="4"/>
        <v>20555790</v>
      </c>
      <c r="W19" s="2"/>
      <c r="X19" s="2"/>
      <c r="Y19" s="2"/>
      <c r="Z19" s="2"/>
    </row>
    <row r="20" ht="12.75" customHeight="1">
      <c r="A20" s="8" t="s">
        <v>44</v>
      </c>
      <c r="B20" s="8" t="s">
        <v>27</v>
      </c>
      <c r="C20" s="8">
        <v>14.0</v>
      </c>
      <c r="D20" s="20">
        <v>41.0</v>
      </c>
      <c r="E20" s="20">
        <v>100.0</v>
      </c>
      <c r="F20" s="20">
        <v>0.0</v>
      </c>
      <c r="G20" s="21">
        <v>0.0</v>
      </c>
      <c r="H20" s="20">
        <v>72.0</v>
      </c>
      <c r="I20" s="20">
        <v>0.0</v>
      </c>
      <c r="J20" s="20">
        <f t="shared" si="1"/>
        <v>72</v>
      </c>
      <c r="K20" s="20">
        <v>69.0</v>
      </c>
      <c r="L20" s="20">
        <v>59.5</v>
      </c>
      <c r="M20" s="22">
        <v>26.0</v>
      </c>
      <c r="N20" s="20">
        <f t="shared" si="2"/>
        <v>21.48611111</v>
      </c>
      <c r="O20" s="23">
        <v>25.875</v>
      </c>
      <c r="P20" s="20">
        <v>0.0</v>
      </c>
      <c r="Q20" s="20">
        <v>0.0</v>
      </c>
      <c r="R20" s="20">
        <v>0.0</v>
      </c>
      <c r="S20" s="2"/>
      <c r="T20" s="2">
        <v>542345.0</v>
      </c>
      <c r="U20" s="24">
        <f t="shared" si="3"/>
        <v>39048840</v>
      </c>
      <c r="V20" s="24">
        <f t="shared" si="4"/>
        <v>32269527.5</v>
      </c>
      <c r="W20" s="2"/>
      <c r="X20" s="2"/>
      <c r="Y20" s="2"/>
      <c r="Z20" s="2"/>
    </row>
    <row r="21" ht="12.75" customHeight="1">
      <c r="A21" s="8" t="s">
        <v>45</v>
      </c>
      <c r="B21" s="8" t="s">
        <v>27</v>
      </c>
      <c r="C21" s="8">
        <v>14.0</v>
      </c>
      <c r="D21" s="20">
        <v>702.0</v>
      </c>
      <c r="E21" s="20">
        <v>2765.0</v>
      </c>
      <c r="F21" s="20">
        <v>0.0</v>
      </c>
      <c r="G21" s="21">
        <v>0.0</v>
      </c>
      <c r="H21" s="20">
        <v>1335.0</v>
      </c>
      <c r="I21" s="20">
        <v>0.0</v>
      </c>
      <c r="J21" s="20">
        <f t="shared" si="1"/>
        <v>1335</v>
      </c>
      <c r="K21" s="20">
        <v>2132.0</v>
      </c>
      <c r="L21" s="20">
        <v>1666.58333333333</v>
      </c>
      <c r="M21" s="22">
        <v>26.0</v>
      </c>
      <c r="N21" s="20">
        <f t="shared" si="2"/>
        <v>32.45780275</v>
      </c>
      <c r="O21" s="23">
        <v>43.119101123595506</v>
      </c>
      <c r="P21" s="20">
        <v>0.0</v>
      </c>
      <c r="Q21" s="20">
        <v>0.0</v>
      </c>
      <c r="R21" s="20">
        <v>0.0</v>
      </c>
      <c r="S21" s="2"/>
      <c r="T21" s="2">
        <v>1054620.0</v>
      </c>
      <c r="U21" s="24">
        <f t="shared" si="3"/>
        <v>1407917700</v>
      </c>
      <c r="V21" s="24">
        <f t="shared" si="4"/>
        <v>1757612115</v>
      </c>
      <c r="W21" s="2"/>
      <c r="X21" s="2"/>
      <c r="Y21" s="2"/>
      <c r="Z21" s="2"/>
    </row>
    <row r="22" ht="12.75" customHeight="1">
      <c r="A22" s="8" t="s">
        <v>46</v>
      </c>
      <c r="B22" s="8" t="s">
        <v>27</v>
      </c>
      <c r="C22" s="8">
        <v>14.0</v>
      </c>
      <c r="D22" s="20">
        <v>432.0</v>
      </c>
      <c r="E22" s="20">
        <v>735.0</v>
      </c>
      <c r="F22" s="20">
        <v>0.0</v>
      </c>
      <c r="G22" s="21">
        <v>0.0</v>
      </c>
      <c r="H22" s="20">
        <v>486.0</v>
      </c>
      <c r="I22" s="20">
        <v>0.0</v>
      </c>
      <c r="J22" s="20">
        <f t="shared" si="1"/>
        <v>486</v>
      </c>
      <c r="K22" s="20">
        <v>681.0</v>
      </c>
      <c r="L22" s="20">
        <v>539.181818181818</v>
      </c>
      <c r="M22" s="22">
        <v>26.0</v>
      </c>
      <c r="N22" s="20">
        <f t="shared" si="2"/>
        <v>28.84511785</v>
      </c>
      <c r="O22" s="23">
        <v>37.833333333333336</v>
      </c>
      <c r="P22" s="20">
        <v>0.0</v>
      </c>
      <c r="Q22" s="20">
        <v>0.0</v>
      </c>
      <c r="R22" s="20">
        <v>0.0</v>
      </c>
      <c r="S22" s="2"/>
      <c r="T22" s="2">
        <v>848935.0</v>
      </c>
      <c r="U22" s="24">
        <f t="shared" si="3"/>
        <v>412582410</v>
      </c>
      <c r="V22" s="24">
        <f t="shared" si="4"/>
        <v>457730316.8</v>
      </c>
      <c r="W22" s="2"/>
      <c r="X22" s="2"/>
      <c r="Y22" s="2"/>
      <c r="Z22" s="2"/>
    </row>
    <row r="23" ht="12.75" customHeight="1">
      <c r="A23" s="8" t="s">
        <v>47</v>
      </c>
      <c r="B23" s="8" t="s">
        <v>27</v>
      </c>
      <c r="C23" s="8">
        <v>14.0</v>
      </c>
      <c r="D23" s="20">
        <v>1253.17</v>
      </c>
      <c r="E23" s="20">
        <v>1975.0</v>
      </c>
      <c r="F23" s="20">
        <v>0.0</v>
      </c>
      <c r="G23" s="21">
        <v>0.0</v>
      </c>
      <c r="H23" s="20">
        <v>1144.0</v>
      </c>
      <c r="I23" s="20">
        <v>0.0</v>
      </c>
      <c r="J23" s="20">
        <f t="shared" si="1"/>
        <v>1144</v>
      </c>
      <c r="K23" s="20">
        <v>2084.17</v>
      </c>
      <c r="L23" s="20">
        <v>1829.89</v>
      </c>
      <c r="M23" s="22">
        <v>26.0</v>
      </c>
      <c r="N23" s="20">
        <f t="shared" si="2"/>
        <v>41.58840909</v>
      </c>
      <c r="O23" s="23">
        <v>49.18932692307692</v>
      </c>
      <c r="P23" s="20">
        <v>17.43</v>
      </c>
      <c r="Q23" s="20">
        <v>0.0</v>
      </c>
      <c r="R23" s="20">
        <v>0.0</v>
      </c>
      <c r="S23" s="2"/>
      <c r="T23" s="2">
        <v>2021820.0</v>
      </c>
      <c r="U23" s="24">
        <f t="shared" si="3"/>
        <v>2312962080</v>
      </c>
      <c r="V23" s="24">
        <f t="shared" si="4"/>
        <v>3699708200</v>
      </c>
      <c r="W23" s="2"/>
      <c r="X23" s="2"/>
      <c r="Y23" s="2"/>
      <c r="Z23" s="2"/>
    </row>
    <row r="24" ht="12.75" customHeight="1">
      <c r="A24" s="8" t="s">
        <v>48</v>
      </c>
      <c r="B24" s="8" t="s">
        <v>27</v>
      </c>
      <c r="C24" s="8">
        <v>14.0</v>
      </c>
      <c r="D24" s="20">
        <v>108.0</v>
      </c>
      <c r="E24" s="20">
        <v>1404.0</v>
      </c>
      <c r="F24" s="20">
        <v>0.0</v>
      </c>
      <c r="G24" s="21">
        <v>0.0</v>
      </c>
      <c r="H24" s="20">
        <v>864.0</v>
      </c>
      <c r="I24" s="20">
        <v>0.0</v>
      </c>
      <c r="J24" s="20">
        <f t="shared" si="1"/>
        <v>864</v>
      </c>
      <c r="K24" s="20">
        <v>648.0</v>
      </c>
      <c r="L24" s="20">
        <v>513.0</v>
      </c>
      <c r="M24" s="22">
        <v>26.0</v>
      </c>
      <c r="N24" s="20">
        <f t="shared" si="2"/>
        <v>15.4375</v>
      </c>
      <c r="O24" s="23">
        <v>20.25</v>
      </c>
      <c r="P24" s="20">
        <v>0.0</v>
      </c>
      <c r="Q24" s="20">
        <v>400.0</v>
      </c>
      <c r="R24" s="20">
        <v>0.0</v>
      </c>
      <c r="S24" s="2"/>
      <c r="T24" s="2">
        <v>819485.0</v>
      </c>
      <c r="U24" s="24">
        <f t="shared" si="3"/>
        <v>708035040</v>
      </c>
      <c r="V24" s="24">
        <f t="shared" si="4"/>
        <v>420395805</v>
      </c>
      <c r="W24" s="2"/>
      <c r="X24" s="2"/>
      <c r="Y24" s="2"/>
      <c r="Z24" s="2"/>
    </row>
    <row r="25" ht="12.75" customHeight="1">
      <c r="A25" s="8" t="s">
        <v>49</v>
      </c>
      <c r="B25" s="8" t="s">
        <v>27</v>
      </c>
      <c r="C25" s="8">
        <v>14.0</v>
      </c>
      <c r="D25" s="20">
        <v>90.0</v>
      </c>
      <c r="E25" s="20">
        <v>105.0</v>
      </c>
      <c r="F25" s="20">
        <v>0.0</v>
      </c>
      <c r="G25" s="21">
        <v>0.0</v>
      </c>
      <c r="H25" s="20">
        <v>144.0</v>
      </c>
      <c r="I25" s="20">
        <v>0.0</v>
      </c>
      <c r="J25" s="20">
        <f t="shared" si="1"/>
        <v>144</v>
      </c>
      <c r="K25" s="20">
        <v>51.0</v>
      </c>
      <c r="L25" s="20">
        <v>68.0</v>
      </c>
      <c r="M25" s="22">
        <v>26.0</v>
      </c>
      <c r="N25" s="20">
        <f t="shared" si="2"/>
        <v>12.27777778</v>
      </c>
      <c r="O25" s="23">
        <v>9.5625</v>
      </c>
      <c r="P25" s="20">
        <v>0.0</v>
      </c>
      <c r="Q25" s="20">
        <v>100.0</v>
      </c>
      <c r="R25" s="20">
        <v>0.0</v>
      </c>
      <c r="S25" s="2"/>
      <c r="T25" s="2">
        <v>1272550.0</v>
      </c>
      <c r="U25" s="24">
        <f t="shared" si="3"/>
        <v>183247200</v>
      </c>
      <c r="V25" s="24">
        <f t="shared" si="4"/>
        <v>86533400</v>
      </c>
      <c r="W25" s="2"/>
      <c r="X25" s="2"/>
      <c r="Y25" s="2"/>
      <c r="Z25" s="2"/>
    </row>
    <row r="26" ht="12.75" customHeight="1">
      <c r="A26" s="8" t="s">
        <v>50</v>
      </c>
      <c r="B26" s="8" t="s">
        <v>27</v>
      </c>
      <c r="C26" s="8">
        <v>14.0</v>
      </c>
      <c r="D26" s="20">
        <v>213.0</v>
      </c>
      <c r="E26" s="20">
        <v>105.0</v>
      </c>
      <c r="F26" s="20">
        <v>0.0</v>
      </c>
      <c r="G26" s="21">
        <v>0.0</v>
      </c>
      <c r="H26" s="20">
        <v>108.0</v>
      </c>
      <c r="I26" s="20">
        <v>0.0</v>
      </c>
      <c r="J26" s="20">
        <f t="shared" si="1"/>
        <v>108</v>
      </c>
      <c r="K26" s="20">
        <v>210.0</v>
      </c>
      <c r="L26" s="20">
        <v>194.5</v>
      </c>
      <c r="M26" s="22">
        <v>26.0</v>
      </c>
      <c r="N26" s="20">
        <f t="shared" si="2"/>
        <v>46.82407407</v>
      </c>
      <c r="O26" s="23">
        <v>52.5</v>
      </c>
      <c r="P26" s="20">
        <v>0.0</v>
      </c>
      <c r="Q26" s="20">
        <v>100.0</v>
      </c>
      <c r="R26" s="20">
        <v>0.0</v>
      </c>
      <c r="S26" s="2"/>
      <c r="T26" s="2">
        <v>1272550.0</v>
      </c>
      <c r="U26" s="24">
        <f t="shared" si="3"/>
        <v>137435400</v>
      </c>
      <c r="V26" s="24">
        <f t="shared" si="4"/>
        <v>247510975</v>
      </c>
      <c r="W26" s="2"/>
      <c r="X26" s="2"/>
      <c r="Y26" s="2"/>
      <c r="Z26" s="2"/>
    </row>
    <row r="27" ht="12.75" customHeight="1">
      <c r="A27" s="8" t="s">
        <v>51</v>
      </c>
      <c r="B27" s="8" t="s">
        <v>27</v>
      </c>
      <c r="C27" s="8">
        <v>14.0</v>
      </c>
      <c r="D27" s="20">
        <v>262.0</v>
      </c>
      <c r="E27" s="20">
        <v>1148.0</v>
      </c>
      <c r="F27" s="20">
        <v>0.0</v>
      </c>
      <c r="G27" s="21">
        <v>0.0</v>
      </c>
      <c r="H27" s="20">
        <v>922.0</v>
      </c>
      <c r="I27" s="20">
        <v>0.0</v>
      </c>
      <c r="J27" s="20">
        <f t="shared" si="1"/>
        <v>922</v>
      </c>
      <c r="K27" s="20">
        <v>488.0</v>
      </c>
      <c r="L27" s="20">
        <v>506.22222222222206</v>
      </c>
      <c r="M27" s="22">
        <v>26.0</v>
      </c>
      <c r="N27" s="20">
        <f t="shared" si="2"/>
        <v>14.27524705</v>
      </c>
      <c r="O27" s="23">
        <v>14.290672451193059</v>
      </c>
      <c r="P27" s="20">
        <v>0.0</v>
      </c>
      <c r="Q27" s="20">
        <v>500.0</v>
      </c>
      <c r="R27" s="20">
        <v>0.0</v>
      </c>
      <c r="S27" s="2"/>
      <c r="T27" s="2">
        <v>819485.0</v>
      </c>
      <c r="U27" s="24">
        <f t="shared" si="3"/>
        <v>755565170</v>
      </c>
      <c r="V27" s="24">
        <f t="shared" si="4"/>
        <v>414841517.8</v>
      </c>
      <c r="W27" s="2"/>
      <c r="X27" s="2"/>
      <c r="Y27" s="2"/>
      <c r="Z27" s="2"/>
    </row>
    <row r="28" ht="12.75" customHeight="1">
      <c r="A28" s="8" t="s">
        <v>52</v>
      </c>
      <c r="B28" s="8" t="s">
        <v>27</v>
      </c>
      <c r="C28" s="8">
        <v>14.0</v>
      </c>
      <c r="D28" s="20">
        <v>179.0</v>
      </c>
      <c r="E28" s="20">
        <v>92.0</v>
      </c>
      <c r="F28" s="20">
        <v>0.0</v>
      </c>
      <c r="G28" s="21">
        <v>0.0</v>
      </c>
      <c r="H28" s="20">
        <v>180.0</v>
      </c>
      <c r="I28" s="20">
        <v>0.0</v>
      </c>
      <c r="J28" s="20">
        <f t="shared" si="1"/>
        <v>180</v>
      </c>
      <c r="K28" s="20">
        <v>91.0</v>
      </c>
      <c r="L28" s="20">
        <v>102.0</v>
      </c>
      <c r="M28" s="22">
        <v>26.0</v>
      </c>
      <c r="N28" s="20">
        <f t="shared" si="2"/>
        <v>14.73333333</v>
      </c>
      <c r="O28" s="23">
        <v>13.649999999999999</v>
      </c>
      <c r="P28" s="20">
        <v>8.0</v>
      </c>
      <c r="Q28" s="20">
        <v>0.0</v>
      </c>
      <c r="R28" s="20">
        <v>0.0</v>
      </c>
      <c r="S28" s="2"/>
      <c r="T28" s="2">
        <v>1445220.0</v>
      </c>
      <c r="U28" s="24">
        <f t="shared" si="3"/>
        <v>260139600</v>
      </c>
      <c r="V28" s="24">
        <f t="shared" si="4"/>
        <v>147412440</v>
      </c>
      <c r="W28" s="2"/>
      <c r="X28" s="2"/>
      <c r="Y28" s="2"/>
      <c r="Z28" s="2"/>
    </row>
    <row r="29" ht="12.75" customHeight="1">
      <c r="A29" s="8" t="s">
        <v>53</v>
      </c>
      <c r="B29" s="8" t="s">
        <v>27</v>
      </c>
      <c r="C29" s="8">
        <v>14.0</v>
      </c>
      <c r="D29" s="20">
        <v>201.0</v>
      </c>
      <c r="E29" s="20">
        <v>107.0</v>
      </c>
      <c r="F29" s="20">
        <v>0.0</v>
      </c>
      <c r="G29" s="21">
        <v>0.0</v>
      </c>
      <c r="H29" s="20">
        <v>151.0</v>
      </c>
      <c r="I29" s="20">
        <v>0.0</v>
      </c>
      <c r="J29" s="20">
        <f t="shared" si="1"/>
        <v>151</v>
      </c>
      <c r="K29" s="20">
        <v>157.0</v>
      </c>
      <c r="L29" s="20">
        <v>162.4</v>
      </c>
      <c r="M29" s="22">
        <v>26.0</v>
      </c>
      <c r="N29" s="20">
        <f t="shared" si="2"/>
        <v>27.96291391</v>
      </c>
      <c r="O29" s="23">
        <v>28.072847682119203</v>
      </c>
      <c r="P29" s="20">
        <v>0.0</v>
      </c>
      <c r="Q29" s="20">
        <v>0.0</v>
      </c>
      <c r="R29" s="20">
        <v>0.0</v>
      </c>
      <c r="S29" s="2"/>
      <c r="T29" s="2">
        <v>1445220.0</v>
      </c>
      <c r="U29" s="24">
        <f t="shared" si="3"/>
        <v>218228220</v>
      </c>
      <c r="V29" s="24">
        <f t="shared" si="4"/>
        <v>234703728</v>
      </c>
      <c r="W29" s="2"/>
      <c r="X29" s="2"/>
      <c r="Y29" s="2"/>
      <c r="Z29" s="2"/>
    </row>
    <row r="30" ht="12.75" customHeight="1">
      <c r="A30" s="8" t="s">
        <v>54</v>
      </c>
      <c r="B30" s="8" t="s">
        <v>27</v>
      </c>
      <c r="C30" s="8">
        <v>14.0</v>
      </c>
      <c r="D30" s="20">
        <v>388.0</v>
      </c>
      <c r="E30" s="20">
        <v>85.0</v>
      </c>
      <c r="F30" s="20">
        <v>0.0</v>
      </c>
      <c r="G30" s="21">
        <v>0.0</v>
      </c>
      <c r="H30" s="20">
        <v>148.0</v>
      </c>
      <c r="I30" s="20">
        <v>0.0</v>
      </c>
      <c r="J30" s="20">
        <f t="shared" si="1"/>
        <v>148</v>
      </c>
      <c r="K30" s="20">
        <v>325.0</v>
      </c>
      <c r="L30" s="20">
        <v>317.666666666667</v>
      </c>
      <c r="M30" s="22">
        <v>26.0</v>
      </c>
      <c r="N30" s="20">
        <f t="shared" si="2"/>
        <v>55.80630631</v>
      </c>
      <c r="O30" s="23">
        <v>59.29054054054054</v>
      </c>
      <c r="P30" s="20">
        <v>15.0</v>
      </c>
      <c r="Q30" s="20">
        <v>0.0</v>
      </c>
      <c r="R30" s="20">
        <v>0.0</v>
      </c>
      <c r="S30" s="2"/>
      <c r="T30" s="2">
        <v>1445220.0</v>
      </c>
      <c r="U30" s="24">
        <f t="shared" si="3"/>
        <v>213892560</v>
      </c>
      <c r="V30" s="24">
        <f t="shared" si="4"/>
        <v>459098220</v>
      </c>
      <c r="W30" s="2"/>
      <c r="X30" s="2"/>
      <c r="Y30" s="2"/>
      <c r="Z30" s="2"/>
    </row>
    <row r="31" ht="12.75" customHeight="1">
      <c r="A31" s="8" t="s">
        <v>55</v>
      </c>
      <c r="B31" s="8" t="s">
        <v>27</v>
      </c>
      <c r="C31" s="8">
        <v>14.0</v>
      </c>
      <c r="D31" s="20">
        <v>207.0</v>
      </c>
      <c r="E31" s="20">
        <v>141.0</v>
      </c>
      <c r="F31" s="20">
        <v>0.0</v>
      </c>
      <c r="G31" s="21">
        <v>0.0</v>
      </c>
      <c r="H31" s="20">
        <v>152.0</v>
      </c>
      <c r="I31" s="20">
        <v>0.0</v>
      </c>
      <c r="J31" s="20">
        <f t="shared" si="1"/>
        <v>152</v>
      </c>
      <c r="K31" s="20">
        <v>196.0</v>
      </c>
      <c r="L31" s="20">
        <v>199.4</v>
      </c>
      <c r="M31" s="22">
        <v>26.0</v>
      </c>
      <c r="N31" s="20">
        <f t="shared" si="2"/>
        <v>34.10789474</v>
      </c>
      <c r="O31" s="23">
        <v>34.81578947368421</v>
      </c>
      <c r="P31" s="20">
        <v>0.0</v>
      </c>
      <c r="Q31" s="20">
        <v>100.0</v>
      </c>
      <c r="R31" s="20">
        <v>0.0</v>
      </c>
      <c r="S31" s="2"/>
      <c r="T31" s="2">
        <v>1272550.0</v>
      </c>
      <c r="U31" s="24">
        <f t="shared" si="3"/>
        <v>193427600</v>
      </c>
      <c r="V31" s="24">
        <f t="shared" si="4"/>
        <v>253746470</v>
      </c>
      <c r="W31" s="2"/>
      <c r="X31" s="2"/>
      <c r="Y31" s="2"/>
      <c r="Z31" s="2"/>
    </row>
    <row r="32" ht="12.75" customHeight="1">
      <c r="A32" s="8" t="s">
        <v>56</v>
      </c>
      <c r="B32" s="8" t="s">
        <v>27</v>
      </c>
      <c r="C32" s="8">
        <v>14.0</v>
      </c>
      <c r="D32" s="20">
        <v>49.0</v>
      </c>
      <c r="E32" s="20">
        <v>0.0</v>
      </c>
      <c r="F32" s="20">
        <v>0.0</v>
      </c>
      <c r="G32" s="21">
        <v>0.0</v>
      </c>
      <c r="H32" s="20">
        <v>49.0</v>
      </c>
      <c r="I32" s="20">
        <v>0.0</v>
      </c>
      <c r="J32" s="20">
        <f t="shared" si="1"/>
        <v>49</v>
      </c>
      <c r="K32" s="20">
        <v>0.0</v>
      </c>
      <c r="L32" s="20">
        <v>0.0</v>
      </c>
      <c r="M32" s="22">
        <v>26.0</v>
      </c>
      <c r="N32" s="20">
        <f t="shared" si="2"/>
        <v>0</v>
      </c>
      <c r="O32" s="23">
        <v>0.0</v>
      </c>
      <c r="P32" s="20">
        <v>0.0</v>
      </c>
      <c r="Q32" s="20">
        <v>0.0</v>
      </c>
      <c r="R32" s="20">
        <v>0.0</v>
      </c>
      <c r="S32" s="2"/>
      <c r="T32" s="2">
        <v>819485.0</v>
      </c>
      <c r="U32" s="24">
        <f t="shared" si="3"/>
        <v>40154765</v>
      </c>
      <c r="V32" s="24">
        <f t="shared" si="4"/>
        <v>0</v>
      </c>
      <c r="W32" s="2"/>
      <c r="X32" s="2"/>
      <c r="Y32" s="2"/>
      <c r="Z32" s="2"/>
    </row>
    <row r="33" ht="12.75" customHeight="1">
      <c r="A33" s="8" t="s">
        <v>57</v>
      </c>
      <c r="B33" s="8" t="s">
        <v>27</v>
      </c>
      <c r="C33" s="8">
        <v>14.0</v>
      </c>
      <c r="D33" s="20">
        <v>139.0</v>
      </c>
      <c r="E33" s="20">
        <v>0.0</v>
      </c>
      <c r="F33" s="20">
        <v>0.0</v>
      </c>
      <c r="G33" s="21">
        <v>0.0</v>
      </c>
      <c r="H33" s="20">
        <v>67.0</v>
      </c>
      <c r="I33" s="20">
        <v>0.0</v>
      </c>
      <c r="J33" s="20">
        <f t="shared" si="1"/>
        <v>67</v>
      </c>
      <c r="K33" s="20">
        <v>72.0</v>
      </c>
      <c r="L33" s="20">
        <v>87.0</v>
      </c>
      <c r="M33" s="22">
        <v>26.0</v>
      </c>
      <c r="N33" s="20">
        <f t="shared" si="2"/>
        <v>33.76119403</v>
      </c>
      <c r="O33" s="23">
        <v>29.01492537313433</v>
      </c>
      <c r="P33" s="20">
        <v>0.0</v>
      </c>
      <c r="Q33" s="20">
        <v>0.0</v>
      </c>
      <c r="R33" s="20">
        <v>0.0</v>
      </c>
      <c r="S33" s="2"/>
      <c r="T33" s="2">
        <v>819485.0</v>
      </c>
      <c r="U33" s="24">
        <f t="shared" si="3"/>
        <v>54905495</v>
      </c>
      <c r="V33" s="24">
        <f t="shared" si="4"/>
        <v>71295195</v>
      </c>
      <c r="W33" s="2"/>
      <c r="X33" s="2"/>
      <c r="Y33" s="2"/>
      <c r="Z33" s="2"/>
    </row>
    <row r="34" ht="12.75" customHeight="1">
      <c r="A34" s="8" t="s">
        <v>58</v>
      </c>
      <c r="B34" s="8" t="s">
        <v>27</v>
      </c>
      <c r="C34" s="8">
        <v>14.0</v>
      </c>
      <c r="D34" s="20">
        <v>387.0</v>
      </c>
      <c r="E34" s="20">
        <v>105.0</v>
      </c>
      <c r="F34" s="20">
        <v>0.0</v>
      </c>
      <c r="G34" s="21">
        <v>0.0</v>
      </c>
      <c r="H34" s="20">
        <v>207.0</v>
      </c>
      <c r="I34" s="20">
        <v>0.0</v>
      </c>
      <c r="J34" s="20">
        <f t="shared" si="1"/>
        <v>207</v>
      </c>
      <c r="K34" s="20">
        <v>285.0</v>
      </c>
      <c r="L34" s="20">
        <v>283.5</v>
      </c>
      <c r="M34" s="22">
        <v>26.0</v>
      </c>
      <c r="N34" s="20">
        <f t="shared" si="2"/>
        <v>35.60869565</v>
      </c>
      <c r="O34" s="23">
        <v>37.17391304347826</v>
      </c>
      <c r="P34" s="20">
        <v>0.0</v>
      </c>
      <c r="Q34" s="20">
        <v>0.0</v>
      </c>
      <c r="R34" s="20">
        <v>0.0</v>
      </c>
      <c r="S34" s="2"/>
      <c r="T34" s="2">
        <v>819485.0</v>
      </c>
      <c r="U34" s="24">
        <f t="shared" si="3"/>
        <v>169633395</v>
      </c>
      <c r="V34" s="24">
        <f t="shared" si="4"/>
        <v>232323997.5</v>
      </c>
      <c r="W34" s="2"/>
      <c r="X34" s="2"/>
      <c r="Y34" s="2"/>
      <c r="Z34" s="2"/>
    </row>
    <row r="35" ht="12.75" customHeight="1">
      <c r="A35" s="8" t="s">
        <v>59</v>
      </c>
      <c r="B35" s="8" t="s">
        <v>27</v>
      </c>
      <c r="C35" s="8">
        <v>14.0</v>
      </c>
      <c r="D35" s="20">
        <v>203.0</v>
      </c>
      <c r="E35" s="20">
        <v>1156.0</v>
      </c>
      <c r="F35" s="20">
        <v>0.0</v>
      </c>
      <c r="G35" s="21">
        <v>0.0</v>
      </c>
      <c r="H35" s="20">
        <v>1038.0</v>
      </c>
      <c r="I35" s="20">
        <v>0.0</v>
      </c>
      <c r="J35" s="20">
        <f t="shared" si="1"/>
        <v>1038</v>
      </c>
      <c r="K35" s="20">
        <v>321.0</v>
      </c>
      <c r="L35" s="20">
        <v>425.3125</v>
      </c>
      <c r="M35" s="22">
        <v>26.0</v>
      </c>
      <c r="N35" s="20">
        <f t="shared" si="2"/>
        <v>10.65329961</v>
      </c>
      <c r="O35" s="23">
        <v>8.349710982658959</v>
      </c>
      <c r="P35" s="20">
        <v>8.11</v>
      </c>
      <c r="Q35" s="20">
        <v>300.0</v>
      </c>
      <c r="R35" s="20">
        <v>0.0</v>
      </c>
      <c r="S35" s="2"/>
      <c r="T35" s="2">
        <v>819485.0</v>
      </c>
      <c r="U35" s="24">
        <f t="shared" si="3"/>
        <v>850625430</v>
      </c>
      <c r="V35" s="24">
        <f t="shared" si="4"/>
        <v>348537214.1</v>
      </c>
      <c r="W35" s="2"/>
      <c r="X35" s="2"/>
      <c r="Y35" s="2"/>
      <c r="Z35" s="2"/>
    </row>
    <row r="36" ht="12.75" customHeight="1">
      <c r="A36" s="8" t="s">
        <v>60</v>
      </c>
      <c r="B36" s="8" t="s">
        <v>27</v>
      </c>
      <c r="C36" s="8">
        <v>14.0</v>
      </c>
      <c r="D36" s="20">
        <v>114.0</v>
      </c>
      <c r="E36" s="20">
        <v>0.0</v>
      </c>
      <c r="F36" s="20">
        <v>0.0</v>
      </c>
      <c r="G36" s="21">
        <v>0.0</v>
      </c>
      <c r="H36" s="20">
        <v>0.0</v>
      </c>
      <c r="I36" s="20">
        <v>0.0</v>
      </c>
      <c r="J36" s="20">
        <f t="shared" si="1"/>
        <v>0</v>
      </c>
      <c r="K36" s="20">
        <v>114.0</v>
      </c>
      <c r="L36" s="20">
        <v>0.0</v>
      </c>
      <c r="M36" s="22">
        <v>26.0</v>
      </c>
      <c r="N36" s="20">
        <v>0.0</v>
      </c>
      <c r="O36" s="23">
        <v>0.0</v>
      </c>
      <c r="P36" s="20">
        <v>0.0</v>
      </c>
      <c r="Q36" s="20">
        <v>25.0</v>
      </c>
      <c r="R36" s="20">
        <v>0.0</v>
      </c>
      <c r="S36" s="2"/>
      <c r="T36" s="2">
        <v>1481800.0</v>
      </c>
      <c r="U36" s="24">
        <f t="shared" si="3"/>
        <v>0</v>
      </c>
      <c r="V36" s="24">
        <f t="shared" si="4"/>
        <v>0</v>
      </c>
      <c r="W36" s="2"/>
      <c r="X36" s="2"/>
      <c r="Y36" s="2"/>
      <c r="Z36" s="2"/>
    </row>
    <row r="37" ht="12.75" customHeight="1">
      <c r="A37" s="8" t="s">
        <v>61</v>
      </c>
      <c r="B37" s="8" t="s">
        <v>27</v>
      </c>
      <c r="C37" s="8">
        <v>14.0</v>
      </c>
      <c r="D37" s="20">
        <v>2.0</v>
      </c>
      <c r="E37" s="20">
        <v>26.0</v>
      </c>
      <c r="F37" s="20">
        <v>0.0</v>
      </c>
      <c r="G37" s="21">
        <v>0.0</v>
      </c>
      <c r="H37" s="20">
        <v>6.0</v>
      </c>
      <c r="I37" s="20">
        <v>0.0</v>
      </c>
      <c r="J37" s="20">
        <f t="shared" si="1"/>
        <v>6</v>
      </c>
      <c r="K37" s="20">
        <v>22.0</v>
      </c>
      <c r="L37" s="20">
        <v>18.0</v>
      </c>
      <c r="M37" s="22">
        <v>26.0</v>
      </c>
      <c r="N37" s="20">
        <f t="shared" ref="N37:N45" si="5">(L37/(H37+I37))*M37</f>
        <v>78</v>
      </c>
      <c r="O37" s="23">
        <v>99.0</v>
      </c>
      <c r="P37" s="20">
        <v>0.0</v>
      </c>
      <c r="Q37" s="20">
        <v>0.0</v>
      </c>
      <c r="R37" s="20">
        <v>0.0</v>
      </c>
      <c r="S37" s="2"/>
      <c r="T37" s="2">
        <v>1481800.0</v>
      </c>
      <c r="U37" s="24">
        <f t="shared" si="3"/>
        <v>8890800</v>
      </c>
      <c r="V37" s="24">
        <f t="shared" si="4"/>
        <v>26672400</v>
      </c>
      <c r="W37" s="2"/>
      <c r="X37" s="2"/>
      <c r="Y37" s="2"/>
      <c r="Z37" s="2"/>
    </row>
    <row r="38" ht="12.75" customHeight="1">
      <c r="A38" s="8" t="s">
        <v>62</v>
      </c>
      <c r="B38" s="8" t="s">
        <v>27</v>
      </c>
      <c r="C38" s="8">
        <v>14.0</v>
      </c>
      <c r="D38" s="20">
        <v>31.0</v>
      </c>
      <c r="E38" s="20">
        <v>0.0</v>
      </c>
      <c r="F38" s="20">
        <v>0.0</v>
      </c>
      <c r="G38" s="21">
        <v>0.0</v>
      </c>
      <c r="H38" s="20">
        <v>10.0</v>
      </c>
      <c r="I38" s="20">
        <v>0.0</v>
      </c>
      <c r="J38" s="20">
        <f t="shared" si="1"/>
        <v>10</v>
      </c>
      <c r="K38" s="20">
        <v>21.0</v>
      </c>
      <c r="L38" s="20">
        <v>24.5</v>
      </c>
      <c r="M38" s="22">
        <v>26.0</v>
      </c>
      <c r="N38" s="20">
        <f t="shared" si="5"/>
        <v>63.7</v>
      </c>
      <c r="O38" s="23">
        <v>56.7</v>
      </c>
      <c r="P38" s="20">
        <v>0.0</v>
      </c>
      <c r="Q38" s="20">
        <v>0.0</v>
      </c>
      <c r="R38" s="20">
        <v>0.0</v>
      </c>
      <c r="S38" s="2"/>
      <c r="T38" s="2">
        <v>1481800.0</v>
      </c>
      <c r="U38" s="24">
        <f t="shared" si="3"/>
        <v>14818000</v>
      </c>
      <c r="V38" s="24">
        <f t="shared" si="4"/>
        <v>36304100</v>
      </c>
      <c r="W38" s="2"/>
      <c r="X38" s="2"/>
      <c r="Y38" s="2"/>
      <c r="Z38" s="2"/>
    </row>
    <row r="39" ht="12.75" customHeight="1">
      <c r="A39" s="8" t="s">
        <v>63</v>
      </c>
      <c r="B39" s="8" t="s">
        <v>27</v>
      </c>
      <c r="C39" s="8">
        <v>14.0</v>
      </c>
      <c r="D39" s="20">
        <v>13.0</v>
      </c>
      <c r="E39" s="20">
        <v>52.0</v>
      </c>
      <c r="F39" s="20">
        <v>0.0</v>
      </c>
      <c r="G39" s="21">
        <v>0.0</v>
      </c>
      <c r="H39" s="20">
        <v>4.0</v>
      </c>
      <c r="I39" s="20">
        <v>0.0</v>
      </c>
      <c r="J39" s="20">
        <f t="shared" si="1"/>
        <v>4</v>
      </c>
      <c r="K39" s="20">
        <v>61.0</v>
      </c>
      <c r="L39" s="20">
        <v>35.0</v>
      </c>
      <c r="M39" s="22">
        <v>26.0</v>
      </c>
      <c r="N39" s="20">
        <f t="shared" si="5"/>
        <v>227.5</v>
      </c>
      <c r="O39" s="23">
        <v>411.75</v>
      </c>
      <c r="P39" s="20">
        <v>0.0</v>
      </c>
      <c r="Q39" s="20">
        <v>0.0</v>
      </c>
      <c r="R39" s="20">
        <v>0.0</v>
      </c>
      <c r="S39" s="2"/>
      <c r="T39" s="2">
        <v>1481800.0</v>
      </c>
      <c r="U39" s="24">
        <f t="shared" si="3"/>
        <v>5927200</v>
      </c>
      <c r="V39" s="24">
        <f t="shared" si="4"/>
        <v>51863000</v>
      </c>
      <c r="W39" s="2"/>
      <c r="X39" s="2"/>
      <c r="Y39" s="2"/>
      <c r="Z39" s="2"/>
    </row>
    <row r="40" ht="12.75" customHeight="1">
      <c r="A40" s="8" t="s">
        <v>64</v>
      </c>
      <c r="B40" s="8" t="s">
        <v>27</v>
      </c>
      <c r="C40" s="8">
        <v>14.0</v>
      </c>
      <c r="D40" s="20">
        <v>30.0</v>
      </c>
      <c r="E40" s="20">
        <v>24.0</v>
      </c>
      <c r="F40" s="20">
        <v>0.0</v>
      </c>
      <c r="G40" s="21">
        <v>0.0</v>
      </c>
      <c r="H40" s="20">
        <v>2.0</v>
      </c>
      <c r="I40" s="20">
        <v>0.0</v>
      </c>
      <c r="J40" s="20">
        <f t="shared" si="1"/>
        <v>2</v>
      </c>
      <c r="K40" s="20">
        <v>52.0</v>
      </c>
      <c r="L40" s="20">
        <v>53.0</v>
      </c>
      <c r="M40" s="22">
        <v>26.0</v>
      </c>
      <c r="N40" s="20">
        <f t="shared" si="5"/>
        <v>689</v>
      </c>
      <c r="O40" s="23">
        <v>702.0</v>
      </c>
      <c r="P40" s="20">
        <v>1.0</v>
      </c>
      <c r="Q40" s="20">
        <v>0.0</v>
      </c>
      <c r="R40" s="20">
        <v>0.0</v>
      </c>
      <c r="S40" s="2"/>
      <c r="T40" s="2">
        <v>1481800.0</v>
      </c>
      <c r="U40" s="24">
        <f t="shared" si="3"/>
        <v>2963600</v>
      </c>
      <c r="V40" s="24">
        <f t="shared" si="4"/>
        <v>78535400</v>
      </c>
      <c r="W40" s="2"/>
      <c r="X40" s="2"/>
      <c r="Y40" s="2"/>
      <c r="Z40" s="2"/>
    </row>
    <row r="41" ht="12.75" customHeight="1">
      <c r="A41" s="8" t="s">
        <v>65</v>
      </c>
      <c r="B41" s="8" t="s">
        <v>27</v>
      </c>
      <c r="C41" s="8">
        <v>14.0</v>
      </c>
      <c r="D41" s="20">
        <v>71.0</v>
      </c>
      <c r="E41" s="20">
        <v>105.0</v>
      </c>
      <c r="F41" s="20">
        <v>0.0</v>
      </c>
      <c r="G41" s="21">
        <v>0.0</v>
      </c>
      <c r="H41" s="20">
        <v>31.0</v>
      </c>
      <c r="I41" s="20">
        <v>0.0</v>
      </c>
      <c r="J41" s="20">
        <f t="shared" si="1"/>
        <v>31</v>
      </c>
      <c r="K41" s="20">
        <v>145.0</v>
      </c>
      <c r="L41" s="20">
        <v>162.333333333333</v>
      </c>
      <c r="M41" s="22">
        <v>26.0</v>
      </c>
      <c r="N41" s="20">
        <f t="shared" si="5"/>
        <v>136.1505376</v>
      </c>
      <c r="O41" s="23">
        <v>126.29032258064517</v>
      </c>
      <c r="P41" s="20">
        <v>0.0</v>
      </c>
      <c r="Q41" s="20">
        <v>0.0</v>
      </c>
      <c r="R41" s="20">
        <v>0.0</v>
      </c>
      <c r="S41" s="2"/>
      <c r="T41" s="2">
        <v>942555.0</v>
      </c>
      <c r="U41" s="24">
        <f t="shared" si="3"/>
        <v>29219205</v>
      </c>
      <c r="V41" s="24">
        <f t="shared" si="4"/>
        <v>153008095</v>
      </c>
      <c r="W41" s="2"/>
      <c r="X41" s="2"/>
      <c r="Y41" s="2"/>
      <c r="Z41" s="2"/>
    </row>
    <row r="42" ht="12.75" customHeight="1">
      <c r="A42" s="8" t="s">
        <v>66</v>
      </c>
      <c r="B42" s="8" t="s">
        <v>27</v>
      </c>
      <c r="C42" s="8">
        <v>14.0</v>
      </c>
      <c r="D42" s="20">
        <v>2.0</v>
      </c>
      <c r="E42" s="20">
        <v>184.0</v>
      </c>
      <c r="F42" s="20">
        <v>0.0</v>
      </c>
      <c r="G42" s="21">
        <v>0.0</v>
      </c>
      <c r="H42" s="20">
        <v>74.0</v>
      </c>
      <c r="I42" s="20">
        <v>0.0</v>
      </c>
      <c r="J42" s="20">
        <f t="shared" si="1"/>
        <v>74</v>
      </c>
      <c r="K42" s="20">
        <v>112.0</v>
      </c>
      <c r="L42" s="20">
        <v>80.0</v>
      </c>
      <c r="M42" s="22">
        <v>26.0</v>
      </c>
      <c r="N42" s="20">
        <f t="shared" si="5"/>
        <v>28.10810811</v>
      </c>
      <c r="O42" s="23">
        <v>40.86486486486487</v>
      </c>
      <c r="P42" s="20">
        <v>0.0</v>
      </c>
      <c r="Q42" s="20">
        <v>0.0</v>
      </c>
      <c r="R42" s="20">
        <v>0.0</v>
      </c>
      <c r="S42" s="2"/>
      <c r="T42" s="2">
        <v>958675.0</v>
      </c>
      <c r="U42" s="24">
        <f t="shared" si="3"/>
        <v>70941950</v>
      </c>
      <c r="V42" s="24">
        <f t="shared" si="4"/>
        <v>76694000</v>
      </c>
      <c r="W42" s="2"/>
      <c r="X42" s="2"/>
      <c r="Y42" s="2"/>
      <c r="Z42" s="2"/>
    </row>
    <row r="43" ht="12.75" customHeight="1">
      <c r="A43" s="8" t="s">
        <v>67</v>
      </c>
      <c r="B43" s="8" t="s">
        <v>27</v>
      </c>
      <c r="C43" s="8">
        <v>14.0</v>
      </c>
      <c r="D43" s="20">
        <v>185.0</v>
      </c>
      <c r="E43" s="20">
        <v>159.0</v>
      </c>
      <c r="F43" s="20">
        <v>0.0</v>
      </c>
      <c r="G43" s="21">
        <v>0.0</v>
      </c>
      <c r="H43" s="20">
        <v>238.0</v>
      </c>
      <c r="I43" s="20">
        <v>0.0</v>
      </c>
      <c r="J43" s="20">
        <f t="shared" si="1"/>
        <v>238</v>
      </c>
      <c r="K43" s="20">
        <v>106.0</v>
      </c>
      <c r="L43" s="20">
        <v>100.333333333333</v>
      </c>
      <c r="M43" s="22">
        <v>26.0</v>
      </c>
      <c r="N43" s="20">
        <f t="shared" si="5"/>
        <v>10.96078431</v>
      </c>
      <c r="O43" s="23">
        <v>12.025210084033613</v>
      </c>
      <c r="P43" s="20">
        <v>0.0</v>
      </c>
      <c r="Q43" s="20">
        <v>0.0</v>
      </c>
      <c r="R43" s="20">
        <v>0.0</v>
      </c>
      <c r="S43" s="2"/>
      <c r="T43" s="2">
        <v>848935.0</v>
      </c>
      <c r="U43" s="24">
        <f t="shared" si="3"/>
        <v>202046530</v>
      </c>
      <c r="V43" s="24">
        <f t="shared" si="4"/>
        <v>85176478.33</v>
      </c>
      <c r="W43" s="2"/>
      <c r="X43" s="2"/>
      <c r="Y43" s="2"/>
      <c r="Z43" s="2"/>
    </row>
    <row r="44" ht="12.75" customHeight="1">
      <c r="A44" s="8" t="s">
        <v>68</v>
      </c>
      <c r="B44" s="8" t="s">
        <v>27</v>
      </c>
      <c r="C44" s="8">
        <v>14.0</v>
      </c>
      <c r="D44" s="20">
        <v>799.0</v>
      </c>
      <c r="E44" s="20">
        <v>0.0</v>
      </c>
      <c r="F44" s="20">
        <v>0.0</v>
      </c>
      <c r="G44" s="21">
        <v>0.0</v>
      </c>
      <c r="H44" s="20">
        <v>178.0</v>
      </c>
      <c r="I44" s="20">
        <v>0.0</v>
      </c>
      <c r="J44" s="20">
        <f t="shared" si="1"/>
        <v>178</v>
      </c>
      <c r="K44" s="20">
        <v>621.0</v>
      </c>
      <c r="L44" s="20">
        <v>687.5</v>
      </c>
      <c r="M44" s="22">
        <v>26.0</v>
      </c>
      <c r="N44" s="20">
        <f t="shared" si="5"/>
        <v>100.4213483</v>
      </c>
      <c r="O44" s="23">
        <v>94.19662921348315</v>
      </c>
      <c r="P44" s="20">
        <v>0.0</v>
      </c>
      <c r="Q44" s="20">
        <v>0.0</v>
      </c>
      <c r="R44" s="20">
        <v>0.0</v>
      </c>
      <c r="S44" s="2"/>
      <c r="T44" s="2">
        <v>1012770.0</v>
      </c>
      <c r="U44" s="24">
        <f t="shared" si="3"/>
        <v>180273060</v>
      </c>
      <c r="V44" s="24">
        <f t="shared" si="4"/>
        <v>696279375</v>
      </c>
      <c r="W44" s="2"/>
      <c r="X44" s="2"/>
      <c r="Y44" s="2"/>
      <c r="Z44" s="2"/>
    </row>
    <row r="45" ht="12.75" customHeight="1">
      <c r="A45" s="8" t="s">
        <v>69</v>
      </c>
      <c r="B45" s="8" t="s">
        <v>27</v>
      </c>
      <c r="C45" s="8">
        <v>14.0</v>
      </c>
      <c r="D45" s="20">
        <v>869.0</v>
      </c>
      <c r="E45" s="20">
        <v>0.0</v>
      </c>
      <c r="F45" s="20">
        <v>0.0</v>
      </c>
      <c r="G45" s="21">
        <v>0.0</v>
      </c>
      <c r="H45" s="20">
        <v>510.0</v>
      </c>
      <c r="I45" s="20">
        <v>0.0</v>
      </c>
      <c r="J45" s="20">
        <f t="shared" si="1"/>
        <v>510</v>
      </c>
      <c r="K45" s="20">
        <v>359.0</v>
      </c>
      <c r="L45" s="20">
        <v>580.5</v>
      </c>
      <c r="M45" s="22">
        <v>26.0</v>
      </c>
      <c r="N45" s="20">
        <f t="shared" si="5"/>
        <v>29.59411765</v>
      </c>
      <c r="O45" s="23">
        <v>19.00588235294118</v>
      </c>
      <c r="P45" s="20">
        <v>0.0</v>
      </c>
      <c r="Q45" s="20">
        <v>0.0</v>
      </c>
      <c r="R45" s="20">
        <v>0.0</v>
      </c>
      <c r="S45" s="2"/>
      <c r="T45" s="2">
        <v>1012770.0</v>
      </c>
      <c r="U45" s="24">
        <f t="shared" si="3"/>
        <v>516512700</v>
      </c>
      <c r="V45" s="24">
        <f t="shared" si="4"/>
        <v>587912985</v>
      </c>
      <c r="W45" s="2"/>
      <c r="X45" s="2"/>
      <c r="Y45" s="2"/>
      <c r="Z45" s="2"/>
    </row>
    <row r="46" ht="12.75" customHeight="1">
      <c r="A46" s="8" t="s">
        <v>70</v>
      </c>
      <c r="B46" s="8" t="s">
        <v>27</v>
      </c>
      <c r="C46" s="8">
        <v>14.0</v>
      </c>
      <c r="D46" s="20">
        <v>20.0</v>
      </c>
      <c r="E46" s="20">
        <v>0.0</v>
      </c>
      <c r="F46" s="20">
        <v>0.0</v>
      </c>
      <c r="G46" s="21">
        <v>0.0</v>
      </c>
      <c r="H46" s="20">
        <v>0.0</v>
      </c>
      <c r="I46" s="20">
        <v>0.0</v>
      </c>
      <c r="J46" s="20">
        <f t="shared" si="1"/>
        <v>0</v>
      </c>
      <c r="K46" s="20">
        <v>20.0</v>
      </c>
      <c r="L46" s="20">
        <v>0.0</v>
      </c>
      <c r="M46" s="22">
        <v>26.0</v>
      </c>
      <c r="N46" s="20">
        <v>0.0</v>
      </c>
      <c r="O46" s="23">
        <v>0.0</v>
      </c>
      <c r="P46" s="20">
        <v>0.0</v>
      </c>
      <c r="Q46" s="20">
        <v>0.0</v>
      </c>
      <c r="R46" s="20">
        <v>0.0</v>
      </c>
      <c r="S46" s="2"/>
      <c r="T46" s="2">
        <v>1237210.0</v>
      </c>
      <c r="U46" s="24">
        <f t="shared" si="3"/>
        <v>0</v>
      </c>
      <c r="V46" s="24">
        <f t="shared" si="4"/>
        <v>0</v>
      </c>
      <c r="W46" s="2"/>
      <c r="X46" s="2"/>
      <c r="Y46" s="2"/>
      <c r="Z46" s="2"/>
    </row>
    <row r="47" ht="12.75" customHeight="1">
      <c r="A47" s="8" t="s">
        <v>71</v>
      </c>
      <c r="B47" s="8" t="s">
        <v>27</v>
      </c>
      <c r="C47" s="8">
        <v>14.0</v>
      </c>
      <c r="D47" s="20">
        <v>12.0</v>
      </c>
      <c r="E47" s="20">
        <v>51.0</v>
      </c>
      <c r="F47" s="20">
        <v>0.0</v>
      </c>
      <c r="G47" s="21">
        <v>0.0</v>
      </c>
      <c r="H47" s="20">
        <v>4.0</v>
      </c>
      <c r="I47" s="20">
        <v>0.0</v>
      </c>
      <c r="J47" s="20">
        <f t="shared" si="1"/>
        <v>4</v>
      </c>
      <c r="K47" s="20">
        <v>59.0</v>
      </c>
      <c r="L47" s="20">
        <v>36.6666666666667</v>
      </c>
      <c r="M47" s="22">
        <v>26.0</v>
      </c>
      <c r="N47" s="20">
        <f t="shared" ref="N47:N48" si="6">(L47/(H47+I47))*M47</f>
        <v>238.3333333</v>
      </c>
      <c r="O47" s="23">
        <v>398.25</v>
      </c>
      <c r="P47" s="20">
        <v>0.0</v>
      </c>
      <c r="Q47" s="20">
        <v>0.0</v>
      </c>
      <c r="R47" s="20">
        <v>0.0</v>
      </c>
      <c r="S47" s="2"/>
      <c r="T47" s="2">
        <v>1436695.0</v>
      </c>
      <c r="U47" s="24">
        <f t="shared" si="3"/>
        <v>5746780</v>
      </c>
      <c r="V47" s="24">
        <f t="shared" si="4"/>
        <v>52678816.67</v>
      </c>
      <c r="W47" s="2"/>
      <c r="X47" s="2"/>
      <c r="Y47" s="2"/>
      <c r="Z47" s="2"/>
    </row>
    <row r="48" ht="12.75" customHeight="1">
      <c r="A48" s="8" t="s">
        <v>72</v>
      </c>
      <c r="B48" s="8" t="s">
        <v>27</v>
      </c>
      <c r="C48" s="8">
        <v>14.0</v>
      </c>
      <c r="D48" s="20">
        <v>1048.0</v>
      </c>
      <c r="E48" s="20">
        <v>626.0</v>
      </c>
      <c r="F48" s="20">
        <v>0.0</v>
      </c>
      <c r="G48" s="21">
        <v>0.0</v>
      </c>
      <c r="H48" s="20">
        <v>780.0</v>
      </c>
      <c r="I48" s="20">
        <v>0.0</v>
      </c>
      <c r="J48" s="20">
        <f t="shared" si="1"/>
        <v>780</v>
      </c>
      <c r="K48" s="20">
        <v>894.0</v>
      </c>
      <c r="L48" s="20">
        <v>997.4444444444441</v>
      </c>
      <c r="M48" s="22">
        <v>26.0</v>
      </c>
      <c r="N48" s="20">
        <f t="shared" si="6"/>
        <v>33.24814815</v>
      </c>
      <c r="O48" s="23">
        <v>30.946153846153845</v>
      </c>
      <c r="P48" s="20">
        <v>0.0</v>
      </c>
      <c r="Q48" s="20">
        <v>200.0</v>
      </c>
      <c r="R48" s="20">
        <v>0.0</v>
      </c>
      <c r="S48" s="2"/>
      <c r="T48" s="2">
        <v>848935.0</v>
      </c>
      <c r="U48" s="24">
        <f t="shared" si="3"/>
        <v>662169300</v>
      </c>
      <c r="V48" s="24">
        <f t="shared" si="4"/>
        <v>846765499.4</v>
      </c>
      <c r="W48" s="2"/>
      <c r="X48" s="2"/>
      <c r="Y48" s="2"/>
      <c r="Z48" s="2"/>
    </row>
    <row r="49" ht="12.75" customHeight="1">
      <c r="A49" s="8" t="s">
        <v>73</v>
      </c>
      <c r="B49" s="8" t="s">
        <v>27</v>
      </c>
      <c r="C49" s="8">
        <v>14.0</v>
      </c>
      <c r="D49" s="20">
        <v>59.0</v>
      </c>
      <c r="E49" s="20">
        <v>0.0</v>
      </c>
      <c r="F49" s="20">
        <v>0.0</v>
      </c>
      <c r="G49" s="21">
        <v>0.0</v>
      </c>
      <c r="H49" s="20">
        <v>0.0</v>
      </c>
      <c r="I49" s="20">
        <v>0.0</v>
      </c>
      <c r="J49" s="20">
        <f t="shared" si="1"/>
        <v>0</v>
      </c>
      <c r="K49" s="20">
        <v>59.0</v>
      </c>
      <c r="L49" s="20">
        <v>0.0</v>
      </c>
      <c r="M49" s="22">
        <v>26.0</v>
      </c>
      <c r="N49" s="20">
        <v>0.0</v>
      </c>
      <c r="O49" s="23">
        <v>0.0</v>
      </c>
      <c r="P49" s="20">
        <v>0.0</v>
      </c>
      <c r="Q49" s="20">
        <v>0.0</v>
      </c>
      <c r="R49" s="20">
        <v>0.0</v>
      </c>
      <c r="S49" s="2"/>
      <c r="T49" s="2">
        <v>1497718.5</v>
      </c>
      <c r="U49" s="24">
        <f t="shared" si="3"/>
        <v>0</v>
      </c>
      <c r="V49" s="24">
        <f t="shared" si="4"/>
        <v>0</v>
      </c>
      <c r="W49" s="2"/>
      <c r="X49" s="2"/>
      <c r="Y49" s="2"/>
      <c r="Z49" s="2"/>
    </row>
    <row r="50" ht="12.75" customHeight="1">
      <c r="A50" s="8" t="s">
        <v>74</v>
      </c>
      <c r="B50" s="8" t="s">
        <v>27</v>
      </c>
      <c r="C50" s="8">
        <v>14.0</v>
      </c>
      <c r="D50" s="20">
        <v>278.0</v>
      </c>
      <c r="E50" s="20">
        <v>961.0</v>
      </c>
      <c r="F50" s="20">
        <v>0.0</v>
      </c>
      <c r="G50" s="21">
        <v>0.0</v>
      </c>
      <c r="H50" s="20">
        <v>590.0</v>
      </c>
      <c r="I50" s="20">
        <v>0.0</v>
      </c>
      <c r="J50" s="20">
        <f t="shared" si="1"/>
        <v>590</v>
      </c>
      <c r="K50" s="20">
        <v>649.0</v>
      </c>
      <c r="L50" s="20">
        <v>570.882352941176</v>
      </c>
      <c r="M50" s="22">
        <v>26.0</v>
      </c>
      <c r="N50" s="20">
        <f t="shared" ref="N50:N58" si="7">(L50/(H50+I50))*M50</f>
        <v>25.15752742</v>
      </c>
      <c r="O50" s="23">
        <v>29.700000000000003</v>
      </c>
      <c r="P50" s="20">
        <v>41.0</v>
      </c>
      <c r="Q50" s="20">
        <v>0.0</v>
      </c>
      <c r="R50" s="20">
        <v>0.0</v>
      </c>
      <c r="S50" s="2"/>
      <c r="T50" s="2">
        <v>1396550.0</v>
      </c>
      <c r="U50" s="24">
        <f t="shared" si="3"/>
        <v>823964500</v>
      </c>
      <c r="V50" s="24">
        <f t="shared" si="4"/>
        <v>797265750</v>
      </c>
      <c r="W50" s="2"/>
      <c r="X50" s="2"/>
      <c r="Y50" s="2"/>
      <c r="Z50" s="2"/>
    </row>
    <row r="51" ht="12.75" customHeight="1">
      <c r="A51" s="8" t="s">
        <v>75</v>
      </c>
      <c r="B51" s="8" t="s">
        <v>27</v>
      </c>
      <c r="C51" s="8">
        <v>14.0</v>
      </c>
      <c r="D51" s="20">
        <v>54.0</v>
      </c>
      <c r="E51" s="20">
        <v>84.0</v>
      </c>
      <c r="F51" s="20">
        <v>0.0</v>
      </c>
      <c r="G51" s="21">
        <v>0.0</v>
      </c>
      <c r="H51" s="20">
        <v>54.0</v>
      </c>
      <c r="I51" s="20">
        <v>0.0</v>
      </c>
      <c r="J51" s="20">
        <f t="shared" si="1"/>
        <v>54</v>
      </c>
      <c r="K51" s="20">
        <v>84.0</v>
      </c>
      <c r="L51" s="20">
        <v>45.5555555555556</v>
      </c>
      <c r="M51" s="22">
        <v>26.0</v>
      </c>
      <c r="N51" s="20">
        <f t="shared" si="7"/>
        <v>21.93415638</v>
      </c>
      <c r="O51" s="23">
        <v>42.0</v>
      </c>
      <c r="P51" s="20">
        <v>0.0</v>
      </c>
      <c r="Q51" s="20">
        <v>0.0</v>
      </c>
      <c r="R51" s="20">
        <v>0.0</v>
      </c>
      <c r="S51" s="2"/>
      <c r="T51" s="2">
        <v>1143590.0</v>
      </c>
      <c r="U51" s="24">
        <f t="shared" si="3"/>
        <v>61753860</v>
      </c>
      <c r="V51" s="24">
        <f t="shared" si="4"/>
        <v>52096877.78</v>
      </c>
      <c r="W51" s="2"/>
      <c r="X51" s="2"/>
      <c r="Y51" s="2"/>
      <c r="Z51" s="2"/>
    </row>
    <row r="52" ht="12.75" customHeight="1">
      <c r="A52" s="8" t="s">
        <v>76</v>
      </c>
      <c r="B52" s="8" t="s">
        <v>27</v>
      </c>
      <c r="C52" s="8">
        <v>14.0</v>
      </c>
      <c r="D52" s="20">
        <v>88.0</v>
      </c>
      <c r="E52" s="20">
        <v>99.0</v>
      </c>
      <c r="F52" s="20">
        <v>0.0</v>
      </c>
      <c r="G52" s="21">
        <v>0.0</v>
      </c>
      <c r="H52" s="20">
        <v>88.0</v>
      </c>
      <c r="I52" s="20">
        <v>0.0</v>
      </c>
      <c r="J52" s="20">
        <f t="shared" si="1"/>
        <v>88</v>
      </c>
      <c r="K52" s="20">
        <v>99.0</v>
      </c>
      <c r="L52" s="20">
        <v>79.5</v>
      </c>
      <c r="M52" s="22">
        <v>26.0</v>
      </c>
      <c r="N52" s="20">
        <f t="shared" si="7"/>
        <v>23.48863636</v>
      </c>
      <c r="O52" s="23">
        <v>30.375</v>
      </c>
      <c r="P52" s="20">
        <v>0.0</v>
      </c>
      <c r="Q52" s="20">
        <v>0.0</v>
      </c>
      <c r="R52" s="20">
        <v>0.0</v>
      </c>
      <c r="S52" s="2"/>
      <c r="T52" s="2">
        <v>954645.0</v>
      </c>
      <c r="U52" s="24">
        <f t="shared" si="3"/>
        <v>84008760</v>
      </c>
      <c r="V52" s="24">
        <f t="shared" si="4"/>
        <v>75894277.5</v>
      </c>
      <c r="W52" s="2"/>
      <c r="X52" s="2"/>
      <c r="Y52" s="2"/>
      <c r="Z52" s="2"/>
    </row>
    <row r="53" ht="12.75" customHeight="1">
      <c r="A53" s="8" t="s">
        <v>77</v>
      </c>
      <c r="B53" s="8" t="s">
        <v>27</v>
      </c>
      <c r="C53" s="8">
        <v>14.0</v>
      </c>
      <c r="D53" s="20">
        <v>160.0</v>
      </c>
      <c r="E53" s="20">
        <v>0.0</v>
      </c>
      <c r="F53" s="20">
        <v>0.0</v>
      </c>
      <c r="G53" s="21">
        <v>0.0</v>
      </c>
      <c r="H53" s="20">
        <v>20.0</v>
      </c>
      <c r="I53" s="20">
        <v>0.0</v>
      </c>
      <c r="J53" s="20">
        <f t="shared" si="1"/>
        <v>20</v>
      </c>
      <c r="K53" s="20">
        <v>140.0</v>
      </c>
      <c r="L53" s="20">
        <v>146.4</v>
      </c>
      <c r="M53" s="22">
        <v>26.0</v>
      </c>
      <c r="N53" s="20">
        <f t="shared" si="7"/>
        <v>190.32</v>
      </c>
      <c r="O53" s="23">
        <v>189.0</v>
      </c>
      <c r="P53" s="20">
        <v>0.0</v>
      </c>
      <c r="Q53" s="20">
        <v>0.0</v>
      </c>
      <c r="R53" s="20">
        <v>0.0</v>
      </c>
      <c r="S53" s="2"/>
      <c r="T53" s="2">
        <v>771202.5</v>
      </c>
      <c r="U53" s="24">
        <f t="shared" si="3"/>
        <v>15424050</v>
      </c>
      <c r="V53" s="24">
        <f t="shared" si="4"/>
        <v>112904046</v>
      </c>
      <c r="W53" s="2"/>
      <c r="X53" s="2"/>
      <c r="Y53" s="2"/>
      <c r="Z53" s="2"/>
    </row>
    <row r="54" ht="12.75" customHeight="1">
      <c r="A54" s="8" t="s">
        <v>78</v>
      </c>
      <c r="B54" s="8" t="s">
        <v>27</v>
      </c>
      <c r="C54" s="8">
        <v>14.0</v>
      </c>
      <c r="D54" s="20">
        <v>72.0</v>
      </c>
      <c r="E54" s="20">
        <v>0.0</v>
      </c>
      <c r="F54" s="20">
        <v>0.0</v>
      </c>
      <c r="G54" s="21">
        <v>0.0</v>
      </c>
      <c r="H54" s="20">
        <v>16.0</v>
      </c>
      <c r="I54" s="20">
        <v>0.0</v>
      </c>
      <c r="J54" s="20">
        <f t="shared" si="1"/>
        <v>16</v>
      </c>
      <c r="K54" s="20">
        <v>56.0</v>
      </c>
      <c r="L54" s="20">
        <v>63.3333333333333</v>
      </c>
      <c r="M54" s="22">
        <v>26.0</v>
      </c>
      <c r="N54" s="20">
        <f t="shared" si="7"/>
        <v>102.9166667</v>
      </c>
      <c r="O54" s="23">
        <v>94.5</v>
      </c>
      <c r="P54" s="20">
        <v>0.0</v>
      </c>
      <c r="Q54" s="20">
        <v>0.0</v>
      </c>
      <c r="R54" s="20">
        <v>0.0</v>
      </c>
      <c r="S54" s="2"/>
      <c r="T54" s="2">
        <v>1497718.5</v>
      </c>
      <c r="U54" s="24">
        <f t="shared" si="3"/>
        <v>23963496</v>
      </c>
      <c r="V54" s="24">
        <f t="shared" si="4"/>
        <v>94855505</v>
      </c>
      <c r="W54" s="2"/>
      <c r="X54" s="2"/>
      <c r="Y54" s="2"/>
      <c r="Z54" s="2"/>
    </row>
    <row r="55" ht="12.75" customHeight="1">
      <c r="A55" s="8" t="s">
        <v>79</v>
      </c>
      <c r="B55" s="8" t="s">
        <v>27</v>
      </c>
      <c r="C55" s="8">
        <v>14.0</v>
      </c>
      <c r="D55" s="20">
        <v>163.0</v>
      </c>
      <c r="E55" s="20">
        <v>242.0</v>
      </c>
      <c r="F55" s="20">
        <v>0.0</v>
      </c>
      <c r="G55" s="21">
        <v>0.0</v>
      </c>
      <c r="H55" s="20">
        <v>100.0</v>
      </c>
      <c r="I55" s="20">
        <v>0.0</v>
      </c>
      <c r="J55" s="20">
        <f t="shared" si="1"/>
        <v>100</v>
      </c>
      <c r="K55" s="20">
        <v>305.0</v>
      </c>
      <c r="L55" s="20">
        <v>167.333333333333</v>
      </c>
      <c r="M55" s="22">
        <v>26.0</v>
      </c>
      <c r="N55" s="20">
        <f t="shared" si="7"/>
        <v>43.50666667</v>
      </c>
      <c r="O55" s="23">
        <v>82.35</v>
      </c>
      <c r="P55" s="20">
        <v>0.0</v>
      </c>
      <c r="Q55" s="20">
        <v>0.0</v>
      </c>
      <c r="R55" s="20">
        <v>0.0</v>
      </c>
      <c r="S55" s="2"/>
      <c r="T55" s="2">
        <v>907060.0</v>
      </c>
      <c r="U55" s="24">
        <f t="shared" si="3"/>
        <v>90706000</v>
      </c>
      <c r="V55" s="24">
        <f t="shared" si="4"/>
        <v>151781373.3</v>
      </c>
      <c r="W55" s="2"/>
      <c r="X55" s="2"/>
      <c r="Y55" s="2"/>
      <c r="Z55" s="2"/>
    </row>
    <row r="56" ht="12.75" customHeight="1">
      <c r="A56" s="8" t="s">
        <v>80</v>
      </c>
      <c r="B56" s="8" t="s">
        <v>27</v>
      </c>
      <c r="C56" s="8">
        <v>14.0</v>
      </c>
      <c r="D56" s="20">
        <v>584.0</v>
      </c>
      <c r="E56" s="20">
        <v>0.0</v>
      </c>
      <c r="F56" s="20">
        <v>0.0</v>
      </c>
      <c r="G56" s="21">
        <v>0.0</v>
      </c>
      <c r="H56" s="20">
        <v>374.0</v>
      </c>
      <c r="I56" s="20">
        <v>0.0</v>
      </c>
      <c r="J56" s="20">
        <f t="shared" si="1"/>
        <v>374</v>
      </c>
      <c r="K56" s="20">
        <v>210.0</v>
      </c>
      <c r="L56" s="20">
        <v>376.0</v>
      </c>
      <c r="M56" s="22">
        <v>26.0</v>
      </c>
      <c r="N56" s="20">
        <f t="shared" si="7"/>
        <v>26.13903743</v>
      </c>
      <c r="O56" s="23">
        <v>15.16042780748663</v>
      </c>
      <c r="P56" s="20">
        <v>0.35000000000000003</v>
      </c>
      <c r="Q56" s="20">
        <v>280.0</v>
      </c>
      <c r="R56" s="20">
        <v>0.0</v>
      </c>
      <c r="S56" s="2"/>
      <c r="T56" s="2">
        <v>823515.0</v>
      </c>
      <c r="U56" s="24">
        <f t="shared" si="3"/>
        <v>307994610</v>
      </c>
      <c r="V56" s="24">
        <f t="shared" si="4"/>
        <v>309641640</v>
      </c>
      <c r="W56" s="2"/>
      <c r="X56" s="2"/>
      <c r="Y56" s="2"/>
      <c r="Z56" s="2"/>
    </row>
    <row r="57" ht="12.75" customHeight="1">
      <c r="A57" s="8" t="s">
        <v>81</v>
      </c>
      <c r="B57" s="8" t="s">
        <v>27</v>
      </c>
      <c r="C57" s="8">
        <v>14.0</v>
      </c>
      <c r="D57" s="20">
        <v>467.38</v>
      </c>
      <c r="E57" s="20">
        <v>0.0</v>
      </c>
      <c r="F57" s="20">
        <v>0.0</v>
      </c>
      <c r="G57" s="21">
        <v>0.0</v>
      </c>
      <c r="H57" s="20">
        <v>288.0</v>
      </c>
      <c r="I57" s="20">
        <v>0.0</v>
      </c>
      <c r="J57" s="20">
        <f t="shared" si="1"/>
        <v>288</v>
      </c>
      <c r="K57" s="20">
        <v>179.38</v>
      </c>
      <c r="L57" s="20">
        <v>305.38</v>
      </c>
      <c r="M57" s="22">
        <v>26.0</v>
      </c>
      <c r="N57" s="20">
        <f t="shared" si="7"/>
        <v>27.56902778</v>
      </c>
      <c r="O57" s="23">
        <v>16.816875</v>
      </c>
      <c r="P57" s="20">
        <v>0.38</v>
      </c>
      <c r="Q57" s="20">
        <v>0.0</v>
      </c>
      <c r="R57" s="20">
        <v>0.0</v>
      </c>
      <c r="S57" s="2"/>
      <c r="T57" s="2">
        <v>823515.0</v>
      </c>
      <c r="U57" s="24">
        <f t="shared" si="3"/>
        <v>237172320</v>
      </c>
      <c r="V57" s="24">
        <f t="shared" si="4"/>
        <v>251485010.7</v>
      </c>
      <c r="W57" s="2"/>
      <c r="X57" s="2"/>
      <c r="Y57" s="2"/>
      <c r="Z57" s="2"/>
    </row>
    <row r="58" ht="12.75" customHeight="1">
      <c r="A58" s="8" t="s">
        <v>82</v>
      </c>
      <c r="B58" s="8" t="s">
        <v>27</v>
      </c>
      <c r="C58" s="8">
        <v>14.0</v>
      </c>
      <c r="D58" s="20">
        <v>515.0</v>
      </c>
      <c r="E58" s="20">
        <v>5.0</v>
      </c>
      <c r="F58" s="20">
        <v>0.0</v>
      </c>
      <c r="G58" s="21">
        <v>0.0</v>
      </c>
      <c r="H58" s="20">
        <v>162.0</v>
      </c>
      <c r="I58" s="20">
        <v>0.0</v>
      </c>
      <c r="J58" s="20">
        <f t="shared" si="1"/>
        <v>162</v>
      </c>
      <c r="K58" s="20">
        <v>358.0</v>
      </c>
      <c r="L58" s="20">
        <v>394.75</v>
      </c>
      <c r="M58" s="22">
        <v>26.0</v>
      </c>
      <c r="N58" s="20">
        <f t="shared" si="7"/>
        <v>63.35493827</v>
      </c>
      <c r="O58" s="23">
        <v>59.66666666666667</v>
      </c>
      <c r="P58" s="20">
        <v>0.0</v>
      </c>
      <c r="Q58" s="20">
        <v>229.0</v>
      </c>
      <c r="R58" s="20">
        <v>0.0</v>
      </c>
      <c r="S58" s="2"/>
      <c r="T58" s="2">
        <v>823515.0</v>
      </c>
      <c r="U58" s="24">
        <f t="shared" si="3"/>
        <v>133409430</v>
      </c>
      <c r="V58" s="24">
        <f t="shared" si="4"/>
        <v>325082546.3</v>
      </c>
      <c r="W58" s="2"/>
      <c r="X58" s="2"/>
      <c r="Y58" s="2"/>
      <c r="Z58" s="2"/>
    </row>
    <row r="59" ht="12.75" customHeight="1">
      <c r="A59" s="8" t="s">
        <v>83</v>
      </c>
      <c r="B59" s="8" t="s">
        <v>27</v>
      </c>
      <c r="C59" s="8">
        <v>14.0</v>
      </c>
      <c r="D59" s="20">
        <v>26.03</v>
      </c>
      <c r="E59" s="20">
        <v>0.0</v>
      </c>
      <c r="F59" s="20">
        <v>0.0</v>
      </c>
      <c r="G59" s="21">
        <v>0.0</v>
      </c>
      <c r="H59" s="20">
        <v>0.0</v>
      </c>
      <c r="I59" s="20">
        <v>0.0</v>
      </c>
      <c r="J59" s="20">
        <f t="shared" si="1"/>
        <v>0</v>
      </c>
      <c r="K59" s="20">
        <v>26.03</v>
      </c>
      <c r="L59" s="20">
        <v>0.0</v>
      </c>
      <c r="M59" s="22">
        <v>26.0</v>
      </c>
      <c r="N59" s="20">
        <v>0.0</v>
      </c>
      <c r="O59" s="23">
        <v>0.0</v>
      </c>
      <c r="P59" s="20">
        <v>0.0</v>
      </c>
      <c r="Q59" s="20">
        <v>0.0</v>
      </c>
      <c r="R59" s="20">
        <v>0.0</v>
      </c>
      <c r="S59" s="2"/>
      <c r="T59" s="2">
        <v>823515.0</v>
      </c>
      <c r="U59" s="24">
        <f t="shared" si="3"/>
        <v>0</v>
      </c>
      <c r="V59" s="24">
        <f t="shared" si="4"/>
        <v>0</v>
      </c>
      <c r="W59" s="2"/>
      <c r="X59" s="2"/>
      <c r="Y59" s="2"/>
      <c r="Z59" s="2"/>
    </row>
    <row r="60" ht="12.75" customHeight="1">
      <c r="A60" s="8" t="s">
        <v>84</v>
      </c>
      <c r="B60" s="8" t="s">
        <v>27</v>
      </c>
      <c r="C60" s="8">
        <v>14.0</v>
      </c>
      <c r="D60" s="20">
        <v>56.0</v>
      </c>
      <c r="E60" s="20">
        <v>0.0</v>
      </c>
      <c r="F60" s="20">
        <v>0.0</v>
      </c>
      <c r="G60" s="21">
        <v>0.0</v>
      </c>
      <c r="H60" s="20">
        <v>12.0</v>
      </c>
      <c r="I60" s="20">
        <v>0.0</v>
      </c>
      <c r="J60" s="20">
        <f t="shared" si="1"/>
        <v>12</v>
      </c>
      <c r="K60" s="20">
        <v>44.0</v>
      </c>
      <c r="L60" s="20">
        <v>49.6</v>
      </c>
      <c r="M60" s="22">
        <v>26.0</v>
      </c>
      <c r="N60" s="20">
        <f t="shared" ref="N60:N72" si="8">(L60/(H60+I60))*M60</f>
        <v>107.4666667</v>
      </c>
      <c r="O60" s="23">
        <v>99.0</v>
      </c>
      <c r="P60" s="20">
        <v>0.0</v>
      </c>
      <c r="Q60" s="20">
        <v>0.0</v>
      </c>
      <c r="R60" s="20">
        <v>0.0</v>
      </c>
      <c r="S60" s="2"/>
      <c r="T60" s="2">
        <v>604345.0</v>
      </c>
      <c r="U60" s="24">
        <f t="shared" si="3"/>
        <v>7252140</v>
      </c>
      <c r="V60" s="24">
        <f t="shared" si="4"/>
        <v>29975512</v>
      </c>
      <c r="W60" s="2"/>
      <c r="X60" s="2"/>
      <c r="Y60" s="2"/>
      <c r="Z60" s="2"/>
    </row>
    <row r="61" ht="12.75" customHeight="1">
      <c r="A61" s="8" t="s">
        <v>85</v>
      </c>
      <c r="B61" s="8" t="s">
        <v>27</v>
      </c>
      <c r="C61" s="8">
        <v>14.0</v>
      </c>
      <c r="D61" s="20">
        <v>941.0</v>
      </c>
      <c r="E61" s="20">
        <v>683.0</v>
      </c>
      <c r="F61" s="20">
        <v>0.0</v>
      </c>
      <c r="G61" s="21">
        <v>0.0</v>
      </c>
      <c r="H61" s="20">
        <v>915.0</v>
      </c>
      <c r="I61" s="20">
        <v>0.0</v>
      </c>
      <c r="J61" s="20">
        <f t="shared" si="1"/>
        <v>915</v>
      </c>
      <c r="K61" s="20">
        <v>709.0</v>
      </c>
      <c r="L61" s="20">
        <v>1124.57142857143</v>
      </c>
      <c r="M61" s="22">
        <v>26.0</v>
      </c>
      <c r="N61" s="20">
        <f t="shared" si="8"/>
        <v>31.95503513</v>
      </c>
      <c r="O61" s="23">
        <v>20.921311475409833</v>
      </c>
      <c r="P61" s="20">
        <v>1333.0</v>
      </c>
      <c r="Q61" s="20">
        <v>0.0</v>
      </c>
      <c r="R61" s="20">
        <v>0.0</v>
      </c>
      <c r="S61" s="2"/>
      <c r="T61" s="2">
        <v>597835.0</v>
      </c>
      <c r="U61" s="24">
        <f t="shared" si="3"/>
        <v>547019025</v>
      </c>
      <c r="V61" s="24">
        <f t="shared" si="4"/>
        <v>672308160</v>
      </c>
      <c r="W61" s="2"/>
      <c r="X61" s="2"/>
      <c r="Y61" s="2"/>
      <c r="Z61" s="2"/>
    </row>
    <row r="62" ht="12.75" customHeight="1">
      <c r="A62" s="8" t="s">
        <v>86</v>
      </c>
      <c r="B62" s="8" t="s">
        <v>27</v>
      </c>
      <c r="C62" s="8">
        <v>14.0</v>
      </c>
      <c r="D62" s="20">
        <v>192.0</v>
      </c>
      <c r="E62" s="20">
        <v>556.0</v>
      </c>
      <c r="F62" s="20">
        <v>0.0</v>
      </c>
      <c r="G62" s="21">
        <v>0.0</v>
      </c>
      <c r="H62" s="20">
        <v>318.0</v>
      </c>
      <c r="I62" s="20">
        <v>0.0</v>
      </c>
      <c r="J62" s="20">
        <f t="shared" si="1"/>
        <v>318</v>
      </c>
      <c r="K62" s="20">
        <v>430.0</v>
      </c>
      <c r="L62" s="20">
        <v>432.7272727272731</v>
      </c>
      <c r="M62" s="22">
        <v>26.0</v>
      </c>
      <c r="N62" s="20">
        <f t="shared" si="8"/>
        <v>35.38021727</v>
      </c>
      <c r="O62" s="23">
        <v>36.50943396226415</v>
      </c>
      <c r="P62" s="20">
        <v>0.0</v>
      </c>
      <c r="Q62" s="20">
        <v>200.0</v>
      </c>
      <c r="R62" s="20">
        <v>0.0</v>
      </c>
      <c r="S62" s="2"/>
      <c r="T62" s="2">
        <v>937285.0</v>
      </c>
      <c r="U62" s="24">
        <f t="shared" si="3"/>
        <v>298056630</v>
      </c>
      <c r="V62" s="24">
        <f t="shared" si="4"/>
        <v>405588781.8</v>
      </c>
      <c r="W62" s="2"/>
      <c r="X62" s="2"/>
      <c r="Y62" s="2"/>
      <c r="Z62" s="2"/>
    </row>
    <row r="63" ht="12.75" customHeight="1">
      <c r="A63" s="8" t="s">
        <v>87</v>
      </c>
      <c r="B63" s="8" t="s">
        <v>27</v>
      </c>
      <c r="C63" s="8">
        <v>14.0</v>
      </c>
      <c r="D63" s="20">
        <v>56.0</v>
      </c>
      <c r="E63" s="20">
        <v>10.0</v>
      </c>
      <c r="F63" s="20">
        <v>0.0</v>
      </c>
      <c r="G63" s="21">
        <v>0.0</v>
      </c>
      <c r="H63" s="20">
        <v>8.0</v>
      </c>
      <c r="I63" s="20">
        <v>0.0</v>
      </c>
      <c r="J63" s="20">
        <f t="shared" si="1"/>
        <v>8</v>
      </c>
      <c r="K63" s="20">
        <v>58.0</v>
      </c>
      <c r="L63" s="20">
        <v>58.0</v>
      </c>
      <c r="M63" s="22">
        <v>26.0</v>
      </c>
      <c r="N63" s="20">
        <f t="shared" si="8"/>
        <v>188.5</v>
      </c>
      <c r="O63" s="23">
        <v>195.75</v>
      </c>
      <c r="P63" s="20">
        <v>0.0</v>
      </c>
      <c r="Q63" s="20">
        <v>0.0</v>
      </c>
      <c r="R63" s="20">
        <v>0.0</v>
      </c>
      <c r="S63" s="2"/>
      <c r="T63" s="2">
        <v>1.0957105E7</v>
      </c>
      <c r="U63" s="24">
        <f t="shared" si="3"/>
        <v>87656840</v>
      </c>
      <c r="V63" s="24">
        <f t="shared" si="4"/>
        <v>635512090</v>
      </c>
      <c r="W63" s="2"/>
      <c r="X63" s="2"/>
      <c r="Y63" s="2"/>
      <c r="Z63" s="2"/>
    </row>
    <row r="64" ht="12.75" customHeight="1">
      <c r="A64" s="8" t="s">
        <v>88</v>
      </c>
      <c r="B64" s="8" t="s">
        <v>27</v>
      </c>
      <c r="C64" s="8">
        <v>14.0</v>
      </c>
      <c r="D64" s="20">
        <v>724.0</v>
      </c>
      <c r="E64" s="20">
        <v>800.0</v>
      </c>
      <c r="F64" s="20">
        <v>0.0</v>
      </c>
      <c r="G64" s="21">
        <v>0.0</v>
      </c>
      <c r="H64" s="20">
        <v>356.0</v>
      </c>
      <c r="I64" s="20">
        <v>0.0</v>
      </c>
      <c r="J64" s="20">
        <f t="shared" si="1"/>
        <v>356</v>
      </c>
      <c r="K64" s="20">
        <v>1168.0</v>
      </c>
      <c r="L64" s="20">
        <v>973.6923076923081</v>
      </c>
      <c r="M64" s="22">
        <v>26.0</v>
      </c>
      <c r="N64" s="20">
        <f t="shared" si="8"/>
        <v>71.11235955</v>
      </c>
      <c r="O64" s="23">
        <v>88.58426966292134</v>
      </c>
      <c r="P64" s="20">
        <v>5.0</v>
      </c>
      <c r="Q64" s="20">
        <v>0.0</v>
      </c>
      <c r="R64" s="20">
        <v>0.0</v>
      </c>
      <c r="S64" s="2"/>
      <c r="T64" s="2">
        <v>1322925.0</v>
      </c>
      <c r="U64" s="24">
        <f t="shared" si="3"/>
        <v>470961300</v>
      </c>
      <c r="V64" s="24">
        <f t="shared" si="4"/>
        <v>1288121896</v>
      </c>
      <c r="W64" s="2"/>
      <c r="X64" s="2"/>
      <c r="Y64" s="2"/>
      <c r="Z64" s="2"/>
    </row>
    <row r="65" ht="12.75" customHeight="1">
      <c r="A65" s="8" t="s">
        <v>89</v>
      </c>
      <c r="B65" s="8" t="s">
        <v>27</v>
      </c>
      <c r="C65" s="8">
        <v>14.0</v>
      </c>
      <c r="D65" s="20">
        <v>80.0</v>
      </c>
      <c r="E65" s="20">
        <v>0.0</v>
      </c>
      <c r="F65" s="20">
        <v>0.0</v>
      </c>
      <c r="G65" s="21">
        <v>0.0</v>
      </c>
      <c r="H65" s="20">
        <v>10.0</v>
      </c>
      <c r="I65" s="20">
        <v>0.0</v>
      </c>
      <c r="J65" s="20">
        <f t="shared" si="1"/>
        <v>10</v>
      </c>
      <c r="K65" s="20">
        <v>70.0</v>
      </c>
      <c r="L65" s="20">
        <v>73.0</v>
      </c>
      <c r="M65" s="22">
        <v>26.0</v>
      </c>
      <c r="N65" s="20">
        <f t="shared" si="8"/>
        <v>189.8</v>
      </c>
      <c r="O65" s="23">
        <v>189.0</v>
      </c>
      <c r="P65" s="20">
        <v>0.0</v>
      </c>
      <c r="Q65" s="20">
        <v>0.0</v>
      </c>
      <c r="R65" s="20">
        <v>0.0</v>
      </c>
      <c r="S65" s="2"/>
      <c r="T65" s="2">
        <v>1027805.0</v>
      </c>
      <c r="U65" s="24">
        <f t="shared" si="3"/>
        <v>10278050</v>
      </c>
      <c r="V65" s="24">
        <f t="shared" si="4"/>
        <v>75029765</v>
      </c>
      <c r="W65" s="2"/>
      <c r="X65" s="2"/>
      <c r="Y65" s="2"/>
      <c r="Z65" s="2"/>
    </row>
    <row r="66" ht="12.75" customHeight="1">
      <c r="A66" s="8" t="s">
        <v>90</v>
      </c>
      <c r="B66" s="8" t="s">
        <v>27</v>
      </c>
      <c r="C66" s="8">
        <v>14.0</v>
      </c>
      <c r="D66" s="20">
        <v>350.0</v>
      </c>
      <c r="E66" s="20">
        <v>229.0</v>
      </c>
      <c r="F66" s="20">
        <v>0.0</v>
      </c>
      <c r="G66" s="21">
        <v>0.0</v>
      </c>
      <c r="H66" s="20">
        <v>349.0</v>
      </c>
      <c r="I66" s="20">
        <v>0.0</v>
      </c>
      <c r="J66" s="20">
        <f t="shared" si="1"/>
        <v>349</v>
      </c>
      <c r="K66" s="20">
        <v>230.0</v>
      </c>
      <c r="L66" s="20">
        <v>323.8</v>
      </c>
      <c r="M66" s="22">
        <v>26.0</v>
      </c>
      <c r="N66" s="20">
        <f t="shared" si="8"/>
        <v>24.1226361</v>
      </c>
      <c r="O66" s="23">
        <v>17.793696275071632</v>
      </c>
      <c r="P66" s="20">
        <v>0.0</v>
      </c>
      <c r="Q66" s="20">
        <v>200.0</v>
      </c>
      <c r="R66" s="20">
        <v>0.0</v>
      </c>
      <c r="S66" s="2"/>
      <c r="T66" s="2">
        <v>1372215.0</v>
      </c>
      <c r="U66" s="24">
        <f t="shared" si="3"/>
        <v>478903035</v>
      </c>
      <c r="V66" s="24">
        <f t="shared" si="4"/>
        <v>444323217</v>
      </c>
      <c r="W66" s="2"/>
      <c r="X66" s="2"/>
      <c r="Y66" s="2"/>
      <c r="Z66" s="2"/>
    </row>
    <row r="67" ht="12.75" customHeight="1">
      <c r="A67" s="8" t="s">
        <v>91</v>
      </c>
      <c r="B67" s="8" t="s">
        <v>27</v>
      </c>
      <c r="C67" s="8">
        <v>14.0</v>
      </c>
      <c r="D67" s="20">
        <v>152.0</v>
      </c>
      <c r="E67" s="20">
        <v>0.0</v>
      </c>
      <c r="F67" s="20">
        <v>0.0</v>
      </c>
      <c r="G67" s="21">
        <v>0.0</v>
      </c>
      <c r="H67" s="20">
        <v>32.0</v>
      </c>
      <c r="I67" s="20">
        <v>0.0</v>
      </c>
      <c r="J67" s="20">
        <f t="shared" si="1"/>
        <v>32</v>
      </c>
      <c r="K67" s="20">
        <v>120.0</v>
      </c>
      <c r="L67" s="20">
        <v>134.0</v>
      </c>
      <c r="M67" s="22">
        <v>26.0</v>
      </c>
      <c r="N67" s="20">
        <f t="shared" si="8"/>
        <v>108.875</v>
      </c>
      <c r="O67" s="23">
        <v>101.25</v>
      </c>
      <c r="P67" s="20">
        <v>0.0</v>
      </c>
      <c r="Q67" s="20">
        <v>0.0</v>
      </c>
      <c r="R67" s="20">
        <v>0.0</v>
      </c>
      <c r="S67" s="2"/>
      <c r="T67" s="2">
        <v>6276182.5</v>
      </c>
      <c r="U67" s="24">
        <f t="shared" si="3"/>
        <v>200837840</v>
      </c>
      <c r="V67" s="24">
        <f t="shared" si="4"/>
        <v>841008455</v>
      </c>
      <c r="W67" s="2"/>
      <c r="X67" s="2"/>
      <c r="Y67" s="2"/>
      <c r="Z67" s="2"/>
    </row>
    <row r="68" ht="12.75" customHeight="1">
      <c r="A68" s="8" t="s">
        <v>92</v>
      </c>
      <c r="B68" s="8" t="s">
        <v>27</v>
      </c>
      <c r="C68" s="8">
        <v>14.0</v>
      </c>
      <c r="D68" s="20">
        <v>54.0</v>
      </c>
      <c r="E68" s="20">
        <v>128.0</v>
      </c>
      <c r="F68" s="20">
        <v>0.0</v>
      </c>
      <c r="G68" s="21">
        <v>0.0</v>
      </c>
      <c r="H68" s="20">
        <v>27.0</v>
      </c>
      <c r="I68" s="20">
        <v>0.0</v>
      </c>
      <c r="J68" s="20">
        <f t="shared" si="1"/>
        <v>27</v>
      </c>
      <c r="K68" s="20">
        <v>155.0</v>
      </c>
      <c r="L68" s="20">
        <v>91.0</v>
      </c>
      <c r="M68" s="22">
        <v>26.0</v>
      </c>
      <c r="N68" s="20">
        <f t="shared" si="8"/>
        <v>87.62962963</v>
      </c>
      <c r="O68" s="23">
        <v>155.0</v>
      </c>
      <c r="P68" s="20">
        <v>0.0</v>
      </c>
      <c r="Q68" s="20">
        <v>100.0</v>
      </c>
      <c r="R68" s="20">
        <v>0.0</v>
      </c>
      <c r="S68" s="2"/>
      <c r="T68" s="2">
        <v>848935.0</v>
      </c>
      <c r="U68" s="24">
        <f t="shared" si="3"/>
        <v>22921245</v>
      </c>
      <c r="V68" s="24">
        <f t="shared" si="4"/>
        <v>77253085</v>
      </c>
      <c r="W68" s="2"/>
      <c r="X68" s="2"/>
      <c r="Y68" s="2"/>
      <c r="Z68" s="2"/>
    </row>
    <row r="69" ht="12.75" customHeight="1">
      <c r="A69" s="8" t="s">
        <v>93</v>
      </c>
      <c r="B69" s="8" t="s">
        <v>27</v>
      </c>
      <c r="C69" s="8">
        <v>14.0</v>
      </c>
      <c r="D69" s="20">
        <v>302.0</v>
      </c>
      <c r="E69" s="20">
        <v>294.0</v>
      </c>
      <c r="F69" s="20">
        <v>0.0</v>
      </c>
      <c r="G69" s="21">
        <v>0.0</v>
      </c>
      <c r="H69" s="20">
        <v>227.0</v>
      </c>
      <c r="I69" s="20">
        <v>0.0</v>
      </c>
      <c r="J69" s="20">
        <f t="shared" si="1"/>
        <v>227</v>
      </c>
      <c r="K69" s="20">
        <v>369.0</v>
      </c>
      <c r="L69" s="20">
        <v>302.625</v>
      </c>
      <c r="M69" s="22">
        <v>26.0</v>
      </c>
      <c r="N69" s="20">
        <f t="shared" si="8"/>
        <v>34.66189427</v>
      </c>
      <c r="O69" s="23">
        <v>43.88986784140969</v>
      </c>
      <c r="P69" s="20">
        <v>0.0</v>
      </c>
      <c r="Q69" s="20">
        <v>0.0</v>
      </c>
      <c r="R69" s="20">
        <v>0.0</v>
      </c>
      <c r="S69" s="2"/>
      <c r="T69" s="2">
        <v>923955.0</v>
      </c>
      <c r="U69" s="24">
        <f t="shared" si="3"/>
        <v>209737785</v>
      </c>
      <c r="V69" s="24">
        <f t="shared" si="4"/>
        <v>279611881.9</v>
      </c>
      <c r="W69" s="2"/>
      <c r="X69" s="2"/>
      <c r="Y69" s="2"/>
      <c r="Z69" s="2"/>
    </row>
    <row r="70" ht="12.75" customHeight="1">
      <c r="A70" s="8" t="s">
        <v>94</v>
      </c>
      <c r="B70" s="8" t="s">
        <v>27</v>
      </c>
      <c r="C70" s="8">
        <v>14.0</v>
      </c>
      <c r="D70" s="20">
        <v>256.0</v>
      </c>
      <c r="E70" s="20">
        <v>649.0</v>
      </c>
      <c r="F70" s="20">
        <v>0.0</v>
      </c>
      <c r="G70" s="21">
        <v>0.0</v>
      </c>
      <c r="H70" s="20">
        <v>583.0</v>
      </c>
      <c r="I70" s="20">
        <v>0.0</v>
      </c>
      <c r="J70" s="20">
        <f t="shared" si="1"/>
        <v>583</v>
      </c>
      <c r="K70" s="20">
        <v>322.0</v>
      </c>
      <c r="L70" s="20">
        <v>322.066666666667</v>
      </c>
      <c r="M70" s="22">
        <v>26.0</v>
      </c>
      <c r="N70" s="20">
        <f t="shared" si="8"/>
        <v>14.36317896</v>
      </c>
      <c r="O70" s="23">
        <v>14.912521440823326</v>
      </c>
      <c r="P70" s="20">
        <v>0.0</v>
      </c>
      <c r="Q70" s="20">
        <v>200.0</v>
      </c>
      <c r="R70" s="20">
        <v>0.0</v>
      </c>
      <c r="S70" s="2"/>
      <c r="T70" s="2">
        <v>923955.0</v>
      </c>
      <c r="U70" s="24">
        <f t="shared" si="3"/>
        <v>538665765</v>
      </c>
      <c r="V70" s="24">
        <f t="shared" si="4"/>
        <v>297575107</v>
      </c>
      <c r="W70" s="2"/>
      <c r="X70" s="2"/>
      <c r="Y70" s="2"/>
      <c r="Z70" s="2"/>
    </row>
    <row r="71" ht="12.75" customHeight="1">
      <c r="A71" s="8" t="s">
        <v>95</v>
      </c>
      <c r="B71" s="8" t="s">
        <v>27</v>
      </c>
      <c r="C71" s="8">
        <v>14.0</v>
      </c>
      <c r="D71" s="20">
        <v>37.0</v>
      </c>
      <c r="E71" s="20">
        <v>0.0</v>
      </c>
      <c r="F71" s="20">
        <v>0.0</v>
      </c>
      <c r="G71" s="21">
        <v>0.0</v>
      </c>
      <c r="H71" s="20">
        <v>12.0</v>
      </c>
      <c r="I71" s="20">
        <v>0.0</v>
      </c>
      <c r="J71" s="20">
        <f t="shared" si="1"/>
        <v>12</v>
      </c>
      <c r="K71" s="20">
        <v>25.0</v>
      </c>
      <c r="L71" s="20">
        <v>28.0</v>
      </c>
      <c r="M71" s="22">
        <v>26.0</v>
      </c>
      <c r="N71" s="20">
        <f t="shared" si="8"/>
        <v>60.66666667</v>
      </c>
      <c r="O71" s="23">
        <v>56.25000000000001</v>
      </c>
      <c r="P71" s="20">
        <v>0.0</v>
      </c>
      <c r="Q71" s="20">
        <v>0.0</v>
      </c>
      <c r="R71" s="20">
        <v>0.0</v>
      </c>
      <c r="S71" s="2"/>
      <c r="T71" s="2">
        <v>504524.99999999994</v>
      </c>
      <c r="U71" s="24">
        <f t="shared" si="3"/>
        <v>6054300</v>
      </c>
      <c r="V71" s="24">
        <f t="shared" si="4"/>
        <v>14126700</v>
      </c>
      <c r="W71" s="2"/>
      <c r="X71" s="2"/>
      <c r="Y71" s="2"/>
      <c r="Z71" s="2"/>
    </row>
    <row r="72" ht="12.75" customHeight="1">
      <c r="A72" s="8" t="s">
        <v>96</v>
      </c>
      <c r="B72" s="8" t="s">
        <v>27</v>
      </c>
      <c r="C72" s="8">
        <v>14.0</v>
      </c>
      <c r="D72" s="20">
        <v>334.0</v>
      </c>
      <c r="E72" s="20">
        <v>500.0</v>
      </c>
      <c r="F72" s="20">
        <v>0.0</v>
      </c>
      <c r="G72" s="21">
        <v>0.0</v>
      </c>
      <c r="H72" s="20">
        <v>444.0</v>
      </c>
      <c r="I72" s="20">
        <v>0.0</v>
      </c>
      <c r="J72" s="20">
        <f t="shared" si="1"/>
        <v>444</v>
      </c>
      <c r="K72" s="20">
        <v>390.0</v>
      </c>
      <c r="L72" s="20">
        <v>431.714285714286</v>
      </c>
      <c r="M72" s="22">
        <v>26.0</v>
      </c>
      <c r="N72" s="20">
        <f t="shared" si="8"/>
        <v>25.28056628</v>
      </c>
      <c r="O72" s="23">
        <v>23.716216216216218</v>
      </c>
      <c r="P72" s="20">
        <v>0.0</v>
      </c>
      <c r="Q72" s="20">
        <v>500.0</v>
      </c>
      <c r="R72" s="20">
        <v>0.0</v>
      </c>
      <c r="S72" s="2"/>
      <c r="T72" s="2">
        <v>848935.0</v>
      </c>
      <c r="U72" s="24">
        <f t="shared" si="3"/>
        <v>376927140</v>
      </c>
      <c r="V72" s="24">
        <f t="shared" si="4"/>
        <v>366497367.1</v>
      </c>
      <c r="W72" s="4" t="s">
        <v>97</v>
      </c>
      <c r="X72" s="2"/>
      <c r="Y72" s="2"/>
      <c r="Z72" s="2"/>
    </row>
    <row r="73" ht="18.75" customHeight="1">
      <c r="A73" s="25" t="s">
        <v>98</v>
      </c>
      <c r="B73" s="26"/>
      <c r="C73" s="26"/>
      <c r="D73" s="27">
        <f t="shared" ref="D73:L73" si="9">SUM(D4:D72)</f>
        <v>15607.58</v>
      </c>
      <c r="E73" s="27">
        <f t="shared" si="9"/>
        <v>20359</v>
      </c>
      <c r="F73" s="27">
        <f t="shared" si="9"/>
        <v>0</v>
      </c>
      <c r="G73" s="27">
        <f t="shared" si="9"/>
        <v>0</v>
      </c>
      <c r="H73" s="27">
        <f t="shared" si="9"/>
        <v>15876</v>
      </c>
      <c r="I73" s="27">
        <f t="shared" si="9"/>
        <v>0</v>
      </c>
      <c r="J73" s="27">
        <f t="shared" si="9"/>
        <v>15876</v>
      </c>
      <c r="K73" s="27">
        <f t="shared" si="9"/>
        <v>20174.58</v>
      </c>
      <c r="L73" s="27">
        <f t="shared" si="9"/>
        <v>19292.32484</v>
      </c>
      <c r="M73" s="28"/>
      <c r="N73" s="29">
        <f>+L73/($H73+$I73)*$M$4</f>
        <v>31.59488824</v>
      </c>
      <c r="O73" s="30">
        <f>+K73/($H73+$I73)*$M$4</f>
        <v>33.03975057</v>
      </c>
      <c r="P73" s="27">
        <f t="shared" ref="P73:R73" si="10">SUM(P4:P72)</f>
        <v>1602.27</v>
      </c>
      <c r="Q73" s="27">
        <f t="shared" si="10"/>
        <v>3809</v>
      </c>
      <c r="R73" s="27">
        <f t="shared" si="10"/>
        <v>0</v>
      </c>
      <c r="S73" s="31"/>
      <c r="T73" s="31"/>
      <c r="U73" s="32">
        <f t="shared" ref="U73:V73" si="11">SUM(U4:U72)</f>
        <v>16137807630</v>
      </c>
      <c r="V73" s="32">
        <f t="shared" si="11"/>
        <v>21738971080</v>
      </c>
      <c r="W73" s="27">
        <f>(V73/U73)*M72</f>
        <v>35.02416568</v>
      </c>
      <c r="X73" s="31"/>
      <c r="Y73" s="31"/>
      <c r="Z73" s="31"/>
    </row>
    <row r="74" ht="18.75" customHeight="1">
      <c r="A74" s="1"/>
      <c r="B74" s="2"/>
      <c r="C74" s="2"/>
      <c r="D74" s="33"/>
      <c r="E74" s="33"/>
      <c r="F74" s="33"/>
      <c r="G74" s="33"/>
      <c r="H74" s="33"/>
      <c r="I74" s="33"/>
      <c r="J74" s="33"/>
      <c r="K74" s="33"/>
      <c r="L74" s="33"/>
      <c r="M74" s="3"/>
      <c r="N74" s="33"/>
      <c r="O74" s="33"/>
      <c r="P74" s="34"/>
      <c r="Q74" s="33"/>
      <c r="R74" s="33"/>
      <c r="S74" s="33"/>
      <c r="T74" s="2"/>
      <c r="U74" s="2"/>
      <c r="V74" s="2"/>
      <c r="W74" s="2"/>
      <c r="X74" s="2"/>
      <c r="Y74" s="2"/>
      <c r="Z74" s="2"/>
    </row>
    <row r="75" ht="12.75" customHeight="1">
      <c r="A75" s="2" t="s">
        <v>99</v>
      </c>
      <c r="B75" s="35">
        <v>24.9</v>
      </c>
      <c r="C75" s="2" t="s">
        <v>100</v>
      </c>
      <c r="D75" s="2"/>
      <c r="E75" s="2"/>
      <c r="F75" s="2"/>
      <c r="G75" s="2"/>
      <c r="H75" s="2"/>
      <c r="I75" s="2"/>
      <c r="J75" s="2"/>
      <c r="K75" s="2"/>
      <c r="L75" s="2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36"/>
      <c r="C78" s="36"/>
      <c r="D78" s="2"/>
      <c r="E78" s="2"/>
      <c r="F78" s="2"/>
      <c r="G78" s="2"/>
      <c r="H78" s="2"/>
      <c r="I78" s="2"/>
      <c r="J78" s="2"/>
      <c r="K78" s="2"/>
      <c r="L78" s="2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57"/>
    <col customWidth="1" min="2" max="2" width="16.29"/>
    <col customWidth="1" min="3" max="3" width="15.0"/>
    <col customWidth="1" min="4" max="4" width="10.86"/>
    <col customWidth="1" min="5" max="5" width="16.14"/>
    <col customWidth="1" min="6" max="6" width="13.29"/>
    <col customWidth="1" min="7" max="7" width="11.57"/>
    <col customWidth="1" min="8" max="8" width="9.57"/>
    <col customWidth="1" min="9" max="9" width="13.29"/>
    <col customWidth="1" min="10" max="11" width="10.29"/>
    <col customWidth="1" min="12" max="12" width="12.71"/>
    <col customWidth="1" min="13" max="13" width="11.57"/>
    <col customWidth="1" min="14" max="14" width="11.43"/>
    <col customWidth="1" min="15" max="15" width="8.29"/>
    <col customWidth="1" min="16" max="16" width="8.86"/>
    <col customWidth="1" min="17" max="18" width="13.29"/>
    <col customWidth="1" min="19" max="19" width="7.86"/>
    <col customWidth="1" min="20" max="20" width="16.57"/>
    <col customWidth="1" min="21" max="21" width="13.0"/>
    <col customWidth="1" min="22" max="23" width="17.86"/>
    <col customWidth="1" min="24" max="24" width="16.14"/>
    <col customWidth="1" min="25" max="26" width="8.71"/>
  </cols>
  <sheetData>
    <row r="1" ht="12.75" customHeight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4" t="s">
        <v>0</v>
      </c>
      <c r="U1" s="5">
        <v>0.0052</v>
      </c>
      <c r="V1" s="4" t="s">
        <v>1</v>
      </c>
      <c r="W1" s="37">
        <f>(W84*$U$1)/V84</f>
        <v>0.005585135085</v>
      </c>
      <c r="X1" s="2"/>
      <c r="Y1" s="2"/>
      <c r="Z1" s="2"/>
    </row>
    <row r="2" ht="12.75" customHeight="1">
      <c r="A2" s="2"/>
      <c r="B2" s="7"/>
      <c r="C2" s="8" t="s">
        <v>2</v>
      </c>
      <c r="D2" s="8"/>
      <c r="E2" s="9" t="s">
        <v>101</v>
      </c>
      <c r="F2" s="10"/>
      <c r="G2" s="11" t="s">
        <v>4</v>
      </c>
      <c r="H2" s="10"/>
      <c r="I2" s="10"/>
      <c r="J2" s="12"/>
      <c r="K2" s="12"/>
      <c r="L2" s="10"/>
      <c r="M2" s="10"/>
      <c r="N2" s="13"/>
      <c r="O2" s="8"/>
      <c r="P2" s="14"/>
      <c r="Q2" s="14"/>
      <c r="R2" s="10"/>
      <c r="S2" s="10"/>
      <c r="T2" s="10"/>
      <c r="U2" s="2"/>
      <c r="V2" s="2"/>
      <c r="W2" s="2"/>
      <c r="X2" s="2"/>
      <c r="Y2" s="2"/>
      <c r="Z2" s="2"/>
    </row>
    <row r="3" ht="12.75" customHeight="1">
      <c r="A3" s="2"/>
      <c r="B3" s="15" t="s">
        <v>5</v>
      </c>
      <c r="C3" s="15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7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38" t="s">
        <v>17</v>
      </c>
      <c r="O3" s="19" t="s">
        <v>18</v>
      </c>
      <c r="P3" s="19" t="s">
        <v>19</v>
      </c>
      <c r="Q3" s="18" t="s">
        <v>20</v>
      </c>
      <c r="R3" s="18" t="s">
        <v>21</v>
      </c>
      <c r="S3" s="18" t="s">
        <v>22</v>
      </c>
      <c r="T3" s="2"/>
      <c r="U3" s="18" t="s">
        <v>23</v>
      </c>
      <c r="V3" s="18" t="s">
        <v>102</v>
      </c>
      <c r="W3" s="18" t="s">
        <v>103</v>
      </c>
      <c r="X3" s="2"/>
      <c r="Y3" s="2"/>
      <c r="Z3" s="2"/>
    </row>
    <row r="4" ht="12.75" customHeight="1">
      <c r="A4" s="2"/>
      <c r="B4" s="8" t="s">
        <v>104</v>
      </c>
      <c r="C4" s="8" t="s">
        <v>27</v>
      </c>
      <c r="D4" s="8">
        <v>14.0</v>
      </c>
      <c r="E4" s="20">
        <v>94.0</v>
      </c>
      <c r="F4" s="20">
        <v>72.0</v>
      </c>
      <c r="G4" s="20">
        <v>0.0</v>
      </c>
      <c r="H4" s="21">
        <v>0.0</v>
      </c>
      <c r="I4" s="20">
        <v>46.0</v>
      </c>
      <c r="J4" s="20">
        <v>0.0</v>
      </c>
      <c r="K4" s="20">
        <f t="shared" ref="K4:K83" si="1">I4+J4</f>
        <v>46</v>
      </c>
      <c r="L4" s="20">
        <v>120.0</v>
      </c>
      <c r="M4" s="20">
        <v>76.3333333333333</v>
      </c>
      <c r="N4" s="22">
        <v>23.0</v>
      </c>
      <c r="O4" s="20">
        <f t="shared" ref="O4:O10" si="2">(M4/(I4+J4))*N4</f>
        <v>38.16666667</v>
      </c>
      <c r="P4" s="39">
        <v>67.82608695652173</v>
      </c>
      <c r="Q4" s="20">
        <v>0.0</v>
      </c>
      <c r="R4" s="20">
        <v>39.0</v>
      </c>
      <c r="S4" s="20">
        <v>0.0</v>
      </c>
      <c r="T4" s="2"/>
      <c r="U4" s="2">
        <v>1631375.0</v>
      </c>
      <c r="V4" s="40">
        <f t="shared" ref="V4:V83" si="3">U4*(I4+J4)</f>
        <v>75043250</v>
      </c>
      <c r="W4" s="40">
        <f t="shared" ref="W4:W83" si="4">U4*M4</f>
        <v>124528291.7</v>
      </c>
      <c r="X4" s="2"/>
      <c r="Y4" s="2"/>
      <c r="Z4" s="2"/>
    </row>
    <row r="5" ht="12.75" customHeight="1">
      <c r="A5" s="2"/>
      <c r="B5" s="8" t="s">
        <v>28</v>
      </c>
      <c r="C5" s="8" t="s">
        <v>27</v>
      </c>
      <c r="D5" s="8">
        <v>14.0</v>
      </c>
      <c r="E5" s="20">
        <v>124.0</v>
      </c>
      <c r="F5" s="20">
        <v>0.0</v>
      </c>
      <c r="G5" s="20">
        <v>0.0</v>
      </c>
      <c r="H5" s="21">
        <v>0.0</v>
      </c>
      <c r="I5" s="20">
        <v>24.0</v>
      </c>
      <c r="J5" s="20">
        <v>0.0</v>
      </c>
      <c r="K5" s="20">
        <f t="shared" si="1"/>
        <v>24</v>
      </c>
      <c r="L5" s="20">
        <v>100.0</v>
      </c>
      <c r="M5" s="20">
        <v>100.0</v>
      </c>
      <c r="N5" s="22">
        <v>23.0</v>
      </c>
      <c r="O5" s="20">
        <f t="shared" si="2"/>
        <v>95.83333333</v>
      </c>
      <c r="P5" s="39">
        <v>108.33333333333334</v>
      </c>
      <c r="Q5" s="20">
        <v>7.09</v>
      </c>
      <c r="R5" s="20">
        <v>50.0</v>
      </c>
      <c r="S5" s="20">
        <v>50.0</v>
      </c>
      <c r="T5" s="2"/>
      <c r="U5" s="2">
        <v>844750.0</v>
      </c>
      <c r="V5" s="40">
        <f t="shared" si="3"/>
        <v>20274000</v>
      </c>
      <c r="W5" s="40">
        <f t="shared" si="4"/>
        <v>84475000</v>
      </c>
      <c r="X5" s="2"/>
      <c r="Y5" s="2"/>
      <c r="Z5" s="2"/>
    </row>
    <row r="6" ht="12.75" customHeight="1">
      <c r="A6" s="2"/>
      <c r="B6" s="8" t="s">
        <v>29</v>
      </c>
      <c r="C6" s="8" t="s">
        <v>27</v>
      </c>
      <c r="D6" s="8">
        <v>14.0</v>
      </c>
      <c r="E6" s="20">
        <v>214.0</v>
      </c>
      <c r="F6" s="20">
        <v>0.0</v>
      </c>
      <c r="G6" s="20">
        <v>0.0</v>
      </c>
      <c r="H6" s="21">
        <v>0.0</v>
      </c>
      <c r="I6" s="20">
        <v>45.0</v>
      </c>
      <c r="J6" s="20">
        <v>0.0</v>
      </c>
      <c r="K6" s="20">
        <f t="shared" si="1"/>
        <v>45</v>
      </c>
      <c r="L6" s="20">
        <v>169.0</v>
      </c>
      <c r="M6" s="20">
        <v>169.0</v>
      </c>
      <c r="N6" s="22">
        <v>23.0</v>
      </c>
      <c r="O6" s="20">
        <f t="shared" si="2"/>
        <v>86.37777778</v>
      </c>
      <c r="P6" s="39">
        <v>97.64444444444445</v>
      </c>
      <c r="Q6" s="20">
        <v>0.0</v>
      </c>
      <c r="R6" s="20">
        <v>0.0</v>
      </c>
      <c r="S6" s="20">
        <v>0.0</v>
      </c>
      <c r="T6" s="2"/>
      <c r="U6" s="2">
        <v>928605.0</v>
      </c>
      <c r="V6" s="40">
        <f t="shared" si="3"/>
        <v>41787225</v>
      </c>
      <c r="W6" s="40">
        <f t="shared" si="4"/>
        <v>156934245</v>
      </c>
      <c r="X6" s="2"/>
      <c r="Y6" s="2"/>
      <c r="Z6" s="2"/>
    </row>
    <row r="7" ht="12.75" customHeight="1">
      <c r="A7" s="2"/>
      <c r="B7" s="8" t="s">
        <v>30</v>
      </c>
      <c r="C7" s="8" t="s">
        <v>27</v>
      </c>
      <c r="D7" s="8">
        <v>14.0</v>
      </c>
      <c r="E7" s="20">
        <v>53.0</v>
      </c>
      <c r="F7" s="20">
        <v>202.0</v>
      </c>
      <c r="G7" s="20">
        <v>0.0</v>
      </c>
      <c r="H7" s="21">
        <v>0.0</v>
      </c>
      <c r="I7" s="20">
        <v>143.0</v>
      </c>
      <c r="J7" s="20">
        <v>0.0</v>
      </c>
      <c r="K7" s="20">
        <f t="shared" si="1"/>
        <v>143</v>
      </c>
      <c r="L7" s="20">
        <v>112.0</v>
      </c>
      <c r="M7" s="20">
        <v>84.8</v>
      </c>
      <c r="N7" s="22">
        <v>23.0</v>
      </c>
      <c r="O7" s="20">
        <f t="shared" si="2"/>
        <v>13.63916084</v>
      </c>
      <c r="P7" s="39">
        <v>20.363636363636363</v>
      </c>
      <c r="Q7" s="20">
        <v>0.0</v>
      </c>
      <c r="R7" s="20">
        <v>50.0</v>
      </c>
      <c r="S7" s="20">
        <v>50.0</v>
      </c>
      <c r="T7" s="2"/>
      <c r="U7" s="2">
        <v>1329900.0</v>
      </c>
      <c r="V7" s="40">
        <f t="shared" si="3"/>
        <v>190175700</v>
      </c>
      <c r="W7" s="40">
        <f t="shared" si="4"/>
        <v>112775520</v>
      </c>
      <c r="X7" s="2"/>
      <c r="Y7" s="2"/>
      <c r="Z7" s="2"/>
    </row>
    <row r="8" ht="12.75" customHeight="1">
      <c r="A8" s="2"/>
      <c r="B8" s="8" t="s">
        <v>31</v>
      </c>
      <c r="C8" s="8" t="s">
        <v>27</v>
      </c>
      <c r="D8" s="8">
        <v>14.0</v>
      </c>
      <c r="E8" s="20">
        <v>496.0</v>
      </c>
      <c r="F8" s="20">
        <v>0.0</v>
      </c>
      <c r="G8" s="20">
        <v>0.0</v>
      </c>
      <c r="H8" s="21">
        <v>0.0</v>
      </c>
      <c r="I8" s="20">
        <v>54.0</v>
      </c>
      <c r="J8" s="20">
        <v>0.0</v>
      </c>
      <c r="K8" s="20">
        <f t="shared" si="1"/>
        <v>54</v>
      </c>
      <c r="L8" s="20">
        <v>442.0</v>
      </c>
      <c r="M8" s="20">
        <v>442.0</v>
      </c>
      <c r="N8" s="22">
        <v>23.0</v>
      </c>
      <c r="O8" s="20">
        <f t="shared" si="2"/>
        <v>188.2592593</v>
      </c>
      <c r="P8" s="39">
        <v>212.8148148148148</v>
      </c>
      <c r="Q8" s="20">
        <v>0.0</v>
      </c>
      <c r="R8" s="20">
        <v>0.0</v>
      </c>
      <c r="S8" s="20">
        <v>0.0</v>
      </c>
      <c r="T8" s="2"/>
      <c r="U8" s="2">
        <v>841116.0</v>
      </c>
      <c r="V8" s="40">
        <f t="shared" si="3"/>
        <v>45420264</v>
      </c>
      <c r="W8" s="40">
        <f t="shared" si="4"/>
        <v>371773272</v>
      </c>
      <c r="X8" s="2"/>
      <c r="Y8" s="2"/>
      <c r="Z8" s="2"/>
    </row>
    <row r="9" ht="12.75" customHeight="1">
      <c r="A9" s="2"/>
      <c r="B9" s="8" t="s">
        <v>32</v>
      </c>
      <c r="C9" s="8" t="s">
        <v>27</v>
      </c>
      <c r="D9" s="8">
        <v>14.0</v>
      </c>
      <c r="E9" s="20">
        <v>66.0</v>
      </c>
      <c r="F9" s="20">
        <v>0.0</v>
      </c>
      <c r="G9" s="20">
        <v>0.0</v>
      </c>
      <c r="H9" s="21">
        <v>0.0</v>
      </c>
      <c r="I9" s="20">
        <v>3.0</v>
      </c>
      <c r="J9" s="20">
        <v>0.0</v>
      </c>
      <c r="K9" s="20">
        <f t="shared" si="1"/>
        <v>3</v>
      </c>
      <c r="L9" s="20">
        <v>63.0</v>
      </c>
      <c r="M9" s="20">
        <v>63.0</v>
      </c>
      <c r="N9" s="22">
        <v>23.0</v>
      </c>
      <c r="O9" s="20">
        <f t="shared" si="2"/>
        <v>483</v>
      </c>
      <c r="P9" s="39">
        <v>546.0</v>
      </c>
      <c r="Q9" s="20">
        <v>0.0</v>
      </c>
      <c r="R9" s="20">
        <v>0.0</v>
      </c>
      <c r="S9" s="20">
        <v>0.0</v>
      </c>
      <c r="T9" s="2"/>
      <c r="U9" s="2">
        <v>928605.0</v>
      </c>
      <c r="V9" s="40">
        <f t="shared" si="3"/>
        <v>2785815</v>
      </c>
      <c r="W9" s="40">
        <f t="shared" si="4"/>
        <v>58502115</v>
      </c>
      <c r="X9" s="2"/>
      <c r="Y9" s="2"/>
      <c r="Z9" s="2"/>
    </row>
    <row r="10" ht="12.75" customHeight="1">
      <c r="A10" s="2"/>
      <c r="B10" s="8" t="s">
        <v>105</v>
      </c>
      <c r="C10" s="8" t="s">
        <v>27</v>
      </c>
      <c r="D10" s="8">
        <v>14.0</v>
      </c>
      <c r="E10" s="20">
        <v>102.0</v>
      </c>
      <c r="F10" s="20">
        <v>105.0</v>
      </c>
      <c r="G10" s="20">
        <v>0.0</v>
      </c>
      <c r="H10" s="21">
        <v>0.0</v>
      </c>
      <c r="I10" s="20">
        <v>89.0</v>
      </c>
      <c r="J10" s="20">
        <v>0.0</v>
      </c>
      <c r="K10" s="20">
        <f t="shared" si="1"/>
        <v>89</v>
      </c>
      <c r="L10" s="20">
        <v>118.0</v>
      </c>
      <c r="M10" s="20">
        <v>65.5</v>
      </c>
      <c r="N10" s="22">
        <v>23.0</v>
      </c>
      <c r="O10" s="20">
        <f t="shared" si="2"/>
        <v>16.92696629</v>
      </c>
      <c r="P10" s="39">
        <v>34.471910112359545</v>
      </c>
      <c r="Q10" s="20">
        <v>0.0</v>
      </c>
      <c r="R10" s="20">
        <v>0.0</v>
      </c>
      <c r="S10" s="20">
        <v>0.0</v>
      </c>
      <c r="T10" s="2"/>
      <c r="U10" s="2">
        <v>165230.0</v>
      </c>
      <c r="V10" s="40">
        <f t="shared" si="3"/>
        <v>14705470</v>
      </c>
      <c r="W10" s="40">
        <f t="shared" si="4"/>
        <v>10822565</v>
      </c>
      <c r="X10" s="2"/>
      <c r="Y10" s="2"/>
      <c r="Z10" s="2"/>
    </row>
    <row r="11" ht="12.75" customHeight="1">
      <c r="A11" s="2"/>
      <c r="B11" s="8" t="s">
        <v>106</v>
      </c>
      <c r="C11" s="8" t="s">
        <v>27</v>
      </c>
      <c r="D11" s="8">
        <v>14.0</v>
      </c>
      <c r="E11" s="20">
        <v>4493.0</v>
      </c>
      <c r="F11" s="20">
        <v>210.0</v>
      </c>
      <c r="G11" s="20">
        <v>0.0</v>
      </c>
      <c r="H11" s="21">
        <v>0.0</v>
      </c>
      <c r="I11" s="20">
        <v>0.0</v>
      </c>
      <c r="J11" s="20">
        <v>0.0</v>
      </c>
      <c r="K11" s="20">
        <f t="shared" si="1"/>
        <v>0</v>
      </c>
      <c r="L11" s="20">
        <v>4703.0</v>
      </c>
      <c r="M11" s="20">
        <v>4703.0</v>
      </c>
      <c r="N11" s="22">
        <v>23.0</v>
      </c>
      <c r="O11" s="20">
        <v>0.0</v>
      </c>
      <c r="P11" s="39">
        <v>0.0</v>
      </c>
      <c r="Q11" s="20">
        <v>330.0</v>
      </c>
      <c r="R11" s="20">
        <v>0.0</v>
      </c>
      <c r="S11" s="20">
        <v>0.0</v>
      </c>
      <c r="T11" s="2"/>
      <c r="U11" s="2">
        <v>139965.0</v>
      </c>
      <c r="V11" s="40">
        <f t="shared" si="3"/>
        <v>0</v>
      </c>
      <c r="W11" s="40">
        <f t="shared" si="4"/>
        <v>658255395</v>
      </c>
      <c r="X11" s="2"/>
      <c r="Y11" s="2"/>
      <c r="Z11" s="2"/>
    </row>
    <row r="12" ht="12.75" customHeight="1">
      <c r="A12" s="2"/>
      <c r="B12" s="8" t="s">
        <v>107</v>
      </c>
      <c r="C12" s="8" t="s">
        <v>27</v>
      </c>
      <c r="D12" s="8">
        <v>14.0</v>
      </c>
      <c r="E12" s="20">
        <v>1647.0</v>
      </c>
      <c r="F12" s="20">
        <v>-0.75</v>
      </c>
      <c r="G12" s="20">
        <v>0.0</v>
      </c>
      <c r="H12" s="21">
        <v>0.0</v>
      </c>
      <c r="I12" s="20">
        <v>1152.0</v>
      </c>
      <c r="J12" s="20">
        <v>0.0</v>
      </c>
      <c r="K12" s="20">
        <f t="shared" si="1"/>
        <v>1152</v>
      </c>
      <c r="L12" s="20">
        <v>494.25</v>
      </c>
      <c r="M12" s="20">
        <v>814.875</v>
      </c>
      <c r="N12" s="22">
        <v>23.0</v>
      </c>
      <c r="O12" s="20">
        <f t="shared" ref="O12:O41" si="5">(M12/(I12+J12))*N12</f>
        <v>16.26920573</v>
      </c>
      <c r="P12" s="39">
        <v>11.154947916666666</v>
      </c>
      <c r="Q12" s="20">
        <v>0.0</v>
      </c>
      <c r="R12" s="20">
        <v>0.0</v>
      </c>
      <c r="S12" s="20">
        <v>0.0</v>
      </c>
      <c r="T12" s="2"/>
      <c r="U12" s="2">
        <v>139965.0</v>
      </c>
      <c r="V12" s="40">
        <f t="shared" si="3"/>
        <v>161239680</v>
      </c>
      <c r="W12" s="40">
        <f t="shared" si="4"/>
        <v>114053979.4</v>
      </c>
      <c r="X12" s="2"/>
      <c r="Y12" s="2"/>
      <c r="Z12" s="2"/>
    </row>
    <row r="13" ht="12.75" customHeight="1">
      <c r="A13" s="2"/>
      <c r="B13" s="8" t="s">
        <v>34</v>
      </c>
      <c r="C13" s="8" t="s">
        <v>27</v>
      </c>
      <c r="D13" s="8">
        <v>14.0</v>
      </c>
      <c r="E13" s="20">
        <v>165.0</v>
      </c>
      <c r="F13" s="20">
        <v>0.0</v>
      </c>
      <c r="G13" s="20">
        <v>0.0</v>
      </c>
      <c r="H13" s="21">
        <v>0.0</v>
      </c>
      <c r="I13" s="20">
        <v>57.0</v>
      </c>
      <c r="J13" s="20">
        <v>0.0</v>
      </c>
      <c r="K13" s="20">
        <f t="shared" si="1"/>
        <v>57</v>
      </c>
      <c r="L13" s="20">
        <v>108.0</v>
      </c>
      <c r="M13" s="20">
        <v>130.714285714286</v>
      </c>
      <c r="N13" s="22">
        <v>23.0</v>
      </c>
      <c r="O13" s="20">
        <f t="shared" si="5"/>
        <v>52.7443609</v>
      </c>
      <c r="P13" s="39">
        <v>49.26315789473684</v>
      </c>
      <c r="Q13" s="20">
        <v>0.0</v>
      </c>
      <c r="R13" s="20">
        <v>0.0</v>
      </c>
      <c r="S13" s="20">
        <v>0.0</v>
      </c>
      <c r="T13" s="2"/>
      <c r="U13" s="2">
        <v>3438210.0</v>
      </c>
      <c r="V13" s="40">
        <f t="shared" si="3"/>
        <v>195977970</v>
      </c>
      <c r="W13" s="40">
        <f t="shared" si="4"/>
        <v>449423164.3</v>
      </c>
      <c r="X13" s="2"/>
      <c r="Y13" s="2"/>
      <c r="Z13" s="2"/>
    </row>
    <row r="14" ht="12.75" customHeight="1">
      <c r="A14" s="2"/>
      <c r="B14" s="8" t="s">
        <v>35</v>
      </c>
      <c r="C14" s="8" t="s">
        <v>27</v>
      </c>
      <c r="D14" s="8">
        <v>14.0</v>
      </c>
      <c r="E14" s="20">
        <v>1785.0</v>
      </c>
      <c r="F14" s="20">
        <v>154.0</v>
      </c>
      <c r="G14" s="20">
        <v>0.0</v>
      </c>
      <c r="H14" s="21">
        <v>0.0</v>
      </c>
      <c r="I14" s="20">
        <v>1152.0</v>
      </c>
      <c r="J14" s="20">
        <v>0.0</v>
      </c>
      <c r="K14" s="20">
        <f t="shared" si="1"/>
        <v>1152</v>
      </c>
      <c r="L14" s="20">
        <v>787.0</v>
      </c>
      <c r="M14" s="20">
        <v>1313.57142857143</v>
      </c>
      <c r="N14" s="22">
        <v>23.0</v>
      </c>
      <c r="O14" s="20">
        <f t="shared" si="5"/>
        <v>26.22581845</v>
      </c>
      <c r="P14" s="39">
        <v>17.76215277777778</v>
      </c>
      <c r="Q14" s="20">
        <v>0.0</v>
      </c>
      <c r="R14" s="20">
        <v>1000.0</v>
      </c>
      <c r="S14" s="20">
        <v>0.0</v>
      </c>
      <c r="T14" s="2"/>
      <c r="U14" s="2">
        <v>165230.0</v>
      </c>
      <c r="V14" s="40">
        <f t="shared" si="3"/>
        <v>190344960</v>
      </c>
      <c r="W14" s="40">
        <f t="shared" si="4"/>
        <v>217041407.1</v>
      </c>
      <c r="X14" s="2"/>
      <c r="Y14" s="2"/>
      <c r="Z14" s="2"/>
    </row>
    <row r="15" ht="12.75" customHeight="1">
      <c r="A15" s="2"/>
      <c r="B15" s="8" t="s">
        <v>36</v>
      </c>
      <c r="C15" s="8" t="s">
        <v>27</v>
      </c>
      <c r="D15" s="8">
        <v>14.0</v>
      </c>
      <c r="E15" s="20">
        <v>232.0</v>
      </c>
      <c r="F15" s="20">
        <v>58.0</v>
      </c>
      <c r="G15" s="20">
        <v>0.0</v>
      </c>
      <c r="H15" s="21">
        <v>0.0</v>
      </c>
      <c r="I15" s="20">
        <v>20.0</v>
      </c>
      <c r="J15" s="20">
        <v>0.0</v>
      </c>
      <c r="K15" s="20">
        <f t="shared" si="1"/>
        <v>20</v>
      </c>
      <c r="L15" s="20">
        <v>270.0</v>
      </c>
      <c r="M15" s="20">
        <v>246.5</v>
      </c>
      <c r="N15" s="22">
        <v>23.0</v>
      </c>
      <c r="O15" s="20">
        <f t="shared" si="5"/>
        <v>283.475</v>
      </c>
      <c r="P15" s="39">
        <v>351.0</v>
      </c>
      <c r="Q15" s="20">
        <v>2.0</v>
      </c>
      <c r="R15" s="20">
        <v>0.0</v>
      </c>
      <c r="S15" s="20">
        <v>30.0</v>
      </c>
      <c r="T15" s="2"/>
      <c r="U15" s="2">
        <v>1516675.0</v>
      </c>
      <c r="V15" s="40">
        <f t="shared" si="3"/>
        <v>30333500</v>
      </c>
      <c r="W15" s="40">
        <f t="shared" si="4"/>
        <v>373860387.5</v>
      </c>
      <c r="X15" s="2"/>
      <c r="Y15" s="2"/>
      <c r="Z15" s="2"/>
    </row>
    <row r="16" ht="12.75" customHeight="1">
      <c r="A16" s="2"/>
      <c r="B16" s="8" t="s">
        <v>37</v>
      </c>
      <c r="C16" s="8" t="s">
        <v>27</v>
      </c>
      <c r="D16" s="8">
        <v>14.0</v>
      </c>
      <c r="E16" s="20">
        <v>69.0</v>
      </c>
      <c r="F16" s="20">
        <v>0.0</v>
      </c>
      <c r="G16" s="20">
        <v>0.0</v>
      </c>
      <c r="H16" s="21">
        <v>0.0</v>
      </c>
      <c r="I16" s="20">
        <v>10.0</v>
      </c>
      <c r="J16" s="20">
        <v>0.0</v>
      </c>
      <c r="K16" s="20">
        <f t="shared" si="1"/>
        <v>10</v>
      </c>
      <c r="L16" s="20">
        <v>59.0</v>
      </c>
      <c r="M16" s="20">
        <v>63.6666666666667</v>
      </c>
      <c r="N16" s="22">
        <v>23.0</v>
      </c>
      <c r="O16" s="20">
        <f t="shared" si="5"/>
        <v>146.4333333</v>
      </c>
      <c r="P16" s="39">
        <v>153.4</v>
      </c>
      <c r="Q16" s="20">
        <v>0.0</v>
      </c>
      <c r="R16" s="20">
        <v>0.0</v>
      </c>
      <c r="S16" s="20">
        <v>0.0</v>
      </c>
      <c r="T16" s="2"/>
      <c r="U16" s="2">
        <v>1516675.0</v>
      </c>
      <c r="V16" s="40">
        <f t="shared" si="3"/>
        <v>15166750</v>
      </c>
      <c r="W16" s="40">
        <f t="shared" si="4"/>
        <v>96561641.67</v>
      </c>
      <c r="X16" s="2"/>
      <c r="Y16" s="2"/>
      <c r="Z16" s="2"/>
    </row>
    <row r="17" ht="12.75" customHeight="1">
      <c r="A17" s="2"/>
      <c r="B17" s="8" t="s">
        <v>38</v>
      </c>
      <c r="C17" s="8" t="s">
        <v>27</v>
      </c>
      <c r="D17" s="8">
        <v>14.0</v>
      </c>
      <c r="E17" s="20">
        <v>27.0</v>
      </c>
      <c r="F17" s="20">
        <v>0.0</v>
      </c>
      <c r="G17" s="20">
        <v>0.0</v>
      </c>
      <c r="H17" s="21">
        <v>0.0</v>
      </c>
      <c r="I17" s="20">
        <v>8.0</v>
      </c>
      <c r="J17" s="20">
        <v>0.0</v>
      </c>
      <c r="K17" s="20">
        <f t="shared" si="1"/>
        <v>8</v>
      </c>
      <c r="L17" s="20">
        <v>19.0</v>
      </c>
      <c r="M17" s="20">
        <v>21.6666666666667</v>
      </c>
      <c r="N17" s="22">
        <v>23.0</v>
      </c>
      <c r="O17" s="20">
        <f t="shared" si="5"/>
        <v>62.29166667</v>
      </c>
      <c r="P17" s="39">
        <v>61.75</v>
      </c>
      <c r="Q17" s="20">
        <v>0.0</v>
      </c>
      <c r="R17" s="20">
        <v>0.0</v>
      </c>
      <c r="S17" s="20">
        <v>0.0</v>
      </c>
      <c r="T17" s="2"/>
      <c r="U17" s="2">
        <v>1516675.0</v>
      </c>
      <c r="V17" s="40">
        <f t="shared" si="3"/>
        <v>12133400</v>
      </c>
      <c r="W17" s="40">
        <f t="shared" si="4"/>
        <v>32861291.67</v>
      </c>
      <c r="X17" s="2"/>
      <c r="Y17" s="2"/>
      <c r="Z17" s="2"/>
    </row>
    <row r="18" ht="12.75" customHeight="1">
      <c r="A18" s="2"/>
      <c r="B18" s="8" t="s">
        <v>39</v>
      </c>
      <c r="C18" s="8" t="s">
        <v>27</v>
      </c>
      <c r="D18" s="8">
        <v>14.0</v>
      </c>
      <c r="E18" s="20">
        <v>46.0</v>
      </c>
      <c r="F18" s="20">
        <v>29.0</v>
      </c>
      <c r="G18" s="20">
        <v>0.0</v>
      </c>
      <c r="H18" s="21">
        <v>0.0</v>
      </c>
      <c r="I18" s="20">
        <v>14.0</v>
      </c>
      <c r="J18" s="20">
        <v>0.0</v>
      </c>
      <c r="K18" s="20">
        <f t="shared" si="1"/>
        <v>14</v>
      </c>
      <c r="L18" s="20">
        <v>61.0</v>
      </c>
      <c r="M18" s="20">
        <v>57.142857142857096</v>
      </c>
      <c r="N18" s="22">
        <v>23.0</v>
      </c>
      <c r="O18" s="20">
        <f t="shared" si="5"/>
        <v>93.87755102</v>
      </c>
      <c r="P18" s="39">
        <v>113.28571428571428</v>
      </c>
      <c r="Q18" s="20">
        <v>0.0</v>
      </c>
      <c r="R18" s="20">
        <v>0.0</v>
      </c>
      <c r="S18" s="20">
        <v>0.0</v>
      </c>
      <c r="T18" s="2"/>
      <c r="U18" s="2">
        <v>1516675.0</v>
      </c>
      <c r="V18" s="40">
        <f t="shared" si="3"/>
        <v>21233450</v>
      </c>
      <c r="W18" s="40">
        <f t="shared" si="4"/>
        <v>86667142.86</v>
      </c>
      <c r="X18" s="2"/>
      <c r="Y18" s="2"/>
      <c r="Z18" s="2"/>
    </row>
    <row r="19" ht="12.75" customHeight="1">
      <c r="A19" s="2"/>
      <c r="B19" s="8" t="s">
        <v>40</v>
      </c>
      <c r="C19" s="8" t="s">
        <v>27</v>
      </c>
      <c r="D19" s="8">
        <v>14.0</v>
      </c>
      <c r="E19" s="20">
        <v>61.0</v>
      </c>
      <c r="F19" s="20">
        <v>45.0</v>
      </c>
      <c r="G19" s="20">
        <v>0.0</v>
      </c>
      <c r="H19" s="21">
        <v>0.0</v>
      </c>
      <c r="I19" s="20">
        <v>47.0</v>
      </c>
      <c r="J19" s="20">
        <v>0.0</v>
      </c>
      <c r="K19" s="20">
        <f t="shared" si="1"/>
        <v>47</v>
      </c>
      <c r="L19" s="20">
        <v>59.0</v>
      </c>
      <c r="M19" s="20">
        <v>45.8333333333333</v>
      </c>
      <c r="N19" s="22">
        <v>23.0</v>
      </c>
      <c r="O19" s="20">
        <f t="shared" si="5"/>
        <v>22.42907801</v>
      </c>
      <c r="P19" s="39">
        <v>32.638297872340424</v>
      </c>
      <c r="Q19" s="20">
        <v>0.0</v>
      </c>
      <c r="R19" s="20">
        <v>0.0</v>
      </c>
      <c r="S19" s="20">
        <v>0.0</v>
      </c>
      <c r="T19" s="2"/>
      <c r="U19" s="2">
        <v>1516675.0</v>
      </c>
      <c r="V19" s="40">
        <f t="shared" si="3"/>
        <v>71283725</v>
      </c>
      <c r="W19" s="40">
        <f t="shared" si="4"/>
        <v>69514270.83</v>
      </c>
      <c r="X19" s="2"/>
      <c r="Y19" s="2"/>
      <c r="Z19" s="2"/>
    </row>
    <row r="20" ht="12.75" customHeight="1">
      <c r="A20" s="2"/>
      <c r="B20" s="8" t="s">
        <v>41</v>
      </c>
      <c r="C20" s="8" t="s">
        <v>27</v>
      </c>
      <c r="D20" s="8">
        <v>14.0</v>
      </c>
      <c r="E20" s="20">
        <v>71.0</v>
      </c>
      <c r="F20" s="20">
        <v>0.0</v>
      </c>
      <c r="G20" s="20">
        <v>0.0</v>
      </c>
      <c r="H20" s="21">
        <v>0.0</v>
      </c>
      <c r="I20" s="20">
        <v>12.0</v>
      </c>
      <c r="J20" s="20">
        <v>0.0</v>
      </c>
      <c r="K20" s="20">
        <f t="shared" si="1"/>
        <v>12</v>
      </c>
      <c r="L20" s="20">
        <v>59.0</v>
      </c>
      <c r="M20" s="20">
        <v>64.0</v>
      </c>
      <c r="N20" s="22">
        <v>23.0</v>
      </c>
      <c r="O20" s="20">
        <f t="shared" si="5"/>
        <v>122.6666667</v>
      </c>
      <c r="P20" s="39">
        <v>127.83333333333334</v>
      </c>
      <c r="Q20" s="20">
        <v>0.0</v>
      </c>
      <c r="R20" s="20">
        <v>0.0</v>
      </c>
      <c r="S20" s="20">
        <v>0.0</v>
      </c>
      <c r="T20" s="2"/>
      <c r="U20" s="2">
        <v>1516675.0</v>
      </c>
      <c r="V20" s="40">
        <f t="shared" si="3"/>
        <v>18200100</v>
      </c>
      <c r="W20" s="40">
        <f t="shared" si="4"/>
        <v>97067200</v>
      </c>
      <c r="X20" s="2"/>
      <c r="Y20" s="2"/>
      <c r="Z20" s="2"/>
    </row>
    <row r="21" ht="12.75" customHeight="1">
      <c r="A21" s="2"/>
      <c r="B21" s="8" t="s">
        <v>42</v>
      </c>
      <c r="C21" s="8" t="s">
        <v>27</v>
      </c>
      <c r="D21" s="8">
        <v>14.0</v>
      </c>
      <c r="E21" s="20">
        <v>100.0</v>
      </c>
      <c r="F21" s="20">
        <v>353.0</v>
      </c>
      <c r="G21" s="20">
        <v>0.0</v>
      </c>
      <c r="H21" s="21">
        <v>0.0</v>
      </c>
      <c r="I21" s="20">
        <v>309.0</v>
      </c>
      <c r="J21" s="20">
        <v>0.0</v>
      </c>
      <c r="K21" s="20">
        <f t="shared" si="1"/>
        <v>309</v>
      </c>
      <c r="L21" s="20">
        <v>144.0</v>
      </c>
      <c r="M21" s="20">
        <v>99.0769230769231</v>
      </c>
      <c r="N21" s="22">
        <v>23.0</v>
      </c>
      <c r="O21" s="20">
        <f t="shared" si="5"/>
        <v>7.374657705</v>
      </c>
      <c r="P21" s="39">
        <v>12.116504854368932</v>
      </c>
      <c r="Q21" s="20">
        <v>5.0</v>
      </c>
      <c r="R21" s="20">
        <v>50.0</v>
      </c>
      <c r="S21" s="20">
        <v>50.0</v>
      </c>
      <c r="T21" s="2"/>
      <c r="U21" s="2">
        <v>1345865.0</v>
      </c>
      <c r="V21" s="40">
        <f t="shared" si="3"/>
        <v>415872285</v>
      </c>
      <c r="W21" s="40">
        <f t="shared" si="4"/>
        <v>133344163.1</v>
      </c>
      <c r="X21" s="2"/>
      <c r="Y21" s="2"/>
      <c r="Z21" s="2"/>
    </row>
    <row r="22" ht="12.75" customHeight="1">
      <c r="A22" s="2"/>
      <c r="B22" s="8" t="s">
        <v>43</v>
      </c>
      <c r="C22" s="8" t="s">
        <v>27</v>
      </c>
      <c r="D22" s="8">
        <v>14.0</v>
      </c>
      <c r="E22" s="20">
        <v>14.0</v>
      </c>
      <c r="F22" s="20">
        <v>0.0</v>
      </c>
      <c r="G22" s="20">
        <v>0.0</v>
      </c>
      <c r="H22" s="21">
        <v>0.0</v>
      </c>
      <c r="I22" s="20">
        <v>10.0</v>
      </c>
      <c r="J22" s="20">
        <v>0.0</v>
      </c>
      <c r="K22" s="20">
        <f t="shared" si="1"/>
        <v>10</v>
      </c>
      <c r="L22" s="20">
        <v>4.0</v>
      </c>
      <c r="M22" s="20">
        <v>5.0</v>
      </c>
      <c r="N22" s="22">
        <v>23.0</v>
      </c>
      <c r="O22" s="20">
        <f t="shared" si="5"/>
        <v>11.5</v>
      </c>
      <c r="P22" s="39">
        <v>10.4</v>
      </c>
      <c r="Q22" s="20">
        <v>0.0</v>
      </c>
      <c r="R22" s="20">
        <v>0.0</v>
      </c>
      <c r="S22" s="20">
        <v>0.0</v>
      </c>
      <c r="T22" s="2"/>
      <c r="U22" s="2">
        <v>1326180.0</v>
      </c>
      <c r="V22" s="40">
        <f t="shared" si="3"/>
        <v>13261800</v>
      </c>
      <c r="W22" s="40">
        <f t="shared" si="4"/>
        <v>6630900</v>
      </c>
      <c r="X22" s="2"/>
      <c r="Y22" s="2"/>
      <c r="Z22" s="2"/>
    </row>
    <row r="23" ht="12.75" customHeight="1">
      <c r="A23" s="2"/>
      <c r="B23" s="8" t="s">
        <v>44</v>
      </c>
      <c r="C23" s="8" t="s">
        <v>27</v>
      </c>
      <c r="D23" s="8">
        <v>14.0</v>
      </c>
      <c r="E23" s="20">
        <v>69.0</v>
      </c>
      <c r="F23" s="20">
        <v>69.0</v>
      </c>
      <c r="G23" s="20">
        <v>0.0</v>
      </c>
      <c r="H23" s="21">
        <v>0.0</v>
      </c>
      <c r="I23" s="20">
        <v>69.0</v>
      </c>
      <c r="J23" s="20">
        <v>0.0</v>
      </c>
      <c r="K23" s="20">
        <f t="shared" si="1"/>
        <v>69</v>
      </c>
      <c r="L23" s="20">
        <v>69.0</v>
      </c>
      <c r="M23" s="20">
        <v>34.5</v>
      </c>
      <c r="N23" s="22">
        <v>23.0</v>
      </c>
      <c r="O23" s="20">
        <f t="shared" si="5"/>
        <v>11.5</v>
      </c>
      <c r="P23" s="39">
        <v>26.0</v>
      </c>
      <c r="Q23" s="20">
        <v>0.0</v>
      </c>
      <c r="R23" s="20">
        <v>31.0</v>
      </c>
      <c r="S23" s="20">
        <v>0.0</v>
      </c>
      <c r="T23" s="2"/>
      <c r="U23" s="2">
        <v>542345.0</v>
      </c>
      <c r="V23" s="40">
        <f t="shared" si="3"/>
        <v>37421805</v>
      </c>
      <c r="W23" s="40">
        <f t="shared" si="4"/>
        <v>18710902.5</v>
      </c>
      <c r="X23" s="2"/>
      <c r="Y23" s="2"/>
      <c r="Z23" s="2"/>
    </row>
    <row r="24" ht="12.75" customHeight="1">
      <c r="A24" s="2"/>
      <c r="B24" s="8" t="s">
        <v>45</v>
      </c>
      <c r="C24" s="8" t="s">
        <v>27</v>
      </c>
      <c r="D24" s="8">
        <v>14.0</v>
      </c>
      <c r="E24" s="20">
        <v>2132.0</v>
      </c>
      <c r="F24" s="20">
        <v>0.0</v>
      </c>
      <c r="G24" s="20">
        <v>0.0</v>
      </c>
      <c r="H24" s="21">
        <v>0.0</v>
      </c>
      <c r="I24" s="20">
        <v>1277.0</v>
      </c>
      <c r="J24" s="20">
        <v>0.0</v>
      </c>
      <c r="K24" s="20">
        <f t="shared" si="1"/>
        <v>1277</v>
      </c>
      <c r="L24" s="20">
        <v>855.0</v>
      </c>
      <c r="M24" s="20">
        <v>1404.63157894737</v>
      </c>
      <c r="N24" s="22">
        <v>23.0</v>
      </c>
      <c r="O24" s="20">
        <f t="shared" si="5"/>
        <v>25.29876767</v>
      </c>
      <c r="P24" s="39">
        <v>17.4079874706343</v>
      </c>
      <c r="Q24" s="20">
        <v>2.0</v>
      </c>
      <c r="R24" s="20">
        <v>1600.0</v>
      </c>
      <c r="S24" s="20">
        <v>0.0</v>
      </c>
      <c r="T24" s="2"/>
      <c r="U24" s="2">
        <v>1054620.0</v>
      </c>
      <c r="V24" s="40">
        <f t="shared" si="3"/>
        <v>1346749740</v>
      </c>
      <c r="W24" s="40">
        <f t="shared" si="4"/>
        <v>1481352556</v>
      </c>
      <c r="X24" s="2"/>
      <c r="Y24" s="2"/>
      <c r="Z24" s="2"/>
    </row>
    <row r="25" ht="12.75" customHeight="1">
      <c r="A25" s="2"/>
      <c r="B25" s="8" t="s">
        <v>46</v>
      </c>
      <c r="C25" s="8" t="s">
        <v>27</v>
      </c>
      <c r="D25" s="8">
        <v>14.0</v>
      </c>
      <c r="E25" s="20">
        <v>681.0</v>
      </c>
      <c r="F25" s="20">
        <v>0.0</v>
      </c>
      <c r="G25" s="20">
        <v>0.0</v>
      </c>
      <c r="H25" s="21">
        <v>0.0</v>
      </c>
      <c r="I25" s="20">
        <v>270.0</v>
      </c>
      <c r="J25" s="20">
        <v>0.0</v>
      </c>
      <c r="K25" s="20">
        <f t="shared" si="1"/>
        <v>270</v>
      </c>
      <c r="L25" s="20">
        <v>411.0</v>
      </c>
      <c r="M25" s="20">
        <v>532.5</v>
      </c>
      <c r="N25" s="22">
        <v>23.0</v>
      </c>
      <c r="O25" s="20">
        <f t="shared" si="5"/>
        <v>45.36111111</v>
      </c>
      <c r="P25" s="39">
        <v>39.577777777777776</v>
      </c>
      <c r="Q25" s="20">
        <v>0.0</v>
      </c>
      <c r="R25" s="20">
        <v>0.0</v>
      </c>
      <c r="S25" s="20">
        <v>0.0</v>
      </c>
      <c r="T25" s="2"/>
      <c r="U25" s="2">
        <v>848935.0</v>
      </c>
      <c r="V25" s="40">
        <f t="shared" si="3"/>
        <v>229212450</v>
      </c>
      <c r="W25" s="40">
        <f t="shared" si="4"/>
        <v>452057887.5</v>
      </c>
      <c r="X25" s="2"/>
      <c r="Y25" s="2"/>
      <c r="Z25" s="2"/>
    </row>
    <row r="26" ht="12.75" customHeight="1">
      <c r="A26" s="2"/>
      <c r="B26" s="8" t="s">
        <v>47</v>
      </c>
      <c r="C26" s="8" t="s">
        <v>27</v>
      </c>
      <c r="D26" s="8">
        <v>14.0</v>
      </c>
      <c r="E26" s="20">
        <v>2084.17</v>
      </c>
      <c r="F26" s="20">
        <v>46.0</v>
      </c>
      <c r="G26" s="20">
        <v>0.0</v>
      </c>
      <c r="H26" s="21">
        <v>0.0</v>
      </c>
      <c r="I26" s="20">
        <v>1356.0</v>
      </c>
      <c r="J26" s="20">
        <v>0.0</v>
      </c>
      <c r="K26" s="20">
        <f t="shared" si="1"/>
        <v>1356</v>
      </c>
      <c r="L26" s="20">
        <v>774.1700000000001</v>
      </c>
      <c r="M26" s="20">
        <v>1379.94272727273</v>
      </c>
      <c r="N26" s="22">
        <v>23.0</v>
      </c>
      <c r="O26" s="20">
        <f t="shared" si="5"/>
        <v>23.40610821</v>
      </c>
      <c r="P26" s="39">
        <v>14.84396755162242</v>
      </c>
      <c r="Q26" s="20">
        <v>28.0</v>
      </c>
      <c r="R26" s="20">
        <v>0.0</v>
      </c>
      <c r="S26" s="20">
        <v>0.0</v>
      </c>
      <c r="T26" s="2"/>
      <c r="U26" s="2">
        <v>2021820.0</v>
      </c>
      <c r="V26" s="40">
        <f t="shared" si="3"/>
        <v>2741587920</v>
      </c>
      <c r="W26" s="40">
        <f t="shared" si="4"/>
        <v>2789995805</v>
      </c>
      <c r="X26" s="2"/>
      <c r="Y26" s="2"/>
      <c r="Z26" s="2"/>
    </row>
    <row r="27" ht="12.75" customHeight="1">
      <c r="A27" s="2"/>
      <c r="B27" s="8" t="s">
        <v>48</v>
      </c>
      <c r="C27" s="8" t="s">
        <v>27</v>
      </c>
      <c r="D27" s="8">
        <v>14.0</v>
      </c>
      <c r="E27" s="20">
        <v>648.0</v>
      </c>
      <c r="F27" s="20">
        <v>870.0</v>
      </c>
      <c r="G27" s="20">
        <v>0.0</v>
      </c>
      <c r="H27" s="21">
        <v>0.0</v>
      </c>
      <c r="I27" s="20">
        <v>969.0</v>
      </c>
      <c r="J27" s="20">
        <v>0.0</v>
      </c>
      <c r="K27" s="20">
        <f t="shared" si="1"/>
        <v>969</v>
      </c>
      <c r="L27" s="20">
        <v>549.0</v>
      </c>
      <c r="M27" s="20">
        <v>513.8571428571431</v>
      </c>
      <c r="N27" s="22">
        <v>23.0</v>
      </c>
      <c r="O27" s="20">
        <f t="shared" si="5"/>
        <v>12.19681557</v>
      </c>
      <c r="P27" s="39">
        <v>14.730650154798761</v>
      </c>
      <c r="Q27" s="20">
        <v>0.0</v>
      </c>
      <c r="R27" s="20">
        <v>1000.0</v>
      </c>
      <c r="S27" s="20">
        <v>0.0</v>
      </c>
      <c r="T27" s="2"/>
      <c r="U27" s="2">
        <v>819485.0</v>
      </c>
      <c r="V27" s="40">
        <f t="shared" si="3"/>
        <v>794080965</v>
      </c>
      <c r="W27" s="40">
        <f t="shared" si="4"/>
        <v>421098220.7</v>
      </c>
      <c r="X27" s="2"/>
      <c r="Y27" s="2"/>
      <c r="Z27" s="2"/>
    </row>
    <row r="28" ht="12.75" customHeight="1">
      <c r="A28" s="2"/>
      <c r="B28" s="8" t="s">
        <v>49</v>
      </c>
      <c r="C28" s="8" t="s">
        <v>27</v>
      </c>
      <c r="D28" s="8">
        <v>14.0</v>
      </c>
      <c r="E28" s="20">
        <v>51.0</v>
      </c>
      <c r="F28" s="20">
        <v>100.0</v>
      </c>
      <c r="G28" s="20">
        <v>0.0</v>
      </c>
      <c r="H28" s="21">
        <v>0.0</v>
      </c>
      <c r="I28" s="20">
        <v>101.0</v>
      </c>
      <c r="J28" s="20">
        <v>0.0</v>
      </c>
      <c r="K28" s="20">
        <f t="shared" si="1"/>
        <v>101</v>
      </c>
      <c r="L28" s="20">
        <v>50.0</v>
      </c>
      <c r="M28" s="20">
        <v>91.0</v>
      </c>
      <c r="N28" s="22">
        <v>23.0</v>
      </c>
      <c r="O28" s="20">
        <f t="shared" si="5"/>
        <v>20.72277228</v>
      </c>
      <c r="P28" s="39">
        <v>12.871287128712872</v>
      </c>
      <c r="Q28" s="20">
        <v>0.0</v>
      </c>
      <c r="R28" s="20">
        <v>100.0</v>
      </c>
      <c r="S28" s="20">
        <v>0.0</v>
      </c>
      <c r="T28" s="2"/>
      <c r="U28" s="2">
        <v>1272550.0</v>
      </c>
      <c r="V28" s="40">
        <f t="shared" si="3"/>
        <v>128527550</v>
      </c>
      <c r="W28" s="40">
        <f t="shared" si="4"/>
        <v>115802050</v>
      </c>
      <c r="X28" s="2"/>
      <c r="Y28" s="2"/>
      <c r="Z28" s="2"/>
    </row>
    <row r="29" ht="12.75" customHeight="1">
      <c r="A29" s="2"/>
      <c r="B29" s="8" t="s">
        <v>50</v>
      </c>
      <c r="C29" s="8" t="s">
        <v>27</v>
      </c>
      <c r="D29" s="8">
        <v>14.0</v>
      </c>
      <c r="E29" s="20">
        <v>210.0</v>
      </c>
      <c r="F29" s="20">
        <v>101.0</v>
      </c>
      <c r="G29" s="20">
        <v>0.0</v>
      </c>
      <c r="H29" s="21">
        <v>0.0</v>
      </c>
      <c r="I29" s="20">
        <v>92.0</v>
      </c>
      <c r="J29" s="20">
        <v>0.0</v>
      </c>
      <c r="K29" s="20">
        <f t="shared" si="1"/>
        <v>92</v>
      </c>
      <c r="L29" s="20">
        <v>219.0</v>
      </c>
      <c r="M29" s="20">
        <v>261.666666666667</v>
      </c>
      <c r="N29" s="22">
        <v>23.0</v>
      </c>
      <c r="O29" s="20">
        <f t="shared" si="5"/>
        <v>65.41666667</v>
      </c>
      <c r="P29" s="39">
        <v>61.89130434782609</v>
      </c>
      <c r="Q29" s="20">
        <v>0.0</v>
      </c>
      <c r="R29" s="20">
        <v>0.0</v>
      </c>
      <c r="S29" s="20">
        <v>0.0</v>
      </c>
      <c r="T29" s="2"/>
      <c r="U29" s="2">
        <v>1272550.0</v>
      </c>
      <c r="V29" s="40">
        <f t="shared" si="3"/>
        <v>117074600</v>
      </c>
      <c r="W29" s="40">
        <f t="shared" si="4"/>
        <v>332983916.7</v>
      </c>
      <c r="X29" s="2"/>
      <c r="Y29" s="2"/>
      <c r="Z29" s="2"/>
    </row>
    <row r="30" ht="12.75" customHeight="1">
      <c r="A30" s="2"/>
      <c r="B30" s="8" t="s">
        <v>51</v>
      </c>
      <c r="C30" s="8" t="s">
        <v>27</v>
      </c>
      <c r="D30" s="8">
        <v>14.0</v>
      </c>
      <c r="E30" s="20">
        <v>488.0</v>
      </c>
      <c r="F30" s="20">
        <v>700.0</v>
      </c>
      <c r="G30" s="20">
        <v>0.0</v>
      </c>
      <c r="H30" s="21">
        <v>0.0</v>
      </c>
      <c r="I30" s="20">
        <v>795.0</v>
      </c>
      <c r="J30" s="20">
        <v>0.0</v>
      </c>
      <c r="K30" s="20">
        <f t="shared" si="1"/>
        <v>795</v>
      </c>
      <c r="L30" s="20">
        <v>393.0</v>
      </c>
      <c r="M30" s="20">
        <v>427.125</v>
      </c>
      <c r="N30" s="22">
        <v>23.0</v>
      </c>
      <c r="O30" s="20">
        <f t="shared" si="5"/>
        <v>12.35707547</v>
      </c>
      <c r="P30" s="39">
        <v>12.852830188679246</v>
      </c>
      <c r="Q30" s="20">
        <v>0.0</v>
      </c>
      <c r="R30" s="20">
        <v>808.0</v>
      </c>
      <c r="S30" s="20">
        <v>0.0</v>
      </c>
      <c r="T30" s="2"/>
      <c r="U30" s="2">
        <v>819485.0</v>
      </c>
      <c r="V30" s="40">
        <f t="shared" si="3"/>
        <v>651490575</v>
      </c>
      <c r="W30" s="40">
        <f t="shared" si="4"/>
        <v>350022530.6</v>
      </c>
      <c r="X30" s="2"/>
      <c r="Y30" s="2"/>
      <c r="Z30" s="2"/>
    </row>
    <row r="31" ht="12.75" customHeight="1">
      <c r="A31" s="2"/>
      <c r="B31" s="8" t="s">
        <v>52</v>
      </c>
      <c r="C31" s="8" t="s">
        <v>27</v>
      </c>
      <c r="D31" s="8">
        <v>14.0</v>
      </c>
      <c r="E31" s="20">
        <v>91.0</v>
      </c>
      <c r="F31" s="20">
        <v>0.0</v>
      </c>
      <c r="G31" s="20">
        <v>0.0</v>
      </c>
      <c r="H31" s="21">
        <v>0.0</v>
      </c>
      <c r="I31" s="20">
        <v>92.0</v>
      </c>
      <c r="J31" s="20">
        <v>-1.0</v>
      </c>
      <c r="K31" s="20">
        <f t="shared" si="1"/>
        <v>91</v>
      </c>
      <c r="L31" s="20">
        <v>0.0</v>
      </c>
      <c r="M31" s="20">
        <v>11.0</v>
      </c>
      <c r="N31" s="22">
        <v>23.0</v>
      </c>
      <c r="O31" s="20">
        <f t="shared" si="5"/>
        <v>2.78021978</v>
      </c>
      <c r="P31" s="39">
        <v>0.0</v>
      </c>
      <c r="Q31" s="20">
        <v>0.0</v>
      </c>
      <c r="R31" s="20">
        <v>0.0</v>
      </c>
      <c r="S31" s="20">
        <v>0.0</v>
      </c>
      <c r="T31" s="2"/>
      <c r="U31" s="2">
        <v>1445220.0</v>
      </c>
      <c r="V31" s="40">
        <f t="shared" si="3"/>
        <v>131515020</v>
      </c>
      <c r="W31" s="40">
        <f t="shared" si="4"/>
        <v>15897420</v>
      </c>
      <c r="X31" s="2"/>
      <c r="Y31" s="2"/>
      <c r="Z31" s="2"/>
    </row>
    <row r="32" ht="12.75" customHeight="1">
      <c r="A32" s="2"/>
      <c r="B32" s="8" t="s">
        <v>108</v>
      </c>
      <c r="C32" s="8" t="s">
        <v>27</v>
      </c>
      <c r="D32" s="8">
        <v>14.0</v>
      </c>
      <c r="E32" s="20">
        <v>0.0</v>
      </c>
      <c r="F32" s="20">
        <v>210.0</v>
      </c>
      <c r="G32" s="20">
        <v>0.0</v>
      </c>
      <c r="H32" s="21">
        <v>0.0</v>
      </c>
      <c r="I32" s="20">
        <v>48.0</v>
      </c>
      <c r="J32" s="20">
        <v>0.0</v>
      </c>
      <c r="K32" s="20">
        <f t="shared" si="1"/>
        <v>48</v>
      </c>
      <c r="L32" s="20">
        <v>162.0</v>
      </c>
      <c r="M32" s="20">
        <v>186.0</v>
      </c>
      <c r="N32" s="22">
        <v>23.0</v>
      </c>
      <c r="O32" s="20">
        <f t="shared" si="5"/>
        <v>89.125</v>
      </c>
      <c r="P32" s="39">
        <v>87.75</v>
      </c>
      <c r="Q32" s="20">
        <v>0.0</v>
      </c>
      <c r="R32" s="20">
        <v>100.0</v>
      </c>
      <c r="S32" s="20">
        <v>0.0</v>
      </c>
      <c r="T32" s="2"/>
      <c r="U32" s="2">
        <v>1445220.0</v>
      </c>
      <c r="V32" s="40">
        <f t="shared" si="3"/>
        <v>69370560</v>
      </c>
      <c r="W32" s="40">
        <f t="shared" si="4"/>
        <v>268810920</v>
      </c>
      <c r="X32" s="2"/>
      <c r="Y32" s="2"/>
      <c r="Z32" s="2"/>
    </row>
    <row r="33" ht="12.75" customHeight="1">
      <c r="A33" s="2"/>
      <c r="B33" s="8" t="s">
        <v>53</v>
      </c>
      <c r="C33" s="8" t="s">
        <v>27</v>
      </c>
      <c r="D33" s="8">
        <v>14.0</v>
      </c>
      <c r="E33" s="20">
        <v>157.0</v>
      </c>
      <c r="F33" s="20">
        <v>0.0</v>
      </c>
      <c r="G33" s="20">
        <v>0.0</v>
      </c>
      <c r="H33" s="21">
        <v>0.0</v>
      </c>
      <c r="I33" s="20">
        <v>107.0</v>
      </c>
      <c r="J33" s="20">
        <v>0.0</v>
      </c>
      <c r="K33" s="20">
        <f t="shared" si="1"/>
        <v>107</v>
      </c>
      <c r="L33" s="20">
        <v>50.0</v>
      </c>
      <c r="M33" s="20">
        <v>79.5</v>
      </c>
      <c r="N33" s="22">
        <v>23.0</v>
      </c>
      <c r="O33" s="20">
        <f t="shared" si="5"/>
        <v>17.08878505</v>
      </c>
      <c r="P33" s="39">
        <v>12.149532710280374</v>
      </c>
      <c r="Q33" s="20">
        <v>0.0</v>
      </c>
      <c r="R33" s="20">
        <v>0.0</v>
      </c>
      <c r="S33" s="20">
        <v>0.0</v>
      </c>
      <c r="T33" s="2"/>
      <c r="U33" s="2">
        <v>1445220.0</v>
      </c>
      <c r="V33" s="40">
        <f t="shared" si="3"/>
        <v>154638540</v>
      </c>
      <c r="W33" s="40">
        <f t="shared" si="4"/>
        <v>114894990</v>
      </c>
      <c r="X33" s="2"/>
      <c r="Y33" s="2"/>
      <c r="Z33" s="2"/>
    </row>
    <row r="34" ht="12.75" customHeight="1">
      <c r="A34" s="2"/>
      <c r="B34" s="8" t="s">
        <v>54</v>
      </c>
      <c r="C34" s="8" t="s">
        <v>27</v>
      </c>
      <c r="D34" s="8">
        <v>14.0</v>
      </c>
      <c r="E34" s="20">
        <v>325.0</v>
      </c>
      <c r="F34" s="20">
        <v>0.0</v>
      </c>
      <c r="G34" s="20">
        <v>0.0</v>
      </c>
      <c r="H34" s="21">
        <v>0.0</v>
      </c>
      <c r="I34" s="20">
        <v>177.0</v>
      </c>
      <c r="J34" s="20">
        <v>0.0</v>
      </c>
      <c r="K34" s="20">
        <f t="shared" si="1"/>
        <v>177</v>
      </c>
      <c r="L34" s="20">
        <v>148.0</v>
      </c>
      <c r="M34" s="20">
        <v>205.666666666667</v>
      </c>
      <c r="N34" s="22">
        <v>23.0</v>
      </c>
      <c r="O34" s="20">
        <f t="shared" si="5"/>
        <v>26.72504708</v>
      </c>
      <c r="P34" s="39">
        <v>21.74011299435028</v>
      </c>
      <c r="Q34" s="20">
        <v>0.0</v>
      </c>
      <c r="R34" s="20">
        <v>0.0</v>
      </c>
      <c r="S34" s="20">
        <v>0.0</v>
      </c>
      <c r="T34" s="2"/>
      <c r="U34" s="2">
        <v>1445220.0</v>
      </c>
      <c r="V34" s="40">
        <f t="shared" si="3"/>
        <v>255803940</v>
      </c>
      <c r="W34" s="40">
        <f t="shared" si="4"/>
        <v>297233580</v>
      </c>
      <c r="X34" s="2"/>
      <c r="Y34" s="2"/>
      <c r="Z34" s="2"/>
    </row>
    <row r="35" ht="12.75" customHeight="1">
      <c r="A35" s="2"/>
      <c r="B35" s="8" t="s">
        <v>55</v>
      </c>
      <c r="C35" s="8" t="s">
        <v>27</v>
      </c>
      <c r="D35" s="8">
        <v>14.0</v>
      </c>
      <c r="E35" s="20">
        <v>196.0</v>
      </c>
      <c r="F35" s="20">
        <v>105.0</v>
      </c>
      <c r="G35" s="20">
        <v>0.0</v>
      </c>
      <c r="H35" s="21">
        <v>0.0</v>
      </c>
      <c r="I35" s="20">
        <v>71.0</v>
      </c>
      <c r="J35" s="20">
        <v>0.0</v>
      </c>
      <c r="K35" s="20">
        <f t="shared" si="1"/>
        <v>71</v>
      </c>
      <c r="L35" s="20">
        <v>230.0</v>
      </c>
      <c r="M35" s="20">
        <v>177.5</v>
      </c>
      <c r="N35" s="22">
        <v>23.0</v>
      </c>
      <c r="O35" s="20">
        <f t="shared" si="5"/>
        <v>57.5</v>
      </c>
      <c r="P35" s="39">
        <v>84.22535211267606</v>
      </c>
      <c r="Q35" s="20">
        <v>0.0</v>
      </c>
      <c r="R35" s="20">
        <v>0.0</v>
      </c>
      <c r="S35" s="20">
        <v>0.0</v>
      </c>
      <c r="T35" s="2"/>
      <c r="U35" s="2">
        <v>1272550.0</v>
      </c>
      <c r="V35" s="40">
        <f t="shared" si="3"/>
        <v>90351050</v>
      </c>
      <c r="W35" s="40">
        <f t="shared" si="4"/>
        <v>225877625</v>
      </c>
      <c r="X35" s="2"/>
      <c r="Y35" s="2"/>
      <c r="Z35" s="2"/>
    </row>
    <row r="36" ht="12.75" customHeight="1">
      <c r="A36" s="2"/>
      <c r="B36" s="8" t="s">
        <v>57</v>
      </c>
      <c r="C36" s="8" t="s">
        <v>27</v>
      </c>
      <c r="D36" s="8">
        <v>14.0</v>
      </c>
      <c r="E36" s="20">
        <v>72.0</v>
      </c>
      <c r="F36" s="20">
        <v>0.0</v>
      </c>
      <c r="G36" s="20">
        <v>0.0</v>
      </c>
      <c r="H36" s="21">
        <v>0.0</v>
      </c>
      <c r="I36" s="20">
        <v>72.0</v>
      </c>
      <c r="J36" s="20">
        <v>0.0</v>
      </c>
      <c r="K36" s="20">
        <f t="shared" si="1"/>
        <v>72</v>
      </c>
      <c r="L36" s="20">
        <v>0.0</v>
      </c>
      <c r="M36" s="20">
        <v>0.0</v>
      </c>
      <c r="N36" s="22">
        <v>23.0</v>
      </c>
      <c r="O36" s="20">
        <f t="shared" si="5"/>
        <v>0</v>
      </c>
      <c r="P36" s="39">
        <v>0.0</v>
      </c>
      <c r="Q36" s="20">
        <v>0.0</v>
      </c>
      <c r="R36" s="20">
        <v>0.0</v>
      </c>
      <c r="S36" s="20">
        <v>0.0</v>
      </c>
      <c r="T36" s="2"/>
      <c r="U36" s="2">
        <v>819485.0</v>
      </c>
      <c r="V36" s="40">
        <f t="shared" si="3"/>
        <v>59002920</v>
      </c>
      <c r="W36" s="40">
        <f t="shared" si="4"/>
        <v>0</v>
      </c>
      <c r="X36" s="2"/>
      <c r="Y36" s="2"/>
      <c r="Z36" s="2"/>
    </row>
    <row r="37" ht="12.75" customHeight="1">
      <c r="A37" s="2"/>
      <c r="B37" s="8" t="s">
        <v>58</v>
      </c>
      <c r="C37" s="8" t="s">
        <v>27</v>
      </c>
      <c r="D37" s="8">
        <v>14.0</v>
      </c>
      <c r="E37" s="20">
        <v>285.0</v>
      </c>
      <c r="F37" s="20">
        <v>200.0</v>
      </c>
      <c r="G37" s="20">
        <v>0.0</v>
      </c>
      <c r="H37" s="21">
        <v>0.0</v>
      </c>
      <c r="I37" s="20">
        <v>215.0</v>
      </c>
      <c r="J37" s="20">
        <v>0.0</v>
      </c>
      <c r="K37" s="20">
        <f t="shared" si="1"/>
        <v>215</v>
      </c>
      <c r="L37" s="20">
        <v>270.0</v>
      </c>
      <c r="M37" s="20">
        <v>267.2</v>
      </c>
      <c r="N37" s="22">
        <v>23.0</v>
      </c>
      <c r="O37" s="20">
        <f t="shared" si="5"/>
        <v>28.58418605</v>
      </c>
      <c r="P37" s="39">
        <v>32.651162790697676</v>
      </c>
      <c r="Q37" s="20">
        <v>0.0</v>
      </c>
      <c r="R37" s="20">
        <v>0.0</v>
      </c>
      <c r="S37" s="20">
        <v>0.0</v>
      </c>
      <c r="T37" s="2"/>
      <c r="U37" s="2">
        <v>819485.0</v>
      </c>
      <c r="V37" s="40">
        <f t="shared" si="3"/>
        <v>176189275</v>
      </c>
      <c r="W37" s="40">
        <f t="shared" si="4"/>
        <v>218966392</v>
      </c>
      <c r="X37" s="2"/>
      <c r="Y37" s="2"/>
      <c r="Z37" s="2"/>
    </row>
    <row r="38" ht="12.75" customHeight="1">
      <c r="A38" s="2"/>
      <c r="B38" s="8" t="s">
        <v>59</v>
      </c>
      <c r="C38" s="8" t="s">
        <v>27</v>
      </c>
      <c r="D38" s="8">
        <v>14.0</v>
      </c>
      <c r="E38" s="20">
        <v>321.0</v>
      </c>
      <c r="F38" s="20">
        <v>507.98</v>
      </c>
      <c r="G38" s="20">
        <v>0.0</v>
      </c>
      <c r="H38" s="21">
        <v>0.0</v>
      </c>
      <c r="I38" s="20">
        <v>640.0</v>
      </c>
      <c r="J38" s="20">
        <v>-3.0</v>
      </c>
      <c r="K38" s="20">
        <f t="shared" si="1"/>
        <v>637</v>
      </c>
      <c r="L38" s="20">
        <v>191.98000000000002</v>
      </c>
      <c r="M38" s="20">
        <v>144.995714285714</v>
      </c>
      <c r="N38" s="22">
        <v>23.0</v>
      </c>
      <c r="O38" s="20">
        <f t="shared" si="5"/>
        <v>5.235324064</v>
      </c>
      <c r="P38" s="39">
        <v>7.83591836734694</v>
      </c>
      <c r="Q38" s="20">
        <v>100.0</v>
      </c>
      <c r="R38" s="20">
        <v>1000.0</v>
      </c>
      <c r="S38" s="20">
        <v>0.0</v>
      </c>
      <c r="T38" s="2"/>
      <c r="U38" s="2">
        <v>819485.0</v>
      </c>
      <c r="V38" s="40">
        <f t="shared" si="3"/>
        <v>522011945</v>
      </c>
      <c r="W38" s="40">
        <f t="shared" si="4"/>
        <v>118821812.9</v>
      </c>
      <c r="X38" s="2"/>
      <c r="Y38" s="2"/>
      <c r="Z38" s="2"/>
    </row>
    <row r="39" ht="12.75" customHeight="1">
      <c r="A39" s="2"/>
      <c r="B39" s="8" t="s">
        <v>60</v>
      </c>
      <c r="C39" s="8" t="s">
        <v>27</v>
      </c>
      <c r="D39" s="8">
        <v>14.0</v>
      </c>
      <c r="E39" s="20">
        <v>114.0</v>
      </c>
      <c r="F39" s="20">
        <v>26.0</v>
      </c>
      <c r="G39" s="20">
        <v>0.0</v>
      </c>
      <c r="H39" s="21">
        <v>0.0</v>
      </c>
      <c r="I39" s="20">
        <v>4.0</v>
      </c>
      <c r="J39" s="20">
        <v>0.0</v>
      </c>
      <c r="K39" s="20">
        <f t="shared" si="1"/>
        <v>4</v>
      </c>
      <c r="L39" s="20">
        <v>136.0</v>
      </c>
      <c r="M39" s="20">
        <v>123.0</v>
      </c>
      <c r="N39" s="22">
        <v>23.0</v>
      </c>
      <c r="O39" s="20">
        <f t="shared" si="5"/>
        <v>707.25</v>
      </c>
      <c r="P39" s="39">
        <v>884.0</v>
      </c>
      <c r="Q39" s="20">
        <v>0.0</v>
      </c>
      <c r="R39" s="20">
        <v>0.0</v>
      </c>
      <c r="S39" s="20">
        <v>0.0</v>
      </c>
      <c r="T39" s="2"/>
      <c r="U39" s="2">
        <v>1481800.0</v>
      </c>
      <c r="V39" s="40">
        <f t="shared" si="3"/>
        <v>5927200</v>
      </c>
      <c r="W39" s="40">
        <f t="shared" si="4"/>
        <v>182261400</v>
      </c>
      <c r="X39" s="2"/>
      <c r="Y39" s="2"/>
      <c r="Z39" s="2"/>
    </row>
    <row r="40" ht="12.75" customHeight="1">
      <c r="A40" s="2"/>
      <c r="B40" s="8" t="s">
        <v>61</v>
      </c>
      <c r="C40" s="8" t="s">
        <v>27</v>
      </c>
      <c r="D40" s="8">
        <v>14.0</v>
      </c>
      <c r="E40" s="20">
        <v>22.0</v>
      </c>
      <c r="F40" s="20">
        <v>0.0</v>
      </c>
      <c r="G40" s="20">
        <v>0.0</v>
      </c>
      <c r="H40" s="21">
        <v>0.0</v>
      </c>
      <c r="I40" s="20">
        <v>4.0</v>
      </c>
      <c r="J40" s="20">
        <v>0.0</v>
      </c>
      <c r="K40" s="20">
        <f t="shared" si="1"/>
        <v>4</v>
      </c>
      <c r="L40" s="20">
        <v>18.0</v>
      </c>
      <c r="M40" s="20">
        <v>19.0</v>
      </c>
      <c r="N40" s="22">
        <v>23.0</v>
      </c>
      <c r="O40" s="20">
        <f t="shared" si="5"/>
        <v>109.25</v>
      </c>
      <c r="P40" s="39">
        <v>117.0</v>
      </c>
      <c r="Q40" s="20">
        <v>0.0</v>
      </c>
      <c r="R40" s="20">
        <v>0.0</v>
      </c>
      <c r="S40" s="20">
        <v>0.0</v>
      </c>
      <c r="T40" s="2"/>
      <c r="U40" s="2">
        <v>1481800.0</v>
      </c>
      <c r="V40" s="40">
        <f t="shared" si="3"/>
        <v>5927200</v>
      </c>
      <c r="W40" s="40">
        <f t="shared" si="4"/>
        <v>28154200</v>
      </c>
      <c r="X40" s="2"/>
      <c r="Y40" s="2"/>
      <c r="Z40" s="2"/>
    </row>
    <row r="41" ht="12.75" customHeight="1">
      <c r="A41" s="2"/>
      <c r="B41" s="8" t="s">
        <v>62</v>
      </c>
      <c r="C41" s="8" t="s">
        <v>27</v>
      </c>
      <c r="D41" s="8">
        <v>14.0</v>
      </c>
      <c r="E41" s="20">
        <v>21.0</v>
      </c>
      <c r="F41" s="20">
        <v>0.0</v>
      </c>
      <c r="G41" s="20">
        <v>0.0</v>
      </c>
      <c r="H41" s="21">
        <v>0.0</v>
      </c>
      <c r="I41" s="20">
        <v>4.0</v>
      </c>
      <c r="J41" s="20">
        <v>0.0</v>
      </c>
      <c r="K41" s="20">
        <f t="shared" si="1"/>
        <v>4</v>
      </c>
      <c r="L41" s="20">
        <v>17.0</v>
      </c>
      <c r="M41" s="20">
        <v>18.0</v>
      </c>
      <c r="N41" s="22">
        <v>23.0</v>
      </c>
      <c r="O41" s="20">
        <f t="shared" si="5"/>
        <v>103.5</v>
      </c>
      <c r="P41" s="39">
        <v>110.5</v>
      </c>
      <c r="Q41" s="20">
        <v>0.0</v>
      </c>
      <c r="R41" s="20">
        <v>0.0</v>
      </c>
      <c r="S41" s="20">
        <v>0.0</v>
      </c>
      <c r="T41" s="2"/>
      <c r="U41" s="2">
        <v>1481800.0</v>
      </c>
      <c r="V41" s="40">
        <f t="shared" si="3"/>
        <v>5927200</v>
      </c>
      <c r="W41" s="40">
        <f t="shared" si="4"/>
        <v>26672400</v>
      </c>
      <c r="X41" s="2"/>
      <c r="Y41" s="2"/>
      <c r="Z41" s="2"/>
    </row>
    <row r="42" ht="12.75" customHeight="1">
      <c r="A42" s="2"/>
      <c r="B42" s="8" t="s">
        <v>63</v>
      </c>
      <c r="C42" s="8" t="s">
        <v>27</v>
      </c>
      <c r="D42" s="8">
        <v>14.0</v>
      </c>
      <c r="E42" s="20">
        <v>61.0</v>
      </c>
      <c r="F42" s="20">
        <v>0.0</v>
      </c>
      <c r="G42" s="20">
        <v>0.0</v>
      </c>
      <c r="H42" s="21">
        <v>0.0</v>
      </c>
      <c r="I42" s="20">
        <v>0.0</v>
      </c>
      <c r="J42" s="20">
        <v>0.0</v>
      </c>
      <c r="K42" s="20">
        <f t="shared" si="1"/>
        <v>0</v>
      </c>
      <c r="L42" s="20">
        <v>61.0</v>
      </c>
      <c r="M42" s="20">
        <v>0.0</v>
      </c>
      <c r="N42" s="22">
        <v>23.0</v>
      </c>
      <c r="O42" s="20">
        <v>0.0</v>
      </c>
      <c r="P42" s="39">
        <v>0.0</v>
      </c>
      <c r="Q42" s="20">
        <v>0.0</v>
      </c>
      <c r="R42" s="20">
        <v>0.0</v>
      </c>
      <c r="S42" s="20">
        <v>0.0</v>
      </c>
      <c r="T42" s="2"/>
      <c r="U42" s="2">
        <v>1481800.0</v>
      </c>
      <c r="V42" s="40">
        <f t="shared" si="3"/>
        <v>0</v>
      </c>
      <c r="W42" s="40">
        <f t="shared" si="4"/>
        <v>0</v>
      </c>
      <c r="X42" s="2"/>
      <c r="Y42" s="2"/>
      <c r="Z42" s="2"/>
    </row>
    <row r="43" ht="12.75" customHeight="1">
      <c r="A43" s="2"/>
      <c r="B43" s="8" t="s">
        <v>64</v>
      </c>
      <c r="C43" s="8" t="s">
        <v>27</v>
      </c>
      <c r="D43" s="8">
        <v>14.0</v>
      </c>
      <c r="E43" s="20">
        <v>69.0</v>
      </c>
      <c r="F43" s="20">
        <v>0.0</v>
      </c>
      <c r="G43" s="20">
        <v>0.0</v>
      </c>
      <c r="H43" s="21">
        <v>0.0</v>
      </c>
      <c r="I43" s="20">
        <v>6.0</v>
      </c>
      <c r="J43" s="20">
        <v>0.0</v>
      </c>
      <c r="K43" s="20">
        <f t="shared" si="1"/>
        <v>6</v>
      </c>
      <c r="L43" s="20">
        <v>63.0</v>
      </c>
      <c r="M43" s="20">
        <v>63.0</v>
      </c>
      <c r="N43" s="22">
        <v>23.0</v>
      </c>
      <c r="O43" s="20">
        <f t="shared" ref="O43:O83" si="6">(M43/(I43+J43))*N43</f>
        <v>241.5</v>
      </c>
      <c r="P43" s="39">
        <v>273.0</v>
      </c>
      <c r="Q43" s="20">
        <v>0.0</v>
      </c>
      <c r="R43" s="20">
        <v>0.0</v>
      </c>
      <c r="S43" s="20">
        <v>0.0</v>
      </c>
      <c r="T43" s="2"/>
      <c r="U43" s="2">
        <v>1481800.0</v>
      </c>
      <c r="V43" s="40">
        <f t="shared" si="3"/>
        <v>8890800</v>
      </c>
      <c r="W43" s="40">
        <f t="shared" si="4"/>
        <v>93353400</v>
      </c>
      <c r="X43" s="2"/>
      <c r="Y43" s="2"/>
      <c r="Z43" s="2"/>
    </row>
    <row r="44" ht="12.75" customHeight="1">
      <c r="A44" s="2"/>
      <c r="B44" s="8" t="s">
        <v>65</v>
      </c>
      <c r="C44" s="8" t="s">
        <v>27</v>
      </c>
      <c r="D44" s="8">
        <v>14.0</v>
      </c>
      <c r="E44" s="20">
        <v>145.0</v>
      </c>
      <c r="F44" s="20">
        <v>0.0</v>
      </c>
      <c r="G44" s="20">
        <v>0.0</v>
      </c>
      <c r="H44" s="21">
        <v>0.0</v>
      </c>
      <c r="I44" s="20">
        <v>31.0</v>
      </c>
      <c r="J44" s="20">
        <v>0.0</v>
      </c>
      <c r="K44" s="20">
        <f t="shared" si="1"/>
        <v>31</v>
      </c>
      <c r="L44" s="20">
        <v>114.0</v>
      </c>
      <c r="M44" s="20">
        <v>114.0</v>
      </c>
      <c r="N44" s="22">
        <v>23.0</v>
      </c>
      <c r="O44" s="20">
        <f t="shared" si="6"/>
        <v>84.58064516</v>
      </c>
      <c r="P44" s="39">
        <v>95.61290322580645</v>
      </c>
      <c r="Q44" s="20">
        <v>0.0</v>
      </c>
      <c r="R44" s="20">
        <v>0.0</v>
      </c>
      <c r="S44" s="20">
        <v>0.0</v>
      </c>
      <c r="T44" s="2"/>
      <c r="U44" s="2">
        <v>942555.0</v>
      </c>
      <c r="V44" s="40">
        <f t="shared" si="3"/>
        <v>29219205</v>
      </c>
      <c r="W44" s="40">
        <f t="shared" si="4"/>
        <v>107451270</v>
      </c>
      <c r="X44" s="2"/>
      <c r="Y44" s="2"/>
      <c r="Z44" s="2"/>
    </row>
    <row r="45" ht="12.75" customHeight="1">
      <c r="A45" s="2"/>
      <c r="B45" s="8" t="s">
        <v>66</v>
      </c>
      <c r="C45" s="8" t="s">
        <v>27</v>
      </c>
      <c r="D45" s="8">
        <v>14.0</v>
      </c>
      <c r="E45" s="20">
        <v>112.0</v>
      </c>
      <c r="F45" s="20">
        <v>0.0</v>
      </c>
      <c r="G45" s="20">
        <v>0.0</v>
      </c>
      <c r="H45" s="21">
        <v>0.0</v>
      </c>
      <c r="I45" s="20">
        <v>112.0</v>
      </c>
      <c r="J45" s="20">
        <v>0.0</v>
      </c>
      <c r="K45" s="20">
        <f t="shared" si="1"/>
        <v>112</v>
      </c>
      <c r="L45" s="20">
        <v>0.0</v>
      </c>
      <c r="M45" s="20">
        <v>16.0</v>
      </c>
      <c r="N45" s="22">
        <v>23.0</v>
      </c>
      <c r="O45" s="20">
        <f t="shared" si="6"/>
        <v>3.285714286</v>
      </c>
      <c r="P45" s="39">
        <v>0.0</v>
      </c>
      <c r="Q45" s="20">
        <v>150.0</v>
      </c>
      <c r="R45" s="20">
        <v>0.0</v>
      </c>
      <c r="S45" s="20">
        <v>0.0</v>
      </c>
      <c r="T45" s="2"/>
      <c r="U45" s="2">
        <v>958675.0</v>
      </c>
      <c r="V45" s="40">
        <f t="shared" si="3"/>
        <v>107371600</v>
      </c>
      <c r="W45" s="40">
        <f t="shared" si="4"/>
        <v>15338800</v>
      </c>
      <c r="X45" s="2"/>
      <c r="Y45" s="2"/>
      <c r="Z45" s="2"/>
    </row>
    <row r="46" ht="12.75" customHeight="1">
      <c r="A46" s="2"/>
      <c r="B46" s="8" t="s">
        <v>67</v>
      </c>
      <c r="C46" s="8" t="s">
        <v>27</v>
      </c>
      <c r="D46" s="8">
        <v>14.0</v>
      </c>
      <c r="E46" s="20">
        <v>106.0</v>
      </c>
      <c r="F46" s="20">
        <v>0.0</v>
      </c>
      <c r="G46" s="20">
        <v>0.0</v>
      </c>
      <c r="H46" s="21">
        <v>0.0</v>
      </c>
      <c r="I46" s="20">
        <v>105.0</v>
      </c>
      <c r="J46" s="20">
        <v>0.0</v>
      </c>
      <c r="K46" s="20">
        <f t="shared" si="1"/>
        <v>105</v>
      </c>
      <c r="L46" s="20">
        <v>1.0</v>
      </c>
      <c r="M46" s="20">
        <v>26.5</v>
      </c>
      <c r="N46" s="22">
        <v>23.0</v>
      </c>
      <c r="O46" s="20">
        <f t="shared" si="6"/>
        <v>5.804761905</v>
      </c>
      <c r="P46" s="39">
        <v>0.24761904761904763</v>
      </c>
      <c r="Q46" s="20">
        <v>0.0</v>
      </c>
      <c r="R46" s="20">
        <v>0.0</v>
      </c>
      <c r="S46" s="20">
        <v>0.0</v>
      </c>
      <c r="T46" s="2"/>
      <c r="U46" s="2">
        <v>848935.0</v>
      </c>
      <c r="V46" s="40">
        <f t="shared" si="3"/>
        <v>89138175</v>
      </c>
      <c r="W46" s="40">
        <f t="shared" si="4"/>
        <v>22496777.5</v>
      </c>
      <c r="X46" s="2"/>
      <c r="Y46" s="2"/>
      <c r="Z46" s="2"/>
    </row>
    <row r="47" ht="12.75" customHeight="1">
      <c r="A47" s="2"/>
      <c r="B47" s="8" t="s">
        <v>109</v>
      </c>
      <c r="C47" s="8" t="s">
        <v>27</v>
      </c>
      <c r="D47" s="8">
        <v>14.0</v>
      </c>
      <c r="E47" s="20">
        <v>400.0</v>
      </c>
      <c r="F47" s="20">
        <v>0.0</v>
      </c>
      <c r="G47" s="20">
        <v>0.0</v>
      </c>
      <c r="H47" s="21">
        <v>0.0</v>
      </c>
      <c r="I47" s="20">
        <v>200.0</v>
      </c>
      <c r="J47" s="20">
        <v>0.0</v>
      </c>
      <c r="K47" s="20">
        <f t="shared" si="1"/>
        <v>200</v>
      </c>
      <c r="L47" s="20">
        <v>200.0</v>
      </c>
      <c r="M47" s="20">
        <v>281.0</v>
      </c>
      <c r="N47" s="22">
        <v>23.0</v>
      </c>
      <c r="O47" s="20">
        <f t="shared" si="6"/>
        <v>32.315</v>
      </c>
      <c r="P47" s="39">
        <v>26.0</v>
      </c>
      <c r="Q47" s="20">
        <v>0.0</v>
      </c>
      <c r="R47" s="20">
        <v>0.0</v>
      </c>
      <c r="S47" s="20">
        <v>0.0</v>
      </c>
      <c r="T47" s="2"/>
      <c r="U47" s="2">
        <v>848935.0</v>
      </c>
      <c r="V47" s="40">
        <f t="shared" si="3"/>
        <v>169787000</v>
      </c>
      <c r="W47" s="40">
        <f t="shared" si="4"/>
        <v>238550735</v>
      </c>
      <c r="X47" s="2"/>
      <c r="Y47" s="2"/>
      <c r="Z47" s="2"/>
    </row>
    <row r="48" ht="12.75" customHeight="1">
      <c r="A48" s="2"/>
      <c r="B48" s="8" t="s">
        <v>110</v>
      </c>
      <c r="C48" s="8" t="s">
        <v>27</v>
      </c>
      <c r="D48" s="8">
        <v>14.0</v>
      </c>
      <c r="E48" s="20">
        <v>102.0</v>
      </c>
      <c r="F48" s="20">
        <v>135.0</v>
      </c>
      <c r="G48" s="20">
        <v>0.0</v>
      </c>
      <c r="H48" s="21">
        <v>0.0</v>
      </c>
      <c r="I48" s="20">
        <v>102.0</v>
      </c>
      <c r="J48" s="20">
        <v>0.0</v>
      </c>
      <c r="K48" s="20">
        <f t="shared" si="1"/>
        <v>102</v>
      </c>
      <c r="L48" s="20">
        <v>135.0</v>
      </c>
      <c r="M48" s="20">
        <v>60.0</v>
      </c>
      <c r="N48" s="22">
        <v>23.0</v>
      </c>
      <c r="O48" s="20">
        <f t="shared" si="6"/>
        <v>13.52941176</v>
      </c>
      <c r="P48" s="39">
        <v>34.411764705882355</v>
      </c>
      <c r="Q48" s="20">
        <v>0.0</v>
      </c>
      <c r="R48" s="20">
        <v>0.0</v>
      </c>
      <c r="S48" s="20">
        <v>0.0</v>
      </c>
      <c r="T48" s="2"/>
      <c r="U48" s="2">
        <v>1012770.0</v>
      </c>
      <c r="V48" s="40">
        <f t="shared" si="3"/>
        <v>103302540</v>
      </c>
      <c r="W48" s="40">
        <f t="shared" si="4"/>
        <v>60766200</v>
      </c>
      <c r="X48" s="2"/>
      <c r="Y48" s="2"/>
      <c r="Z48" s="2"/>
    </row>
    <row r="49" ht="12.75" customHeight="1">
      <c r="A49" s="2"/>
      <c r="B49" s="8" t="s">
        <v>68</v>
      </c>
      <c r="C49" s="8" t="s">
        <v>27</v>
      </c>
      <c r="D49" s="8">
        <v>14.0</v>
      </c>
      <c r="E49" s="20">
        <v>621.0</v>
      </c>
      <c r="F49" s="20">
        <v>0.0</v>
      </c>
      <c r="G49" s="20">
        <v>0.0</v>
      </c>
      <c r="H49" s="21">
        <v>0.0</v>
      </c>
      <c r="I49" s="20">
        <v>263.0</v>
      </c>
      <c r="J49" s="20">
        <v>0.0</v>
      </c>
      <c r="K49" s="20">
        <f t="shared" si="1"/>
        <v>263</v>
      </c>
      <c r="L49" s="20">
        <v>358.0</v>
      </c>
      <c r="M49" s="20">
        <v>468.166666666667</v>
      </c>
      <c r="N49" s="22">
        <v>23.0</v>
      </c>
      <c r="O49" s="20">
        <f t="shared" si="6"/>
        <v>40.94233207</v>
      </c>
      <c r="P49" s="39">
        <v>35.3916349809886</v>
      </c>
      <c r="Q49" s="20">
        <v>0.0</v>
      </c>
      <c r="R49" s="20">
        <v>0.0</v>
      </c>
      <c r="S49" s="20">
        <v>0.0</v>
      </c>
      <c r="T49" s="2"/>
      <c r="U49" s="2">
        <v>1012770.0</v>
      </c>
      <c r="V49" s="40">
        <f t="shared" si="3"/>
        <v>266358510</v>
      </c>
      <c r="W49" s="40">
        <f t="shared" si="4"/>
        <v>474145155</v>
      </c>
      <c r="X49" s="2"/>
      <c r="Y49" s="2"/>
      <c r="Z49" s="2"/>
    </row>
    <row r="50" ht="12.75" customHeight="1">
      <c r="A50" s="2"/>
      <c r="B50" s="8" t="s">
        <v>69</v>
      </c>
      <c r="C50" s="8" t="s">
        <v>27</v>
      </c>
      <c r="D50" s="8">
        <v>14.0</v>
      </c>
      <c r="E50" s="20">
        <v>359.0</v>
      </c>
      <c r="F50" s="20">
        <v>0.0</v>
      </c>
      <c r="G50" s="20">
        <v>0.0</v>
      </c>
      <c r="H50" s="21">
        <v>0.0</v>
      </c>
      <c r="I50" s="20">
        <v>382.0</v>
      </c>
      <c r="J50" s="20">
        <v>-23.0</v>
      </c>
      <c r="K50" s="20">
        <f t="shared" si="1"/>
        <v>359</v>
      </c>
      <c r="L50" s="20">
        <v>0.0</v>
      </c>
      <c r="M50" s="20">
        <v>100.333333333333</v>
      </c>
      <c r="N50" s="22">
        <v>23.0</v>
      </c>
      <c r="O50" s="20">
        <f t="shared" si="6"/>
        <v>6.428040854</v>
      </c>
      <c r="P50" s="39">
        <v>0.0</v>
      </c>
      <c r="Q50" s="20">
        <v>0.0</v>
      </c>
      <c r="R50" s="20">
        <v>0.0</v>
      </c>
      <c r="S50" s="20">
        <v>0.0</v>
      </c>
      <c r="T50" s="2"/>
      <c r="U50" s="2">
        <v>1012770.0</v>
      </c>
      <c r="V50" s="40">
        <f t="shared" si="3"/>
        <v>363584430</v>
      </c>
      <c r="W50" s="40">
        <f t="shared" si="4"/>
        <v>101614590</v>
      </c>
      <c r="X50" s="2"/>
      <c r="Y50" s="2"/>
      <c r="Z50" s="2"/>
    </row>
    <row r="51" ht="12.75" customHeight="1">
      <c r="A51" s="2"/>
      <c r="B51" s="8" t="s">
        <v>111</v>
      </c>
      <c r="C51" s="8" t="s">
        <v>27</v>
      </c>
      <c r="D51" s="8">
        <v>14.0</v>
      </c>
      <c r="E51" s="20">
        <v>0.0</v>
      </c>
      <c r="F51" s="20">
        <v>200.0</v>
      </c>
      <c r="G51" s="20">
        <v>0.0</v>
      </c>
      <c r="H51" s="21">
        <v>0.0</v>
      </c>
      <c r="I51" s="20">
        <v>65.0</v>
      </c>
      <c r="J51" s="20">
        <v>0.0</v>
      </c>
      <c r="K51" s="20">
        <f t="shared" si="1"/>
        <v>65</v>
      </c>
      <c r="L51" s="20">
        <v>135.0</v>
      </c>
      <c r="M51" s="20">
        <v>167.5</v>
      </c>
      <c r="N51" s="22">
        <v>23.0</v>
      </c>
      <c r="O51" s="20">
        <f t="shared" si="6"/>
        <v>59.26923077</v>
      </c>
      <c r="P51" s="39">
        <v>54.00000000000001</v>
      </c>
      <c r="Q51" s="20">
        <v>0.0</v>
      </c>
      <c r="R51" s="20">
        <v>0.0</v>
      </c>
      <c r="S51" s="20">
        <v>0.0</v>
      </c>
      <c r="T51" s="2"/>
      <c r="U51" s="2">
        <v>1012770.0</v>
      </c>
      <c r="V51" s="40">
        <f t="shared" si="3"/>
        <v>65830050</v>
      </c>
      <c r="W51" s="40">
        <f t="shared" si="4"/>
        <v>169638975</v>
      </c>
      <c r="X51" s="2"/>
      <c r="Y51" s="2"/>
      <c r="Z51" s="2"/>
    </row>
    <row r="52" ht="12.75" customHeight="1">
      <c r="A52" s="2"/>
      <c r="B52" s="8" t="s">
        <v>70</v>
      </c>
      <c r="C52" s="8" t="s">
        <v>27</v>
      </c>
      <c r="D52" s="8">
        <v>14.0</v>
      </c>
      <c r="E52" s="20">
        <v>20.0</v>
      </c>
      <c r="F52" s="20">
        <v>0.0</v>
      </c>
      <c r="G52" s="20">
        <v>0.0</v>
      </c>
      <c r="H52" s="21">
        <v>0.0</v>
      </c>
      <c r="I52" s="20">
        <v>20.0</v>
      </c>
      <c r="J52" s="20">
        <v>0.0</v>
      </c>
      <c r="K52" s="20">
        <f t="shared" si="1"/>
        <v>20</v>
      </c>
      <c r="L52" s="20">
        <v>0.0</v>
      </c>
      <c r="M52" s="20">
        <v>8.0</v>
      </c>
      <c r="N52" s="22">
        <v>23.0</v>
      </c>
      <c r="O52" s="20">
        <f t="shared" si="6"/>
        <v>9.2</v>
      </c>
      <c r="P52" s="39">
        <v>0.0</v>
      </c>
      <c r="Q52" s="20">
        <v>0.0</v>
      </c>
      <c r="R52" s="20">
        <v>0.0</v>
      </c>
      <c r="S52" s="20">
        <v>0.0</v>
      </c>
      <c r="T52" s="2"/>
      <c r="U52" s="2">
        <v>1237210.0</v>
      </c>
      <c r="V52" s="40">
        <f t="shared" si="3"/>
        <v>24744200</v>
      </c>
      <c r="W52" s="40">
        <f t="shared" si="4"/>
        <v>9897680</v>
      </c>
      <c r="X52" s="2"/>
      <c r="Y52" s="2"/>
      <c r="Z52" s="2"/>
    </row>
    <row r="53" ht="12.75" customHeight="1">
      <c r="A53" s="2"/>
      <c r="B53" s="8" t="s">
        <v>112</v>
      </c>
      <c r="C53" s="8" t="s">
        <v>27</v>
      </c>
      <c r="D53" s="8">
        <v>14.0</v>
      </c>
      <c r="E53" s="20">
        <v>95.0</v>
      </c>
      <c r="F53" s="20">
        <v>0.0</v>
      </c>
      <c r="G53" s="20">
        <v>0.0</v>
      </c>
      <c r="H53" s="21">
        <v>0.0</v>
      </c>
      <c r="I53" s="20">
        <v>11.0</v>
      </c>
      <c r="J53" s="20">
        <v>0.0</v>
      </c>
      <c r="K53" s="20">
        <f t="shared" si="1"/>
        <v>11</v>
      </c>
      <c r="L53" s="20">
        <v>84.0</v>
      </c>
      <c r="M53" s="20">
        <v>87.0</v>
      </c>
      <c r="N53" s="22">
        <v>23.0</v>
      </c>
      <c r="O53" s="20">
        <f t="shared" si="6"/>
        <v>181.9090909</v>
      </c>
      <c r="P53" s="39">
        <v>198.54545454545456</v>
      </c>
      <c r="Q53" s="20">
        <v>0.0</v>
      </c>
      <c r="R53" s="20">
        <v>0.0</v>
      </c>
      <c r="S53" s="20">
        <v>0.0</v>
      </c>
      <c r="T53" s="2"/>
      <c r="U53" s="2">
        <v>1237210.0</v>
      </c>
      <c r="V53" s="40">
        <f t="shared" si="3"/>
        <v>13609310</v>
      </c>
      <c r="W53" s="40">
        <f t="shared" si="4"/>
        <v>107637270</v>
      </c>
      <c r="X53" s="2"/>
      <c r="Y53" s="2"/>
      <c r="Z53" s="2"/>
    </row>
    <row r="54" ht="12.75" customHeight="1">
      <c r="A54" s="2"/>
      <c r="B54" s="8" t="s">
        <v>71</v>
      </c>
      <c r="C54" s="8" t="s">
        <v>27</v>
      </c>
      <c r="D54" s="8">
        <v>14.0</v>
      </c>
      <c r="E54" s="20">
        <v>59.0</v>
      </c>
      <c r="F54" s="20">
        <v>0.0</v>
      </c>
      <c r="G54" s="20">
        <v>0.0</v>
      </c>
      <c r="H54" s="21">
        <v>0.0</v>
      </c>
      <c r="I54" s="20">
        <v>10.0</v>
      </c>
      <c r="J54" s="20">
        <v>0.0</v>
      </c>
      <c r="K54" s="20">
        <f t="shared" si="1"/>
        <v>10</v>
      </c>
      <c r="L54" s="20">
        <v>49.0</v>
      </c>
      <c r="M54" s="20">
        <v>51.0</v>
      </c>
      <c r="N54" s="22">
        <v>23.0</v>
      </c>
      <c r="O54" s="20">
        <f t="shared" si="6"/>
        <v>117.3</v>
      </c>
      <c r="P54" s="39">
        <v>127.4</v>
      </c>
      <c r="Q54" s="20">
        <v>0.0</v>
      </c>
      <c r="R54" s="20">
        <v>0.0</v>
      </c>
      <c r="S54" s="20">
        <v>0.0</v>
      </c>
      <c r="T54" s="2"/>
      <c r="U54" s="2">
        <v>1436695.0</v>
      </c>
      <c r="V54" s="40">
        <f t="shared" si="3"/>
        <v>14366950</v>
      </c>
      <c r="W54" s="40">
        <f t="shared" si="4"/>
        <v>73271445</v>
      </c>
      <c r="X54" s="2"/>
      <c r="Y54" s="2"/>
      <c r="Z54" s="2"/>
    </row>
    <row r="55" ht="12.75" customHeight="1">
      <c r="A55" s="2"/>
      <c r="B55" s="8" t="s">
        <v>72</v>
      </c>
      <c r="C55" s="8" t="s">
        <v>27</v>
      </c>
      <c r="D55" s="8">
        <v>14.0</v>
      </c>
      <c r="E55" s="20">
        <v>894.0</v>
      </c>
      <c r="F55" s="20">
        <v>300.0</v>
      </c>
      <c r="G55" s="20">
        <v>0.0</v>
      </c>
      <c r="H55" s="21">
        <v>0.0</v>
      </c>
      <c r="I55" s="20">
        <v>1000.0</v>
      </c>
      <c r="J55" s="20">
        <v>0.0</v>
      </c>
      <c r="K55" s="20">
        <f t="shared" si="1"/>
        <v>1000</v>
      </c>
      <c r="L55" s="20">
        <v>194.0</v>
      </c>
      <c r="M55" s="20">
        <v>462.30769230769204</v>
      </c>
      <c r="N55" s="22">
        <v>23.0</v>
      </c>
      <c r="O55" s="20">
        <f t="shared" si="6"/>
        <v>10.63307692</v>
      </c>
      <c r="P55" s="39">
        <v>5.0440000000000005</v>
      </c>
      <c r="Q55" s="20">
        <v>0.0</v>
      </c>
      <c r="R55" s="20">
        <v>550.0</v>
      </c>
      <c r="S55" s="20">
        <v>100.0</v>
      </c>
      <c r="T55" s="2"/>
      <c r="U55" s="2">
        <v>848935.0</v>
      </c>
      <c r="V55" s="40">
        <f t="shared" si="3"/>
        <v>848935000</v>
      </c>
      <c r="W55" s="40">
        <f t="shared" si="4"/>
        <v>392469180.8</v>
      </c>
      <c r="X55" s="2"/>
      <c r="Y55" s="2"/>
      <c r="Z55" s="2"/>
    </row>
    <row r="56" ht="12.75" customHeight="1">
      <c r="A56" s="2"/>
      <c r="B56" s="8" t="s">
        <v>73</v>
      </c>
      <c r="C56" s="8" t="s">
        <v>27</v>
      </c>
      <c r="D56" s="8">
        <v>14.0</v>
      </c>
      <c r="E56" s="20">
        <v>59.0</v>
      </c>
      <c r="F56" s="20">
        <v>0.0</v>
      </c>
      <c r="G56" s="20">
        <v>0.0</v>
      </c>
      <c r="H56" s="21">
        <v>0.0</v>
      </c>
      <c r="I56" s="20">
        <v>13.0</v>
      </c>
      <c r="J56" s="20">
        <v>0.0</v>
      </c>
      <c r="K56" s="20">
        <f t="shared" si="1"/>
        <v>13</v>
      </c>
      <c r="L56" s="20">
        <v>46.0</v>
      </c>
      <c r="M56" s="20">
        <v>48.0</v>
      </c>
      <c r="N56" s="22">
        <v>23.0</v>
      </c>
      <c r="O56" s="20">
        <f t="shared" si="6"/>
        <v>84.92307692</v>
      </c>
      <c r="P56" s="39">
        <v>92.0</v>
      </c>
      <c r="Q56" s="20">
        <v>0.0</v>
      </c>
      <c r="R56" s="20">
        <v>0.0</v>
      </c>
      <c r="S56" s="20">
        <v>0.0</v>
      </c>
      <c r="T56" s="2"/>
      <c r="U56" s="2">
        <v>1497718.5</v>
      </c>
      <c r="V56" s="40">
        <f t="shared" si="3"/>
        <v>19470340.5</v>
      </c>
      <c r="W56" s="40">
        <f t="shared" si="4"/>
        <v>71890488</v>
      </c>
      <c r="X56" s="2"/>
      <c r="Y56" s="2"/>
      <c r="Z56" s="2"/>
    </row>
    <row r="57" ht="12.75" customHeight="1">
      <c r="A57" s="2"/>
      <c r="B57" s="8" t="s">
        <v>74</v>
      </c>
      <c r="C57" s="8" t="s">
        <v>27</v>
      </c>
      <c r="D57" s="8">
        <v>14.0</v>
      </c>
      <c r="E57" s="20">
        <v>649.0</v>
      </c>
      <c r="F57" s="20">
        <v>0.0</v>
      </c>
      <c r="G57" s="20">
        <v>0.0</v>
      </c>
      <c r="H57" s="21">
        <v>0.0</v>
      </c>
      <c r="I57" s="20">
        <v>410.0</v>
      </c>
      <c r="J57" s="20">
        <v>0.0</v>
      </c>
      <c r="K57" s="20">
        <f t="shared" si="1"/>
        <v>410</v>
      </c>
      <c r="L57" s="20">
        <v>239.0</v>
      </c>
      <c r="M57" s="20">
        <v>422.81818181818204</v>
      </c>
      <c r="N57" s="22">
        <v>23.0</v>
      </c>
      <c r="O57" s="20">
        <f t="shared" si="6"/>
        <v>23.71906874</v>
      </c>
      <c r="P57" s="39">
        <v>15.156097560975608</v>
      </c>
      <c r="Q57" s="20">
        <v>41.0</v>
      </c>
      <c r="R57" s="20">
        <v>570.0</v>
      </c>
      <c r="S57" s="20">
        <v>0.0</v>
      </c>
      <c r="T57" s="2"/>
      <c r="U57" s="2">
        <v>1396550.0</v>
      </c>
      <c r="V57" s="40">
        <f t="shared" si="3"/>
        <v>572585500</v>
      </c>
      <c r="W57" s="40">
        <f t="shared" si="4"/>
        <v>590486731.8</v>
      </c>
      <c r="X57" s="2"/>
      <c r="Y57" s="2"/>
      <c r="Z57" s="2"/>
    </row>
    <row r="58" ht="12.75" customHeight="1">
      <c r="A58" s="2"/>
      <c r="B58" s="8" t="s">
        <v>75</v>
      </c>
      <c r="C58" s="8" t="s">
        <v>27</v>
      </c>
      <c r="D58" s="8">
        <v>14.0</v>
      </c>
      <c r="E58" s="20">
        <v>84.0</v>
      </c>
      <c r="F58" s="20">
        <v>0.0</v>
      </c>
      <c r="G58" s="20">
        <v>0.0</v>
      </c>
      <c r="H58" s="21">
        <v>0.0</v>
      </c>
      <c r="I58" s="20">
        <v>69.0</v>
      </c>
      <c r="J58" s="20">
        <v>0.0</v>
      </c>
      <c r="K58" s="20">
        <f t="shared" si="1"/>
        <v>69</v>
      </c>
      <c r="L58" s="20">
        <v>15.0</v>
      </c>
      <c r="M58" s="20">
        <v>32.6666666666667</v>
      </c>
      <c r="N58" s="22">
        <v>23.0</v>
      </c>
      <c r="O58" s="20">
        <f t="shared" si="6"/>
        <v>10.88888889</v>
      </c>
      <c r="P58" s="39">
        <v>5.6521739130434785</v>
      </c>
      <c r="Q58" s="20">
        <v>62.5</v>
      </c>
      <c r="R58" s="20">
        <v>50.0</v>
      </c>
      <c r="S58" s="20">
        <v>0.0</v>
      </c>
      <c r="T58" s="2"/>
      <c r="U58" s="2">
        <v>1143590.0</v>
      </c>
      <c r="V58" s="40">
        <f t="shared" si="3"/>
        <v>78907710</v>
      </c>
      <c r="W58" s="40">
        <f t="shared" si="4"/>
        <v>37357273.33</v>
      </c>
      <c r="X58" s="2"/>
      <c r="Y58" s="2"/>
      <c r="Z58" s="2"/>
    </row>
    <row r="59" ht="12.75" customHeight="1">
      <c r="A59" s="2"/>
      <c r="B59" s="8" t="s">
        <v>76</v>
      </c>
      <c r="C59" s="8" t="s">
        <v>27</v>
      </c>
      <c r="D59" s="8">
        <v>14.0</v>
      </c>
      <c r="E59" s="20">
        <v>99.0</v>
      </c>
      <c r="F59" s="20">
        <v>0.0</v>
      </c>
      <c r="G59" s="20">
        <v>0.0</v>
      </c>
      <c r="H59" s="21">
        <v>0.0</v>
      </c>
      <c r="I59" s="20">
        <v>93.0</v>
      </c>
      <c r="J59" s="20">
        <v>0.0</v>
      </c>
      <c r="K59" s="20">
        <f t="shared" si="1"/>
        <v>93</v>
      </c>
      <c r="L59" s="20">
        <v>6.0</v>
      </c>
      <c r="M59" s="20">
        <v>48.5</v>
      </c>
      <c r="N59" s="22">
        <v>23.0</v>
      </c>
      <c r="O59" s="20">
        <f t="shared" si="6"/>
        <v>11.99462366</v>
      </c>
      <c r="P59" s="39">
        <v>1.6774193548387095</v>
      </c>
      <c r="Q59" s="20">
        <v>0.0</v>
      </c>
      <c r="R59" s="20">
        <v>0.0</v>
      </c>
      <c r="S59" s="20">
        <v>0.0</v>
      </c>
      <c r="T59" s="2"/>
      <c r="U59" s="2">
        <v>954645.0</v>
      </c>
      <c r="V59" s="40">
        <f t="shared" si="3"/>
        <v>88781985</v>
      </c>
      <c r="W59" s="40">
        <f t="shared" si="4"/>
        <v>46300282.5</v>
      </c>
      <c r="X59" s="2"/>
      <c r="Y59" s="2"/>
      <c r="Z59" s="2"/>
    </row>
    <row r="60" ht="12.75" customHeight="1">
      <c r="A60" s="2"/>
      <c r="B60" s="8" t="s">
        <v>77</v>
      </c>
      <c r="C60" s="8" t="s">
        <v>27</v>
      </c>
      <c r="D60" s="8">
        <v>14.0</v>
      </c>
      <c r="E60" s="20">
        <v>140.0</v>
      </c>
      <c r="F60" s="20">
        <v>0.0</v>
      </c>
      <c r="G60" s="20">
        <v>0.0</v>
      </c>
      <c r="H60" s="21">
        <v>0.0</v>
      </c>
      <c r="I60" s="20">
        <v>70.0</v>
      </c>
      <c r="J60" s="20">
        <v>0.0</v>
      </c>
      <c r="K60" s="20">
        <f t="shared" si="1"/>
        <v>70</v>
      </c>
      <c r="L60" s="20">
        <v>70.0</v>
      </c>
      <c r="M60" s="20">
        <v>108.0</v>
      </c>
      <c r="N60" s="22">
        <v>23.0</v>
      </c>
      <c r="O60" s="20">
        <f t="shared" si="6"/>
        <v>35.48571429</v>
      </c>
      <c r="P60" s="39">
        <v>26.0</v>
      </c>
      <c r="Q60" s="20">
        <v>0.0</v>
      </c>
      <c r="R60" s="20">
        <v>0.0</v>
      </c>
      <c r="S60" s="20">
        <v>0.0</v>
      </c>
      <c r="T60" s="2"/>
      <c r="U60" s="2">
        <v>771202.5</v>
      </c>
      <c r="V60" s="40">
        <f t="shared" si="3"/>
        <v>53984175</v>
      </c>
      <c r="W60" s="40">
        <f t="shared" si="4"/>
        <v>83289870</v>
      </c>
      <c r="X60" s="2"/>
      <c r="Y60" s="2"/>
      <c r="Z60" s="2"/>
    </row>
    <row r="61" ht="12.75" customHeight="1">
      <c r="A61" s="2"/>
      <c r="B61" s="8" t="s">
        <v>78</v>
      </c>
      <c r="C61" s="8" t="s">
        <v>27</v>
      </c>
      <c r="D61" s="8">
        <v>14.0</v>
      </c>
      <c r="E61" s="20">
        <v>56.0</v>
      </c>
      <c r="F61" s="20">
        <v>0.0</v>
      </c>
      <c r="G61" s="20">
        <v>0.0</v>
      </c>
      <c r="H61" s="21">
        <v>0.0</v>
      </c>
      <c r="I61" s="20">
        <v>36.0</v>
      </c>
      <c r="J61" s="20">
        <v>0.0</v>
      </c>
      <c r="K61" s="20">
        <f t="shared" si="1"/>
        <v>36</v>
      </c>
      <c r="L61" s="20">
        <v>20.0</v>
      </c>
      <c r="M61" s="20">
        <v>20.0</v>
      </c>
      <c r="N61" s="22">
        <v>23.0</v>
      </c>
      <c r="O61" s="20">
        <f t="shared" si="6"/>
        <v>12.77777778</v>
      </c>
      <c r="P61" s="39">
        <v>14.444444444444445</v>
      </c>
      <c r="Q61" s="20">
        <v>0.0</v>
      </c>
      <c r="R61" s="20">
        <v>100.0</v>
      </c>
      <c r="S61" s="20">
        <v>0.0</v>
      </c>
      <c r="T61" s="2"/>
      <c r="U61" s="2">
        <v>1497718.5</v>
      </c>
      <c r="V61" s="40">
        <f t="shared" si="3"/>
        <v>53917866</v>
      </c>
      <c r="W61" s="40">
        <f t="shared" si="4"/>
        <v>29954370</v>
      </c>
      <c r="X61" s="2"/>
      <c r="Y61" s="2"/>
      <c r="Z61" s="2"/>
    </row>
    <row r="62" ht="12.75" customHeight="1">
      <c r="A62" s="2"/>
      <c r="B62" s="8" t="s">
        <v>79</v>
      </c>
      <c r="C62" s="8" t="s">
        <v>27</v>
      </c>
      <c r="D62" s="8">
        <v>14.0</v>
      </c>
      <c r="E62" s="20">
        <v>305.0</v>
      </c>
      <c r="F62" s="20">
        <v>0.0</v>
      </c>
      <c r="G62" s="20">
        <v>0.0</v>
      </c>
      <c r="H62" s="21">
        <v>0.0</v>
      </c>
      <c r="I62" s="20">
        <v>135.0</v>
      </c>
      <c r="J62" s="20">
        <v>0.0</v>
      </c>
      <c r="K62" s="20">
        <f t="shared" si="1"/>
        <v>135</v>
      </c>
      <c r="L62" s="20">
        <v>170.0</v>
      </c>
      <c r="M62" s="20">
        <v>200.0</v>
      </c>
      <c r="N62" s="22">
        <v>23.0</v>
      </c>
      <c r="O62" s="20">
        <f t="shared" si="6"/>
        <v>34.07407407</v>
      </c>
      <c r="P62" s="39">
        <v>32.74074074074074</v>
      </c>
      <c r="Q62" s="20">
        <v>0.0</v>
      </c>
      <c r="R62" s="20">
        <v>200.0</v>
      </c>
      <c r="S62" s="20">
        <v>0.0</v>
      </c>
      <c r="T62" s="2"/>
      <c r="U62" s="2">
        <v>907060.0</v>
      </c>
      <c r="V62" s="40">
        <f t="shared" si="3"/>
        <v>122453100</v>
      </c>
      <c r="W62" s="40">
        <f t="shared" si="4"/>
        <v>181412000</v>
      </c>
      <c r="X62" s="2"/>
      <c r="Y62" s="2"/>
      <c r="Z62" s="2"/>
    </row>
    <row r="63" ht="12.75" customHeight="1">
      <c r="A63" s="2"/>
      <c r="B63" s="8" t="s">
        <v>80</v>
      </c>
      <c r="C63" s="8" t="s">
        <v>27</v>
      </c>
      <c r="D63" s="8">
        <v>14.0</v>
      </c>
      <c r="E63" s="20">
        <v>210.0</v>
      </c>
      <c r="F63" s="20">
        <v>292.0</v>
      </c>
      <c r="G63" s="20">
        <v>0.0</v>
      </c>
      <c r="H63" s="21">
        <v>0.0</v>
      </c>
      <c r="I63" s="20">
        <v>220.0</v>
      </c>
      <c r="J63" s="20">
        <v>0.0</v>
      </c>
      <c r="K63" s="20">
        <f t="shared" si="1"/>
        <v>220</v>
      </c>
      <c r="L63" s="20">
        <v>282.0</v>
      </c>
      <c r="M63" s="20">
        <v>386.57142857142907</v>
      </c>
      <c r="N63" s="22">
        <v>23.0</v>
      </c>
      <c r="O63" s="20">
        <f t="shared" si="6"/>
        <v>40.41428571</v>
      </c>
      <c r="P63" s="39">
        <v>33.32727272727273</v>
      </c>
      <c r="Q63" s="20">
        <v>0.0</v>
      </c>
      <c r="R63" s="20">
        <v>450.0</v>
      </c>
      <c r="S63" s="20">
        <v>0.0</v>
      </c>
      <c r="T63" s="2"/>
      <c r="U63" s="2">
        <v>823515.0</v>
      </c>
      <c r="V63" s="40">
        <f t="shared" si="3"/>
        <v>181173300</v>
      </c>
      <c r="W63" s="40">
        <f t="shared" si="4"/>
        <v>318347370</v>
      </c>
      <c r="X63" s="2"/>
      <c r="Y63" s="2"/>
      <c r="Z63" s="2"/>
    </row>
    <row r="64" ht="12.75" customHeight="1">
      <c r="A64" s="2"/>
      <c r="B64" s="8" t="s">
        <v>81</v>
      </c>
      <c r="C64" s="8" t="s">
        <v>27</v>
      </c>
      <c r="D64" s="8">
        <v>14.0</v>
      </c>
      <c r="E64" s="20">
        <v>179.38</v>
      </c>
      <c r="F64" s="20">
        <v>0.0</v>
      </c>
      <c r="G64" s="20">
        <v>0.0</v>
      </c>
      <c r="H64" s="21">
        <v>0.0</v>
      </c>
      <c r="I64" s="20">
        <v>179.0</v>
      </c>
      <c r="J64" s="20">
        <v>-4.551914400963142E-15</v>
      </c>
      <c r="K64" s="20">
        <f t="shared" si="1"/>
        <v>179</v>
      </c>
      <c r="L64" s="20">
        <v>0.38</v>
      </c>
      <c r="M64" s="20">
        <v>72.38</v>
      </c>
      <c r="N64" s="22">
        <v>23.0</v>
      </c>
      <c r="O64" s="20">
        <f t="shared" si="6"/>
        <v>9.300223464</v>
      </c>
      <c r="P64" s="39">
        <v>0.05519553072625699</v>
      </c>
      <c r="Q64" s="20">
        <v>0.0</v>
      </c>
      <c r="R64" s="20">
        <v>0.0</v>
      </c>
      <c r="S64" s="20">
        <v>0.0</v>
      </c>
      <c r="T64" s="2"/>
      <c r="U64" s="2">
        <v>823515.0</v>
      </c>
      <c r="V64" s="40">
        <f t="shared" si="3"/>
        <v>147409185</v>
      </c>
      <c r="W64" s="40">
        <f t="shared" si="4"/>
        <v>59606015.7</v>
      </c>
      <c r="X64" s="2"/>
      <c r="Y64" s="2"/>
      <c r="Z64" s="2"/>
    </row>
    <row r="65" ht="12.75" customHeight="1">
      <c r="A65" s="2"/>
      <c r="B65" s="8" t="s">
        <v>82</v>
      </c>
      <c r="C65" s="8" t="s">
        <v>27</v>
      </c>
      <c r="D65" s="8">
        <v>14.0</v>
      </c>
      <c r="E65" s="20">
        <v>358.0</v>
      </c>
      <c r="F65" s="20">
        <v>261.0</v>
      </c>
      <c r="G65" s="20">
        <v>0.0</v>
      </c>
      <c r="H65" s="21">
        <v>0.0</v>
      </c>
      <c r="I65" s="20">
        <v>54.0</v>
      </c>
      <c r="J65" s="20">
        <v>0.0</v>
      </c>
      <c r="K65" s="20">
        <f t="shared" si="1"/>
        <v>54</v>
      </c>
      <c r="L65" s="20">
        <v>565.0</v>
      </c>
      <c r="M65" s="20">
        <v>524.25</v>
      </c>
      <c r="N65" s="22">
        <v>23.0</v>
      </c>
      <c r="O65" s="20">
        <f t="shared" si="6"/>
        <v>223.2916667</v>
      </c>
      <c r="P65" s="39">
        <v>272.03703703703707</v>
      </c>
      <c r="Q65" s="20">
        <v>29.0</v>
      </c>
      <c r="R65" s="20">
        <v>0.0</v>
      </c>
      <c r="S65" s="20">
        <v>0.0</v>
      </c>
      <c r="T65" s="2"/>
      <c r="U65" s="2">
        <v>823515.0</v>
      </c>
      <c r="V65" s="40">
        <f t="shared" si="3"/>
        <v>44469810</v>
      </c>
      <c r="W65" s="40">
        <f t="shared" si="4"/>
        <v>431727738.8</v>
      </c>
      <c r="X65" s="2"/>
      <c r="Y65" s="2"/>
      <c r="Z65" s="2"/>
    </row>
    <row r="66" ht="12.75" customHeight="1">
      <c r="A66" s="2"/>
      <c r="B66" s="8" t="s">
        <v>84</v>
      </c>
      <c r="C66" s="8" t="s">
        <v>27</v>
      </c>
      <c r="D66" s="8">
        <v>14.0</v>
      </c>
      <c r="E66" s="20">
        <v>44.0</v>
      </c>
      <c r="F66" s="20">
        <v>0.0</v>
      </c>
      <c r="G66" s="20">
        <v>0.0</v>
      </c>
      <c r="H66" s="21">
        <v>0.0</v>
      </c>
      <c r="I66" s="20">
        <v>13.0</v>
      </c>
      <c r="J66" s="20">
        <v>0.0</v>
      </c>
      <c r="K66" s="20">
        <f t="shared" si="1"/>
        <v>13</v>
      </c>
      <c r="L66" s="20">
        <v>31.0</v>
      </c>
      <c r="M66" s="20">
        <v>35.75</v>
      </c>
      <c r="N66" s="22">
        <v>23.0</v>
      </c>
      <c r="O66" s="20">
        <f t="shared" si="6"/>
        <v>63.25</v>
      </c>
      <c r="P66" s="39">
        <v>62.0</v>
      </c>
      <c r="Q66" s="20">
        <v>2.13</v>
      </c>
      <c r="R66" s="20">
        <v>0.0</v>
      </c>
      <c r="S66" s="20">
        <v>0.0</v>
      </c>
      <c r="T66" s="2"/>
      <c r="U66" s="2">
        <v>604345.0</v>
      </c>
      <c r="V66" s="40">
        <f t="shared" si="3"/>
        <v>7856485</v>
      </c>
      <c r="W66" s="40">
        <f t="shared" si="4"/>
        <v>21605333.75</v>
      </c>
      <c r="X66" s="2"/>
      <c r="Y66" s="2"/>
      <c r="Z66" s="2"/>
    </row>
    <row r="67" ht="12.75" customHeight="1">
      <c r="A67" s="2"/>
      <c r="B67" s="8" t="s">
        <v>113</v>
      </c>
      <c r="C67" s="8" t="s">
        <v>27</v>
      </c>
      <c r="D67" s="8">
        <v>14.0</v>
      </c>
      <c r="E67" s="20">
        <v>22.0</v>
      </c>
      <c r="F67" s="20">
        <v>0.0</v>
      </c>
      <c r="G67" s="20">
        <v>0.0</v>
      </c>
      <c r="H67" s="21">
        <v>0.0</v>
      </c>
      <c r="I67" s="20">
        <v>17.0</v>
      </c>
      <c r="J67" s="20">
        <v>0.0</v>
      </c>
      <c r="K67" s="20">
        <f t="shared" si="1"/>
        <v>17</v>
      </c>
      <c r="L67" s="20">
        <v>5.0</v>
      </c>
      <c r="M67" s="20">
        <v>10.0</v>
      </c>
      <c r="N67" s="22">
        <v>23.0</v>
      </c>
      <c r="O67" s="20">
        <f t="shared" si="6"/>
        <v>13.52941176</v>
      </c>
      <c r="P67" s="39">
        <v>7.647058823529412</v>
      </c>
      <c r="Q67" s="20">
        <v>0.0</v>
      </c>
      <c r="R67" s="20">
        <v>0.0</v>
      </c>
      <c r="S67" s="20">
        <v>0.0</v>
      </c>
      <c r="T67" s="2"/>
      <c r="U67" s="2">
        <v>597835.0</v>
      </c>
      <c r="V67" s="40">
        <f t="shared" si="3"/>
        <v>10163195</v>
      </c>
      <c r="W67" s="40">
        <f t="shared" si="4"/>
        <v>5978350</v>
      </c>
      <c r="X67" s="2"/>
      <c r="Y67" s="2"/>
      <c r="Z67" s="2"/>
    </row>
    <row r="68" ht="12.75" customHeight="1">
      <c r="A68" s="2"/>
      <c r="B68" s="8" t="s">
        <v>85</v>
      </c>
      <c r="C68" s="8" t="s">
        <v>27</v>
      </c>
      <c r="D68" s="8">
        <v>14.0</v>
      </c>
      <c r="E68" s="20">
        <v>709.0</v>
      </c>
      <c r="F68" s="20">
        <v>936.0</v>
      </c>
      <c r="G68" s="20">
        <v>0.0</v>
      </c>
      <c r="H68" s="21">
        <v>0.0</v>
      </c>
      <c r="I68" s="20">
        <v>709.0</v>
      </c>
      <c r="J68" s="20">
        <v>0.0</v>
      </c>
      <c r="K68" s="20">
        <f t="shared" si="1"/>
        <v>709</v>
      </c>
      <c r="L68" s="20">
        <v>936.0</v>
      </c>
      <c r="M68" s="20">
        <v>367.57142857142907</v>
      </c>
      <c r="N68" s="22">
        <v>23.0</v>
      </c>
      <c r="O68" s="20">
        <f t="shared" si="6"/>
        <v>11.92403788</v>
      </c>
      <c r="P68" s="39">
        <v>34.324400564174894</v>
      </c>
      <c r="Q68" s="20">
        <v>262.62</v>
      </c>
      <c r="R68" s="20">
        <v>0.0</v>
      </c>
      <c r="S68" s="20">
        <v>0.0</v>
      </c>
      <c r="T68" s="2"/>
      <c r="U68" s="2">
        <v>597835.0</v>
      </c>
      <c r="V68" s="40">
        <f t="shared" si="3"/>
        <v>423865015</v>
      </c>
      <c r="W68" s="40">
        <f t="shared" si="4"/>
        <v>219747065</v>
      </c>
      <c r="X68" s="2"/>
      <c r="Y68" s="2"/>
      <c r="Z68" s="2"/>
    </row>
    <row r="69" ht="12.75" customHeight="1">
      <c r="A69" s="2"/>
      <c r="B69" s="8" t="s">
        <v>114</v>
      </c>
      <c r="C69" s="8" t="s">
        <v>27</v>
      </c>
      <c r="D69" s="8">
        <v>14.0</v>
      </c>
      <c r="E69" s="20">
        <v>163.0</v>
      </c>
      <c r="F69" s="20">
        <v>1207.0</v>
      </c>
      <c r="G69" s="20">
        <v>0.0</v>
      </c>
      <c r="H69" s="21">
        <v>0.0</v>
      </c>
      <c r="I69" s="20">
        <v>864.0</v>
      </c>
      <c r="J69" s="20">
        <v>0.0</v>
      </c>
      <c r="K69" s="20">
        <f t="shared" si="1"/>
        <v>864</v>
      </c>
      <c r="L69" s="20">
        <v>506.0</v>
      </c>
      <c r="M69" s="20">
        <v>534.928571428571</v>
      </c>
      <c r="N69" s="22">
        <v>23.0</v>
      </c>
      <c r="O69" s="20">
        <f t="shared" si="6"/>
        <v>14.23999669</v>
      </c>
      <c r="P69" s="39">
        <v>15.226851851851851</v>
      </c>
      <c r="Q69" s="20">
        <v>3.0</v>
      </c>
      <c r="R69" s="20">
        <v>0.0</v>
      </c>
      <c r="S69" s="20">
        <v>0.0</v>
      </c>
      <c r="T69" s="2"/>
      <c r="U69" s="2">
        <v>597835.0</v>
      </c>
      <c r="V69" s="40">
        <f t="shared" si="3"/>
        <v>516529440</v>
      </c>
      <c r="W69" s="40">
        <f t="shared" si="4"/>
        <v>319799022.5</v>
      </c>
      <c r="X69" s="2"/>
      <c r="Y69" s="2"/>
      <c r="Z69" s="2"/>
    </row>
    <row r="70" ht="12.75" customHeight="1">
      <c r="A70" s="2"/>
      <c r="B70" s="8" t="s">
        <v>86</v>
      </c>
      <c r="C70" s="8" t="s">
        <v>27</v>
      </c>
      <c r="D70" s="8">
        <v>14.0</v>
      </c>
      <c r="E70" s="20">
        <v>430.0</v>
      </c>
      <c r="F70" s="20">
        <v>204.0</v>
      </c>
      <c r="G70" s="20">
        <v>0.0</v>
      </c>
      <c r="H70" s="21">
        <v>0.0</v>
      </c>
      <c r="I70" s="20">
        <v>396.0</v>
      </c>
      <c r="J70" s="20">
        <v>0.0</v>
      </c>
      <c r="K70" s="20">
        <f t="shared" si="1"/>
        <v>396</v>
      </c>
      <c r="L70" s="20">
        <v>238.0</v>
      </c>
      <c r="M70" s="20">
        <v>375.6</v>
      </c>
      <c r="N70" s="22">
        <v>23.0</v>
      </c>
      <c r="O70" s="20">
        <f t="shared" si="6"/>
        <v>21.81515152</v>
      </c>
      <c r="P70" s="39">
        <v>15.626262626262626</v>
      </c>
      <c r="Q70" s="20">
        <v>0.0</v>
      </c>
      <c r="R70" s="20">
        <v>600.0</v>
      </c>
      <c r="S70" s="20">
        <v>0.0</v>
      </c>
      <c r="T70" s="2"/>
      <c r="U70" s="2">
        <v>937285.0</v>
      </c>
      <c r="V70" s="40">
        <f t="shared" si="3"/>
        <v>371164860</v>
      </c>
      <c r="W70" s="40">
        <f t="shared" si="4"/>
        <v>352044246</v>
      </c>
      <c r="X70" s="2"/>
      <c r="Y70" s="2"/>
      <c r="Z70" s="2"/>
    </row>
    <row r="71" ht="12.75" customHeight="1">
      <c r="A71" s="2"/>
      <c r="B71" s="8" t="s">
        <v>87</v>
      </c>
      <c r="C71" s="8" t="s">
        <v>27</v>
      </c>
      <c r="D71" s="8">
        <v>14.0</v>
      </c>
      <c r="E71" s="20">
        <v>58.0</v>
      </c>
      <c r="F71" s="20">
        <v>0.0</v>
      </c>
      <c r="G71" s="20">
        <v>0.0</v>
      </c>
      <c r="H71" s="21">
        <v>0.0</v>
      </c>
      <c r="I71" s="20">
        <v>42.0</v>
      </c>
      <c r="J71" s="20">
        <v>0.0</v>
      </c>
      <c r="K71" s="20">
        <f t="shared" si="1"/>
        <v>42</v>
      </c>
      <c r="L71" s="20">
        <v>16.0</v>
      </c>
      <c r="M71" s="20">
        <v>37.8333333333333</v>
      </c>
      <c r="N71" s="22">
        <v>23.0</v>
      </c>
      <c r="O71" s="20">
        <f t="shared" si="6"/>
        <v>20.71825397</v>
      </c>
      <c r="P71" s="39">
        <v>9.904761904761905</v>
      </c>
      <c r="Q71" s="20">
        <v>0.0</v>
      </c>
      <c r="R71" s="20">
        <v>0.0</v>
      </c>
      <c r="S71" s="20">
        <v>0.0</v>
      </c>
      <c r="T71" s="2"/>
      <c r="U71" s="2">
        <v>1.0957105E7</v>
      </c>
      <c r="V71" s="40">
        <f t="shared" si="3"/>
        <v>460198410</v>
      </c>
      <c r="W71" s="40">
        <f t="shared" si="4"/>
        <v>414543805.8</v>
      </c>
      <c r="X71" s="2"/>
      <c r="Y71" s="2"/>
      <c r="Z71" s="2"/>
    </row>
    <row r="72" ht="12.75" customHeight="1">
      <c r="A72" s="2"/>
      <c r="B72" s="8" t="s">
        <v>88</v>
      </c>
      <c r="C72" s="8" t="s">
        <v>27</v>
      </c>
      <c r="D72" s="8">
        <v>14.0</v>
      </c>
      <c r="E72" s="20">
        <v>1168.0</v>
      </c>
      <c r="F72" s="20">
        <v>9.0</v>
      </c>
      <c r="G72" s="20">
        <v>0.0</v>
      </c>
      <c r="H72" s="21">
        <v>0.0</v>
      </c>
      <c r="I72" s="20">
        <v>699.0</v>
      </c>
      <c r="J72" s="20">
        <v>0.0</v>
      </c>
      <c r="K72" s="20">
        <f t="shared" si="1"/>
        <v>699</v>
      </c>
      <c r="L72" s="20">
        <v>478.0</v>
      </c>
      <c r="M72" s="20">
        <v>782.333333333333</v>
      </c>
      <c r="N72" s="22">
        <v>23.0</v>
      </c>
      <c r="O72" s="20">
        <f t="shared" si="6"/>
        <v>25.7420124</v>
      </c>
      <c r="P72" s="39">
        <v>17.779685264663804</v>
      </c>
      <c r="Q72" s="20">
        <v>0.0</v>
      </c>
      <c r="R72" s="20">
        <v>1287.0</v>
      </c>
      <c r="S72" s="20">
        <v>0.0</v>
      </c>
      <c r="T72" s="2"/>
      <c r="U72" s="2">
        <v>1322925.0</v>
      </c>
      <c r="V72" s="40">
        <f t="shared" si="3"/>
        <v>924724575</v>
      </c>
      <c r="W72" s="40">
        <f t="shared" si="4"/>
        <v>1034968325</v>
      </c>
      <c r="X72" s="2"/>
      <c r="Y72" s="2"/>
      <c r="Z72" s="2"/>
    </row>
    <row r="73" ht="12.75" customHeight="1">
      <c r="A73" s="2"/>
      <c r="B73" s="8" t="s">
        <v>89</v>
      </c>
      <c r="C73" s="8" t="s">
        <v>27</v>
      </c>
      <c r="D73" s="8">
        <v>14.0</v>
      </c>
      <c r="E73" s="20">
        <v>70.0</v>
      </c>
      <c r="F73" s="20">
        <v>0.0</v>
      </c>
      <c r="G73" s="20">
        <v>0.0</v>
      </c>
      <c r="H73" s="21">
        <v>0.0</v>
      </c>
      <c r="I73" s="20">
        <v>22.0</v>
      </c>
      <c r="J73" s="20">
        <v>0.0</v>
      </c>
      <c r="K73" s="20">
        <f t="shared" si="1"/>
        <v>22</v>
      </c>
      <c r="L73" s="20">
        <v>48.0</v>
      </c>
      <c r="M73" s="20">
        <v>49.0</v>
      </c>
      <c r="N73" s="22">
        <v>23.0</v>
      </c>
      <c r="O73" s="20">
        <f t="shared" si="6"/>
        <v>51.22727273</v>
      </c>
      <c r="P73" s="39">
        <v>56.72727272727272</v>
      </c>
      <c r="Q73" s="20">
        <v>50.0</v>
      </c>
      <c r="R73" s="20">
        <v>50.0</v>
      </c>
      <c r="S73" s="20">
        <v>0.0</v>
      </c>
      <c r="T73" s="2"/>
      <c r="U73" s="2">
        <v>1027805.0</v>
      </c>
      <c r="V73" s="40">
        <f t="shared" si="3"/>
        <v>22611710</v>
      </c>
      <c r="W73" s="40">
        <f t="shared" si="4"/>
        <v>50362445</v>
      </c>
      <c r="X73" s="2"/>
      <c r="Y73" s="2"/>
      <c r="Z73" s="2"/>
    </row>
    <row r="74" ht="12.75" customHeight="1">
      <c r="A74" s="2"/>
      <c r="B74" s="8" t="s">
        <v>115</v>
      </c>
      <c r="C74" s="8" t="s">
        <v>27</v>
      </c>
      <c r="D74" s="8">
        <v>14.0</v>
      </c>
      <c r="E74" s="20">
        <v>58.0</v>
      </c>
      <c r="F74" s="20">
        <v>0.0</v>
      </c>
      <c r="G74" s="20">
        <v>0.0</v>
      </c>
      <c r="H74" s="21">
        <v>0.0</v>
      </c>
      <c r="I74" s="20">
        <v>18.0</v>
      </c>
      <c r="J74" s="20">
        <v>0.0</v>
      </c>
      <c r="K74" s="20">
        <f t="shared" si="1"/>
        <v>18</v>
      </c>
      <c r="L74" s="20">
        <v>40.0</v>
      </c>
      <c r="M74" s="20">
        <v>45.3333333333333</v>
      </c>
      <c r="N74" s="22">
        <v>23.0</v>
      </c>
      <c r="O74" s="20">
        <f t="shared" si="6"/>
        <v>57.92592593</v>
      </c>
      <c r="P74" s="39">
        <v>57.77777777777778</v>
      </c>
      <c r="Q74" s="20">
        <v>0.0</v>
      </c>
      <c r="R74" s="20">
        <v>0.0</v>
      </c>
      <c r="S74" s="20">
        <v>0.0</v>
      </c>
      <c r="T74" s="2"/>
      <c r="U74" s="2">
        <v>746480.0</v>
      </c>
      <c r="V74" s="40">
        <f t="shared" si="3"/>
        <v>13436640</v>
      </c>
      <c r="W74" s="40">
        <f t="shared" si="4"/>
        <v>33840426.67</v>
      </c>
      <c r="X74" s="2"/>
      <c r="Y74" s="2"/>
      <c r="Z74" s="2"/>
    </row>
    <row r="75" ht="12.75" customHeight="1">
      <c r="A75" s="2"/>
      <c r="B75" s="8" t="s">
        <v>90</v>
      </c>
      <c r="C75" s="8" t="s">
        <v>27</v>
      </c>
      <c r="D75" s="8">
        <v>14.0</v>
      </c>
      <c r="E75" s="20">
        <v>230.0</v>
      </c>
      <c r="F75" s="20">
        <v>184.0</v>
      </c>
      <c r="G75" s="20">
        <v>0.0</v>
      </c>
      <c r="H75" s="21">
        <v>0.0</v>
      </c>
      <c r="I75" s="20">
        <v>351.0</v>
      </c>
      <c r="J75" s="20">
        <v>0.0</v>
      </c>
      <c r="K75" s="20">
        <f t="shared" si="1"/>
        <v>351</v>
      </c>
      <c r="L75" s="20">
        <v>63.0</v>
      </c>
      <c r="M75" s="20">
        <v>117.416666666667</v>
      </c>
      <c r="N75" s="22">
        <v>23.0</v>
      </c>
      <c r="O75" s="20">
        <f t="shared" si="6"/>
        <v>7.693969611</v>
      </c>
      <c r="P75" s="39">
        <v>4.666666666666667</v>
      </c>
      <c r="Q75" s="20">
        <v>16.0</v>
      </c>
      <c r="R75" s="20">
        <v>490.0</v>
      </c>
      <c r="S75" s="20">
        <v>0.0</v>
      </c>
      <c r="T75" s="2"/>
      <c r="U75" s="2">
        <v>1372215.0</v>
      </c>
      <c r="V75" s="40">
        <f t="shared" si="3"/>
        <v>481647465</v>
      </c>
      <c r="W75" s="40">
        <f t="shared" si="4"/>
        <v>161120911.3</v>
      </c>
      <c r="X75" s="2"/>
      <c r="Y75" s="2"/>
      <c r="Z75" s="2"/>
    </row>
    <row r="76" ht="12.75" customHeight="1">
      <c r="A76" s="2"/>
      <c r="B76" s="8" t="s">
        <v>91</v>
      </c>
      <c r="C76" s="8" t="s">
        <v>27</v>
      </c>
      <c r="D76" s="8">
        <v>14.0</v>
      </c>
      <c r="E76" s="20">
        <v>120.0</v>
      </c>
      <c r="F76" s="20">
        <v>0.0</v>
      </c>
      <c r="G76" s="20">
        <v>0.0</v>
      </c>
      <c r="H76" s="21">
        <v>0.0</v>
      </c>
      <c r="I76" s="20">
        <v>48.0</v>
      </c>
      <c r="J76" s="20">
        <v>0.0</v>
      </c>
      <c r="K76" s="20">
        <f t="shared" si="1"/>
        <v>48</v>
      </c>
      <c r="L76" s="20">
        <v>72.0</v>
      </c>
      <c r="M76" s="20">
        <v>96.44444444444439</v>
      </c>
      <c r="N76" s="22">
        <v>23.0</v>
      </c>
      <c r="O76" s="20">
        <f t="shared" si="6"/>
        <v>46.21296296</v>
      </c>
      <c r="P76" s="39">
        <v>39.0</v>
      </c>
      <c r="Q76" s="20">
        <v>0.0</v>
      </c>
      <c r="R76" s="20">
        <v>0.0</v>
      </c>
      <c r="S76" s="20">
        <v>0.0</v>
      </c>
      <c r="T76" s="2"/>
      <c r="U76" s="2">
        <v>6276182.5</v>
      </c>
      <c r="V76" s="40">
        <f t="shared" si="3"/>
        <v>301256760</v>
      </c>
      <c r="W76" s="40">
        <f t="shared" si="4"/>
        <v>605302934.4</v>
      </c>
      <c r="X76" s="2"/>
      <c r="Y76" s="2"/>
      <c r="Z76" s="2"/>
    </row>
    <row r="77" ht="12.75" customHeight="1">
      <c r="A77" s="2"/>
      <c r="B77" s="8" t="s">
        <v>116</v>
      </c>
      <c r="C77" s="8" t="s">
        <v>27</v>
      </c>
      <c r="D77" s="8">
        <v>14.0</v>
      </c>
      <c r="E77" s="20">
        <v>0.0</v>
      </c>
      <c r="F77" s="20">
        <v>38.0</v>
      </c>
      <c r="G77" s="20">
        <v>0.0</v>
      </c>
      <c r="H77" s="21">
        <v>0.0</v>
      </c>
      <c r="I77" s="20">
        <v>6.0</v>
      </c>
      <c r="J77" s="20">
        <v>0.0</v>
      </c>
      <c r="K77" s="20">
        <f t="shared" si="1"/>
        <v>6</v>
      </c>
      <c r="L77" s="20">
        <v>32.0</v>
      </c>
      <c r="M77" s="20">
        <v>30.0</v>
      </c>
      <c r="N77" s="22">
        <v>23.0</v>
      </c>
      <c r="O77" s="20">
        <f t="shared" si="6"/>
        <v>115</v>
      </c>
      <c r="P77" s="39">
        <v>138.66666666666666</v>
      </c>
      <c r="Q77" s="20">
        <v>0.0</v>
      </c>
      <c r="R77" s="20">
        <v>66.0</v>
      </c>
      <c r="S77" s="20">
        <v>0.0</v>
      </c>
      <c r="T77" s="2"/>
      <c r="U77" s="2">
        <v>6276182.5</v>
      </c>
      <c r="V77" s="40">
        <f t="shared" si="3"/>
        <v>37657095</v>
      </c>
      <c r="W77" s="40">
        <f t="shared" si="4"/>
        <v>188285475</v>
      </c>
      <c r="X77" s="2"/>
      <c r="Y77" s="2"/>
      <c r="Z77" s="2"/>
    </row>
    <row r="78" ht="12.75" customHeight="1">
      <c r="A78" s="2"/>
      <c r="B78" s="8" t="s">
        <v>92</v>
      </c>
      <c r="C78" s="8" t="s">
        <v>27</v>
      </c>
      <c r="D78" s="8">
        <v>14.0</v>
      </c>
      <c r="E78" s="20">
        <v>155.0</v>
      </c>
      <c r="F78" s="20">
        <v>100.0</v>
      </c>
      <c r="G78" s="20">
        <v>0.0</v>
      </c>
      <c r="H78" s="21">
        <v>0.0</v>
      </c>
      <c r="I78" s="20">
        <v>108.0</v>
      </c>
      <c r="J78" s="20">
        <v>0.0</v>
      </c>
      <c r="K78" s="20">
        <f t="shared" si="1"/>
        <v>108</v>
      </c>
      <c r="L78" s="20">
        <v>147.0</v>
      </c>
      <c r="M78" s="20">
        <v>149.666666666667</v>
      </c>
      <c r="N78" s="22">
        <v>23.0</v>
      </c>
      <c r="O78" s="20">
        <f t="shared" si="6"/>
        <v>31.87345679</v>
      </c>
      <c r="P78" s="39">
        <v>35.38888888888889</v>
      </c>
      <c r="Q78" s="20">
        <v>0.0</v>
      </c>
      <c r="R78" s="20">
        <v>0.0</v>
      </c>
      <c r="S78" s="20">
        <v>0.0</v>
      </c>
      <c r="T78" s="2"/>
      <c r="U78" s="2">
        <v>848935.0</v>
      </c>
      <c r="V78" s="40">
        <f t="shared" si="3"/>
        <v>91684980</v>
      </c>
      <c r="W78" s="40">
        <f t="shared" si="4"/>
        <v>127057271.7</v>
      </c>
      <c r="X78" s="2"/>
      <c r="Y78" s="2"/>
      <c r="Z78" s="2"/>
    </row>
    <row r="79" ht="12.75" customHeight="1">
      <c r="A79" s="2"/>
      <c r="B79" s="8" t="s">
        <v>93</v>
      </c>
      <c r="C79" s="8" t="s">
        <v>27</v>
      </c>
      <c r="D79" s="8">
        <v>14.0</v>
      </c>
      <c r="E79" s="20">
        <v>369.0</v>
      </c>
      <c r="F79" s="20">
        <v>0.0</v>
      </c>
      <c r="G79" s="20">
        <v>0.0</v>
      </c>
      <c r="H79" s="21">
        <v>0.0</v>
      </c>
      <c r="I79" s="20">
        <v>226.0</v>
      </c>
      <c r="J79" s="20">
        <v>0.0</v>
      </c>
      <c r="K79" s="20">
        <f t="shared" si="1"/>
        <v>226</v>
      </c>
      <c r="L79" s="20">
        <v>143.0</v>
      </c>
      <c r="M79" s="20">
        <v>213.25</v>
      </c>
      <c r="N79" s="22">
        <v>23.0</v>
      </c>
      <c r="O79" s="20">
        <f t="shared" si="6"/>
        <v>21.70243363</v>
      </c>
      <c r="P79" s="39">
        <v>16.451327433628318</v>
      </c>
      <c r="Q79" s="20">
        <v>0.0</v>
      </c>
      <c r="R79" s="20">
        <v>0.0</v>
      </c>
      <c r="S79" s="20">
        <v>0.0</v>
      </c>
      <c r="T79" s="2"/>
      <c r="U79" s="2">
        <v>923955.0</v>
      </c>
      <c r="V79" s="40">
        <f t="shared" si="3"/>
        <v>208813830</v>
      </c>
      <c r="W79" s="40">
        <f t="shared" si="4"/>
        <v>197033403.8</v>
      </c>
      <c r="X79" s="2"/>
      <c r="Y79" s="2"/>
      <c r="Z79" s="2"/>
    </row>
    <row r="80" ht="12.75" customHeight="1">
      <c r="A80" s="2"/>
      <c r="B80" s="8" t="s">
        <v>117</v>
      </c>
      <c r="C80" s="8" t="s">
        <v>27</v>
      </c>
      <c r="D80" s="8">
        <v>14.0</v>
      </c>
      <c r="E80" s="20">
        <v>93.0</v>
      </c>
      <c r="F80" s="20">
        <v>0.0</v>
      </c>
      <c r="G80" s="20">
        <v>0.0</v>
      </c>
      <c r="H80" s="21">
        <v>0.0</v>
      </c>
      <c r="I80" s="20">
        <v>57.0</v>
      </c>
      <c r="J80" s="20">
        <v>0.0</v>
      </c>
      <c r="K80" s="20">
        <f t="shared" si="1"/>
        <v>57</v>
      </c>
      <c r="L80" s="20">
        <v>36.0</v>
      </c>
      <c r="M80" s="20">
        <v>58.0</v>
      </c>
      <c r="N80" s="22">
        <v>23.0</v>
      </c>
      <c r="O80" s="20">
        <f t="shared" si="6"/>
        <v>23.40350877</v>
      </c>
      <c r="P80" s="39">
        <v>16.421052631578945</v>
      </c>
      <c r="Q80" s="20">
        <v>0.0</v>
      </c>
      <c r="R80" s="20">
        <v>100.0</v>
      </c>
      <c r="S80" s="20">
        <v>0.0</v>
      </c>
      <c r="T80" s="2"/>
      <c r="U80" s="2">
        <v>1345865.0</v>
      </c>
      <c r="V80" s="40">
        <f t="shared" si="3"/>
        <v>76714305</v>
      </c>
      <c r="W80" s="40">
        <f t="shared" si="4"/>
        <v>78060170</v>
      </c>
      <c r="X80" s="2"/>
      <c r="Y80" s="2"/>
      <c r="Z80" s="2"/>
    </row>
    <row r="81" ht="12.75" customHeight="1">
      <c r="A81" s="2"/>
      <c r="B81" s="8" t="s">
        <v>94</v>
      </c>
      <c r="C81" s="8" t="s">
        <v>27</v>
      </c>
      <c r="D81" s="8">
        <v>14.0</v>
      </c>
      <c r="E81" s="20">
        <v>322.0</v>
      </c>
      <c r="F81" s="20">
        <v>466.0</v>
      </c>
      <c r="G81" s="20">
        <v>0.0</v>
      </c>
      <c r="H81" s="21">
        <v>0.0</v>
      </c>
      <c r="I81" s="20">
        <v>615.0</v>
      </c>
      <c r="J81" s="20">
        <v>0.0</v>
      </c>
      <c r="K81" s="20">
        <f t="shared" si="1"/>
        <v>615</v>
      </c>
      <c r="L81" s="20">
        <v>173.0</v>
      </c>
      <c r="M81" s="20">
        <v>299.166666666667</v>
      </c>
      <c r="N81" s="22">
        <v>23.0</v>
      </c>
      <c r="O81" s="20">
        <f t="shared" si="6"/>
        <v>11.18834688</v>
      </c>
      <c r="P81" s="39">
        <v>7.313821138211383</v>
      </c>
      <c r="Q81" s="20">
        <v>170.0</v>
      </c>
      <c r="R81" s="20">
        <v>400.0</v>
      </c>
      <c r="S81" s="20">
        <v>0.0</v>
      </c>
      <c r="T81" s="2"/>
      <c r="U81" s="2">
        <v>923955.0</v>
      </c>
      <c r="V81" s="40">
        <f t="shared" si="3"/>
        <v>568232325</v>
      </c>
      <c r="W81" s="40">
        <f t="shared" si="4"/>
        <v>276416537.5</v>
      </c>
      <c r="X81" s="2"/>
      <c r="Y81" s="2"/>
      <c r="Z81" s="2"/>
    </row>
    <row r="82" ht="12.75" customHeight="1">
      <c r="A82" s="2"/>
      <c r="B82" s="8" t="s">
        <v>95</v>
      </c>
      <c r="C82" s="8" t="s">
        <v>27</v>
      </c>
      <c r="D82" s="8">
        <v>14.0</v>
      </c>
      <c r="E82" s="20">
        <v>25.0</v>
      </c>
      <c r="F82" s="20">
        <v>98.0</v>
      </c>
      <c r="G82" s="20">
        <v>0.0</v>
      </c>
      <c r="H82" s="21">
        <v>0.0</v>
      </c>
      <c r="I82" s="20">
        <v>25.0</v>
      </c>
      <c r="J82" s="20">
        <v>0.0</v>
      </c>
      <c r="K82" s="20">
        <f t="shared" si="1"/>
        <v>25</v>
      </c>
      <c r="L82" s="20">
        <v>98.0</v>
      </c>
      <c r="M82" s="20">
        <v>37.0</v>
      </c>
      <c r="N82" s="22">
        <v>23.0</v>
      </c>
      <c r="O82" s="20">
        <f t="shared" si="6"/>
        <v>34.04</v>
      </c>
      <c r="P82" s="39">
        <v>101.92</v>
      </c>
      <c r="Q82" s="20">
        <v>2.0</v>
      </c>
      <c r="R82" s="20">
        <v>0.0</v>
      </c>
      <c r="S82" s="20">
        <v>0.0</v>
      </c>
      <c r="T82" s="2"/>
      <c r="U82" s="2">
        <v>504524.99999999994</v>
      </c>
      <c r="V82" s="40">
        <f t="shared" si="3"/>
        <v>12613125</v>
      </c>
      <c r="W82" s="40">
        <f t="shared" si="4"/>
        <v>18667425</v>
      </c>
      <c r="X82" s="2"/>
      <c r="Y82" s="2"/>
      <c r="Z82" s="2"/>
    </row>
    <row r="83" ht="12.75" customHeight="1">
      <c r="A83" s="2"/>
      <c r="B83" s="8" t="s">
        <v>96</v>
      </c>
      <c r="C83" s="8" t="s">
        <v>27</v>
      </c>
      <c r="D83" s="8">
        <v>14.0</v>
      </c>
      <c r="E83" s="20">
        <v>390.0</v>
      </c>
      <c r="F83" s="20">
        <v>510.0</v>
      </c>
      <c r="G83" s="20">
        <v>0.0</v>
      </c>
      <c r="H83" s="21">
        <v>0.0</v>
      </c>
      <c r="I83" s="20">
        <v>575.0</v>
      </c>
      <c r="J83" s="20">
        <v>0.0</v>
      </c>
      <c r="K83" s="20">
        <f t="shared" si="1"/>
        <v>575</v>
      </c>
      <c r="L83" s="20">
        <v>325.0</v>
      </c>
      <c r="M83" s="20">
        <v>361.0</v>
      </c>
      <c r="N83" s="22">
        <v>23.0</v>
      </c>
      <c r="O83" s="20">
        <f t="shared" si="6"/>
        <v>14.44</v>
      </c>
      <c r="P83" s="39">
        <v>14.695652173913043</v>
      </c>
      <c r="Q83" s="20">
        <v>0.0</v>
      </c>
      <c r="R83" s="20">
        <v>250.0</v>
      </c>
      <c r="S83" s="20">
        <v>0.0</v>
      </c>
      <c r="T83" s="2"/>
      <c r="U83" s="2">
        <v>848935.0</v>
      </c>
      <c r="V83" s="40">
        <f t="shared" si="3"/>
        <v>488137625</v>
      </c>
      <c r="W83" s="40">
        <f t="shared" si="4"/>
        <v>306465535</v>
      </c>
      <c r="X83" s="4" t="s">
        <v>118</v>
      </c>
      <c r="Y83" s="2"/>
      <c r="Z83" s="2"/>
    </row>
    <row r="84" ht="18.75" customHeight="1">
      <c r="A84" s="31"/>
      <c r="B84" s="25" t="s">
        <v>98</v>
      </c>
      <c r="C84" s="26"/>
      <c r="D84" s="26"/>
      <c r="E84" s="27">
        <f t="shared" ref="E84:M84" si="7">SUM(E4:E83)</f>
        <v>27434.55</v>
      </c>
      <c r="F84" s="27">
        <f t="shared" si="7"/>
        <v>9102.23</v>
      </c>
      <c r="G84" s="27">
        <f t="shared" si="7"/>
        <v>0</v>
      </c>
      <c r="H84" s="27">
        <f t="shared" si="7"/>
        <v>0</v>
      </c>
      <c r="I84" s="27">
        <f t="shared" si="7"/>
        <v>17935</v>
      </c>
      <c r="J84" s="27">
        <f t="shared" si="7"/>
        <v>-27</v>
      </c>
      <c r="K84" s="27">
        <f t="shared" si="7"/>
        <v>17908</v>
      </c>
      <c r="L84" s="27">
        <f t="shared" si="7"/>
        <v>18628.78</v>
      </c>
      <c r="M84" s="27">
        <f t="shared" si="7"/>
        <v>21811.05441</v>
      </c>
      <c r="N84" s="28"/>
      <c r="O84" s="27">
        <f>+M84/($I84+$J84)*$N$4</f>
        <v>28.01285746</v>
      </c>
      <c r="P84" s="41">
        <f>+L84/($I84+$J84)*$N$4</f>
        <v>23.92572817</v>
      </c>
      <c r="Q84" s="27">
        <f t="shared" ref="Q84:S84" si="8">SUM(Q4:Q83)</f>
        <v>1262.34</v>
      </c>
      <c r="R84" s="27">
        <f t="shared" si="8"/>
        <v>10991</v>
      </c>
      <c r="S84" s="27">
        <f t="shared" si="8"/>
        <v>280</v>
      </c>
      <c r="T84" s="31"/>
      <c r="U84" s="2"/>
      <c r="V84" s="42">
        <f t="shared" ref="V84:W84" si="9">SUM(V4:V83)</f>
        <v>17543648381</v>
      </c>
      <c r="W84" s="42">
        <f t="shared" si="9"/>
        <v>18843008862</v>
      </c>
      <c r="X84" s="27">
        <f>(W84/V84)*N83</f>
        <v>24.70348211</v>
      </c>
      <c r="Y84" s="31"/>
      <c r="Z84" s="31"/>
    </row>
    <row r="85" ht="18.75" customHeight="1">
      <c r="A85" s="2"/>
      <c r="B85" s="1"/>
      <c r="C85" s="2"/>
      <c r="D85" s="2"/>
      <c r="E85" s="33"/>
      <c r="F85" s="33"/>
      <c r="G85" s="33"/>
      <c r="H85" s="33"/>
      <c r="I85" s="33"/>
      <c r="J85" s="33"/>
      <c r="K85" s="33"/>
      <c r="L85" s="33"/>
      <c r="M85" s="33"/>
      <c r="N85" s="3"/>
      <c r="O85" s="33"/>
      <c r="P85" s="33"/>
      <c r="Q85" s="34"/>
      <c r="R85" s="33"/>
      <c r="S85" s="33"/>
      <c r="T85" s="33"/>
      <c r="U85" s="2"/>
      <c r="V85" s="2"/>
      <c r="W85" s="2"/>
      <c r="X85" s="2"/>
      <c r="Y85" s="2"/>
      <c r="Z85" s="2"/>
    </row>
    <row r="86" ht="12.75" customHeight="1">
      <c r="A86" s="2"/>
      <c r="B86" s="2" t="s">
        <v>99</v>
      </c>
      <c r="C86" s="35">
        <v>24.9</v>
      </c>
      <c r="D86" s="35"/>
      <c r="E86" s="2" t="s">
        <v>100</v>
      </c>
      <c r="F86" s="2"/>
      <c r="G86" s="2"/>
      <c r="H86" s="2"/>
      <c r="I86" s="2"/>
      <c r="J86" s="2"/>
      <c r="K86" s="2"/>
      <c r="L86" s="2"/>
      <c r="M86" s="2"/>
      <c r="N86" s="3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1"/>
      <c r="C89" s="36"/>
      <c r="D89" s="36"/>
      <c r="E89" s="2"/>
      <c r="F89" s="2"/>
      <c r="G89" s="2"/>
      <c r="H89" s="2"/>
      <c r="I89" s="2"/>
      <c r="J89" s="2"/>
      <c r="K89" s="2"/>
      <c r="L89" s="2"/>
      <c r="M89" s="2"/>
      <c r="N89" s="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57"/>
    <col customWidth="1" min="2" max="2" width="17.86"/>
    <col customWidth="1" min="3" max="4" width="15.0"/>
    <col customWidth="1" min="5" max="5" width="16.14"/>
    <col customWidth="1" min="6" max="6" width="13.29"/>
    <col customWidth="1" min="7" max="7" width="11.57"/>
    <col customWidth="1" min="8" max="8" width="9.57"/>
    <col customWidth="1" min="9" max="9" width="13.29"/>
    <col customWidth="1" min="10" max="11" width="10.29"/>
    <col customWidth="1" min="12" max="12" width="12.71"/>
    <col customWidth="1" min="13" max="13" width="11.57"/>
    <col customWidth="1" min="14" max="14" width="11.43"/>
    <col customWidth="1" min="15" max="15" width="10.43"/>
    <col customWidth="1" min="16" max="16" width="8.86"/>
    <col customWidth="1" min="17" max="18" width="13.29"/>
    <col customWidth="1" min="19" max="19" width="7.86"/>
    <col customWidth="1" min="20" max="20" width="13.71"/>
    <col customWidth="1" min="21" max="21" width="13.0"/>
    <col customWidth="1" min="22" max="23" width="16.43"/>
    <col customWidth="1" min="24" max="24" width="15.29"/>
    <col customWidth="1" min="25" max="26" width="8.71"/>
  </cols>
  <sheetData>
    <row r="1" ht="12.75" customHeight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4" t="s">
        <v>0</v>
      </c>
      <c r="U1" s="5">
        <v>0.0052</v>
      </c>
      <c r="V1" s="4" t="s">
        <v>1</v>
      </c>
      <c r="W1" s="6">
        <f>(W97*$U$1)/V97</f>
        <v>0.004499073093</v>
      </c>
      <c r="X1" s="2"/>
      <c r="Y1" s="2"/>
      <c r="Z1" s="2"/>
    </row>
    <row r="2" ht="12.75" customHeight="1">
      <c r="A2" s="2"/>
      <c r="B2" s="7"/>
      <c r="C2" s="8" t="s">
        <v>2</v>
      </c>
      <c r="D2" s="8"/>
      <c r="E2" s="9" t="s">
        <v>119</v>
      </c>
      <c r="F2" s="10"/>
      <c r="G2" s="11" t="s">
        <v>4</v>
      </c>
      <c r="H2" s="10"/>
      <c r="I2" s="10"/>
      <c r="J2" s="12"/>
      <c r="K2" s="12"/>
      <c r="L2" s="10"/>
      <c r="M2" s="10"/>
      <c r="N2" s="13"/>
      <c r="O2" s="8"/>
      <c r="P2" s="14"/>
      <c r="Q2" s="14"/>
      <c r="R2" s="10"/>
      <c r="S2" s="10"/>
      <c r="T2" s="10"/>
      <c r="U2" s="2"/>
      <c r="V2" s="2"/>
      <c r="W2" s="2"/>
      <c r="X2" s="2"/>
      <c r="Y2" s="2"/>
      <c r="Z2" s="2"/>
    </row>
    <row r="3" ht="12.75" customHeight="1">
      <c r="A3" s="2"/>
      <c r="B3" s="15" t="s">
        <v>5</v>
      </c>
      <c r="C3" s="15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7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38" t="s">
        <v>17</v>
      </c>
      <c r="O3" s="19" t="s">
        <v>18</v>
      </c>
      <c r="P3" s="19" t="s">
        <v>19</v>
      </c>
      <c r="Q3" s="18" t="s">
        <v>20</v>
      </c>
      <c r="R3" s="18" t="s">
        <v>21</v>
      </c>
      <c r="S3" s="18" t="s">
        <v>22</v>
      </c>
      <c r="T3" s="2"/>
      <c r="U3" s="18" t="s">
        <v>23</v>
      </c>
      <c r="V3" s="18" t="s">
        <v>102</v>
      </c>
      <c r="W3" s="18" t="s">
        <v>103</v>
      </c>
      <c r="X3" s="2"/>
      <c r="Y3" s="2"/>
      <c r="Z3" s="2"/>
    </row>
    <row r="4" ht="12.75" customHeight="1">
      <c r="A4" s="2"/>
      <c r="B4" s="8" t="s">
        <v>104</v>
      </c>
      <c r="C4" s="8" t="s">
        <v>27</v>
      </c>
      <c r="D4" s="8">
        <v>14.0</v>
      </c>
      <c r="E4" s="20">
        <v>120.0</v>
      </c>
      <c r="F4" s="20">
        <v>37.0</v>
      </c>
      <c r="G4" s="20">
        <v>0.0</v>
      </c>
      <c r="H4" s="21">
        <v>0.0</v>
      </c>
      <c r="I4" s="20">
        <v>37.0</v>
      </c>
      <c r="J4" s="20">
        <v>0.0</v>
      </c>
      <c r="K4" s="20">
        <f t="shared" ref="K4:K96" si="1">I4+J4</f>
        <v>37</v>
      </c>
      <c r="L4" s="20">
        <v>120.0</v>
      </c>
      <c r="M4" s="20">
        <v>138.5</v>
      </c>
      <c r="N4" s="22">
        <v>26.0</v>
      </c>
      <c r="O4" s="20">
        <f>(M4/(I4+J4))*N4</f>
        <v>97.32432432</v>
      </c>
      <c r="P4" s="39">
        <v>3.2432432432432434</v>
      </c>
      <c r="Q4" s="20">
        <v>0.0</v>
      </c>
      <c r="R4" s="20">
        <v>0.0</v>
      </c>
      <c r="S4" s="20">
        <v>0.0</v>
      </c>
      <c r="T4" s="2"/>
      <c r="U4" s="2">
        <v>1631375.0</v>
      </c>
      <c r="V4" s="40">
        <f t="shared" ref="V4:V96" si="2">U4*(I4+J4)</f>
        <v>60360875</v>
      </c>
      <c r="W4" s="40">
        <f t="shared" ref="W4:W96" si="3">U4*M4</f>
        <v>225945437.5</v>
      </c>
      <c r="X4" s="2"/>
      <c r="Y4" s="2"/>
      <c r="Z4" s="2"/>
    </row>
    <row r="5" ht="12.75" customHeight="1">
      <c r="A5" s="2"/>
      <c r="B5" s="8" t="s">
        <v>28</v>
      </c>
      <c r="C5" s="8" t="s">
        <v>27</v>
      </c>
      <c r="D5" s="8">
        <v>14.0</v>
      </c>
      <c r="E5" s="20">
        <v>100.0</v>
      </c>
      <c r="F5" s="20">
        <v>77.0</v>
      </c>
      <c r="G5" s="20">
        <v>0.0</v>
      </c>
      <c r="H5" s="21">
        <v>0.0</v>
      </c>
      <c r="I5" s="20">
        <v>0.0</v>
      </c>
      <c r="J5" s="20">
        <v>0.0</v>
      </c>
      <c r="K5" s="20">
        <f t="shared" si="1"/>
        <v>0</v>
      </c>
      <c r="L5" s="20">
        <v>177.0</v>
      </c>
      <c r="M5" s="20">
        <v>177.0</v>
      </c>
      <c r="N5" s="22">
        <v>26.0</v>
      </c>
      <c r="O5" s="20">
        <v>0.0</v>
      </c>
      <c r="P5" s="39">
        <v>0.0</v>
      </c>
      <c r="Q5" s="20">
        <v>0.0</v>
      </c>
      <c r="R5" s="20">
        <v>23.0</v>
      </c>
      <c r="S5" s="20">
        <v>0.0</v>
      </c>
      <c r="T5" s="2"/>
      <c r="U5" s="2">
        <v>844750.0</v>
      </c>
      <c r="V5" s="40">
        <f t="shared" si="2"/>
        <v>0</v>
      </c>
      <c r="W5" s="40">
        <f t="shared" si="3"/>
        <v>149520750</v>
      </c>
      <c r="X5" s="2"/>
      <c r="Y5" s="2"/>
      <c r="Z5" s="2"/>
    </row>
    <row r="6" ht="12.75" customHeight="1">
      <c r="A6" s="2"/>
      <c r="B6" s="8" t="s">
        <v>29</v>
      </c>
      <c r="C6" s="8" t="s">
        <v>27</v>
      </c>
      <c r="D6" s="8">
        <v>14.0</v>
      </c>
      <c r="E6" s="20">
        <v>169.0</v>
      </c>
      <c r="F6" s="20">
        <v>0.0</v>
      </c>
      <c r="G6" s="20">
        <v>0.0</v>
      </c>
      <c r="H6" s="21">
        <v>0.0</v>
      </c>
      <c r="I6" s="20">
        <v>93.0</v>
      </c>
      <c r="J6" s="20">
        <v>0.0</v>
      </c>
      <c r="K6" s="20">
        <f t="shared" si="1"/>
        <v>93</v>
      </c>
      <c r="L6" s="20">
        <v>76.0</v>
      </c>
      <c r="M6" s="20">
        <v>110.5</v>
      </c>
      <c r="N6" s="22">
        <v>26.0</v>
      </c>
      <c r="O6" s="20">
        <f t="shared" ref="O6:O32" si="4">(M6/(I6+J6))*N6</f>
        <v>30.89247312</v>
      </c>
      <c r="P6" s="39">
        <v>0.8172043010752689</v>
      </c>
      <c r="Q6" s="20">
        <v>0.0</v>
      </c>
      <c r="R6" s="20">
        <v>100.0</v>
      </c>
      <c r="S6" s="20">
        <v>0.0</v>
      </c>
      <c r="T6" s="2"/>
      <c r="U6" s="2">
        <v>928605.0</v>
      </c>
      <c r="V6" s="40">
        <f t="shared" si="2"/>
        <v>86360265</v>
      </c>
      <c r="W6" s="40">
        <f t="shared" si="3"/>
        <v>102610852.5</v>
      </c>
      <c r="X6" s="2"/>
      <c r="Y6" s="2"/>
      <c r="Z6" s="2"/>
    </row>
    <row r="7" ht="12.75" customHeight="1">
      <c r="A7" s="2"/>
      <c r="B7" s="8" t="s">
        <v>30</v>
      </c>
      <c r="C7" s="8" t="s">
        <v>27</v>
      </c>
      <c r="D7" s="8">
        <v>14.0</v>
      </c>
      <c r="E7" s="20">
        <v>112.0</v>
      </c>
      <c r="F7" s="20">
        <v>100.0</v>
      </c>
      <c r="G7" s="20">
        <v>0.0</v>
      </c>
      <c r="H7" s="21">
        <v>0.0</v>
      </c>
      <c r="I7" s="20">
        <v>0.0</v>
      </c>
      <c r="J7" s="20">
        <v>157.0</v>
      </c>
      <c r="K7" s="20">
        <f t="shared" si="1"/>
        <v>157</v>
      </c>
      <c r="L7" s="20">
        <v>55.0</v>
      </c>
      <c r="M7" s="20">
        <v>62.800000000000004</v>
      </c>
      <c r="N7" s="22">
        <v>26.0</v>
      </c>
      <c r="O7" s="20">
        <f t="shared" si="4"/>
        <v>10.4</v>
      </c>
      <c r="P7" s="39">
        <v>0.3503184713375796</v>
      </c>
      <c r="Q7" s="20">
        <v>0.0</v>
      </c>
      <c r="R7" s="20">
        <v>100.0</v>
      </c>
      <c r="S7" s="20">
        <v>0.0</v>
      </c>
      <c r="T7" s="2"/>
      <c r="U7" s="2">
        <v>1329900.0</v>
      </c>
      <c r="V7" s="40">
        <f t="shared" si="2"/>
        <v>208794300</v>
      </c>
      <c r="W7" s="40">
        <f t="shared" si="3"/>
        <v>83517720</v>
      </c>
      <c r="X7" s="2"/>
      <c r="Y7" s="2"/>
      <c r="Z7" s="2"/>
    </row>
    <row r="8" ht="12.75" customHeight="1">
      <c r="A8" s="2"/>
      <c r="B8" s="43" t="s">
        <v>120</v>
      </c>
      <c r="C8" s="8" t="s">
        <v>27</v>
      </c>
      <c r="D8" s="8">
        <v>14.0</v>
      </c>
      <c r="E8" s="20">
        <v>241.0</v>
      </c>
      <c r="F8" s="20">
        <v>0.0</v>
      </c>
      <c r="G8" s="20">
        <v>0.0</v>
      </c>
      <c r="H8" s="21">
        <v>0.0</v>
      </c>
      <c r="I8" s="20">
        <v>129.0</v>
      </c>
      <c r="J8" s="20">
        <v>0.0</v>
      </c>
      <c r="K8" s="20">
        <f t="shared" si="1"/>
        <v>129</v>
      </c>
      <c r="L8" s="20">
        <v>112.0</v>
      </c>
      <c r="M8" s="20">
        <v>149.0</v>
      </c>
      <c r="N8" s="22">
        <v>26.0</v>
      </c>
      <c r="O8" s="20">
        <f t="shared" si="4"/>
        <v>30.03100775</v>
      </c>
      <c r="P8" s="39">
        <v>0.8682170542635659</v>
      </c>
      <c r="Q8" s="20">
        <v>0.0</v>
      </c>
      <c r="R8" s="20">
        <v>107.0</v>
      </c>
      <c r="S8" s="20">
        <v>0.0</v>
      </c>
      <c r="T8" s="2"/>
      <c r="U8" s="2">
        <v>865210.0</v>
      </c>
      <c r="V8" s="40">
        <f t="shared" si="2"/>
        <v>111612090</v>
      </c>
      <c r="W8" s="40">
        <f t="shared" si="3"/>
        <v>128916290</v>
      </c>
      <c r="X8" s="2"/>
      <c r="Y8" s="2"/>
      <c r="Z8" s="2"/>
    </row>
    <row r="9" ht="12.75" customHeight="1">
      <c r="A9" s="2"/>
      <c r="B9" s="43" t="s">
        <v>121</v>
      </c>
      <c r="C9" s="8" t="s">
        <v>27</v>
      </c>
      <c r="D9" s="8">
        <v>14.0</v>
      </c>
      <c r="E9" s="20">
        <v>308.0</v>
      </c>
      <c r="F9" s="20">
        <v>606.0</v>
      </c>
      <c r="G9" s="20">
        <v>0.0</v>
      </c>
      <c r="H9" s="21">
        <v>0.0</v>
      </c>
      <c r="I9" s="20">
        <v>702.0</v>
      </c>
      <c r="J9" s="20">
        <v>0.0</v>
      </c>
      <c r="K9" s="20">
        <f t="shared" si="1"/>
        <v>702</v>
      </c>
      <c r="L9" s="20">
        <v>212.0</v>
      </c>
      <c r="M9" s="20">
        <v>234.0</v>
      </c>
      <c r="N9" s="22">
        <v>26.0</v>
      </c>
      <c r="O9" s="20">
        <f t="shared" si="4"/>
        <v>8.666666667</v>
      </c>
      <c r="P9" s="39">
        <v>0.301994301994302</v>
      </c>
      <c r="Q9" s="20">
        <v>0.0</v>
      </c>
      <c r="R9" s="20">
        <v>0.0</v>
      </c>
      <c r="S9" s="20">
        <v>0.0</v>
      </c>
      <c r="T9" s="2"/>
      <c r="U9" s="2">
        <v>865210.0</v>
      </c>
      <c r="V9" s="40">
        <f t="shared" si="2"/>
        <v>607377420</v>
      </c>
      <c r="W9" s="40">
        <f t="shared" si="3"/>
        <v>202459140</v>
      </c>
      <c r="X9" s="2"/>
      <c r="Y9" s="2"/>
      <c r="Z9" s="2"/>
    </row>
    <row r="10" ht="12.75" customHeight="1">
      <c r="A10" s="2"/>
      <c r="B10" s="8" t="s">
        <v>31</v>
      </c>
      <c r="C10" s="8" t="s">
        <v>27</v>
      </c>
      <c r="D10" s="8">
        <v>14.0</v>
      </c>
      <c r="E10" s="20">
        <v>442.0</v>
      </c>
      <c r="F10" s="20">
        <v>0.0</v>
      </c>
      <c r="G10" s="20">
        <v>0.0</v>
      </c>
      <c r="H10" s="21">
        <v>0.0</v>
      </c>
      <c r="I10" s="20">
        <v>118.0</v>
      </c>
      <c r="J10" s="20">
        <v>0.0</v>
      </c>
      <c r="K10" s="20">
        <f t="shared" si="1"/>
        <v>118</v>
      </c>
      <c r="L10" s="20">
        <v>324.0</v>
      </c>
      <c r="M10" s="20">
        <v>390.0</v>
      </c>
      <c r="N10" s="22">
        <v>26.0</v>
      </c>
      <c r="O10" s="20">
        <f t="shared" si="4"/>
        <v>85.93220339</v>
      </c>
      <c r="P10" s="39">
        <v>2.7457627118644066</v>
      </c>
      <c r="Q10" s="20">
        <v>0.0</v>
      </c>
      <c r="R10" s="20">
        <v>0.0</v>
      </c>
      <c r="S10" s="20">
        <v>0.0</v>
      </c>
      <c r="T10" s="2"/>
      <c r="U10" s="2">
        <v>841116.0</v>
      </c>
      <c r="V10" s="40">
        <f t="shared" si="2"/>
        <v>99251688</v>
      </c>
      <c r="W10" s="40">
        <f t="shared" si="3"/>
        <v>328035240</v>
      </c>
      <c r="X10" s="2"/>
      <c r="Y10" s="2"/>
      <c r="Z10" s="2"/>
    </row>
    <row r="11" ht="12.75" customHeight="1">
      <c r="A11" s="2"/>
      <c r="B11" s="8" t="s">
        <v>32</v>
      </c>
      <c r="C11" s="8" t="s">
        <v>27</v>
      </c>
      <c r="D11" s="8">
        <v>14.0</v>
      </c>
      <c r="E11" s="20">
        <v>63.0</v>
      </c>
      <c r="F11" s="20">
        <v>0.0</v>
      </c>
      <c r="G11" s="20">
        <v>0.0</v>
      </c>
      <c r="H11" s="21">
        <v>0.0</v>
      </c>
      <c r="I11" s="20">
        <v>21.0</v>
      </c>
      <c r="J11" s="20">
        <v>0.0</v>
      </c>
      <c r="K11" s="20">
        <f t="shared" si="1"/>
        <v>21</v>
      </c>
      <c r="L11" s="20">
        <v>42.0</v>
      </c>
      <c r="M11" s="20">
        <v>46.0</v>
      </c>
      <c r="N11" s="22">
        <v>26.0</v>
      </c>
      <c r="O11" s="20">
        <f t="shared" si="4"/>
        <v>56.95238095</v>
      </c>
      <c r="P11" s="39">
        <v>2.0</v>
      </c>
      <c r="Q11" s="20">
        <v>0.0</v>
      </c>
      <c r="R11" s="20">
        <v>0.0</v>
      </c>
      <c r="S11" s="20">
        <v>0.0</v>
      </c>
      <c r="T11" s="2"/>
      <c r="U11" s="2">
        <v>928605.0</v>
      </c>
      <c r="V11" s="40">
        <f t="shared" si="2"/>
        <v>19500705</v>
      </c>
      <c r="W11" s="40">
        <f t="shared" si="3"/>
        <v>42715830</v>
      </c>
      <c r="X11" s="2"/>
      <c r="Y11" s="2"/>
      <c r="Z11" s="2"/>
    </row>
    <row r="12" ht="12.75" customHeight="1">
      <c r="A12" s="2"/>
      <c r="B12" s="43" t="s">
        <v>122</v>
      </c>
      <c r="C12" s="8" t="s">
        <v>27</v>
      </c>
      <c r="D12" s="8">
        <v>14.0</v>
      </c>
      <c r="E12" s="20">
        <v>120.0</v>
      </c>
      <c r="F12" s="20">
        <v>516.0</v>
      </c>
      <c r="G12" s="20">
        <v>0.0</v>
      </c>
      <c r="H12" s="21">
        <v>0.0</v>
      </c>
      <c r="I12" s="20">
        <v>0.0</v>
      </c>
      <c r="J12" s="20">
        <v>384.0</v>
      </c>
      <c r="K12" s="20">
        <f t="shared" si="1"/>
        <v>384</v>
      </c>
      <c r="L12" s="20">
        <v>252.0</v>
      </c>
      <c r="M12" s="20">
        <v>293.33333333333303</v>
      </c>
      <c r="N12" s="22">
        <v>26.0</v>
      </c>
      <c r="O12" s="20">
        <f t="shared" si="4"/>
        <v>19.86111111</v>
      </c>
      <c r="P12" s="39">
        <v>0.65625</v>
      </c>
      <c r="Q12" s="20">
        <v>0.0</v>
      </c>
      <c r="R12" s="20">
        <v>150.0</v>
      </c>
      <c r="S12" s="20">
        <v>0.0</v>
      </c>
      <c r="T12" s="2"/>
      <c r="U12" s="2">
        <v>139965.0</v>
      </c>
      <c r="V12" s="40">
        <f t="shared" si="2"/>
        <v>53746560</v>
      </c>
      <c r="W12" s="40">
        <f t="shared" si="3"/>
        <v>41056400</v>
      </c>
      <c r="X12" s="2"/>
      <c r="Y12" s="2"/>
      <c r="Z12" s="2"/>
    </row>
    <row r="13" ht="12.75" customHeight="1">
      <c r="A13" s="2"/>
      <c r="B13" s="8" t="s">
        <v>105</v>
      </c>
      <c r="C13" s="8" t="s">
        <v>27</v>
      </c>
      <c r="D13" s="8">
        <v>14.0</v>
      </c>
      <c r="E13" s="20">
        <v>118.0</v>
      </c>
      <c r="F13" s="20">
        <v>102.0</v>
      </c>
      <c r="G13" s="20">
        <v>0.0</v>
      </c>
      <c r="H13" s="21">
        <v>0.0</v>
      </c>
      <c r="I13" s="20">
        <v>0.0</v>
      </c>
      <c r="J13" s="20">
        <v>118.0</v>
      </c>
      <c r="K13" s="20">
        <f t="shared" si="1"/>
        <v>118</v>
      </c>
      <c r="L13" s="20">
        <v>102.0</v>
      </c>
      <c r="M13" s="20">
        <v>38.3333333333333</v>
      </c>
      <c r="N13" s="22">
        <v>26.0</v>
      </c>
      <c r="O13" s="20">
        <f t="shared" si="4"/>
        <v>8.446327684</v>
      </c>
      <c r="P13" s="39">
        <v>0.864406779661017</v>
      </c>
      <c r="Q13" s="20">
        <v>0.0</v>
      </c>
      <c r="R13" s="20">
        <v>48.0</v>
      </c>
      <c r="S13" s="20">
        <v>0.0</v>
      </c>
      <c r="T13" s="2"/>
      <c r="U13" s="2">
        <v>165230.0</v>
      </c>
      <c r="V13" s="40">
        <f t="shared" si="2"/>
        <v>19497140</v>
      </c>
      <c r="W13" s="40">
        <f t="shared" si="3"/>
        <v>6333816.667</v>
      </c>
      <c r="X13" s="2"/>
      <c r="Y13" s="2"/>
      <c r="Z13" s="2"/>
    </row>
    <row r="14" ht="12.75" customHeight="1">
      <c r="A14" s="2"/>
      <c r="B14" s="8" t="s">
        <v>106</v>
      </c>
      <c r="C14" s="8" t="s">
        <v>27</v>
      </c>
      <c r="D14" s="8">
        <v>14.0</v>
      </c>
      <c r="E14" s="20">
        <v>4703.0</v>
      </c>
      <c r="F14" s="20">
        <v>0.0</v>
      </c>
      <c r="G14" s="20">
        <v>0.0</v>
      </c>
      <c r="H14" s="21">
        <v>0.0</v>
      </c>
      <c r="I14" s="20">
        <v>0.0</v>
      </c>
      <c r="J14" s="20">
        <v>210.0</v>
      </c>
      <c r="K14" s="20">
        <f t="shared" si="1"/>
        <v>210</v>
      </c>
      <c r="L14" s="20">
        <v>4493.0</v>
      </c>
      <c r="M14" s="20">
        <v>4493.0</v>
      </c>
      <c r="N14" s="22">
        <v>26.0</v>
      </c>
      <c r="O14" s="20">
        <f t="shared" si="4"/>
        <v>556.2761905</v>
      </c>
      <c r="P14" s="39">
        <v>21.395238095238096</v>
      </c>
      <c r="Q14" s="20">
        <v>330.0</v>
      </c>
      <c r="R14" s="20">
        <v>0.0</v>
      </c>
      <c r="S14" s="20">
        <v>0.0</v>
      </c>
      <c r="T14" s="2"/>
      <c r="U14" s="2">
        <v>139965.0</v>
      </c>
      <c r="V14" s="40">
        <f t="shared" si="2"/>
        <v>29392650</v>
      </c>
      <c r="W14" s="40">
        <f t="shared" si="3"/>
        <v>628862745</v>
      </c>
      <c r="X14" s="2"/>
      <c r="Y14" s="2"/>
      <c r="Z14" s="2"/>
    </row>
    <row r="15" ht="12.75" customHeight="1">
      <c r="A15" s="2"/>
      <c r="B15" s="8" t="s">
        <v>34</v>
      </c>
      <c r="C15" s="8" t="s">
        <v>27</v>
      </c>
      <c r="D15" s="8">
        <v>14.0</v>
      </c>
      <c r="E15" s="20">
        <v>108.0</v>
      </c>
      <c r="F15" s="20">
        <v>0.0</v>
      </c>
      <c r="G15" s="20">
        <v>0.0</v>
      </c>
      <c r="H15" s="21">
        <v>0.0</v>
      </c>
      <c r="I15" s="20">
        <v>0.0</v>
      </c>
      <c r="J15" s="20">
        <v>63.0</v>
      </c>
      <c r="K15" s="20">
        <f t="shared" si="1"/>
        <v>63</v>
      </c>
      <c r="L15" s="20">
        <v>45.0</v>
      </c>
      <c r="M15" s="20">
        <v>72.0</v>
      </c>
      <c r="N15" s="22">
        <v>26.0</v>
      </c>
      <c r="O15" s="20">
        <f t="shared" si="4"/>
        <v>29.71428571</v>
      </c>
      <c r="P15" s="39">
        <v>0.7142857142857143</v>
      </c>
      <c r="Q15" s="20">
        <v>0.0</v>
      </c>
      <c r="R15" s="20">
        <v>0.0</v>
      </c>
      <c r="S15" s="20">
        <v>0.0</v>
      </c>
      <c r="T15" s="2"/>
      <c r="U15" s="2">
        <v>3438210.0</v>
      </c>
      <c r="V15" s="40">
        <f t="shared" si="2"/>
        <v>216607230</v>
      </c>
      <c r="W15" s="40">
        <f t="shared" si="3"/>
        <v>247551120</v>
      </c>
      <c r="X15" s="2"/>
      <c r="Y15" s="2"/>
      <c r="Z15" s="2"/>
    </row>
    <row r="16" ht="12.75" customHeight="1">
      <c r="A16" s="2"/>
      <c r="B16" s="8" t="s">
        <v>35</v>
      </c>
      <c r="C16" s="8" t="s">
        <v>27</v>
      </c>
      <c r="D16" s="8">
        <v>14.0</v>
      </c>
      <c r="E16" s="20">
        <v>787.0</v>
      </c>
      <c r="F16" s="20">
        <v>1045.0</v>
      </c>
      <c r="G16" s="20">
        <v>0.0</v>
      </c>
      <c r="H16" s="21">
        <v>0.0</v>
      </c>
      <c r="I16" s="20">
        <v>0.0</v>
      </c>
      <c r="J16" s="20">
        <v>1269.0</v>
      </c>
      <c r="K16" s="20">
        <f t="shared" si="1"/>
        <v>1269</v>
      </c>
      <c r="L16" s="20">
        <v>563.0</v>
      </c>
      <c r="M16" s="20">
        <v>856.1111111111111</v>
      </c>
      <c r="N16" s="22">
        <v>26.0</v>
      </c>
      <c r="O16" s="20">
        <f t="shared" si="4"/>
        <v>17.54049558</v>
      </c>
      <c r="P16" s="39">
        <v>0.4436564223798266</v>
      </c>
      <c r="Q16" s="20">
        <v>0.0</v>
      </c>
      <c r="R16" s="20">
        <v>450.0</v>
      </c>
      <c r="S16" s="20">
        <v>0.0</v>
      </c>
      <c r="T16" s="2"/>
      <c r="U16" s="2">
        <v>165230.0</v>
      </c>
      <c r="V16" s="40">
        <f t="shared" si="2"/>
        <v>209676870</v>
      </c>
      <c r="W16" s="40">
        <f t="shared" si="3"/>
        <v>141455238.9</v>
      </c>
      <c r="X16" s="2"/>
      <c r="Y16" s="2"/>
      <c r="Z16" s="2"/>
    </row>
    <row r="17" ht="12.75" customHeight="1">
      <c r="A17" s="2"/>
      <c r="B17" s="8" t="s">
        <v>36</v>
      </c>
      <c r="C17" s="8" t="s">
        <v>27</v>
      </c>
      <c r="D17" s="8">
        <v>14.0</v>
      </c>
      <c r="E17" s="20">
        <v>270.0</v>
      </c>
      <c r="F17" s="20">
        <v>30.0</v>
      </c>
      <c r="G17" s="20">
        <v>0.0</v>
      </c>
      <c r="H17" s="21">
        <v>0.0</v>
      </c>
      <c r="I17" s="20">
        <v>26.0</v>
      </c>
      <c r="J17" s="20">
        <v>0.0</v>
      </c>
      <c r="K17" s="20">
        <f t="shared" si="1"/>
        <v>26</v>
      </c>
      <c r="L17" s="20">
        <v>274.0</v>
      </c>
      <c r="M17" s="20">
        <v>256.285714285714</v>
      </c>
      <c r="N17" s="22">
        <v>26.0</v>
      </c>
      <c r="O17" s="20">
        <f t="shared" si="4"/>
        <v>256.2857143</v>
      </c>
      <c r="P17" s="39">
        <v>10.538461538461538</v>
      </c>
      <c r="Q17" s="20">
        <v>2.0</v>
      </c>
      <c r="R17" s="20">
        <v>0.0</v>
      </c>
      <c r="S17" s="20">
        <v>0.0</v>
      </c>
      <c r="T17" s="2"/>
      <c r="U17" s="2">
        <v>1516675.0</v>
      </c>
      <c r="V17" s="40">
        <f t="shared" si="2"/>
        <v>39433550</v>
      </c>
      <c r="W17" s="40">
        <f t="shared" si="3"/>
        <v>388702135.7</v>
      </c>
      <c r="X17" s="2"/>
      <c r="Y17" s="2"/>
      <c r="Z17" s="2"/>
    </row>
    <row r="18" ht="12.75" customHeight="1">
      <c r="A18" s="2"/>
      <c r="B18" s="43" t="s">
        <v>123</v>
      </c>
      <c r="C18" s="8" t="s">
        <v>27</v>
      </c>
      <c r="D18" s="8">
        <v>14.0</v>
      </c>
      <c r="E18" s="20">
        <v>10.0</v>
      </c>
      <c r="F18" s="20">
        <v>0.0</v>
      </c>
      <c r="G18" s="20">
        <v>0.0</v>
      </c>
      <c r="H18" s="21">
        <v>0.0</v>
      </c>
      <c r="I18" s="20">
        <v>4.0</v>
      </c>
      <c r="J18" s="20">
        <v>0.0</v>
      </c>
      <c r="K18" s="20">
        <f t="shared" si="1"/>
        <v>4</v>
      </c>
      <c r="L18" s="20">
        <v>6.0</v>
      </c>
      <c r="M18" s="20">
        <v>7.0</v>
      </c>
      <c r="N18" s="22">
        <v>26.0</v>
      </c>
      <c r="O18" s="20">
        <f t="shared" si="4"/>
        <v>45.5</v>
      </c>
      <c r="P18" s="39">
        <v>1.5</v>
      </c>
      <c r="Q18" s="20">
        <v>0.0</v>
      </c>
      <c r="R18" s="20">
        <v>15.0</v>
      </c>
      <c r="S18" s="20">
        <v>0.0</v>
      </c>
      <c r="T18" s="2"/>
      <c r="U18" s="2">
        <v>1516675.0</v>
      </c>
      <c r="V18" s="40">
        <f t="shared" si="2"/>
        <v>6066700</v>
      </c>
      <c r="W18" s="40">
        <f t="shared" si="3"/>
        <v>10616725</v>
      </c>
      <c r="X18" s="2"/>
      <c r="Y18" s="2"/>
      <c r="Z18" s="2"/>
    </row>
    <row r="19" ht="12.75" customHeight="1">
      <c r="A19" s="2"/>
      <c r="B19" s="8" t="s">
        <v>37</v>
      </c>
      <c r="C19" s="8" t="s">
        <v>27</v>
      </c>
      <c r="D19" s="8">
        <v>14.0</v>
      </c>
      <c r="E19" s="20">
        <v>59.0</v>
      </c>
      <c r="F19" s="20">
        <v>0.0</v>
      </c>
      <c r="G19" s="20">
        <v>0.0</v>
      </c>
      <c r="H19" s="21">
        <v>0.0</v>
      </c>
      <c r="I19" s="20">
        <v>2.0</v>
      </c>
      <c r="J19" s="20">
        <v>0.0</v>
      </c>
      <c r="K19" s="20">
        <f t="shared" si="1"/>
        <v>2</v>
      </c>
      <c r="L19" s="20">
        <v>57.0</v>
      </c>
      <c r="M19" s="20">
        <v>57.0</v>
      </c>
      <c r="N19" s="22">
        <v>26.0</v>
      </c>
      <c r="O19" s="20">
        <f t="shared" si="4"/>
        <v>741</v>
      </c>
      <c r="P19" s="39">
        <v>28.5</v>
      </c>
      <c r="Q19" s="20">
        <v>0.0</v>
      </c>
      <c r="R19" s="20">
        <v>0.0</v>
      </c>
      <c r="S19" s="20">
        <v>0.0</v>
      </c>
      <c r="T19" s="2"/>
      <c r="U19" s="2">
        <v>1516675.0</v>
      </c>
      <c r="V19" s="40">
        <f t="shared" si="2"/>
        <v>3033350</v>
      </c>
      <c r="W19" s="40">
        <f t="shared" si="3"/>
        <v>86450475</v>
      </c>
      <c r="X19" s="2"/>
      <c r="Y19" s="2"/>
      <c r="Z19" s="2"/>
    </row>
    <row r="20" ht="12.75" customHeight="1">
      <c r="A20" s="2"/>
      <c r="B20" s="8" t="s">
        <v>38</v>
      </c>
      <c r="C20" s="8" t="s">
        <v>27</v>
      </c>
      <c r="D20" s="8">
        <v>14.0</v>
      </c>
      <c r="E20" s="20">
        <v>19.0</v>
      </c>
      <c r="F20" s="20">
        <v>0.0</v>
      </c>
      <c r="G20" s="20">
        <v>0.0</v>
      </c>
      <c r="H20" s="21">
        <v>0.0</v>
      </c>
      <c r="I20" s="20">
        <v>10.0</v>
      </c>
      <c r="J20" s="20">
        <v>0.0</v>
      </c>
      <c r="K20" s="20">
        <f t="shared" si="1"/>
        <v>10</v>
      </c>
      <c r="L20" s="20">
        <v>9.0</v>
      </c>
      <c r="M20" s="20">
        <v>13.5</v>
      </c>
      <c r="N20" s="22">
        <v>26.0</v>
      </c>
      <c r="O20" s="20">
        <f t="shared" si="4"/>
        <v>35.1</v>
      </c>
      <c r="P20" s="39">
        <v>0.9</v>
      </c>
      <c r="Q20" s="20">
        <v>0.0</v>
      </c>
      <c r="R20" s="20">
        <v>0.0</v>
      </c>
      <c r="S20" s="20">
        <v>0.0</v>
      </c>
      <c r="T20" s="2"/>
      <c r="U20" s="2">
        <v>1516675.0</v>
      </c>
      <c r="V20" s="40">
        <f t="shared" si="2"/>
        <v>15166750</v>
      </c>
      <c r="W20" s="40">
        <f t="shared" si="3"/>
        <v>20475112.5</v>
      </c>
      <c r="X20" s="2"/>
      <c r="Y20" s="2"/>
      <c r="Z20" s="2"/>
    </row>
    <row r="21" ht="12.75" customHeight="1">
      <c r="A21" s="2"/>
      <c r="B21" s="8" t="s">
        <v>39</v>
      </c>
      <c r="C21" s="8" t="s">
        <v>27</v>
      </c>
      <c r="D21" s="8">
        <v>14.0</v>
      </c>
      <c r="E21" s="20">
        <v>61.0</v>
      </c>
      <c r="F21" s="20">
        <v>0.0</v>
      </c>
      <c r="G21" s="20">
        <v>0.0</v>
      </c>
      <c r="H21" s="21">
        <v>0.0</v>
      </c>
      <c r="I21" s="20">
        <v>12.0</v>
      </c>
      <c r="J21" s="20">
        <v>0.0</v>
      </c>
      <c r="K21" s="20">
        <f t="shared" si="1"/>
        <v>12</v>
      </c>
      <c r="L21" s="20">
        <v>49.0</v>
      </c>
      <c r="M21" s="20">
        <v>52.0</v>
      </c>
      <c r="N21" s="22">
        <v>26.0</v>
      </c>
      <c r="O21" s="20">
        <f t="shared" si="4"/>
        <v>112.6666667</v>
      </c>
      <c r="P21" s="39">
        <v>4.083333333333333</v>
      </c>
      <c r="Q21" s="20">
        <v>0.0</v>
      </c>
      <c r="R21" s="20">
        <v>0.0</v>
      </c>
      <c r="S21" s="20">
        <v>0.0</v>
      </c>
      <c r="T21" s="2"/>
      <c r="U21" s="2">
        <v>1516675.0</v>
      </c>
      <c r="V21" s="40">
        <f t="shared" si="2"/>
        <v>18200100</v>
      </c>
      <c r="W21" s="40">
        <f t="shared" si="3"/>
        <v>78867100</v>
      </c>
      <c r="X21" s="2"/>
      <c r="Y21" s="2"/>
      <c r="Z21" s="2"/>
    </row>
    <row r="22" ht="12.75" customHeight="1">
      <c r="A22" s="2"/>
      <c r="B22" s="8" t="s">
        <v>40</v>
      </c>
      <c r="C22" s="8" t="s">
        <v>27</v>
      </c>
      <c r="D22" s="8">
        <v>14.0</v>
      </c>
      <c r="E22" s="20">
        <v>59.0</v>
      </c>
      <c r="F22" s="20">
        <v>0.0</v>
      </c>
      <c r="G22" s="20">
        <v>0.0</v>
      </c>
      <c r="H22" s="21">
        <v>0.0</v>
      </c>
      <c r="I22" s="20">
        <v>39.0</v>
      </c>
      <c r="J22" s="20">
        <v>0.0</v>
      </c>
      <c r="K22" s="20">
        <f t="shared" si="1"/>
        <v>39</v>
      </c>
      <c r="L22" s="20">
        <v>20.0</v>
      </c>
      <c r="M22" s="20">
        <v>35.3333333333333</v>
      </c>
      <c r="N22" s="22">
        <v>26.0</v>
      </c>
      <c r="O22" s="20">
        <f t="shared" si="4"/>
        <v>23.55555556</v>
      </c>
      <c r="P22" s="39">
        <v>0.5128205128205128</v>
      </c>
      <c r="Q22" s="20">
        <v>0.0</v>
      </c>
      <c r="R22" s="20">
        <v>0.0</v>
      </c>
      <c r="S22" s="20">
        <v>0.0</v>
      </c>
      <c r="T22" s="2"/>
      <c r="U22" s="2">
        <v>1516675.0</v>
      </c>
      <c r="V22" s="40">
        <f t="shared" si="2"/>
        <v>59150325</v>
      </c>
      <c r="W22" s="40">
        <f t="shared" si="3"/>
        <v>53589183.33</v>
      </c>
      <c r="X22" s="2"/>
      <c r="Y22" s="2"/>
      <c r="Z22" s="2"/>
    </row>
    <row r="23" ht="12.75" customHeight="1">
      <c r="A23" s="2"/>
      <c r="B23" s="8" t="s">
        <v>41</v>
      </c>
      <c r="C23" s="8" t="s">
        <v>27</v>
      </c>
      <c r="D23" s="8">
        <v>14.0</v>
      </c>
      <c r="E23" s="20">
        <v>59.0</v>
      </c>
      <c r="F23" s="20">
        <v>0.0</v>
      </c>
      <c r="G23" s="20">
        <v>0.0</v>
      </c>
      <c r="H23" s="21">
        <v>0.0</v>
      </c>
      <c r="I23" s="20">
        <v>4.0</v>
      </c>
      <c r="J23" s="20">
        <v>0.0</v>
      </c>
      <c r="K23" s="20">
        <f t="shared" si="1"/>
        <v>4</v>
      </c>
      <c r="L23" s="20">
        <v>55.0</v>
      </c>
      <c r="M23" s="20">
        <v>56.0</v>
      </c>
      <c r="N23" s="22">
        <v>26.0</v>
      </c>
      <c r="O23" s="20">
        <f t="shared" si="4"/>
        <v>364</v>
      </c>
      <c r="P23" s="39">
        <v>13.75</v>
      </c>
      <c r="Q23" s="20">
        <v>0.0</v>
      </c>
      <c r="R23" s="20">
        <v>0.0</v>
      </c>
      <c r="S23" s="20">
        <v>0.0</v>
      </c>
      <c r="T23" s="2"/>
      <c r="U23" s="2">
        <v>1516675.0</v>
      </c>
      <c r="V23" s="40">
        <f t="shared" si="2"/>
        <v>6066700</v>
      </c>
      <c r="W23" s="40">
        <f t="shared" si="3"/>
        <v>84933800</v>
      </c>
      <c r="X23" s="2"/>
      <c r="Y23" s="2"/>
      <c r="Z23" s="2"/>
    </row>
    <row r="24" ht="12.75" customHeight="1">
      <c r="A24" s="2"/>
      <c r="B24" s="8" t="s">
        <v>42</v>
      </c>
      <c r="C24" s="8" t="s">
        <v>27</v>
      </c>
      <c r="D24" s="8">
        <v>14.0</v>
      </c>
      <c r="E24" s="20">
        <v>144.0</v>
      </c>
      <c r="F24" s="20">
        <v>187.0</v>
      </c>
      <c r="G24" s="20">
        <v>0.0</v>
      </c>
      <c r="H24" s="21">
        <v>0.0</v>
      </c>
      <c r="I24" s="20">
        <v>281.0</v>
      </c>
      <c r="J24" s="20">
        <v>0.0</v>
      </c>
      <c r="K24" s="20">
        <f t="shared" si="1"/>
        <v>281</v>
      </c>
      <c r="L24" s="20">
        <v>50.0</v>
      </c>
      <c r="M24" s="20">
        <v>90.0833333333333</v>
      </c>
      <c r="N24" s="22">
        <v>26.0</v>
      </c>
      <c r="O24" s="20">
        <f t="shared" si="4"/>
        <v>8.335112693</v>
      </c>
      <c r="P24" s="39">
        <v>0.17793594306049823</v>
      </c>
      <c r="Q24" s="20">
        <v>0.0</v>
      </c>
      <c r="R24" s="20">
        <v>214.0</v>
      </c>
      <c r="S24" s="20">
        <v>0.0</v>
      </c>
      <c r="T24" s="2"/>
      <c r="U24" s="2">
        <v>1345865.0</v>
      </c>
      <c r="V24" s="40">
        <f t="shared" si="2"/>
        <v>378188065</v>
      </c>
      <c r="W24" s="40">
        <f t="shared" si="3"/>
        <v>121240005.4</v>
      </c>
      <c r="X24" s="2"/>
      <c r="Y24" s="2"/>
      <c r="Z24" s="2"/>
    </row>
    <row r="25" ht="12.75" customHeight="1">
      <c r="A25" s="2"/>
      <c r="B25" s="8" t="s">
        <v>43</v>
      </c>
      <c r="C25" s="8" t="s">
        <v>27</v>
      </c>
      <c r="D25" s="8">
        <v>14.0</v>
      </c>
      <c r="E25" s="20">
        <v>4.0</v>
      </c>
      <c r="F25" s="20">
        <v>0.0</v>
      </c>
      <c r="G25" s="20">
        <v>0.0</v>
      </c>
      <c r="H25" s="21">
        <v>0.0</v>
      </c>
      <c r="I25" s="20">
        <v>4.0</v>
      </c>
      <c r="J25" s="20">
        <v>0.0</v>
      </c>
      <c r="K25" s="20">
        <f t="shared" si="1"/>
        <v>4</v>
      </c>
      <c r="L25" s="20">
        <v>0.0</v>
      </c>
      <c r="M25" s="20">
        <v>1.0</v>
      </c>
      <c r="N25" s="22">
        <v>26.0</v>
      </c>
      <c r="O25" s="20">
        <f t="shared" si="4"/>
        <v>6.5</v>
      </c>
      <c r="P25" s="39">
        <v>0.0</v>
      </c>
      <c r="Q25" s="20">
        <v>0.0</v>
      </c>
      <c r="R25" s="20">
        <v>0.0</v>
      </c>
      <c r="S25" s="20">
        <v>0.0</v>
      </c>
      <c r="T25" s="2"/>
      <c r="U25" s="2">
        <v>1326180.0</v>
      </c>
      <c r="V25" s="40">
        <f t="shared" si="2"/>
        <v>5304720</v>
      </c>
      <c r="W25" s="40">
        <f t="shared" si="3"/>
        <v>1326180</v>
      </c>
      <c r="X25" s="2"/>
      <c r="Y25" s="2"/>
      <c r="Z25" s="2"/>
    </row>
    <row r="26" ht="12.75" customHeight="1">
      <c r="A26" s="2"/>
      <c r="B26" s="43" t="s">
        <v>124</v>
      </c>
      <c r="C26" s="8" t="s">
        <v>27</v>
      </c>
      <c r="D26" s="8">
        <v>14.0</v>
      </c>
      <c r="E26" s="20">
        <v>92.0</v>
      </c>
      <c r="F26" s="20">
        <v>0.0</v>
      </c>
      <c r="G26" s="20">
        <v>0.0</v>
      </c>
      <c r="H26" s="21">
        <v>0.0</v>
      </c>
      <c r="I26" s="20">
        <v>8.0</v>
      </c>
      <c r="J26" s="20">
        <v>0.0</v>
      </c>
      <c r="K26" s="20">
        <f t="shared" si="1"/>
        <v>8</v>
      </c>
      <c r="L26" s="20">
        <v>84.0</v>
      </c>
      <c r="M26" s="20">
        <v>86.0</v>
      </c>
      <c r="N26" s="22">
        <v>26.0</v>
      </c>
      <c r="O26" s="20">
        <f t="shared" si="4"/>
        <v>279.5</v>
      </c>
      <c r="P26" s="39">
        <v>10.5</v>
      </c>
      <c r="Q26" s="20">
        <v>0.0</v>
      </c>
      <c r="R26" s="20">
        <v>0.0</v>
      </c>
      <c r="S26" s="20">
        <v>0.0</v>
      </c>
      <c r="T26" s="2"/>
      <c r="U26" s="2">
        <v>1326180.0</v>
      </c>
      <c r="V26" s="40">
        <f t="shared" si="2"/>
        <v>10609440</v>
      </c>
      <c r="W26" s="40">
        <f t="shared" si="3"/>
        <v>114051480</v>
      </c>
      <c r="X26" s="2"/>
      <c r="Y26" s="2"/>
      <c r="Z26" s="2"/>
    </row>
    <row r="27" ht="12.75" customHeight="1">
      <c r="A27" s="2"/>
      <c r="B27" s="8" t="s">
        <v>44</v>
      </c>
      <c r="C27" s="8" t="s">
        <v>27</v>
      </c>
      <c r="D27" s="8">
        <v>14.0</v>
      </c>
      <c r="E27" s="20">
        <v>69.0</v>
      </c>
      <c r="F27" s="20">
        <v>126.0</v>
      </c>
      <c r="G27" s="20">
        <v>0.0</v>
      </c>
      <c r="H27" s="21">
        <v>0.0</v>
      </c>
      <c r="I27" s="20">
        <v>83.0</v>
      </c>
      <c r="J27" s="20">
        <v>0.0</v>
      </c>
      <c r="K27" s="20">
        <f t="shared" si="1"/>
        <v>83</v>
      </c>
      <c r="L27" s="20">
        <v>112.0</v>
      </c>
      <c r="M27" s="20">
        <v>94.25</v>
      </c>
      <c r="N27" s="22">
        <v>26.0</v>
      </c>
      <c r="O27" s="20">
        <f t="shared" si="4"/>
        <v>29.52409639</v>
      </c>
      <c r="P27" s="39">
        <v>1.3493975903614457</v>
      </c>
      <c r="Q27" s="20">
        <v>0.0</v>
      </c>
      <c r="R27" s="20">
        <v>3.0</v>
      </c>
      <c r="S27" s="20">
        <v>0.0</v>
      </c>
      <c r="T27" s="2"/>
      <c r="U27" s="2">
        <v>542345.0</v>
      </c>
      <c r="V27" s="40">
        <f t="shared" si="2"/>
        <v>45014635</v>
      </c>
      <c r="W27" s="40">
        <f t="shared" si="3"/>
        <v>51116016.25</v>
      </c>
      <c r="X27" s="2"/>
      <c r="Y27" s="2"/>
      <c r="Z27" s="2"/>
    </row>
    <row r="28" ht="12.75" customHeight="1">
      <c r="A28" s="2"/>
      <c r="B28" s="8" t="s">
        <v>45</v>
      </c>
      <c r="C28" s="8" t="s">
        <v>27</v>
      </c>
      <c r="D28" s="8">
        <v>14.0</v>
      </c>
      <c r="E28" s="20">
        <v>855.0</v>
      </c>
      <c r="F28" s="20">
        <v>1607.0</v>
      </c>
      <c r="G28" s="20">
        <v>0.0</v>
      </c>
      <c r="H28" s="21">
        <v>0.0</v>
      </c>
      <c r="I28" s="20">
        <v>0.0</v>
      </c>
      <c r="J28" s="20">
        <v>1436.0</v>
      </c>
      <c r="K28" s="20">
        <f t="shared" si="1"/>
        <v>1436</v>
      </c>
      <c r="L28" s="20">
        <v>1026.0</v>
      </c>
      <c r="M28" s="20">
        <v>1366.08695652174</v>
      </c>
      <c r="N28" s="22">
        <v>26.0</v>
      </c>
      <c r="O28" s="20">
        <f t="shared" si="4"/>
        <v>24.73416495</v>
      </c>
      <c r="P28" s="39">
        <v>0.7144846796657381</v>
      </c>
      <c r="Q28" s="20">
        <v>250.0</v>
      </c>
      <c r="R28" s="20">
        <v>150.0</v>
      </c>
      <c r="S28" s="20">
        <v>0.0</v>
      </c>
      <c r="T28" s="2"/>
      <c r="U28" s="2">
        <v>1054620.0</v>
      </c>
      <c r="V28" s="40">
        <f t="shared" si="2"/>
        <v>1514434320</v>
      </c>
      <c r="W28" s="40">
        <f t="shared" si="3"/>
        <v>1440702626</v>
      </c>
      <c r="X28" s="2"/>
      <c r="Y28" s="2"/>
      <c r="Z28" s="2"/>
    </row>
    <row r="29" ht="12.75" customHeight="1">
      <c r="A29" s="2"/>
      <c r="B29" s="8" t="s">
        <v>46</v>
      </c>
      <c r="C29" s="8" t="s">
        <v>27</v>
      </c>
      <c r="D29" s="8">
        <v>14.0</v>
      </c>
      <c r="E29" s="20">
        <v>411.0</v>
      </c>
      <c r="F29" s="20">
        <v>0.0</v>
      </c>
      <c r="G29" s="20">
        <v>0.0</v>
      </c>
      <c r="H29" s="21">
        <v>0.0</v>
      </c>
      <c r="I29" s="20">
        <v>378.0</v>
      </c>
      <c r="J29" s="20">
        <v>0.0</v>
      </c>
      <c r="K29" s="20">
        <f t="shared" si="1"/>
        <v>378</v>
      </c>
      <c r="L29" s="20">
        <v>33.0</v>
      </c>
      <c r="M29" s="20">
        <v>173.4</v>
      </c>
      <c r="N29" s="22">
        <v>26.0</v>
      </c>
      <c r="O29" s="20">
        <f t="shared" si="4"/>
        <v>11.92698413</v>
      </c>
      <c r="P29" s="39">
        <v>0.0873015873015873</v>
      </c>
      <c r="Q29" s="20">
        <v>0.0</v>
      </c>
      <c r="R29" s="20">
        <v>131.0</v>
      </c>
      <c r="S29" s="20">
        <v>0.0</v>
      </c>
      <c r="T29" s="2"/>
      <c r="U29" s="2">
        <v>848935.0</v>
      </c>
      <c r="V29" s="40">
        <f t="shared" si="2"/>
        <v>320897430</v>
      </c>
      <c r="W29" s="40">
        <f t="shared" si="3"/>
        <v>147205329</v>
      </c>
      <c r="X29" s="2"/>
      <c r="Y29" s="2"/>
      <c r="Z29" s="2"/>
    </row>
    <row r="30" ht="12.75" customHeight="1">
      <c r="A30" s="2"/>
      <c r="B30" s="43" t="s">
        <v>125</v>
      </c>
      <c r="C30" s="8" t="s">
        <v>27</v>
      </c>
      <c r="D30" s="8">
        <v>14.0</v>
      </c>
      <c r="E30" s="20">
        <v>306.0</v>
      </c>
      <c r="F30" s="20">
        <v>102.0</v>
      </c>
      <c r="G30" s="20">
        <v>0.0</v>
      </c>
      <c r="H30" s="21">
        <v>0.0</v>
      </c>
      <c r="I30" s="20">
        <v>318.0</v>
      </c>
      <c r="J30" s="20">
        <v>0.0</v>
      </c>
      <c r="K30" s="20">
        <f t="shared" si="1"/>
        <v>318</v>
      </c>
      <c r="L30" s="20">
        <v>90.0</v>
      </c>
      <c r="M30" s="20">
        <v>235.5</v>
      </c>
      <c r="N30" s="22">
        <v>26.0</v>
      </c>
      <c r="O30" s="20">
        <f t="shared" si="4"/>
        <v>19.25471698</v>
      </c>
      <c r="P30" s="39">
        <v>0.2830188679245283</v>
      </c>
      <c r="Q30" s="20">
        <v>0.0</v>
      </c>
      <c r="R30" s="20">
        <v>193.0</v>
      </c>
      <c r="S30" s="20">
        <v>0.0</v>
      </c>
      <c r="T30" s="2"/>
      <c r="U30" s="2">
        <v>848935.0</v>
      </c>
      <c r="V30" s="40">
        <f t="shared" si="2"/>
        <v>269961330</v>
      </c>
      <c r="W30" s="40">
        <f t="shared" si="3"/>
        <v>199924192.5</v>
      </c>
      <c r="X30" s="2"/>
      <c r="Y30" s="2"/>
      <c r="Z30" s="2"/>
    </row>
    <row r="31" ht="12.75" customHeight="1">
      <c r="A31" s="2"/>
      <c r="B31" s="43" t="s">
        <v>126</v>
      </c>
      <c r="C31" s="8" t="s">
        <v>27</v>
      </c>
      <c r="D31" s="8">
        <v>14.0</v>
      </c>
      <c r="E31" s="20">
        <v>105.0</v>
      </c>
      <c r="F31" s="20">
        <v>97.0</v>
      </c>
      <c r="G31" s="20">
        <v>0.0</v>
      </c>
      <c r="H31" s="21">
        <v>0.0</v>
      </c>
      <c r="I31" s="20">
        <v>0.0</v>
      </c>
      <c r="J31" s="20">
        <v>54.0</v>
      </c>
      <c r="K31" s="20">
        <f t="shared" si="1"/>
        <v>54</v>
      </c>
      <c r="L31" s="20">
        <v>148.0</v>
      </c>
      <c r="M31" s="20">
        <v>166.0</v>
      </c>
      <c r="N31" s="22">
        <v>26.0</v>
      </c>
      <c r="O31" s="20">
        <f t="shared" si="4"/>
        <v>79.92592593</v>
      </c>
      <c r="P31" s="39">
        <v>2.740740740740741</v>
      </c>
      <c r="Q31" s="20">
        <v>0.0</v>
      </c>
      <c r="R31" s="20">
        <v>0.0</v>
      </c>
      <c r="S31" s="20">
        <v>0.0</v>
      </c>
      <c r="T31" s="2"/>
      <c r="U31" s="2">
        <v>819485.0</v>
      </c>
      <c r="V31" s="40">
        <f t="shared" si="2"/>
        <v>44252190</v>
      </c>
      <c r="W31" s="40">
        <f t="shared" si="3"/>
        <v>136034510</v>
      </c>
      <c r="X31" s="2"/>
      <c r="Y31" s="2"/>
      <c r="Z31" s="2"/>
    </row>
    <row r="32" ht="12.75" customHeight="1">
      <c r="A32" s="2"/>
      <c r="B32" s="8" t="s">
        <v>48</v>
      </c>
      <c r="C32" s="8" t="s">
        <v>27</v>
      </c>
      <c r="D32" s="8">
        <v>14.0</v>
      </c>
      <c r="E32" s="20">
        <v>549.0</v>
      </c>
      <c r="F32" s="20">
        <v>1013.0</v>
      </c>
      <c r="G32" s="20">
        <v>0.0</v>
      </c>
      <c r="H32" s="21">
        <v>0.0</v>
      </c>
      <c r="I32" s="20">
        <v>0.0</v>
      </c>
      <c r="J32" s="20">
        <v>1013.0</v>
      </c>
      <c r="K32" s="20">
        <f t="shared" si="1"/>
        <v>1013</v>
      </c>
      <c r="L32" s="20">
        <v>549.0</v>
      </c>
      <c r="M32" s="20">
        <v>739.2</v>
      </c>
      <c r="N32" s="22">
        <v>26.0</v>
      </c>
      <c r="O32" s="20">
        <f t="shared" si="4"/>
        <v>18.97255676</v>
      </c>
      <c r="P32" s="39">
        <v>0.5419545903257651</v>
      </c>
      <c r="Q32" s="20">
        <v>0.0</v>
      </c>
      <c r="R32" s="20">
        <v>300.0</v>
      </c>
      <c r="S32" s="20">
        <v>0.0</v>
      </c>
      <c r="T32" s="2"/>
      <c r="U32" s="2">
        <v>819485.0</v>
      </c>
      <c r="V32" s="40">
        <f t="shared" si="2"/>
        <v>830138305</v>
      </c>
      <c r="W32" s="40">
        <f t="shared" si="3"/>
        <v>605763312</v>
      </c>
      <c r="X32" s="2"/>
      <c r="Y32" s="2"/>
      <c r="Z32" s="2"/>
    </row>
    <row r="33" ht="12.75" customHeight="1">
      <c r="A33" s="2"/>
      <c r="B33" s="43" t="s">
        <v>127</v>
      </c>
      <c r="C33" s="8" t="s">
        <v>27</v>
      </c>
      <c r="D33" s="8">
        <v>14.0</v>
      </c>
      <c r="E33" s="20">
        <v>76.0</v>
      </c>
      <c r="F33" s="20">
        <v>0.0</v>
      </c>
      <c r="G33" s="20">
        <v>0.0</v>
      </c>
      <c r="H33" s="21">
        <v>0.0</v>
      </c>
      <c r="I33" s="20">
        <v>0.0</v>
      </c>
      <c r="J33" s="20">
        <v>0.0</v>
      </c>
      <c r="K33" s="20">
        <f t="shared" si="1"/>
        <v>0</v>
      </c>
      <c r="L33" s="20">
        <v>76.0</v>
      </c>
      <c r="M33" s="20">
        <v>0.0</v>
      </c>
      <c r="N33" s="22">
        <v>26.0</v>
      </c>
      <c r="O33" s="20">
        <v>0.0</v>
      </c>
      <c r="P33" s="39">
        <v>0.0</v>
      </c>
      <c r="Q33" s="20">
        <v>0.0</v>
      </c>
      <c r="R33" s="20">
        <v>0.0</v>
      </c>
      <c r="S33" s="20">
        <v>0.0</v>
      </c>
      <c r="T33" s="2"/>
      <c r="U33" s="2">
        <v>1272550.0</v>
      </c>
      <c r="V33" s="40">
        <f t="shared" si="2"/>
        <v>0</v>
      </c>
      <c r="W33" s="40">
        <f t="shared" si="3"/>
        <v>0</v>
      </c>
      <c r="X33" s="2"/>
      <c r="Y33" s="2"/>
      <c r="Z33" s="2"/>
    </row>
    <row r="34" ht="12.75" customHeight="1">
      <c r="A34" s="2"/>
      <c r="B34" s="8" t="s">
        <v>49</v>
      </c>
      <c r="C34" s="8" t="s">
        <v>27</v>
      </c>
      <c r="D34" s="8">
        <v>14.0</v>
      </c>
      <c r="E34" s="20">
        <v>50.0</v>
      </c>
      <c r="F34" s="20">
        <v>100.0</v>
      </c>
      <c r="G34" s="20">
        <v>0.0</v>
      </c>
      <c r="H34" s="21">
        <v>0.0</v>
      </c>
      <c r="I34" s="20">
        <v>0.0</v>
      </c>
      <c r="J34" s="20">
        <v>65.0</v>
      </c>
      <c r="K34" s="20">
        <f t="shared" si="1"/>
        <v>65</v>
      </c>
      <c r="L34" s="20">
        <v>85.0</v>
      </c>
      <c r="M34" s="20">
        <v>88.3333333333333</v>
      </c>
      <c r="N34" s="22">
        <v>26.0</v>
      </c>
      <c r="O34" s="20">
        <f t="shared" ref="O34:O45" si="5">(M34/(I34+J34))*N34</f>
        <v>35.33333333</v>
      </c>
      <c r="P34" s="39">
        <v>1.3076923076923077</v>
      </c>
      <c r="Q34" s="20">
        <v>0.0</v>
      </c>
      <c r="R34" s="20">
        <v>100.0</v>
      </c>
      <c r="S34" s="20">
        <v>0.0</v>
      </c>
      <c r="T34" s="2"/>
      <c r="U34" s="2">
        <v>1272550.0</v>
      </c>
      <c r="V34" s="40">
        <f t="shared" si="2"/>
        <v>82715750</v>
      </c>
      <c r="W34" s="40">
        <f t="shared" si="3"/>
        <v>112408583.3</v>
      </c>
      <c r="X34" s="2"/>
      <c r="Y34" s="2"/>
      <c r="Z34" s="2"/>
    </row>
    <row r="35" ht="12.75" customHeight="1">
      <c r="A35" s="2"/>
      <c r="B35" s="8" t="s">
        <v>50</v>
      </c>
      <c r="C35" s="8" t="s">
        <v>27</v>
      </c>
      <c r="D35" s="8">
        <v>14.0</v>
      </c>
      <c r="E35" s="20">
        <v>219.0</v>
      </c>
      <c r="F35" s="20">
        <v>97.0</v>
      </c>
      <c r="G35" s="20">
        <v>0.0</v>
      </c>
      <c r="H35" s="21">
        <v>0.0</v>
      </c>
      <c r="I35" s="20">
        <v>0.0</v>
      </c>
      <c r="J35" s="20">
        <v>143.0</v>
      </c>
      <c r="K35" s="20">
        <f t="shared" si="1"/>
        <v>143</v>
      </c>
      <c r="L35" s="20">
        <v>173.0</v>
      </c>
      <c r="M35" s="20">
        <v>171.333333333333</v>
      </c>
      <c r="N35" s="22">
        <v>26.0</v>
      </c>
      <c r="O35" s="20">
        <f t="shared" si="5"/>
        <v>31.15151515</v>
      </c>
      <c r="P35" s="39">
        <v>1.2097902097902098</v>
      </c>
      <c r="Q35" s="20">
        <v>0.0</v>
      </c>
      <c r="R35" s="20">
        <v>3.0</v>
      </c>
      <c r="S35" s="20">
        <v>0.0</v>
      </c>
      <c r="T35" s="2"/>
      <c r="U35" s="2">
        <v>1272550.0</v>
      </c>
      <c r="V35" s="40">
        <f t="shared" si="2"/>
        <v>181974650</v>
      </c>
      <c r="W35" s="40">
        <f t="shared" si="3"/>
        <v>218030233.3</v>
      </c>
      <c r="X35" s="2"/>
      <c r="Y35" s="2"/>
      <c r="Z35" s="2"/>
    </row>
    <row r="36" ht="12.75" customHeight="1">
      <c r="A36" s="2"/>
      <c r="B36" s="8" t="s">
        <v>51</v>
      </c>
      <c r="C36" s="8" t="s">
        <v>27</v>
      </c>
      <c r="D36" s="8">
        <v>14.0</v>
      </c>
      <c r="E36" s="20">
        <v>393.0</v>
      </c>
      <c r="F36" s="20">
        <v>956.0</v>
      </c>
      <c r="G36" s="20">
        <v>0.0</v>
      </c>
      <c r="H36" s="21">
        <v>0.0</v>
      </c>
      <c r="I36" s="20">
        <v>0.0</v>
      </c>
      <c r="J36" s="20">
        <v>648.0</v>
      </c>
      <c r="K36" s="20">
        <f t="shared" si="1"/>
        <v>648</v>
      </c>
      <c r="L36" s="20">
        <v>701.0</v>
      </c>
      <c r="M36" s="20">
        <v>768.5</v>
      </c>
      <c r="N36" s="22">
        <v>26.0</v>
      </c>
      <c r="O36" s="20">
        <f t="shared" si="5"/>
        <v>30.83487654</v>
      </c>
      <c r="P36" s="39">
        <v>1.0817901234567902</v>
      </c>
      <c r="Q36" s="20">
        <v>0.0</v>
      </c>
      <c r="R36" s="20">
        <v>0.0</v>
      </c>
      <c r="S36" s="20">
        <v>0.0</v>
      </c>
      <c r="T36" s="2"/>
      <c r="U36" s="2">
        <v>819485.0</v>
      </c>
      <c r="V36" s="40">
        <f t="shared" si="2"/>
        <v>531026280</v>
      </c>
      <c r="W36" s="40">
        <f t="shared" si="3"/>
        <v>629774222.5</v>
      </c>
      <c r="X36" s="2"/>
      <c r="Y36" s="2"/>
      <c r="Z36" s="2"/>
    </row>
    <row r="37" ht="12.75" customHeight="1">
      <c r="A37" s="2"/>
      <c r="B37" s="8" t="s">
        <v>108</v>
      </c>
      <c r="C37" s="8" t="s">
        <v>27</v>
      </c>
      <c r="D37" s="8">
        <v>14.0</v>
      </c>
      <c r="E37" s="20">
        <v>162.0</v>
      </c>
      <c r="F37" s="20">
        <v>104.0</v>
      </c>
      <c r="G37" s="20">
        <v>0.0</v>
      </c>
      <c r="H37" s="21">
        <v>0.0</v>
      </c>
      <c r="I37" s="20">
        <v>0.0</v>
      </c>
      <c r="J37" s="20">
        <v>104.0</v>
      </c>
      <c r="K37" s="20">
        <f t="shared" si="1"/>
        <v>104</v>
      </c>
      <c r="L37" s="20">
        <v>162.0</v>
      </c>
      <c r="M37" s="20">
        <v>164.666666666667</v>
      </c>
      <c r="N37" s="22">
        <v>26.0</v>
      </c>
      <c r="O37" s="20">
        <f t="shared" si="5"/>
        <v>41.16666667</v>
      </c>
      <c r="P37" s="39">
        <v>1.5576923076923077</v>
      </c>
      <c r="Q37" s="20">
        <v>0.0</v>
      </c>
      <c r="R37" s="20">
        <v>0.0</v>
      </c>
      <c r="S37" s="20">
        <v>0.0</v>
      </c>
      <c r="T37" s="2"/>
      <c r="U37" s="2">
        <v>1445220.0</v>
      </c>
      <c r="V37" s="40">
        <f t="shared" si="2"/>
        <v>150302880</v>
      </c>
      <c r="W37" s="40">
        <f t="shared" si="3"/>
        <v>237979560</v>
      </c>
      <c r="X37" s="2"/>
      <c r="Y37" s="2"/>
      <c r="Z37" s="2"/>
    </row>
    <row r="38" ht="12.75" customHeight="1">
      <c r="A38" s="2"/>
      <c r="B38" s="8" t="s">
        <v>53</v>
      </c>
      <c r="C38" s="8" t="s">
        <v>27</v>
      </c>
      <c r="D38" s="8">
        <v>14.0</v>
      </c>
      <c r="E38" s="20">
        <v>50.0</v>
      </c>
      <c r="F38" s="20">
        <v>0.0</v>
      </c>
      <c r="G38" s="20">
        <v>0.0</v>
      </c>
      <c r="H38" s="21">
        <v>0.0</v>
      </c>
      <c r="I38" s="20">
        <v>0.0</v>
      </c>
      <c r="J38" s="20">
        <v>50.0</v>
      </c>
      <c r="K38" s="20">
        <f t="shared" si="1"/>
        <v>50</v>
      </c>
      <c r="L38" s="20">
        <v>0.0</v>
      </c>
      <c r="M38" s="20">
        <v>1.0</v>
      </c>
      <c r="N38" s="22">
        <v>26.0</v>
      </c>
      <c r="O38" s="20">
        <f t="shared" si="5"/>
        <v>0.52</v>
      </c>
      <c r="P38" s="39">
        <v>0.0</v>
      </c>
      <c r="Q38" s="20">
        <v>0.0</v>
      </c>
      <c r="R38" s="20">
        <v>0.0</v>
      </c>
      <c r="S38" s="20">
        <v>0.0</v>
      </c>
      <c r="T38" s="2"/>
      <c r="U38" s="2">
        <v>1445220.0</v>
      </c>
      <c r="V38" s="40">
        <f t="shared" si="2"/>
        <v>72261000</v>
      </c>
      <c r="W38" s="40">
        <f t="shared" si="3"/>
        <v>1445220</v>
      </c>
      <c r="X38" s="2"/>
      <c r="Y38" s="2"/>
      <c r="Z38" s="2"/>
    </row>
    <row r="39" ht="12.75" customHeight="1">
      <c r="A39" s="2"/>
      <c r="B39" s="43" t="s">
        <v>128</v>
      </c>
      <c r="C39" s="8" t="s">
        <v>27</v>
      </c>
      <c r="D39" s="8">
        <v>14.0</v>
      </c>
      <c r="E39" s="20">
        <v>102.0</v>
      </c>
      <c r="F39" s="20">
        <v>0.0</v>
      </c>
      <c r="G39" s="20">
        <v>0.0</v>
      </c>
      <c r="H39" s="21">
        <v>0.0</v>
      </c>
      <c r="I39" s="20">
        <v>0.0</v>
      </c>
      <c r="J39" s="20">
        <v>56.0</v>
      </c>
      <c r="K39" s="20">
        <f t="shared" si="1"/>
        <v>56</v>
      </c>
      <c r="L39" s="20">
        <v>46.0</v>
      </c>
      <c r="M39" s="20">
        <v>46.0</v>
      </c>
      <c r="N39" s="22">
        <v>26.0</v>
      </c>
      <c r="O39" s="20">
        <f t="shared" si="5"/>
        <v>21.35714286</v>
      </c>
      <c r="P39" s="39">
        <v>0.8214285714285714</v>
      </c>
      <c r="Q39" s="20">
        <v>0.0</v>
      </c>
      <c r="R39" s="20">
        <v>150.0</v>
      </c>
      <c r="S39" s="20">
        <v>0.0</v>
      </c>
      <c r="T39" s="2"/>
      <c r="U39" s="2">
        <v>1445220.0</v>
      </c>
      <c r="V39" s="40">
        <f t="shared" si="2"/>
        <v>80932320</v>
      </c>
      <c r="W39" s="40">
        <f t="shared" si="3"/>
        <v>66480120</v>
      </c>
      <c r="X39" s="2"/>
      <c r="Y39" s="2"/>
      <c r="Z39" s="2"/>
    </row>
    <row r="40" ht="12.75" customHeight="1">
      <c r="A40" s="2"/>
      <c r="B40" s="8" t="s">
        <v>54</v>
      </c>
      <c r="C40" s="8" t="s">
        <v>27</v>
      </c>
      <c r="D40" s="8">
        <v>14.0</v>
      </c>
      <c r="E40" s="20">
        <v>148.0</v>
      </c>
      <c r="F40" s="20">
        <v>0.0</v>
      </c>
      <c r="G40" s="20">
        <v>0.0</v>
      </c>
      <c r="H40" s="21">
        <v>0.0</v>
      </c>
      <c r="I40" s="20">
        <v>0.0</v>
      </c>
      <c r="J40" s="20">
        <v>100.0</v>
      </c>
      <c r="K40" s="20">
        <f t="shared" si="1"/>
        <v>100</v>
      </c>
      <c r="L40" s="20">
        <v>48.0</v>
      </c>
      <c r="M40" s="20">
        <v>74.0</v>
      </c>
      <c r="N40" s="22">
        <v>26.0</v>
      </c>
      <c r="O40" s="20">
        <f t="shared" si="5"/>
        <v>19.24</v>
      </c>
      <c r="P40" s="39">
        <v>0.48</v>
      </c>
      <c r="Q40" s="20">
        <v>0.0</v>
      </c>
      <c r="R40" s="20">
        <v>150.0</v>
      </c>
      <c r="S40" s="20">
        <v>0.0</v>
      </c>
      <c r="T40" s="2"/>
      <c r="U40" s="2">
        <v>1445220.0</v>
      </c>
      <c r="V40" s="40">
        <f t="shared" si="2"/>
        <v>144522000</v>
      </c>
      <c r="W40" s="40">
        <f t="shared" si="3"/>
        <v>106946280</v>
      </c>
      <c r="X40" s="2"/>
      <c r="Y40" s="2"/>
      <c r="Z40" s="2"/>
    </row>
    <row r="41" ht="12.75" customHeight="1">
      <c r="A41" s="2"/>
      <c r="B41" s="8" t="s">
        <v>55</v>
      </c>
      <c r="C41" s="8" t="s">
        <v>27</v>
      </c>
      <c r="D41" s="8">
        <v>14.0</v>
      </c>
      <c r="E41" s="20">
        <v>230.0</v>
      </c>
      <c r="F41" s="20">
        <v>0.0</v>
      </c>
      <c r="G41" s="20">
        <v>0.0</v>
      </c>
      <c r="H41" s="21">
        <v>0.0</v>
      </c>
      <c r="I41" s="20">
        <v>0.0</v>
      </c>
      <c r="J41" s="20">
        <v>118.0</v>
      </c>
      <c r="K41" s="20">
        <f t="shared" si="1"/>
        <v>118</v>
      </c>
      <c r="L41" s="20">
        <v>112.0</v>
      </c>
      <c r="M41" s="20">
        <v>142.666666666667</v>
      </c>
      <c r="N41" s="22">
        <v>26.0</v>
      </c>
      <c r="O41" s="20">
        <f t="shared" si="5"/>
        <v>31.43502825</v>
      </c>
      <c r="P41" s="39">
        <v>0.9491525423728814</v>
      </c>
      <c r="Q41" s="20">
        <v>0.0</v>
      </c>
      <c r="R41" s="20">
        <v>105.0</v>
      </c>
      <c r="S41" s="20">
        <v>0.0</v>
      </c>
      <c r="T41" s="2"/>
      <c r="U41" s="2">
        <v>1272550.0</v>
      </c>
      <c r="V41" s="40">
        <f t="shared" si="2"/>
        <v>150160900</v>
      </c>
      <c r="W41" s="40">
        <f t="shared" si="3"/>
        <v>181550466.7</v>
      </c>
      <c r="X41" s="2"/>
      <c r="Y41" s="2"/>
      <c r="Z41" s="2"/>
    </row>
    <row r="42" ht="12.75" customHeight="1">
      <c r="A42" s="2"/>
      <c r="B42" s="8" t="s">
        <v>58</v>
      </c>
      <c r="C42" s="8" t="s">
        <v>27</v>
      </c>
      <c r="D42" s="8">
        <v>14.0</v>
      </c>
      <c r="E42" s="20">
        <v>270.0</v>
      </c>
      <c r="F42" s="20">
        <v>0.0</v>
      </c>
      <c r="G42" s="20">
        <v>0.0</v>
      </c>
      <c r="H42" s="21">
        <v>0.0</v>
      </c>
      <c r="I42" s="20">
        <v>0.0</v>
      </c>
      <c r="J42" s="20">
        <v>54.0</v>
      </c>
      <c r="K42" s="20">
        <f t="shared" si="1"/>
        <v>54</v>
      </c>
      <c r="L42" s="20">
        <v>216.0</v>
      </c>
      <c r="M42" s="20">
        <v>216.0</v>
      </c>
      <c r="N42" s="22">
        <v>26.0</v>
      </c>
      <c r="O42" s="20">
        <f t="shared" si="5"/>
        <v>104</v>
      </c>
      <c r="P42" s="39">
        <v>4.0</v>
      </c>
      <c r="Q42" s="20">
        <v>0.0</v>
      </c>
      <c r="R42" s="20">
        <v>100.0</v>
      </c>
      <c r="S42" s="20">
        <v>0.0</v>
      </c>
      <c r="T42" s="2"/>
      <c r="U42" s="2">
        <v>819485.0</v>
      </c>
      <c r="V42" s="40">
        <f t="shared" si="2"/>
        <v>44252190</v>
      </c>
      <c r="W42" s="40">
        <f t="shared" si="3"/>
        <v>177008760</v>
      </c>
      <c r="X42" s="2"/>
      <c r="Y42" s="2"/>
      <c r="Z42" s="2"/>
    </row>
    <row r="43" ht="12.75" customHeight="1">
      <c r="A43" s="2"/>
      <c r="B43" s="8" t="s">
        <v>59</v>
      </c>
      <c r="C43" s="8" t="s">
        <v>27</v>
      </c>
      <c r="D43" s="8">
        <v>14.0</v>
      </c>
      <c r="E43" s="20">
        <v>191.98000000000002</v>
      </c>
      <c r="F43" s="20">
        <v>1010.0</v>
      </c>
      <c r="G43" s="20">
        <v>0.0</v>
      </c>
      <c r="H43" s="21">
        <v>0.0</v>
      </c>
      <c r="I43" s="20">
        <v>0.0</v>
      </c>
      <c r="J43" s="20">
        <v>794.0</v>
      </c>
      <c r="K43" s="20">
        <f t="shared" si="1"/>
        <v>794</v>
      </c>
      <c r="L43" s="20">
        <v>407.98</v>
      </c>
      <c r="M43" s="20">
        <v>588.122857142857</v>
      </c>
      <c r="N43" s="22">
        <v>26.0</v>
      </c>
      <c r="O43" s="20">
        <f t="shared" si="5"/>
        <v>19.25843109</v>
      </c>
      <c r="P43" s="39">
        <v>0.5138287153652393</v>
      </c>
      <c r="Q43" s="20">
        <v>100.0</v>
      </c>
      <c r="R43" s="20">
        <v>200.0</v>
      </c>
      <c r="S43" s="20">
        <v>0.0</v>
      </c>
      <c r="T43" s="2"/>
      <c r="U43" s="2">
        <v>819485.0</v>
      </c>
      <c r="V43" s="40">
        <f t="shared" si="2"/>
        <v>650671090</v>
      </c>
      <c r="W43" s="40">
        <f t="shared" si="3"/>
        <v>481957859.6</v>
      </c>
      <c r="X43" s="2"/>
      <c r="Y43" s="2"/>
      <c r="Z43" s="2"/>
    </row>
    <row r="44" ht="12.75" customHeight="1">
      <c r="A44" s="2"/>
      <c r="B44" s="8" t="s">
        <v>60</v>
      </c>
      <c r="C44" s="8" t="s">
        <v>27</v>
      </c>
      <c r="D44" s="8">
        <v>14.0</v>
      </c>
      <c r="E44" s="20">
        <v>136.0</v>
      </c>
      <c r="F44" s="20">
        <v>0.0</v>
      </c>
      <c r="G44" s="20">
        <v>0.0</v>
      </c>
      <c r="H44" s="21">
        <v>0.0</v>
      </c>
      <c r="I44" s="20">
        <v>4.0</v>
      </c>
      <c r="J44" s="20">
        <v>0.0</v>
      </c>
      <c r="K44" s="20">
        <f t="shared" si="1"/>
        <v>4</v>
      </c>
      <c r="L44" s="20">
        <v>132.0</v>
      </c>
      <c r="M44" s="20">
        <v>132.0</v>
      </c>
      <c r="N44" s="22">
        <v>26.0</v>
      </c>
      <c r="O44" s="20">
        <f t="shared" si="5"/>
        <v>858</v>
      </c>
      <c r="P44" s="39">
        <v>33.0</v>
      </c>
      <c r="Q44" s="20">
        <v>0.0</v>
      </c>
      <c r="R44" s="20">
        <v>0.0</v>
      </c>
      <c r="S44" s="20">
        <v>0.0</v>
      </c>
      <c r="T44" s="2"/>
      <c r="U44" s="2">
        <v>1481800.0</v>
      </c>
      <c r="V44" s="40">
        <f t="shared" si="2"/>
        <v>5927200</v>
      </c>
      <c r="W44" s="40">
        <f t="shared" si="3"/>
        <v>195597600</v>
      </c>
      <c r="X44" s="2"/>
      <c r="Y44" s="2"/>
      <c r="Z44" s="2"/>
    </row>
    <row r="45" ht="12.75" customHeight="1">
      <c r="A45" s="2"/>
      <c r="B45" s="8" t="s">
        <v>61</v>
      </c>
      <c r="C45" s="8" t="s">
        <v>27</v>
      </c>
      <c r="D45" s="8">
        <v>14.0</v>
      </c>
      <c r="E45" s="20">
        <v>18.0</v>
      </c>
      <c r="F45" s="20">
        <v>0.0</v>
      </c>
      <c r="G45" s="20">
        <v>0.0</v>
      </c>
      <c r="H45" s="21">
        <v>0.0</v>
      </c>
      <c r="I45" s="20">
        <v>10.0</v>
      </c>
      <c r="J45" s="20">
        <v>0.0</v>
      </c>
      <c r="K45" s="20">
        <f t="shared" si="1"/>
        <v>10</v>
      </c>
      <c r="L45" s="20">
        <v>8.0</v>
      </c>
      <c r="M45" s="20">
        <v>10.6666666666667</v>
      </c>
      <c r="N45" s="22">
        <v>26.0</v>
      </c>
      <c r="O45" s="20">
        <f t="shared" si="5"/>
        <v>27.73333333</v>
      </c>
      <c r="P45" s="39">
        <v>0.8</v>
      </c>
      <c r="Q45" s="20">
        <v>0.0</v>
      </c>
      <c r="R45" s="20">
        <v>0.0</v>
      </c>
      <c r="S45" s="20">
        <v>0.0</v>
      </c>
      <c r="T45" s="2"/>
      <c r="U45" s="2">
        <v>1481800.0</v>
      </c>
      <c r="V45" s="40">
        <f t="shared" si="2"/>
        <v>14818000</v>
      </c>
      <c r="W45" s="40">
        <f t="shared" si="3"/>
        <v>15805866.67</v>
      </c>
      <c r="X45" s="2"/>
      <c r="Y45" s="2"/>
      <c r="Z45" s="2"/>
    </row>
    <row r="46" ht="12.75" customHeight="1">
      <c r="A46" s="2"/>
      <c r="B46" s="43" t="s">
        <v>129</v>
      </c>
      <c r="C46" s="8" t="s">
        <v>27</v>
      </c>
      <c r="D46" s="8">
        <v>14.0</v>
      </c>
      <c r="E46" s="20">
        <v>0.0</v>
      </c>
      <c r="F46" s="20">
        <v>28.0</v>
      </c>
      <c r="G46" s="20">
        <v>0.0</v>
      </c>
      <c r="H46" s="21">
        <v>0.0</v>
      </c>
      <c r="I46" s="20">
        <v>0.0</v>
      </c>
      <c r="J46" s="20">
        <v>0.0</v>
      </c>
      <c r="K46" s="20">
        <f t="shared" si="1"/>
        <v>0</v>
      </c>
      <c r="L46" s="20">
        <v>28.0</v>
      </c>
      <c r="M46" s="20">
        <v>28.0</v>
      </c>
      <c r="N46" s="22">
        <v>26.0</v>
      </c>
      <c r="O46" s="20">
        <v>0.0</v>
      </c>
      <c r="P46" s="39">
        <v>0.0</v>
      </c>
      <c r="Q46" s="20">
        <v>0.0</v>
      </c>
      <c r="R46" s="20">
        <v>0.0</v>
      </c>
      <c r="S46" s="20">
        <v>0.0</v>
      </c>
      <c r="T46" s="2"/>
      <c r="U46" s="2">
        <v>1481800.0</v>
      </c>
      <c r="V46" s="40">
        <f t="shared" si="2"/>
        <v>0</v>
      </c>
      <c r="W46" s="40">
        <f t="shared" si="3"/>
        <v>41490400</v>
      </c>
      <c r="X46" s="2"/>
      <c r="Y46" s="2"/>
      <c r="Z46" s="2"/>
    </row>
    <row r="47" ht="12.75" customHeight="1">
      <c r="A47" s="2"/>
      <c r="B47" s="8" t="s">
        <v>62</v>
      </c>
      <c r="C47" s="8" t="s">
        <v>27</v>
      </c>
      <c r="D47" s="8">
        <v>14.0</v>
      </c>
      <c r="E47" s="20">
        <v>17.0</v>
      </c>
      <c r="F47" s="20">
        <v>0.0</v>
      </c>
      <c r="G47" s="20">
        <v>0.0</v>
      </c>
      <c r="H47" s="21">
        <v>0.0</v>
      </c>
      <c r="I47" s="20">
        <v>12.0</v>
      </c>
      <c r="J47" s="20">
        <v>0.0</v>
      </c>
      <c r="K47" s="20">
        <f t="shared" si="1"/>
        <v>12</v>
      </c>
      <c r="L47" s="20">
        <v>5.0</v>
      </c>
      <c r="M47" s="20">
        <v>10.0</v>
      </c>
      <c r="N47" s="22">
        <v>26.0</v>
      </c>
      <c r="O47" s="20">
        <f t="shared" ref="O47:O52" si="6">(M47/(I47+J47))*N47</f>
        <v>21.66666667</v>
      </c>
      <c r="P47" s="39">
        <v>0.4166666666666667</v>
      </c>
      <c r="Q47" s="20">
        <v>0.0</v>
      </c>
      <c r="R47" s="20">
        <v>0.0</v>
      </c>
      <c r="S47" s="20">
        <v>0.0</v>
      </c>
      <c r="T47" s="2"/>
      <c r="U47" s="2">
        <v>1481800.0</v>
      </c>
      <c r="V47" s="40">
        <f t="shared" si="2"/>
        <v>17781600</v>
      </c>
      <c r="W47" s="40">
        <f t="shared" si="3"/>
        <v>14818000</v>
      </c>
      <c r="X47" s="2"/>
      <c r="Y47" s="2"/>
      <c r="Z47" s="2"/>
    </row>
    <row r="48" ht="12.75" customHeight="1">
      <c r="A48" s="2"/>
      <c r="B48" s="8" t="s">
        <v>63</v>
      </c>
      <c r="C48" s="8" t="s">
        <v>27</v>
      </c>
      <c r="D48" s="8">
        <v>14.0</v>
      </c>
      <c r="E48" s="20">
        <v>61.0</v>
      </c>
      <c r="F48" s="20">
        <v>0.0</v>
      </c>
      <c r="G48" s="20">
        <v>0.0</v>
      </c>
      <c r="H48" s="21">
        <v>0.0</v>
      </c>
      <c r="I48" s="20">
        <v>7.0</v>
      </c>
      <c r="J48" s="20">
        <v>0.0</v>
      </c>
      <c r="K48" s="20">
        <f t="shared" si="1"/>
        <v>7</v>
      </c>
      <c r="L48" s="20">
        <v>54.0</v>
      </c>
      <c r="M48" s="20">
        <v>56.6666666666667</v>
      </c>
      <c r="N48" s="22">
        <v>26.0</v>
      </c>
      <c r="O48" s="20">
        <f t="shared" si="6"/>
        <v>210.4761905</v>
      </c>
      <c r="P48" s="39">
        <v>7.714285714285714</v>
      </c>
      <c r="Q48" s="20">
        <v>0.0</v>
      </c>
      <c r="R48" s="20">
        <v>0.0</v>
      </c>
      <c r="S48" s="20">
        <v>0.0</v>
      </c>
      <c r="T48" s="2"/>
      <c r="U48" s="2">
        <v>1481800.0</v>
      </c>
      <c r="V48" s="40">
        <f t="shared" si="2"/>
        <v>10372600</v>
      </c>
      <c r="W48" s="40">
        <f t="shared" si="3"/>
        <v>83968666.67</v>
      </c>
      <c r="X48" s="2"/>
      <c r="Y48" s="2"/>
      <c r="Z48" s="2"/>
    </row>
    <row r="49" ht="12.75" customHeight="1">
      <c r="A49" s="2"/>
      <c r="B49" s="8" t="s">
        <v>64</v>
      </c>
      <c r="C49" s="8" t="s">
        <v>27</v>
      </c>
      <c r="D49" s="8">
        <v>14.0</v>
      </c>
      <c r="E49" s="20">
        <v>63.0</v>
      </c>
      <c r="F49" s="20">
        <v>0.0</v>
      </c>
      <c r="G49" s="20">
        <v>0.0</v>
      </c>
      <c r="H49" s="21">
        <v>0.0</v>
      </c>
      <c r="I49" s="20">
        <v>4.0</v>
      </c>
      <c r="J49" s="20">
        <v>0.0</v>
      </c>
      <c r="K49" s="20">
        <f t="shared" si="1"/>
        <v>4</v>
      </c>
      <c r="L49" s="20">
        <v>59.0</v>
      </c>
      <c r="M49" s="20">
        <v>59.0</v>
      </c>
      <c r="N49" s="22">
        <v>26.0</v>
      </c>
      <c r="O49" s="20">
        <f t="shared" si="6"/>
        <v>383.5</v>
      </c>
      <c r="P49" s="39">
        <v>14.75</v>
      </c>
      <c r="Q49" s="20">
        <v>0.0</v>
      </c>
      <c r="R49" s="20">
        <v>0.0</v>
      </c>
      <c r="S49" s="20">
        <v>0.0</v>
      </c>
      <c r="T49" s="2"/>
      <c r="U49" s="2">
        <v>1481800.0</v>
      </c>
      <c r="V49" s="40">
        <f t="shared" si="2"/>
        <v>5927200</v>
      </c>
      <c r="W49" s="40">
        <f t="shared" si="3"/>
        <v>87426200</v>
      </c>
      <c r="X49" s="2"/>
      <c r="Y49" s="2"/>
      <c r="Z49" s="2"/>
    </row>
    <row r="50" ht="12.75" customHeight="1">
      <c r="A50" s="2"/>
      <c r="B50" s="8" t="s">
        <v>65</v>
      </c>
      <c r="C50" s="8" t="s">
        <v>27</v>
      </c>
      <c r="D50" s="8">
        <v>14.0</v>
      </c>
      <c r="E50" s="20">
        <v>114.0</v>
      </c>
      <c r="F50" s="20">
        <v>0.0</v>
      </c>
      <c r="G50" s="20">
        <v>0.0</v>
      </c>
      <c r="H50" s="21">
        <v>0.0</v>
      </c>
      <c r="I50" s="20">
        <v>0.0</v>
      </c>
      <c r="J50" s="20">
        <v>91.0</v>
      </c>
      <c r="K50" s="20">
        <f t="shared" si="1"/>
        <v>91</v>
      </c>
      <c r="L50" s="20">
        <v>23.0</v>
      </c>
      <c r="M50" s="20">
        <v>59.0</v>
      </c>
      <c r="N50" s="22">
        <v>26.0</v>
      </c>
      <c r="O50" s="20">
        <f t="shared" si="6"/>
        <v>16.85714286</v>
      </c>
      <c r="P50" s="39">
        <v>0.25274725274725274</v>
      </c>
      <c r="Q50" s="20">
        <v>0.0</v>
      </c>
      <c r="R50" s="20">
        <v>0.0</v>
      </c>
      <c r="S50" s="20">
        <v>0.0</v>
      </c>
      <c r="T50" s="2"/>
      <c r="U50" s="2">
        <v>942555.0</v>
      </c>
      <c r="V50" s="40">
        <f t="shared" si="2"/>
        <v>85772505</v>
      </c>
      <c r="W50" s="40">
        <f t="shared" si="3"/>
        <v>55610745</v>
      </c>
      <c r="X50" s="2"/>
      <c r="Y50" s="2"/>
      <c r="Z50" s="2"/>
    </row>
    <row r="51" ht="12.75" customHeight="1">
      <c r="A51" s="2"/>
      <c r="B51" s="8" t="s">
        <v>66</v>
      </c>
      <c r="C51" s="8" t="s">
        <v>27</v>
      </c>
      <c r="D51" s="8">
        <v>14.0</v>
      </c>
      <c r="E51" s="20">
        <v>0.0</v>
      </c>
      <c r="F51" s="20">
        <v>145.0</v>
      </c>
      <c r="G51" s="20">
        <v>0.0</v>
      </c>
      <c r="H51" s="21">
        <v>0.0</v>
      </c>
      <c r="I51" s="20">
        <v>0.0</v>
      </c>
      <c r="J51" s="20">
        <v>73.0</v>
      </c>
      <c r="K51" s="20">
        <f t="shared" si="1"/>
        <v>73</v>
      </c>
      <c r="L51" s="20">
        <v>72.0</v>
      </c>
      <c r="M51" s="20">
        <v>96.3333333333333</v>
      </c>
      <c r="N51" s="22">
        <v>26.0</v>
      </c>
      <c r="O51" s="20">
        <f t="shared" si="6"/>
        <v>34.31050228</v>
      </c>
      <c r="P51" s="39">
        <v>0.9863013698630136</v>
      </c>
      <c r="Q51" s="20">
        <v>150.0</v>
      </c>
      <c r="R51" s="20">
        <v>0.0</v>
      </c>
      <c r="S51" s="20">
        <v>0.0</v>
      </c>
      <c r="T51" s="2"/>
      <c r="U51" s="2">
        <v>958675.0</v>
      </c>
      <c r="V51" s="40">
        <f t="shared" si="2"/>
        <v>69983275</v>
      </c>
      <c r="W51" s="40">
        <f t="shared" si="3"/>
        <v>92352358.33</v>
      </c>
      <c r="X51" s="2"/>
      <c r="Y51" s="2"/>
      <c r="Z51" s="2"/>
    </row>
    <row r="52" ht="12.75" customHeight="1">
      <c r="A52" s="2"/>
      <c r="B52" s="8" t="s">
        <v>109</v>
      </c>
      <c r="C52" s="8" t="s">
        <v>27</v>
      </c>
      <c r="D52" s="8">
        <v>14.0</v>
      </c>
      <c r="E52" s="20">
        <v>200.0</v>
      </c>
      <c r="F52" s="20">
        <v>200.0</v>
      </c>
      <c r="G52" s="20">
        <v>0.0</v>
      </c>
      <c r="H52" s="21">
        <v>0.0</v>
      </c>
      <c r="I52" s="20">
        <v>200.0</v>
      </c>
      <c r="J52" s="20">
        <v>0.0</v>
      </c>
      <c r="K52" s="20">
        <f t="shared" si="1"/>
        <v>200</v>
      </c>
      <c r="L52" s="20">
        <v>200.0</v>
      </c>
      <c r="M52" s="20">
        <v>138.5</v>
      </c>
      <c r="N52" s="22">
        <v>26.0</v>
      </c>
      <c r="O52" s="20">
        <f t="shared" si="6"/>
        <v>18.005</v>
      </c>
      <c r="P52" s="39">
        <v>1.0</v>
      </c>
      <c r="Q52" s="20">
        <v>0.0</v>
      </c>
      <c r="R52" s="20">
        <v>200.0</v>
      </c>
      <c r="S52" s="20">
        <v>0.0</v>
      </c>
      <c r="T52" s="2"/>
      <c r="U52" s="2">
        <v>848935.0</v>
      </c>
      <c r="V52" s="40">
        <f t="shared" si="2"/>
        <v>169787000</v>
      </c>
      <c r="W52" s="40">
        <f t="shared" si="3"/>
        <v>117577497.5</v>
      </c>
      <c r="X52" s="2"/>
      <c r="Y52" s="2"/>
      <c r="Z52" s="2"/>
    </row>
    <row r="53" ht="12.75" customHeight="1">
      <c r="A53" s="2"/>
      <c r="B53" s="8" t="s">
        <v>110</v>
      </c>
      <c r="C53" s="8" t="s">
        <v>27</v>
      </c>
      <c r="D53" s="8">
        <v>14.0</v>
      </c>
      <c r="E53" s="20">
        <v>135.0</v>
      </c>
      <c r="F53" s="20">
        <v>0.0</v>
      </c>
      <c r="G53" s="20">
        <v>0.0</v>
      </c>
      <c r="H53" s="21">
        <v>0.0</v>
      </c>
      <c r="I53" s="20">
        <v>0.0</v>
      </c>
      <c r="J53" s="20">
        <v>0.0</v>
      </c>
      <c r="K53" s="20">
        <f t="shared" si="1"/>
        <v>0</v>
      </c>
      <c r="L53" s="20">
        <v>135.0</v>
      </c>
      <c r="M53" s="20">
        <v>0.0</v>
      </c>
      <c r="N53" s="22">
        <v>26.0</v>
      </c>
      <c r="O53" s="20">
        <v>0.0</v>
      </c>
      <c r="P53" s="39">
        <v>0.0</v>
      </c>
      <c r="Q53" s="20">
        <v>0.0</v>
      </c>
      <c r="R53" s="20">
        <v>100.0</v>
      </c>
      <c r="S53" s="20">
        <v>0.0</v>
      </c>
      <c r="T53" s="2"/>
      <c r="U53" s="2">
        <v>1012770.0</v>
      </c>
      <c r="V53" s="40">
        <f t="shared" si="2"/>
        <v>0</v>
      </c>
      <c r="W53" s="40">
        <f t="shared" si="3"/>
        <v>0</v>
      </c>
      <c r="X53" s="2"/>
      <c r="Y53" s="2"/>
      <c r="Z53" s="2"/>
    </row>
    <row r="54" ht="12.75" customHeight="1">
      <c r="A54" s="2"/>
      <c r="B54" s="8" t="s">
        <v>68</v>
      </c>
      <c r="C54" s="8" t="s">
        <v>27</v>
      </c>
      <c r="D54" s="8">
        <v>14.0</v>
      </c>
      <c r="E54" s="20">
        <v>358.0</v>
      </c>
      <c r="F54" s="20">
        <v>0.0</v>
      </c>
      <c r="G54" s="20">
        <v>0.0</v>
      </c>
      <c r="H54" s="21">
        <v>0.0</v>
      </c>
      <c r="I54" s="20">
        <v>0.0</v>
      </c>
      <c r="J54" s="20">
        <v>313.0</v>
      </c>
      <c r="K54" s="20">
        <f t="shared" si="1"/>
        <v>313</v>
      </c>
      <c r="L54" s="20">
        <v>45.0</v>
      </c>
      <c r="M54" s="20">
        <v>183.571428571429</v>
      </c>
      <c r="N54" s="22">
        <v>26.0</v>
      </c>
      <c r="O54" s="20">
        <f>(M54/(I54+J54))*N54</f>
        <v>15.24874487</v>
      </c>
      <c r="P54" s="39">
        <v>0.14376996805111822</v>
      </c>
      <c r="Q54" s="20">
        <v>0.0</v>
      </c>
      <c r="R54" s="20">
        <v>0.0</v>
      </c>
      <c r="S54" s="20">
        <v>0.0</v>
      </c>
      <c r="T54" s="2"/>
      <c r="U54" s="2">
        <v>1012770.0</v>
      </c>
      <c r="V54" s="40">
        <f t="shared" si="2"/>
        <v>316997010</v>
      </c>
      <c r="W54" s="40">
        <f t="shared" si="3"/>
        <v>185915635.7</v>
      </c>
      <c r="X54" s="2"/>
      <c r="Y54" s="2"/>
      <c r="Z54" s="2"/>
    </row>
    <row r="55" ht="12.75" customHeight="1">
      <c r="A55" s="2"/>
      <c r="B55" s="43" t="s">
        <v>130</v>
      </c>
      <c r="C55" s="8" t="s">
        <v>27</v>
      </c>
      <c r="D55" s="8">
        <v>14.0</v>
      </c>
      <c r="E55" s="20">
        <v>0.0</v>
      </c>
      <c r="F55" s="20">
        <v>360.0</v>
      </c>
      <c r="G55" s="20">
        <v>0.0</v>
      </c>
      <c r="H55" s="21">
        <v>0.0</v>
      </c>
      <c r="I55" s="20">
        <v>0.0</v>
      </c>
      <c r="J55" s="20">
        <v>0.0</v>
      </c>
      <c r="K55" s="20">
        <f t="shared" si="1"/>
        <v>0</v>
      </c>
      <c r="L55" s="20">
        <v>360.0</v>
      </c>
      <c r="M55" s="20">
        <v>360.0</v>
      </c>
      <c r="N55" s="22">
        <v>26.0</v>
      </c>
      <c r="O55" s="20">
        <v>0.0</v>
      </c>
      <c r="P55" s="39">
        <v>0.0</v>
      </c>
      <c r="Q55" s="20">
        <v>0.0</v>
      </c>
      <c r="R55" s="20">
        <v>120.0</v>
      </c>
      <c r="S55" s="20">
        <v>0.0</v>
      </c>
      <c r="T55" s="2"/>
      <c r="U55" s="2">
        <v>1012770.0</v>
      </c>
      <c r="V55" s="40">
        <f t="shared" si="2"/>
        <v>0</v>
      </c>
      <c r="W55" s="40">
        <f t="shared" si="3"/>
        <v>364597200</v>
      </c>
      <c r="X55" s="2"/>
      <c r="Y55" s="2"/>
      <c r="Z55" s="2"/>
    </row>
    <row r="56" ht="12.75" customHeight="1">
      <c r="A56" s="2"/>
      <c r="B56" s="8" t="s">
        <v>111</v>
      </c>
      <c r="C56" s="8" t="s">
        <v>27</v>
      </c>
      <c r="D56" s="8">
        <v>14.0</v>
      </c>
      <c r="E56" s="20">
        <v>135.0</v>
      </c>
      <c r="F56" s="20">
        <v>1033.0</v>
      </c>
      <c r="G56" s="20">
        <v>0.0</v>
      </c>
      <c r="H56" s="21">
        <v>0.0</v>
      </c>
      <c r="I56" s="20">
        <v>630.0</v>
      </c>
      <c r="J56" s="20">
        <v>0.0</v>
      </c>
      <c r="K56" s="20">
        <f t="shared" si="1"/>
        <v>630</v>
      </c>
      <c r="L56" s="20">
        <v>538.0</v>
      </c>
      <c r="M56" s="20">
        <v>512.2</v>
      </c>
      <c r="N56" s="22">
        <v>26.0</v>
      </c>
      <c r="O56" s="20">
        <f t="shared" ref="O56:O58" si="7">(M56/(I56+J56))*N56</f>
        <v>21.1384127</v>
      </c>
      <c r="P56" s="39">
        <v>0.8539682539682539</v>
      </c>
      <c r="Q56" s="20">
        <v>0.0</v>
      </c>
      <c r="R56" s="20">
        <v>350.0</v>
      </c>
      <c r="S56" s="20">
        <v>0.0</v>
      </c>
      <c r="T56" s="2"/>
      <c r="U56" s="2">
        <v>1012770.0</v>
      </c>
      <c r="V56" s="40">
        <f t="shared" si="2"/>
        <v>638045100</v>
      </c>
      <c r="W56" s="40">
        <f t="shared" si="3"/>
        <v>518740794</v>
      </c>
      <c r="X56" s="2"/>
      <c r="Y56" s="2"/>
      <c r="Z56" s="2"/>
    </row>
    <row r="57" ht="12.75" customHeight="1">
      <c r="A57" s="2"/>
      <c r="B57" s="8" t="s">
        <v>112</v>
      </c>
      <c r="C57" s="8" t="s">
        <v>27</v>
      </c>
      <c r="D57" s="8">
        <v>14.0</v>
      </c>
      <c r="E57" s="20">
        <v>84.0</v>
      </c>
      <c r="F57" s="20">
        <v>0.0</v>
      </c>
      <c r="G57" s="20">
        <v>0.0</v>
      </c>
      <c r="H57" s="21">
        <v>0.0</v>
      </c>
      <c r="I57" s="20">
        <v>24.0</v>
      </c>
      <c r="J57" s="20">
        <v>0.0</v>
      </c>
      <c r="K57" s="20">
        <f t="shared" si="1"/>
        <v>24</v>
      </c>
      <c r="L57" s="20">
        <v>60.0</v>
      </c>
      <c r="M57" s="20">
        <v>68.0</v>
      </c>
      <c r="N57" s="22">
        <v>26.0</v>
      </c>
      <c r="O57" s="20">
        <f t="shared" si="7"/>
        <v>73.66666667</v>
      </c>
      <c r="P57" s="39">
        <v>2.5</v>
      </c>
      <c r="Q57" s="20">
        <v>0.0</v>
      </c>
      <c r="R57" s="20">
        <v>0.0</v>
      </c>
      <c r="S57" s="20">
        <v>0.0</v>
      </c>
      <c r="T57" s="2"/>
      <c r="U57" s="2">
        <v>1237210.0</v>
      </c>
      <c r="V57" s="40">
        <f t="shared" si="2"/>
        <v>29693040</v>
      </c>
      <c r="W57" s="40">
        <f t="shared" si="3"/>
        <v>84130280</v>
      </c>
      <c r="X57" s="2"/>
      <c r="Y57" s="2"/>
      <c r="Z57" s="2"/>
    </row>
    <row r="58" ht="12.75" customHeight="1">
      <c r="A58" s="2"/>
      <c r="B58" s="8" t="s">
        <v>71</v>
      </c>
      <c r="C58" s="8" t="s">
        <v>27</v>
      </c>
      <c r="D58" s="8">
        <v>14.0</v>
      </c>
      <c r="E58" s="20">
        <v>49.0</v>
      </c>
      <c r="F58" s="20">
        <v>0.0</v>
      </c>
      <c r="G58" s="20">
        <v>0.0</v>
      </c>
      <c r="H58" s="21">
        <v>0.0</v>
      </c>
      <c r="I58" s="20">
        <v>5.0</v>
      </c>
      <c r="J58" s="20">
        <v>0.0</v>
      </c>
      <c r="K58" s="20">
        <f t="shared" si="1"/>
        <v>5</v>
      </c>
      <c r="L58" s="20">
        <v>44.0</v>
      </c>
      <c r="M58" s="20">
        <v>44.0</v>
      </c>
      <c r="N58" s="22">
        <v>26.0</v>
      </c>
      <c r="O58" s="20">
        <f t="shared" si="7"/>
        <v>228.8</v>
      </c>
      <c r="P58" s="39">
        <v>8.8</v>
      </c>
      <c r="Q58" s="20">
        <v>0.0</v>
      </c>
      <c r="R58" s="20">
        <v>0.0</v>
      </c>
      <c r="S58" s="20">
        <v>0.0</v>
      </c>
      <c r="T58" s="2"/>
      <c r="U58" s="2">
        <v>1436695.0</v>
      </c>
      <c r="V58" s="40">
        <f t="shared" si="2"/>
        <v>7183475</v>
      </c>
      <c r="W58" s="40">
        <f t="shared" si="3"/>
        <v>63214580</v>
      </c>
      <c r="X58" s="2"/>
      <c r="Y58" s="2"/>
      <c r="Z58" s="2"/>
    </row>
    <row r="59" ht="12.75" customHeight="1">
      <c r="A59" s="2"/>
      <c r="B59" s="43" t="s">
        <v>131</v>
      </c>
      <c r="C59" s="8" t="s">
        <v>27</v>
      </c>
      <c r="D59" s="8">
        <v>14.0</v>
      </c>
      <c r="E59" s="20">
        <v>105.0</v>
      </c>
      <c r="F59" s="20">
        <v>0.0</v>
      </c>
      <c r="G59" s="20">
        <v>0.0</v>
      </c>
      <c r="H59" s="21">
        <v>0.0</v>
      </c>
      <c r="I59" s="20">
        <v>0.0</v>
      </c>
      <c r="J59" s="20">
        <v>0.0</v>
      </c>
      <c r="K59" s="20">
        <f t="shared" si="1"/>
        <v>0</v>
      </c>
      <c r="L59" s="20">
        <v>105.0</v>
      </c>
      <c r="M59" s="20">
        <v>0.0</v>
      </c>
      <c r="N59" s="22">
        <v>26.0</v>
      </c>
      <c r="O59" s="20">
        <v>0.0</v>
      </c>
      <c r="P59" s="39">
        <v>0.0</v>
      </c>
      <c r="Q59" s="20">
        <v>0.0</v>
      </c>
      <c r="R59" s="20">
        <v>0.0</v>
      </c>
      <c r="S59" s="20">
        <v>0.0</v>
      </c>
      <c r="T59" s="2"/>
      <c r="U59" s="2">
        <v>1436695.0</v>
      </c>
      <c r="V59" s="40">
        <f t="shared" si="2"/>
        <v>0</v>
      </c>
      <c r="W59" s="40">
        <f t="shared" si="3"/>
        <v>0</v>
      </c>
      <c r="X59" s="2"/>
      <c r="Y59" s="2"/>
      <c r="Z59" s="2"/>
    </row>
    <row r="60" ht="12.75" customHeight="1">
      <c r="A60" s="2"/>
      <c r="B60" s="8" t="s">
        <v>72</v>
      </c>
      <c r="C60" s="8" t="s">
        <v>27</v>
      </c>
      <c r="D60" s="8">
        <v>14.0</v>
      </c>
      <c r="E60" s="20">
        <v>194.0</v>
      </c>
      <c r="F60" s="20">
        <v>528.0</v>
      </c>
      <c r="G60" s="20">
        <v>0.0</v>
      </c>
      <c r="H60" s="21">
        <v>0.0</v>
      </c>
      <c r="I60" s="20">
        <v>472.0</v>
      </c>
      <c r="J60" s="20">
        <v>0.0</v>
      </c>
      <c r="K60" s="20">
        <f t="shared" si="1"/>
        <v>472</v>
      </c>
      <c r="L60" s="20">
        <v>250.0</v>
      </c>
      <c r="M60" s="20">
        <v>310.25</v>
      </c>
      <c r="N60" s="22">
        <v>26.0</v>
      </c>
      <c r="O60" s="20">
        <f t="shared" ref="O60:O62" si="8">(M60/(I60+J60))*N60</f>
        <v>17.09004237</v>
      </c>
      <c r="P60" s="39">
        <v>0.5296610169491526</v>
      </c>
      <c r="Q60" s="20">
        <v>29.0</v>
      </c>
      <c r="R60" s="20">
        <v>700.0</v>
      </c>
      <c r="S60" s="20">
        <v>0.0</v>
      </c>
      <c r="T60" s="2"/>
      <c r="U60" s="2">
        <v>848935.0</v>
      </c>
      <c r="V60" s="40">
        <f t="shared" si="2"/>
        <v>400697320</v>
      </c>
      <c r="W60" s="40">
        <f t="shared" si="3"/>
        <v>263382083.8</v>
      </c>
      <c r="X60" s="2"/>
      <c r="Y60" s="2"/>
      <c r="Z60" s="2"/>
    </row>
    <row r="61" ht="12.75" customHeight="1">
      <c r="A61" s="2"/>
      <c r="B61" s="8" t="s">
        <v>73</v>
      </c>
      <c r="C61" s="8" t="s">
        <v>27</v>
      </c>
      <c r="D61" s="8">
        <v>14.0</v>
      </c>
      <c r="E61" s="20">
        <v>46.0</v>
      </c>
      <c r="F61" s="20">
        <v>0.0</v>
      </c>
      <c r="G61" s="20">
        <v>0.0</v>
      </c>
      <c r="H61" s="21">
        <v>0.0</v>
      </c>
      <c r="I61" s="20">
        <v>0.0</v>
      </c>
      <c r="J61" s="20">
        <v>10.0</v>
      </c>
      <c r="K61" s="20">
        <f t="shared" si="1"/>
        <v>10</v>
      </c>
      <c r="L61" s="20">
        <v>36.0</v>
      </c>
      <c r="M61" s="20">
        <v>36.0</v>
      </c>
      <c r="N61" s="22">
        <v>26.0</v>
      </c>
      <c r="O61" s="20">
        <f t="shared" si="8"/>
        <v>93.6</v>
      </c>
      <c r="P61" s="39">
        <v>3.6</v>
      </c>
      <c r="Q61" s="20">
        <v>0.0</v>
      </c>
      <c r="R61" s="20">
        <v>0.0</v>
      </c>
      <c r="S61" s="20">
        <v>0.0</v>
      </c>
      <c r="T61" s="2"/>
      <c r="U61" s="2">
        <v>1497718.5</v>
      </c>
      <c r="V61" s="40">
        <f t="shared" si="2"/>
        <v>14977185</v>
      </c>
      <c r="W61" s="40">
        <f t="shared" si="3"/>
        <v>53917866</v>
      </c>
      <c r="X61" s="2"/>
      <c r="Y61" s="2"/>
      <c r="Z61" s="2"/>
    </row>
    <row r="62" ht="12.75" customHeight="1">
      <c r="A62" s="2"/>
      <c r="B62" s="8" t="s">
        <v>74</v>
      </c>
      <c r="C62" s="8" t="s">
        <v>27</v>
      </c>
      <c r="D62" s="8">
        <v>14.0</v>
      </c>
      <c r="E62" s="20">
        <v>239.0</v>
      </c>
      <c r="F62" s="20">
        <v>599.0</v>
      </c>
      <c r="G62" s="20">
        <v>0.0</v>
      </c>
      <c r="H62" s="21">
        <v>0.0</v>
      </c>
      <c r="I62" s="20">
        <v>743.0</v>
      </c>
      <c r="J62" s="20">
        <v>0.0</v>
      </c>
      <c r="K62" s="20">
        <f t="shared" si="1"/>
        <v>743</v>
      </c>
      <c r="L62" s="20">
        <v>95.0</v>
      </c>
      <c r="M62" s="20">
        <v>268.590909090909</v>
      </c>
      <c r="N62" s="22">
        <v>26.0</v>
      </c>
      <c r="O62" s="20">
        <f t="shared" si="8"/>
        <v>9.398874342</v>
      </c>
      <c r="P62" s="39">
        <v>0.1278600269179004</v>
      </c>
      <c r="Q62" s="20">
        <v>0.0</v>
      </c>
      <c r="R62" s="20">
        <v>300.0</v>
      </c>
      <c r="S62" s="20">
        <v>0.0</v>
      </c>
      <c r="T62" s="2"/>
      <c r="U62" s="2">
        <v>1396550.0</v>
      </c>
      <c r="V62" s="40">
        <f t="shared" si="2"/>
        <v>1037636650</v>
      </c>
      <c r="W62" s="40">
        <f t="shared" si="3"/>
        <v>375100634.1</v>
      </c>
      <c r="X62" s="2"/>
      <c r="Y62" s="2"/>
      <c r="Z62" s="2"/>
    </row>
    <row r="63" ht="12.75" customHeight="1">
      <c r="A63" s="2"/>
      <c r="B63" s="43" t="s">
        <v>132</v>
      </c>
      <c r="C63" s="8" t="s">
        <v>27</v>
      </c>
      <c r="D63" s="8">
        <v>14.0</v>
      </c>
      <c r="E63" s="20">
        <v>0.0</v>
      </c>
      <c r="F63" s="20">
        <v>99.0</v>
      </c>
      <c r="G63" s="20">
        <v>0.0</v>
      </c>
      <c r="H63" s="21">
        <v>0.0</v>
      </c>
      <c r="I63" s="20">
        <v>0.0</v>
      </c>
      <c r="J63" s="20">
        <v>0.0</v>
      </c>
      <c r="K63" s="20">
        <f t="shared" si="1"/>
        <v>0</v>
      </c>
      <c r="L63" s="20">
        <v>99.0</v>
      </c>
      <c r="M63" s="20">
        <v>99.0</v>
      </c>
      <c r="N63" s="22">
        <v>26.0</v>
      </c>
      <c r="O63" s="20">
        <v>0.0</v>
      </c>
      <c r="P63" s="39">
        <v>0.0</v>
      </c>
      <c r="Q63" s="20">
        <v>0.0</v>
      </c>
      <c r="R63" s="20">
        <v>100.0</v>
      </c>
      <c r="S63" s="20">
        <v>0.0</v>
      </c>
      <c r="T63" s="2"/>
      <c r="U63" s="2">
        <v>1396550.0</v>
      </c>
      <c r="V63" s="40">
        <f t="shared" si="2"/>
        <v>0</v>
      </c>
      <c r="W63" s="40">
        <f t="shared" si="3"/>
        <v>138258450</v>
      </c>
      <c r="X63" s="2"/>
      <c r="Y63" s="2"/>
      <c r="Z63" s="2"/>
    </row>
    <row r="64" ht="12.75" customHeight="1">
      <c r="A64" s="2"/>
      <c r="B64" s="8" t="s">
        <v>75</v>
      </c>
      <c r="C64" s="8" t="s">
        <v>27</v>
      </c>
      <c r="D64" s="8">
        <v>14.0</v>
      </c>
      <c r="E64" s="20">
        <v>15.0</v>
      </c>
      <c r="F64" s="20">
        <v>84.0</v>
      </c>
      <c r="G64" s="20">
        <v>0.0</v>
      </c>
      <c r="H64" s="21">
        <v>0.0</v>
      </c>
      <c r="I64" s="20">
        <v>76.0</v>
      </c>
      <c r="J64" s="20">
        <v>0.0</v>
      </c>
      <c r="K64" s="20">
        <f t="shared" si="1"/>
        <v>76</v>
      </c>
      <c r="L64" s="20">
        <v>23.0</v>
      </c>
      <c r="M64" s="20">
        <v>52.1</v>
      </c>
      <c r="N64" s="22">
        <v>26.0</v>
      </c>
      <c r="O64" s="20">
        <f>(M64/(I64+J64))*N64</f>
        <v>17.82368421</v>
      </c>
      <c r="P64" s="39">
        <v>0.3026315789473684</v>
      </c>
      <c r="Q64" s="20">
        <v>0.0</v>
      </c>
      <c r="R64" s="20">
        <v>100.0</v>
      </c>
      <c r="S64" s="20">
        <v>0.0</v>
      </c>
      <c r="T64" s="2"/>
      <c r="U64" s="2">
        <v>1143590.0</v>
      </c>
      <c r="V64" s="40">
        <f t="shared" si="2"/>
        <v>86912840</v>
      </c>
      <c r="W64" s="40">
        <f t="shared" si="3"/>
        <v>59581039</v>
      </c>
      <c r="X64" s="2"/>
      <c r="Y64" s="2"/>
      <c r="Z64" s="2"/>
    </row>
    <row r="65" ht="12.75" customHeight="1">
      <c r="A65" s="2"/>
      <c r="B65" s="8" t="s">
        <v>76</v>
      </c>
      <c r="C65" s="8" t="s">
        <v>27</v>
      </c>
      <c r="D65" s="8">
        <v>14.0</v>
      </c>
      <c r="E65" s="20">
        <v>6.0</v>
      </c>
      <c r="F65" s="20">
        <v>0.0</v>
      </c>
      <c r="G65" s="20">
        <v>0.0</v>
      </c>
      <c r="H65" s="21">
        <v>0.0</v>
      </c>
      <c r="I65" s="20">
        <v>0.0</v>
      </c>
      <c r="J65" s="20">
        <v>0.0</v>
      </c>
      <c r="K65" s="20">
        <f t="shared" si="1"/>
        <v>0</v>
      </c>
      <c r="L65" s="20">
        <v>6.0</v>
      </c>
      <c r="M65" s="20">
        <v>6.0</v>
      </c>
      <c r="N65" s="22">
        <v>26.0</v>
      </c>
      <c r="O65" s="20">
        <v>0.0</v>
      </c>
      <c r="P65" s="39">
        <v>0.0</v>
      </c>
      <c r="Q65" s="20">
        <v>0.0</v>
      </c>
      <c r="R65" s="20">
        <v>0.0</v>
      </c>
      <c r="S65" s="20">
        <v>0.0</v>
      </c>
      <c r="T65" s="2"/>
      <c r="U65" s="2">
        <v>954645.0</v>
      </c>
      <c r="V65" s="40">
        <f t="shared" si="2"/>
        <v>0</v>
      </c>
      <c r="W65" s="40">
        <f t="shared" si="3"/>
        <v>5727870</v>
      </c>
      <c r="X65" s="2"/>
      <c r="Y65" s="2"/>
      <c r="Z65" s="2"/>
    </row>
    <row r="66" ht="12.75" customHeight="1">
      <c r="A66" s="2"/>
      <c r="B66" s="43" t="s">
        <v>133</v>
      </c>
      <c r="C66" s="8" t="s">
        <v>27</v>
      </c>
      <c r="D66" s="8">
        <v>14.0</v>
      </c>
      <c r="E66" s="20">
        <v>105.0</v>
      </c>
      <c r="F66" s="20">
        <v>0.0</v>
      </c>
      <c r="G66" s="20">
        <v>0.0</v>
      </c>
      <c r="H66" s="21">
        <v>0.0</v>
      </c>
      <c r="I66" s="20">
        <v>81.0</v>
      </c>
      <c r="J66" s="20">
        <v>0.0</v>
      </c>
      <c r="K66" s="20">
        <f t="shared" si="1"/>
        <v>81</v>
      </c>
      <c r="L66" s="20">
        <v>24.0</v>
      </c>
      <c r="M66" s="20">
        <v>53.5</v>
      </c>
      <c r="N66" s="22">
        <v>26.0</v>
      </c>
      <c r="O66" s="20">
        <f t="shared" ref="O66:O71" si="9">(M66/(I66+J66))*N66</f>
        <v>17.17283951</v>
      </c>
      <c r="P66" s="39">
        <v>0.2962962962962963</v>
      </c>
      <c r="Q66" s="20">
        <v>0.0</v>
      </c>
      <c r="R66" s="20">
        <v>105.0</v>
      </c>
      <c r="S66" s="20">
        <v>0.0</v>
      </c>
      <c r="T66" s="2"/>
      <c r="U66" s="2">
        <v>954645.0</v>
      </c>
      <c r="V66" s="40">
        <f t="shared" si="2"/>
        <v>77326245</v>
      </c>
      <c r="W66" s="40">
        <f t="shared" si="3"/>
        <v>51073507.5</v>
      </c>
      <c r="X66" s="2"/>
      <c r="Y66" s="2"/>
      <c r="Z66" s="2"/>
    </row>
    <row r="67" ht="12.75" customHeight="1">
      <c r="A67" s="2"/>
      <c r="B67" s="8" t="s">
        <v>77</v>
      </c>
      <c r="C67" s="8" t="s">
        <v>27</v>
      </c>
      <c r="D67" s="8">
        <v>14.0</v>
      </c>
      <c r="E67" s="20">
        <v>70.0</v>
      </c>
      <c r="F67" s="20">
        <v>0.0</v>
      </c>
      <c r="G67" s="20">
        <v>0.0</v>
      </c>
      <c r="H67" s="21">
        <v>0.0</v>
      </c>
      <c r="I67" s="20">
        <v>14.0</v>
      </c>
      <c r="J67" s="20">
        <v>0.0</v>
      </c>
      <c r="K67" s="20">
        <f t="shared" si="1"/>
        <v>14</v>
      </c>
      <c r="L67" s="20">
        <v>56.0</v>
      </c>
      <c r="M67" s="20">
        <v>58.0</v>
      </c>
      <c r="N67" s="22">
        <v>26.0</v>
      </c>
      <c r="O67" s="20">
        <f t="shared" si="9"/>
        <v>107.7142857</v>
      </c>
      <c r="P67" s="39">
        <v>4.0</v>
      </c>
      <c r="Q67" s="20">
        <v>0.0</v>
      </c>
      <c r="R67" s="20">
        <v>0.0</v>
      </c>
      <c r="S67" s="20">
        <v>0.0</v>
      </c>
      <c r="T67" s="2"/>
      <c r="U67" s="2">
        <v>771202.5</v>
      </c>
      <c r="V67" s="40">
        <f t="shared" si="2"/>
        <v>10796835</v>
      </c>
      <c r="W67" s="40">
        <f t="shared" si="3"/>
        <v>44729745</v>
      </c>
      <c r="X67" s="2"/>
      <c r="Y67" s="2"/>
      <c r="Z67" s="2"/>
    </row>
    <row r="68" ht="12.75" customHeight="1">
      <c r="A68" s="2"/>
      <c r="B68" s="8" t="s">
        <v>78</v>
      </c>
      <c r="C68" s="8" t="s">
        <v>27</v>
      </c>
      <c r="D68" s="8">
        <v>14.0</v>
      </c>
      <c r="E68" s="20">
        <v>20.0</v>
      </c>
      <c r="F68" s="20">
        <v>88.0</v>
      </c>
      <c r="G68" s="20">
        <v>0.0</v>
      </c>
      <c r="H68" s="21">
        <v>0.0</v>
      </c>
      <c r="I68" s="20">
        <v>3.0</v>
      </c>
      <c r="J68" s="20">
        <v>0.0</v>
      </c>
      <c r="K68" s="20">
        <f t="shared" si="1"/>
        <v>3</v>
      </c>
      <c r="L68" s="20">
        <v>105.0</v>
      </c>
      <c r="M68" s="20">
        <v>95.0</v>
      </c>
      <c r="N68" s="22">
        <v>26.0</v>
      </c>
      <c r="O68" s="20">
        <f t="shared" si="9"/>
        <v>823.3333333</v>
      </c>
      <c r="P68" s="39">
        <v>35.0</v>
      </c>
      <c r="Q68" s="20">
        <v>0.0</v>
      </c>
      <c r="R68" s="20">
        <v>0.0</v>
      </c>
      <c r="S68" s="20">
        <v>0.0</v>
      </c>
      <c r="T68" s="2"/>
      <c r="U68" s="2">
        <v>1497718.5</v>
      </c>
      <c r="V68" s="40">
        <f t="shared" si="2"/>
        <v>4493155.5</v>
      </c>
      <c r="W68" s="40">
        <f t="shared" si="3"/>
        <v>142283257.5</v>
      </c>
      <c r="X68" s="2"/>
      <c r="Y68" s="2"/>
      <c r="Z68" s="2"/>
    </row>
    <row r="69" ht="12.75" customHeight="1">
      <c r="A69" s="2"/>
      <c r="B69" s="8" t="s">
        <v>79</v>
      </c>
      <c r="C69" s="8" t="s">
        <v>27</v>
      </c>
      <c r="D69" s="8">
        <v>14.0</v>
      </c>
      <c r="E69" s="20">
        <v>170.0</v>
      </c>
      <c r="F69" s="20">
        <v>188.0</v>
      </c>
      <c r="G69" s="20">
        <v>0.0</v>
      </c>
      <c r="H69" s="21">
        <v>0.0</v>
      </c>
      <c r="I69" s="20">
        <v>142.0</v>
      </c>
      <c r="J69" s="20">
        <v>0.0</v>
      </c>
      <c r="K69" s="20">
        <f t="shared" si="1"/>
        <v>142</v>
      </c>
      <c r="L69" s="20">
        <v>216.0</v>
      </c>
      <c r="M69" s="20">
        <v>193.0</v>
      </c>
      <c r="N69" s="22">
        <v>26.0</v>
      </c>
      <c r="O69" s="20">
        <f t="shared" si="9"/>
        <v>35.33802817</v>
      </c>
      <c r="P69" s="39">
        <v>1.5211267605633803</v>
      </c>
      <c r="Q69" s="20">
        <v>0.0</v>
      </c>
      <c r="R69" s="20">
        <v>0.0</v>
      </c>
      <c r="S69" s="20">
        <v>0.0</v>
      </c>
      <c r="T69" s="2"/>
      <c r="U69" s="2">
        <v>907060.0</v>
      </c>
      <c r="V69" s="40">
        <f t="shared" si="2"/>
        <v>128802520</v>
      </c>
      <c r="W69" s="40">
        <f t="shared" si="3"/>
        <v>175062580</v>
      </c>
      <c r="X69" s="2"/>
      <c r="Y69" s="2"/>
      <c r="Z69" s="2"/>
    </row>
    <row r="70" ht="12.75" customHeight="1">
      <c r="A70" s="2"/>
      <c r="B70" s="43" t="s">
        <v>134</v>
      </c>
      <c r="C70" s="8" t="s">
        <v>27</v>
      </c>
      <c r="D70" s="8">
        <v>14.0</v>
      </c>
      <c r="E70" s="20">
        <v>720.0</v>
      </c>
      <c r="F70" s="20">
        <v>4875.0</v>
      </c>
      <c r="G70" s="20">
        <v>0.0</v>
      </c>
      <c r="H70" s="21">
        <v>0.0</v>
      </c>
      <c r="I70" s="20">
        <v>0.0</v>
      </c>
      <c r="J70" s="20">
        <v>4935.0</v>
      </c>
      <c r="K70" s="20">
        <f t="shared" si="1"/>
        <v>4935</v>
      </c>
      <c r="L70" s="20">
        <v>660.0</v>
      </c>
      <c r="M70" s="20">
        <v>981.321428571429</v>
      </c>
      <c r="N70" s="22">
        <v>26.0</v>
      </c>
      <c r="O70" s="20">
        <f t="shared" si="9"/>
        <v>5.170082501</v>
      </c>
      <c r="P70" s="39">
        <v>0.1337386018237082</v>
      </c>
      <c r="Q70" s="20">
        <v>750.0</v>
      </c>
      <c r="R70" s="20">
        <v>500.0</v>
      </c>
      <c r="S70" s="20">
        <v>0.0</v>
      </c>
      <c r="T70" s="2"/>
      <c r="U70" s="2">
        <v>823515.0</v>
      </c>
      <c r="V70" s="40">
        <f t="shared" si="2"/>
        <v>4064046525</v>
      </c>
      <c r="W70" s="40">
        <f t="shared" si="3"/>
        <v>808132916.3</v>
      </c>
      <c r="X70" s="2"/>
      <c r="Y70" s="2"/>
      <c r="Z70" s="2"/>
    </row>
    <row r="71" ht="12.75" customHeight="1">
      <c r="A71" s="2"/>
      <c r="B71" s="8" t="s">
        <v>80</v>
      </c>
      <c r="C71" s="8" t="s">
        <v>27</v>
      </c>
      <c r="D71" s="8">
        <v>14.0</v>
      </c>
      <c r="E71" s="20">
        <v>282.0</v>
      </c>
      <c r="F71" s="20">
        <v>451.0</v>
      </c>
      <c r="G71" s="20">
        <v>0.0</v>
      </c>
      <c r="H71" s="21">
        <v>0.0</v>
      </c>
      <c r="I71" s="20">
        <v>0.0</v>
      </c>
      <c r="J71" s="20">
        <v>199.0</v>
      </c>
      <c r="K71" s="20">
        <f t="shared" si="1"/>
        <v>199</v>
      </c>
      <c r="L71" s="20">
        <v>534.0</v>
      </c>
      <c r="M71" s="20">
        <v>602.8000000000001</v>
      </c>
      <c r="N71" s="22">
        <v>26.0</v>
      </c>
      <c r="O71" s="20">
        <f t="shared" si="9"/>
        <v>78.75778894</v>
      </c>
      <c r="P71" s="39">
        <v>2.6834170854271355</v>
      </c>
      <c r="Q71" s="20">
        <v>0.0</v>
      </c>
      <c r="R71" s="20">
        <v>0.0</v>
      </c>
      <c r="S71" s="20">
        <v>0.0</v>
      </c>
      <c r="T71" s="2"/>
      <c r="U71" s="2">
        <v>823515.0</v>
      </c>
      <c r="V71" s="40">
        <f t="shared" si="2"/>
        <v>163879485</v>
      </c>
      <c r="W71" s="40">
        <f t="shared" si="3"/>
        <v>496414842</v>
      </c>
      <c r="X71" s="2"/>
      <c r="Y71" s="2"/>
      <c r="Z71" s="2"/>
    </row>
    <row r="72" ht="12.75" customHeight="1">
      <c r="A72" s="2"/>
      <c r="B72" s="43" t="s">
        <v>135</v>
      </c>
      <c r="C72" s="8" t="s">
        <v>27</v>
      </c>
      <c r="D72" s="8">
        <v>14.0</v>
      </c>
      <c r="E72" s="20">
        <v>0.0</v>
      </c>
      <c r="F72" s="20">
        <v>399.0</v>
      </c>
      <c r="G72" s="20">
        <v>0.0</v>
      </c>
      <c r="H72" s="21">
        <v>0.0</v>
      </c>
      <c r="I72" s="20">
        <v>0.0</v>
      </c>
      <c r="J72" s="20">
        <v>0.0</v>
      </c>
      <c r="K72" s="20">
        <f t="shared" si="1"/>
        <v>0</v>
      </c>
      <c r="L72" s="20">
        <v>399.0</v>
      </c>
      <c r="M72" s="20">
        <v>307.5</v>
      </c>
      <c r="N72" s="22">
        <v>26.0</v>
      </c>
      <c r="O72" s="20">
        <v>0.0</v>
      </c>
      <c r="P72" s="39">
        <v>0.0</v>
      </c>
      <c r="Q72" s="20">
        <v>200.0</v>
      </c>
      <c r="R72" s="20">
        <v>0.0</v>
      </c>
      <c r="S72" s="20">
        <v>0.0</v>
      </c>
      <c r="T72" s="2"/>
      <c r="U72" s="2">
        <v>823515.0</v>
      </c>
      <c r="V72" s="40">
        <f t="shared" si="2"/>
        <v>0</v>
      </c>
      <c r="W72" s="40">
        <f t="shared" si="3"/>
        <v>253230862.5</v>
      </c>
      <c r="X72" s="2"/>
      <c r="Y72" s="2"/>
      <c r="Z72" s="2"/>
    </row>
    <row r="73" ht="12.75" customHeight="1">
      <c r="A73" s="2"/>
      <c r="B73" s="43" t="s">
        <v>136</v>
      </c>
      <c r="C73" s="8" t="s">
        <v>27</v>
      </c>
      <c r="D73" s="8">
        <v>14.0</v>
      </c>
      <c r="E73" s="20">
        <v>100.0</v>
      </c>
      <c r="F73" s="20">
        <v>0.0</v>
      </c>
      <c r="G73" s="20">
        <v>0.0</v>
      </c>
      <c r="H73" s="21">
        <v>0.0</v>
      </c>
      <c r="I73" s="20">
        <v>0.0</v>
      </c>
      <c r="J73" s="20">
        <v>0.0</v>
      </c>
      <c r="K73" s="20">
        <f t="shared" si="1"/>
        <v>0</v>
      </c>
      <c r="L73" s="20">
        <v>100.0</v>
      </c>
      <c r="M73" s="20">
        <v>0.0</v>
      </c>
      <c r="N73" s="22">
        <v>26.0</v>
      </c>
      <c r="O73" s="20">
        <v>0.0</v>
      </c>
      <c r="P73" s="39">
        <v>0.0</v>
      </c>
      <c r="Q73" s="20">
        <v>0.0</v>
      </c>
      <c r="R73" s="20">
        <v>0.0</v>
      </c>
      <c r="S73" s="20">
        <v>0.0</v>
      </c>
      <c r="T73" s="2"/>
      <c r="U73" s="2">
        <v>823515.0</v>
      </c>
      <c r="V73" s="40">
        <f t="shared" si="2"/>
        <v>0</v>
      </c>
      <c r="W73" s="40">
        <f t="shared" si="3"/>
        <v>0</v>
      </c>
      <c r="X73" s="2"/>
      <c r="Y73" s="2"/>
      <c r="Z73" s="2"/>
    </row>
    <row r="74" ht="12.75" customHeight="1">
      <c r="A74" s="2"/>
      <c r="B74" s="8" t="s">
        <v>82</v>
      </c>
      <c r="C74" s="8" t="s">
        <v>27</v>
      </c>
      <c r="D74" s="8">
        <v>14.0</v>
      </c>
      <c r="E74" s="20">
        <v>565.0</v>
      </c>
      <c r="F74" s="20">
        <v>0.0</v>
      </c>
      <c r="G74" s="20">
        <v>0.0</v>
      </c>
      <c r="H74" s="21">
        <v>0.0</v>
      </c>
      <c r="I74" s="20">
        <v>0.0</v>
      </c>
      <c r="J74" s="20">
        <v>194.0</v>
      </c>
      <c r="K74" s="20">
        <f t="shared" si="1"/>
        <v>194</v>
      </c>
      <c r="L74" s="20">
        <v>371.0</v>
      </c>
      <c r="M74" s="20">
        <v>446.5</v>
      </c>
      <c r="N74" s="22">
        <v>26.0</v>
      </c>
      <c r="O74" s="20">
        <f t="shared" ref="O74:O79" si="10">(M74/(I74+J74))*N74</f>
        <v>59.84020619</v>
      </c>
      <c r="P74" s="39">
        <v>1.9123711340206186</v>
      </c>
      <c r="Q74" s="20">
        <v>0.0</v>
      </c>
      <c r="R74" s="20">
        <v>0.0</v>
      </c>
      <c r="S74" s="20">
        <v>0.0</v>
      </c>
      <c r="T74" s="2"/>
      <c r="U74" s="2">
        <v>823515.0</v>
      </c>
      <c r="V74" s="40">
        <f t="shared" si="2"/>
        <v>159761910</v>
      </c>
      <c r="W74" s="40">
        <f t="shared" si="3"/>
        <v>367699447.5</v>
      </c>
      <c r="X74" s="2"/>
      <c r="Y74" s="2"/>
      <c r="Z74" s="2"/>
    </row>
    <row r="75" ht="12.75" customHeight="1">
      <c r="A75" s="2"/>
      <c r="B75" s="8" t="s">
        <v>84</v>
      </c>
      <c r="C75" s="8" t="s">
        <v>27</v>
      </c>
      <c r="D75" s="8">
        <v>14.0</v>
      </c>
      <c r="E75" s="20">
        <v>31.0</v>
      </c>
      <c r="F75" s="20">
        <v>0.0</v>
      </c>
      <c r="G75" s="20">
        <v>0.0</v>
      </c>
      <c r="H75" s="21">
        <v>0.0</v>
      </c>
      <c r="I75" s="20">
        <v>4.0</v>
      </c>
      <c r="J75" s="20">
        <v>0.0</v>
      </c>
      <c r="K75" s="20">
        <f t="shared" si="1"/>
        <v>4</v>
      </c>
      <c r="L75" s="20">
        <v>27.0</v>
      </c>
      <c r="M75" s="20">
        <v>27.0</v>
      </c>
      <c r="N75" s="22">
        <v>26.0</v>
      </c>
      <c r="O75" s="20">
        <f t="shared" si="10"/>
        <v>175.5</v>
      </c>
      <c r="P75" s="39">
        <v>6.75</v>
      </c>
      <c r="Q75" s="20">
        <v>0.0</v>
      </c>
      <c r="R75" s="20">
        <v>0.0</v>
      </c>
      <c r="S75" s="20">
        <v>0.0</v>
      </c>
      <c r="T75" s="2"/>
      <c r="U75" s="2">
        <v>604345.0</v>
      </c>
      <c r="V75" s="40">
        <f t="shared" si="2"/>
        <v>2417380</v>
      </c>
      <c r="W75" s="40">
        <f t="shared" si="3"/>
        <v>16317315</v>
      </c>
      <c r="X75" s="2"/>
      <c r="Y75" s="2"/>
      <c r="Z75" s="2"/>
    </row>
    <row r="76" ht="12.75" customHeight="1">
      <c r="A76" s="2"/>
      <c r="B76" s="8" t="s">
        <v>113</v>
      </c>
      <c r="C76" s="8" t="s">
        <v>27</v>
      </c>
      <c r="D76" s="8">
        <v>14.0</v>
      </c>
      <c r="E76" s="20">
        <v>5.0</v>
      </c>
      <c r="F76" s="20">
        <v>6.0</v>
      </c>
      <c r="G76" s="20">
        <v>0.0</v>
      </c>
      <c r="H76" s="21">
        <v>0.0</v>
      </c>
      <c r="I76" s="20">
        <v>11.0</v>
      </c>
      <c r="J76" s="20">
        <v>0.0</v>
      </c>
      <c r="K76" s="20">
        <f t="shared" si="1"/>
        <v>11</v>
      </c>
      <c r="L76" s="20">
        <v>0.0</v>
      </c>
      <c r="M76" s="20">
        <v>2.0</v>
      </c>
      <c r="N76" s="22">
        <v>26.0</v>
      </c>
      <c r="O76" s="20">
        <f t="shared" si="10"/>
        <v>4.727272727</v>
      </c>
      <c r="P76" s="39">
        <v>0.0</v>
      </c>
      <c r="Q76" s="20">
        <v>0.0</v>
      </c>
      <c r="R76" s="20">
        <v>118.0</v>
      </c>
      <c r="S76" s="20">
        <v>0.0</v>
      </c>
      <c r="T76" s="2"/>
      <c r="U76" s="2">
        <v>597835.0</v>
      </c>
      <c r="V76" s="40">
        <f t="shared" si="2"/>
        <v>6576185</v>
      </c>
      <c r="W76" s="40">
        <f t="shared" si="3"/>
        <v>1195670</v>
      </c>
      <c r="X76" s="2"/>
      <c r="Y76" s="2"/>
      <c r="Z76" s="2"/>
    </row>
    <row r="77" ht="12.75" customHeight="1">
      <c r="A77" s="2"/>
      <c r="B77" s="8" t="s">
        <v>86</v>
      </c>
      <c r="C77" s="8" t="s">
        <v>27</v>
      </c>
      <c r="D77" s="8">
        <v>14.0</v>
      </c>
      <c r="E77" s="20">
        <v>238.0</v>
      </c>
      <c r="F77" s="20">
        <v>604.0</v>
      </c>
      <c r="G77" s="20">
        <v>0.0</v>
      </c>
      <c r="H77" s="21">
        <v>0.0</v>
      </c>
      <c r="I77" s="20">
        <v>408.0</v>
      </c>
      <c r="J77" s="20">
        <v>0.0</v>
      </c>
      <c r="K77" s="20">
        <f t="shared" si="1"/>
        <v>408</v>
      </c>
      <c r="L77" s="20">
        <v>434.0</v>
      </c>
      <c r="M77" s="20">
        <v>437.8</v>
      </c>
      <c r="N77" s="22">
        <v>26.0</v>
      </c>
      <c r="O77" s="20">
        <f t="shared" si="10"/>
        <v>27.89901961</v>
      </c>
      <c r="P77" s="39">
        <v>1.0637254901960784</v>
      </c>
      <c r="Q77" s="20">
        <v>0.0</v>
      </c>
      <c r="R77" s="20">
        <v>100.0</v>
      </c>
      <c r="S77" s="20">
        <v>0.0</v>
      </c>
      <c r="T77" s="2"/>
      <c r="U77" s="2">
        <v>937285.0</v>
      </c>
      <c r="V77" s="40">
        <f t="shared" si="2"/>
        <v>382412280</v>
      </c>
      <c r="W77" s="40">
        <f t="shared" si="3"/>
        <v>410343373</v>
      </c>
      <c r="X77" s="2"/>
      <c r="Y77" s="2"/>
      <c r="Z77" s="2"/>
    </row>
    <row r="78" ht="12.75" customHeight="1">
      <c r="A78" s="2"/>
      <c r="B78" s="43" t="s">
        <v>137</v>
      </c>
      <c r="C78" s="8" t="s">
        <v>27</v>
      </c>
      <c r="D78" s="8">
        <v>14.0</v>
      </c>
      <c r="E78" s="20">
        <v>106.0</v>
      </c>
      <c r="F78" s="20">
        <v>533.0</v>
      </c>
      <c r="G78" s="20">
        <v>0.0</v>
      </c>
      <c r="H78" s="21">
        <v>0.0</v>
      </c>
      <c r="I78" s="20">
        <v>250.0</v>
      </c>
      <c r="J78" s="20">
        <v>168.0</v>
      </c>
      <c r="K78" s="20">
        <f t="shared" si="1"/>
        <v>418</v>
      </c>
      <c r="L78" s="20">
        <v>221.0</v>
      </c>
      <c r="M78" s="20">
        <v>181.666666666667</v>
      </c>
      <c r="N78" s="22">
        <v>26.0</v>
      </c>
      <c r="O78" s="20">
        <f t="shared" si="10"/>
        <v>11.29984051</v>
      </c>
      <c r="P78" s="39">
        <v>0.5287081339712919</v>
      </c>
      <c r="Q78" s="20">
        <v>13.0</v>
      </c>
      <c r="R78" s="20">
        <v>450.0</v>
      </c>
      <c r="S78" s="20">
        <v>0.0</v>
      </c>
      <c r="T78" s="2"/>
      <c r="U78" s="2">
        <v>1402595.0</v>
      </c>
      <c r="V78" s="40">
        <f t="shared" si="2"/>
        <v>586284710</v>
      </c>
      <c r="W78" s="40">
        <f t="shared" si="3"/>
        <v>254804758.3</v>
      </c>
      <c r="X78" s="2"/>
      <c r="Y78" s="2"/>
      <c r="Z78" s="2"/>
    </row>
    <row r="79" ht="12.75" customHeight="1">
      <c r="A79" s="2"/>
      <c r="B79" s="8" t="s">
        <v>87</v>
      </c>
      <c r="C79" s="8" t="s">
        <v>27</v>
      </c>
      <c r="D79" s="8">
        <v>14.0</v>
      </c>
      <c r="E79" s="20">
        <v>16.0</v>
      </c>
      <c r="F79" s="20">
        <v>0.0</v>
      </c>
      <c r="G79" s="20">
        <v>0.0</v>
      </c>
      <c r="H79" s="21">
        <v>0.0</v>
      </c>
      <c r="I79" s="20">
        <v>10.0</v>
      </c>
      <c r="J79" s="20">
        <v>0.0</v>
      </c>
      <c r="K79" s="20">
        <f t="shared" si="1"/>
        <v>10</v>
      </c>
      <c r="L79" s="20">
        <v>6.0</v>
      </c>
      <c r="M79" s="20">
        <v>9.0</v>
      </c>
      <c r="N79" s="22">
        <v>26.0</v>
      </c>
      <c r="O79" s="20">
        <f t="shared" si="10"/>
        <v>23.4</v>
      </c>
      <c r="P79" s="39">
        <v>0.6</v>
      </c>
      <c r="Q79" s="20">
        <v>0.0</v>
      </c>
      <c r="R79" s="20">
        <v>0.0</v>
      </c>
      <c r="S79" s="20">
        <v>0.0</v>
      </c>
      <c r="T79" s="2"/>
      <c r="U79" s="2">
        <v>1.0957105E7</v>
      </c>
      <c r="V79" s="40">
        <f t="shared" si="2"/>
        <v>109571050</v>
      </c>
      <c r="W79" s="40">
        <f t="shared" si="3"/>
        <v>98613945</v>
      </c>
      <c r="X79" s="2"/>
      <c r="Y79" s="2"/>
      <c r="Z79" s="2"/>
    </row>
    <row r="80" ht="12.75" customHeight="1">
      <c r="A80" s="2"/>
      <c r="B80" s="43" t="s">
        <v>138</v>
      </c>
      <c r="C80" s="8" t="s">
        <v>27</v>
      </c>
      <c r="D80" s="8">
        <v>14.0</v>
      </c>
      <c r="E80" s="20">
        <v>0.0</v>
      </c>
      <c r="F80" s="20">
        <v>16.0</v>
      </c>
      <c r="G80" s="20">
        <v>0.0</v>
      </c>
      <c r="H80" s="21">
        <v>0.0</v>
      </c>
      <c r="I80" s="20">
        <v>0.0</v>
      </c>
      <c r="J80" s="20">
        <v>0.0</v>
      </c>
      <c r="K80" s="20">
        <f t="shared" si="1"/>
        <v>0</v>
      </c>
      <c r="L80" s="20">
        <v>16.0</v>
      </c>
      <c r="M80" s="20">
        <v>16.0</v>
      </c>
      <c r="N80" s="22">
        <v>26.0</v>
      </c>
      <c r="O80" s="20">
        <v>0.0</v>
      </c>
      <c r="P80" s="39">
        <v>0.0</v>
      </c>
      <c r="Q80" s="20">
        <v>0.0</v>
      </c>
      <c r="R80" s="20">
        <v>0.0</v>
      </c>
      <c r="S80" s="20">
        <v>0.0</v>
      </c>
      <c r="T80" s="2"/>
      <c r="U80" s="2">
        <v>1.0957105E7</v>
      </c>
      <c r="V80" s="40">
        <f t="shared" si="2"/>
        <v>0</v>
      </c>
      <c r="W80" s="40">
        <f t="shared" si="3"/>
        <v>175313680</v>
      </c>
      <c r="X80" s="2"/>
      <c r="Y80" s="2"/>
      <c r="Z80" s="2"/>
    </row>
    <row r="81" ht="12.75" customHeight="1">
      <c r="A81" s="2"/>
      <c r="B81" s="8" t="s">
        <v>88</v>
      </c>
      <c r="C81" s="8" t="s">
        <v>27</v>
      </c>
      <c r="D81" s="8">
        <v>14.0</v>
      </c>
      <c r="E81" s="20">
        <v>478.0</v>
      </c>
      <c r="F81" s="20">
        <v>1312.0</v>
      </c>
      <c r="G81" s="20">
        <v>0.0</v>
      </c>
      <c r="H81" s="21">
        <v>0.0</v>
      </c>
      <c r="I81" s="20">
        <v>915.0</v>
      </c>
      <c r="J81" s="20">
        <v>210.0</v>
      </c>
      <c r="K81" s="20">
        <f t="shared" si="1"/>
        <v>1125</v>
      </c>
      <c r="L81" s="20">
        <v>665.0</v>
      </c>
      <c r="M81" s="20">
        <v>783.0</v>
      </c>
      <c r="N81" s="22">
        <v>26.0</v>
      </c>
      <c r="O81" s="20">
        <f t="shared" ref="O81:O89" si="11">(M81/(I81+J81))*N81</f>
        <v>18.096</v>
      </c>
      <c r="P81" s="39">
        <v>0.5911111111111111</v>
      </c>
      <c r="Q81" s="20">
        <v>0.0</v>
      </c>
      <c r="R81" s="20">
        <v>500.0</v>
      </c>
      <c r="S81" s="20">
        <v>0.0</v>
      </c>
      <c r="T81" s="2"/>
      <c r="U81" s="2">
        <v>1322925.0</v>
      </c>
      <c r="V81" s="40">
        <f t="shared" si="2"/>
        <v>1488290625</v>
      </c>
      <c r="W81" s="40">
        <f t="shared" si="3"/>
        <v>1035850275</v>
      </c>
      <c r="X81" s="2"/>
      <c r="Y81" s="2"/>
      <c r="Z81" s="2"/>
    </row>
    <row r="82" ht="12.75" customHeight="1">
      <c r="A82" s="2"/>
      <c r="B82" s="8" t="s">
        <v>89</v>
      </c>
      <c r="C82" s="8" t="s">
        <v>27</v>
      </c>
      <c r="D82" s="8">
        <v>14.0</v>
      </c>
      <c r="E82" s="20">
        <v>48.0</v>
      </c>
      <c r="F82" s="20">
        <v>87.0</v>
      </c>
      <c r="G82" s="20">
        <v>0.0</v>
      </c>
      <c r="H82" s="21">
        <v>0.0</v>
      </c>
      <c r="I82" s="20">
        <v>34.0</v>
      </c>
      <c r="J82" s="20">
        <v>0.0</v>
      </c>
      <c r="K82" s="20">
        <f t="shared" si="1"/>
        <v>34</v>
      </c>
      <c r="L82" s="20">
        <v>101.0</v>
      </c>
      <c r="M82" s="20">
        <v>112.0</v>
      </c>
      <c r="N82" s="22">
        <v>26.0</v>
      </c>
      <c r="O82" s="20">
        <f t="shared" si="11"/>
        <v>85.64705882</v>
      </c>
      <c r="P82" s="39">
        <v>2.9705882352941178</v>
      </c>
      <c r="Q82" s="20">
        <v>0.0</v>
      </c>
      <c r="R82" s="20">
        <v>0.0</v>
      </c>
      <c r="S82" s="20">
        <v>0.0</v>
      </c>
      <c r="T82" s="2"/>
      <c r="U82" s="2">
        <v>1027805.0</v>
      </c>
      <c r="V82" s="40">
        <f t="shared" si="2"/>
        <v>34945370</v>
      </c>
      <c r="W82" s="40">
        <f t="shared" si="3"/>
        <v>115114160</v>
      </c>
      <c r="X82" s="2"/>
      <c r="Y82" s="2"/>
      <c r="Z82" s="2"/>
    </row>
    <row r="83" ht="12.75" customHeight="1">
      <c r="A83" s="2"/>
      <c r="B83" s="8" t="s">
        <v>115</v>
      </c>
      <c r="C83" s="8" t="s">
        <v>27</v>
      </c>
      <c r="D83" s="8">
        <v>14.0</v>
      </c>
      <c r="E83" s="20">
        <v>40.0</v>
      </c>
      <c r="F83" s="20">
        <v>0.0</v>
      </c>
      <c r="G83" s="20">
        <v>0.0</v>
      </c>
      <c r="H83" s="21">
        <v>0.0</v>
      </c>
      <c r="I83" s="20">
        <v>0.0</v>
      </c>
      <c r="J83" s="20">
        <v>22.0</v>
      </c>
      <c r="K83" s="20">
        <f t="shared" si="1"/>
        <v>22</v>
      </c>
      <c r="L83" s="20">
        <v>18.0</v>
      </c>
      <c r="M83" s="20">
        <v>19.0</v>
      </c>
      <c r="N83" s="22">
        <v>26.0</v>
      </c>
      <c r="O83" s="20">
        <f t="shared" si="11"/>
        <v>22.45454545</v>
      </c>
      <c r="P83" s="39">
        <v>0.8181818181818182</v>
      </c>
      <c r="Q83" s="20">
        <v>0.0</v>
      </c>
      <c r="R83" s="20">
        <v>50.0</v>
      </c>
      <c r="S83" s="20">
        <v>0.0</v>
      </c>
      <c r="T83" s="2"/>
      <c r="U83" s="2">
        <v>746480.0</v>
      </c>
      <c r="V83" s="40">
        <f t="shared" si="2"/>
        <v>16422560</v>
      </c>
      <c r="W83" s="40">
        <f t="shared" si="3"/>
        <v>14183120</v>
      </c>
      <c r="X83" s="2"/>
      <c r="Y83" s="2"/>
      <c r="Z83" s="2"/>
    </row>
    <row r="84" ht="12.75" customHeight="1">
      <c r="A84" s="2"/>
      <c r="B84" s="8" t="s">
        <v>90</v>
      </c>
      <c r="C84" s="8" t="s">
        <v>27</v>
      </c>
      <c r="D84" s="8">
        <v>14.0</v>
      </c>
      <c r="E84" s="20">
        <v>63.0</v>
      </c>
      <c r="F84" s="20">
        <v>484.0</v>
      </c>
      <c r="G84" s="20">
        <v>0.0</v>
      </c>
      <c r="H84" s="21">
        <v>0.0</v>
      </c>
      <c r="I84" s="20">
        <v>292.0</v>
      </c>
      <c r="J84" s="20">
        <v>48.0</v>
      </c>
      <c r="K84" s="20">
        <f t="shared" si="1"/>
        <v>340</v>
      </c>
      <c r="L84" s="20">
        <v>207.0</v>
      </c>
      <c r="M84" s="20">
        <v>249.875</v>
      </c>
      <c r="N84" s="22">
        <v>26.0</v>
      </c>
      <c r="O84" s="20">
        <f t="shared" si="11"/>
        <v>19.10808824</v>
      </c>
      <c r="P84" s="39">
        <v>0.6088235294117647</v>
      </c>
      <c r="Q84" s="20">
        <v>0.0</v>
      </c>
      <c r="R84" s="20">
        <v>100.0</v>
      </c>
      <c r="S84" s="20">
        <v>0.0</v>
      </c>
      <c r="T84" s="2"/>
      <c r="U84" s="2">
        <v>1372215.0</v>
      </c>
      <c r="V84" s="40">
        <f t="shared" si="2"/>
        <v>466553100</v>
      </c>
      <c r="W84" s="40">
        <f t="shared" si="3"/>
        <v>342882223.1</v>
      </c>
      <c r="X84" s="2"/>
      <c r="Y84" s="2"/>
      <c r="Z84" s="2"/>
    </row>
    <row r="85" ht="12.75" customHeight="1">
      <c r="A85" s="2"/>
      <c r="B85" s="8" t="s">
        <v>91</v>
      </c>
      <c r="C85" s="8" t="s">
        <v>27</v>
      </c>
      <c r="D85" s="8">
        <v>14.0</v>
      </c>
      <c r="E85" s="20">
        <v>72.0</v>
      </c>
      <c r="F85" s="20">
        <v>0.0</v>
      </c>
      <c r="G85" s="20">
        <v>0.0</v>
      </c>
      <c r="H85" s="21">
        <v>0.0</v>
      </c>
      <c r="I85" s="20">
        <v>32.0</v>
      </c>
      <c r="J85" s="20">
        <v>0.0</v>
      </c>
      <c r="K85" s="20">
        <f t="shared" si="1"/>
        <v>32</v>
      </c>
      <c r="L85" s="20">
        <v>40.0</v>
      </c>
      <c r="M85" s="20">
        <v>52.5714285714286</v>
      </c>
      <c r="N85" s="22">
        <v>26.0</v>
      </c>
      <c r="O85" s="20">
        <f t="shared" si="11"/>
        <v>42.71428571</v>
      </c>
      <c r="P85" s="39">
        <v>1.25</v>
      </c>
      <c r="Q85" s="20">
        <v>0.0</v>
      </c>
      <c r="R85" s="20">
        <v>36.0</v>
      </c>
      <c r="S85" s="20">
        <v>0.0</v>
      </c>
      <c r="T85" s="2"/>
      <c r="U85" s="2">
        <v>6276182.5</v>
      </c>
      <c r="V85" s="40">
        <f t="shared" si="2"/>
        <v>200837840</v>
      </c>
      <c r="W85" s="40">
        <f t="shared" si="3"/>
        <v>329947880</v>
      </c>
      <c r="X85" s="2"/>
      <c r="Y85" s="2"/>
      <c r="Z85" s="2"/>
    </row>
    <row r="86" ht="12.75" customHeight="1">
      <c r="A86" s="2"/>
      <c r="B86" s="8" t="s">
        <v>116</v>
      </c>
      <c r="C86" s="8" t="s">
        <v>27</v>
      </c>
      <c r="D86" s="8">
        <v>14.0</v>
      </c>
      <c r="E86" s="20">
        <v>32.0</v>
      </c>
      <c r="F86" s="20">
        <v>65.0</v>
      </c>
      <c r="G86" s="20">
        <v>0.0</v>
      </c>
      <c r="H86" s="21">
        <v>0.0</v>
      </c>
      <c r="I86" s="20">
        <v>16.0</v>
      </c>
      <c r="J86" s="20">
        <v>0.0</v>
      </c>
      <c r="K86" s="20">
        <f t="shared" si="1"/>
        <v>16</v>
      </c>
      <c r="L86" s="20">
        <v>81.0</v>
      </c>
      <c r="M86" s="20">
        <v>65.8333333333333</v>
      </c>
      <c r="N86" s="22">
        <v>26.0</v>
      </c>
      <c r="O86" s="20">
        <f t="shared" si="11"/>
        <v>106.9791667</v>
      </c>
      <c r="P86" s="39">
        <v>5.0625</v>
      </c>
      <c r="Q86" s="20">
        <v>0.0</v>
      </c>
      <c r="R86" s="20">
        <v>0.0</v>
      </c>
      <c r="S86" s="20">
        <v>0.0</v>
      </c>
      <c r="T86" s="2"/>
      <c r="U86" s="2">
        <v>6276182.5</v>
      </c>
      <c r="V86" s="40">
        <f t="shared" si="2"/>
        <v>100418920</v>
      </c>
      <c r="W86" s="40">
        <f t="shared" si="3"/>
        <v>413182014.6</v>
      </c>
      <c r="X86" s="2"/>
      <c r="Y86" s="2"/>
      <c r="Z86" s="2"/>
    </row>
    <row r="87" ht="12.75" customHeight="1">
      <c r="A87" s="2"/>
      <c r="B87" s="8" t="s">
        <v>92</v>
      </c>
      <c r="C87" s="8" t="s">
        <v>27</v>
      </c>
      <c r="D87" s="8">
        <v>14.0</v>
      </c>
      <c r="E87" s="20">
        <v>147.0</v>
      </c>
      <c r="F87" s="20">
        <v>0.0</v>
      </c>
      <c r="G87" s="20">
        <v>0.0</v>
      </c>
      <c r="H87" s="21">
        <v>0.0</v>
      </c>
      <c r="I87" s="20">
        <v>93.0</v>
      </c>
      <c r="J87" s="20">
        <v>0.0</v>
      </c>
      <c r="K87" s="20">
        <f t="shared" si="1"/>
        <v>93</v>
      </c>
      <c r="L87" s="20">
        <v>54.0</v>
      </c>
      <c r="M87" s="20">
        <v>82.6666666666667</v>
      </c>
      <c r="N87" s="22">
        <v>26.0</v>
      </c>
      <c r="O87" s="20">
        <f t="shared" si="11"/>
        <v>23.11111111</v>
      </c>
      <c r="P87" s="39">
        <v>0.5806451612903226</v>
      </c>
      <c r="Q87" s="20">
        <v>0.0</v>
      </c>
      <c r="R87" s="20">
        <v>0.0</v>
      </c>
      <c r="S87" s="20">
        <v>0.0</v>
      </c>
      <c r="T87" s="2"/>
      <c r="U87" s="2">
        <v>848935.0</v>
      </c>
      <c r="V87" s="40">
        <f t="shared" si="2"/>
        <v>78950955</v>
      </c>
      <c r="W87" s="40">
        <f t="shared" si="3"/>
        <v>70178626.67</v>
      </c>
      <c r="X87" s="2"/>
      <c r="Y87" s="2"/>
      <c r="Z87" s="2"/>
    </row>
    <row r="88" ht="12.75" customHeight="1">
      <c r="A88" s="2"/>
      <c r="B88" s="8" t="s">
        <v>93</v>
      </c>
      <c r="C88" s="8" t="s">
        <v>27</v>
      </c>
      <c r="D88" s="8">
        <v>14.0</v>
      </c>
      <c r="E88" s="20">
        <v>143.0</v>
      </c>
      <c r="F88" s="20">
        <v>0.0</v>
      </c>
      <c r="G88" s="20">
        <v>0.0</v>
      </c>
      <c r="H88" s="21">
        <v>0.0</v>
      </c>
      <c r="I88" s="20">
        <v>0.0</v>
      </c>
      <c r="J88" s="20">
        <v>143.0</v>
      </c>
      <c r="K88" s="20">
        <f t="shared" si="1"/>
        <v>143</v>
      </c>
      <c r="L88" s="20">
        <v>0.0</v>
      </c>
      <c r="M88" s="20">
        <v>35.5</v>
      </c>
      <c r="N88" s="22">
        <v>26.0</v>
      </c>
      <c r="O88" s="20">
        <f t="shared" si="11"/>
        <v>6.454545455</v>
      </c>
      <c r="P88" s="39">
        <v>0.0</v>
      </c>
      <c r="Q88" s="20">
        <v>0.0</v>
      </c>
      <c r="R88" s="20">
        <v>0.0</v>
      </c>
      <c r="S88" s="20">
        <v>0.0</v>
      </c>
      <c r="T88" s="2"/>
      <c r="U88" s="2">
        <v>923955.0</v>
      </c>
      <c r="V88" s="40">
        <f t="shared" si="2"/>
        <v>132125565</v>
      </c>
      <c r="W88" s="40">
        <f t="shared" si="3"/>
        <v>32800402.5</v>
      </c>
      <c r="X88" s="2"/>
      <c r="Y88" s="2"/>
      <c r="Z88" s="2"/>
    </row>
    <row r="89" ht="12.75" customHeight="1">
      <c r="A89" s="2"/>
      <c r="B89" s="43" t="s">
        <v>139</v>
      </c>
      <c r="C89" s="8" t="s">
        <v>27</v>
      </c>
      <c r="D89" s="8">
        <v>14.0</v>
      </c>
      <c r="E89" s="20">
        <v>304.0</v>
      </c>
      <c r="F89" s="20">
        <v>0.0</v>
      </c>
      <c r="G89" s="20">
        <v>0.0</v>
      </c>
      <c r="H89" s="21">
        <v>0.0</v>
      </c>
      <c r="I89" s="20">
        <v>0.0</v>
      </c>
      <c r="J89" s="20">
        <v>211.0</v>
      </c>
      <c r="K89" s="20">
        <f t="shared" si="1"/>
        <v>211</v>
      </c>
      <c r="L89" s="20">
        <v>93.0</v>
      </c>
      <c r="M89" s="20">
        <v>144.0</v>
      </c>
      <c r="N89" s="22">
        <v>26.0</v>
      </c>
      <c r="O89" s="20">
        <f t="shared" si="11"/>
        <v>17.74407583</v>
      </c>
      <c r="P89" s="39">
        <v>0.44075829383886256</v>
      </c>
      <c r="Q89" s="20">
        <v>0.0</v>
      </c>
      <c r="R89" s="20">
        <v>300.0</v>
      </c>
      <c r="S89" s="20">
        <v>0.0</v>
      </c>
      <c r="T89" s="2"/>
      <c r="U89" s="2">
        <v>923955.0</v>
      </c>
      <c r="V89" s="40">
        <f t="shared" si="2"/>
        <v>194954505</v>
      </c>
      <c r="W89" s="40">
        <f t="shared" si="3"/>
        <v>133049520</v>
      </c>
      <c r="X89" s="2"/>
      <c r="Y89" s="2"/>
      <c r="Z89" s="2"/>
    </row>
    <row r="90" ht="12.75" customHeight="1">
      <c r="A90" s="2"/>
      <c r="B90" s="43" t="s">
        <v>140</v>
      </c>
      <c r="C90" s="8" t="s">
        <v>27</v>
      </c>
      <c r="D90" s="8">
        <v>14.0</v>
      </c>
      <c r="E90" s="20">
        <v>0.0</v>
      </c>
      <c r="F90" s="20">
        <v>0.0</v>
      </c>
      <c r="G90" s="20">
        <v>0.0</v>
      </c>
      <c r="H90" s="21">
        <v>0.0</v>
      </c>
      <c r="I90" s="20">
        <v>0.0</v>
      </c>
      <c r="J90" s="20">
        <v>0.0</v>
      </c>
      <c r="K90" s="20">
        <f t="shared" si="1"/>
        <v>0</v>
      </c>
      <c r="L90" s="20">
        <v>0.0</v>
      </c>
      <c r="M90" s="20">
        <v>0.0</v>
      </c>
      <c r="N90" s="22">
        <v>26.0</v>
      </c>
      <c r="O90" s="20">
        <v>0.0</v>
      </c>
      <c r="P90" s="39">
        <v>0.0</v>
      </c>
      <c r="Q90" s="20">
        <v>100.0</v>
      </c>
      <c r="R90" s="20">
        <v>0.0</v>
      </c>
      <c r="S90" s="20">
        <v>0.0</v>
      </c>
      <c r="T90" s="2"/>
      <c r="U90" s="2">
        <v>923955.0</v>
      </c>
      <c r="V90" s="40">
        <f t="shared" si="2"/>
        <v>0</v>
      </c>
      <c r="W90" s="40">
        <f t="shared" si="3"/>
        <v>0</v>
      </c>
      <c r="X90" s="2"/>
      <c r="Y90" s="2"/>
      <c r="Z90" s="2"/>
    </row>
    <row r="91" ht="12.75" customHeight="1">
      <c r="A91" s="2"/>
      <c r="B91" s="8" t="s">
        <v>117</v>
      </c>
      <c r="C91" s="8" t="s">
        <v>27</v>
      </c>
      <c r="D91" s="8">
        <v>14.0</v>
      </c>
      <c r="E91" s="20">
        <v>36.0</v>
      </c>
      <c r="F91" s="20">
        <v>88.0</v>
      </c>
      <c r="G91" s="20">
        <v>0.0</v>
      </c>
      <c r="H91" s="21">
        <v>0.0</v>
      </c>
      <c r="I91" s="20">
        <v>72.0</v>
      </c>
      <c r="J91" s="20">
        <v>0.0</v>
      </c>
      <c r="K91" s="20">
        <f t="shared" si="1"/>
        <v>72</v>
      </c>
      <c r="L91" s="20">
        <v>52.0</v>
      </c>
      <c r="M91" s="20">
        <v>56.3333333333333</v>
      </c>
      <c r="N91" s="22">
        <v>26.0</v>
      </c>
      <c r="O91" s="20">
        <f t="shared" ref="O91:O92" si="12">(M91/(I91+J91))*N91</f>
        <v>20.34259259</v>
      </c>
      <c r="P91" s="39">
        <v>0.7222222222222222</v>
      </c>
      <c r="Q91" s="20">
        <v>0.0</v>
      </c>
      <c r="R91" s="20">
        <v>0.0</v>
      </c>
      <c r="S91" s="20">
        <v>0.0</v>
      </c>
      <c r="T91" s="2"/>
      <c r="U91" s="2">
        <v>1345865.0</v>
      </c>
      <c r="V91" s="40">
        <f t="shared" si="2"/>
        <v>96902280</v>
      </c>
      <c r="W91" s="40">
        <f t="shared" si="3"/>
        <v>75817061.67</v>
      </c>
      <c r="X91" s="2"/>
      <c r="Y91" s="2"/>
      <c r="Z91" s="2"/>
    </row>
    <row r="92" ht="12.75" customHeight="1">
      <c r="A92" s="2"/>
      <c r="B92" s="8" t="s">
        <v>94</v>
      </c>
      <c r="C92" s="8" t="s">
        <v>27</v>
      </c>
      <c r="D92" s="8">
        <v>14.0</v>
      </c>
      <c r="E92" s="20">
        <v>173.0</v>
      </c>
      <c r="F92" s="20">
        <v>703.0</v>
      </c>
      <c r="G92" s="20">
        <v>0.0</v>
      </c>
      <c r="H92" s="21">
        <v>0.0</v>
      </c>
      <c r="I92" s="20">
        <v>0.0</v>
      </c>
      <c r="J92" s="20">
        <v>854.0</v>
      </c>
      <c r="K92" s="20">
        <f t="shared" si="1"/>
        <v>854</v>
      </c>
      <c r="L92" s="20">
        <v>22.0</v>
      </c>
      <c r="M92" s="20">
        <v>279.0</v>
      </c>
      <c r="N92" s="22">
        <v>26.0</v>
      </c>
      <c r="O92" s="20">
        <f t="shared" si="12"/>
        <v>8.494145199</v>
      </c>
      <c r="P92" s="39">
        <v>0.02576112412177986</v>
      </c>
      <c r="Q92" s="20">
        <v>0.0</v>
      </c>
      <c r="R92" s="20">
        <v>608.0</v>
      </c>
      <c r="S92" s="20">
        <v>0.0</v>
      </c>
      <c r="T92" s="2"/>
      <c r="U92" s="2">
        <v>923955.0</v>
      </c>
      <c r="V92" s="40">
        <f t="shared" si="2"/>
        <v>789057570</v>
      </c>
      <c r="W92" s="40">
        <f t="shared" si="3"/>
        <v>257783445</v>
      </c>
      <c r="X92" s="2"/>
      <c r="Y92" s="2"/>
      <c r="Z92" s="2"/>
    </row>
    <row r="93" ht="12.75" customHeight="1">
      <c r="A93" s="2"/>
      <c r="B93" s="8" t="s">
        <v>141</v>
      </c>
      <c r="C93" s="8" t="s">
        <v>27</v>
      </c>
      <c r="D93" s="8">
        <v>14.0</v>
      </c>
      <c r="E93" s="20">
        <v>0.0</v>
      </c>
      <c r="F93" s="20">
        <v>102.0</v>
      </c>
      <c r="G93" s="20">
        <v>0.0</v>
      </c>
      <c r="H93" s="21">
        <v>0.0</v>
      </c>
      <c r="I93" s="20">
        <v>0.0</v>
      </c>
      <c r="J93" s="20">
        <v>0.0</v>
      </c>
      <c r="K93" s="20">
        <f t="shared" si="1"/>
        <v>0</v>
      </c>
      <c r="L93" s="20">
        <v>102.0</v>
      </c>
      <c r="M93" s="20">
        <v>83.0</v>
      </c>
      <c r="N93" s="22">
        <v>26.0</v>
      </c>
      <c r="O93" s="20">
        <v>0.0</v>
      </c>
      <c r="P93" s="39">
        <v>0.0</v>
      </c>
      <c r="Q93" s="20">
        <v>0.0</v>
      </c>
      <c r="R93" s="20">
        <v>0.0</v>
      </c>
      <c r="S93" s="20">
        <v>0.0</v>
      </c>
      <c r="T93" s="2"/>
      <c r="U93" s="2">
        <v>923955.0</v>
      </c>
      <c r="V93" s="40">
        <f t="shared" si="2"/>
        <v>0</v>
      </c>
      <c r="W93" s="40">
        <f t="shared" si="3"/>
        <v>76688265</v>
      </c>
      <c r="X93" s="2"/>
      <c r="Y93" s="2"/>
      <c r="Z93" s="2"/>
    </row>
    <row r="94" ht="12.75" customHeight="1">
      <c r="A94" s="2"/>
      <c r="B94" s="8" t="s">
        <v>95</v>
      </c>
      <c r="C94" s="8" t="s">
        <v>27</v>
      </c>
      <c r="D94" s="8">
        <v>14.0</v>
      </c>
      <c r="E94" s="20">
        <v>98.0</v>
      </c>
      <c r="F94" s="20">
        <v>0.0</v>
      </c>
      <c r="G94" s="20">
        <v>0.0</v>
      </c>
      <c r="H94" s="21">
        <v>0.0</v>
      </c>
      <c r="I94" s="20">
        <v>83.0</v>
      </c>
      <c r="J94" s="20">
        <v>0.0</v>
      </c>
      <c r="K94" s="20">
        <f t="shared" si="1"/>
        <v>83</v>
      </c>
      <c r="L94" s="20">
        <v>15.0</v>
      </c>
      <c r="M94" s="20">
        <v>51.3333333333333</v>
      </c>
      <c r="N94" s="22">
        <v>26.0</v>
      </c>
      <c r="O94" s="20">
        <f t="shared" ref="O94:O95" si="13">(M94/(I94+J94))*N94</f>
        <v>16.08032129</v>
      </c>
      <c r="P94" s="39">
        <v>0.18072289156626506</v>
      </c>
      <c r="Q94" s="20">
        <v>0.0</v>
      </c>
      <c r="R94" s="20">
        <v>0.0</v>
      </c>
      <c r="S94" s="20">
        <v>0.0</v>
      </c>
      <c r="T94" s="2"/>
      <c r="U94" s="2">
        <v>504524.99999999994</v>
      </c>
      <c r="V94" s="40">
        <f t="shared" si="2"/>
        <v>41875575</v>
      </c>
      <c r="W94" s="40">
        <f t="shared" si="3"/>
        <v>25898950</v>
      </c>
      <c r="X94" s="2"/>
      <c r="Y94" s="2"/>
      <c r="Z94" s="2"/>
    </row>
    <row r="95" ht="12.75" customHeight="1">
      <c r="A95" s="2"/>
      <c r="B95" s="8" t="s">
        <v>96</v>
      </c>
      <c r="C95" s="8" t="s">
        <v>27</v>
      </c>
      <c r="D95" s="8">
        <v>14.0</v>
      </c>
      <c r="E95" s="20">
        <v>325.0</v>
      </c>
      <c r="F95" s="20">
        <v>516.0</v>
      </c>
      <c r="G95" s="20">
        <v>0.0</v>
      </c>
      <c r="H95" s="21">
        <v>0.0</v>
      </c>
      <c r="I95" s="20">
        <v>723.0</v>
      </c>
      <c r="J95" s="20">
        <v>0.0</v>
      </c>
      <c r="K95" s="20">
        <f t="shared" si="1"/>
        <v>723</v>
      </c>
      <c r="L95" s="20">
        <v>118.0</v>
      </c>
      <c r="M95" s="20">
        <v>263.666666666667</v>
      </c>
      <c r="N95" s="22">
        <v>26.0</v>
      </c>
      <c r="O95" s="20">
        <f t="shared" si="13"/>
        <v>9.481788843</v>
      </c>
      <c r="P95" s="39">
        <v>0.1632088520055325</v>
      </c>
      <c r="Q95" s="20">
        <v>0.0</v>
      </c>
      <c r="R95" s="20">
        <v>0.0</v>
      </c>
      <c r="S95" s="20">
        <v>0.0</v>
      </c>
      <c r="T95" s="2"/>
      <c r="U95" s="2">
        <v>848935.0</v>
      </c>
      <c r="V95" s="40">
        <f t="shared" si="2"/>
        <v>613780005</v>
      </c>
      <c r="W95" s="40">
        <f t="shared" si="3"/>
        <v>223835861.7</v>
      </c>
      <c r="X95" s="2"/>
      <c r="Y95" s="2"/>
      <c r="Z95" s="2"/>
    </row>
    <row r="96" ht="12.75" customHeight="1">
      <c r="A96" s="2"/>
      <c r="B96" s="44" t="s">
        <v>142</v>
      </c>
      <c r="C96" s="8" t="s">
        <v>27</v>
      </c>
      <c r="D96" s="8">
        <v>14.0</v>
      </c>
      <c r="E96" s="20">
        <v>0.0</v>
      </c>
      <c r="F96" s="20">
        <v>202.0</v>
      </c>
      <c r="G96" s="20">
        <v>0.0</v>
      </c>
      <c r="H96" s="21">
        <v>0.0</v>
      </c>
      <c r="I96" s="20">
        <v>0.0</v>
      </c>
      <c r="J96" s="20">
        <v>0.0</v>
      </c>
      <c r="K96" s="20">
        <f t="shared" si="1"/>
        <v>0</v>
      </c>
      <c r="L96" s="20">
        <v>202.0</v>
      </c>
      <c r="M96" s="20">
        <v>199.5</v>
      </c>
      <c r="N96" s="22">
        <v>26.0</v>
      </c>
      <c r="O96" s="20">
        <v>0.0</v>
      </c>
      <c r="P96" s="39">
        <v>0.0</v>
      </c>
      <c r="Q96" s="20">
        <v>0.0</v>
      </c>
      <c r="R96" s="20">
        <v>300.0</v>
      </c>
      <c r="S96" s="20">
        <v>0.0</v>
      </c>
      <c r="T96" s="2"/>
      <c r="U96" s="2">
        <v>848935.0</v>
      </c>
      <c r="V96" s="40">
        <f t="shared" si="2"/>
        <v>0</v>
      </c>
      <c r="W96" s="40">
        <f t="shared" si="3"/>
        <v>169362532.5</v>
      </c>
      <c r="X96" s="4" t="s">
        <v>143</v>
      </c>
      <c r="Y96" s="2"/>
      <c r="Z96" s="2"/>
    </row>
    <row r="97" ht="18.75" customHeight="1">
      <c r="A97" s="31"/>
      <c r="B97" s="25" t="s">
        <v>98</v>
      </c>
      <c r="C97" s="26"/>
      <c r="D97" s="26"/>
      <c r="E97" s="27">
        <f t="shared" ref="E97:M97" si="14">SUM(E4:E96)</f>
        <v>18716.98</v>
      </c>
      <c r="F97" s="27">
        <f t="shared" si="14"/>
        <v>21707</v>
      </c>
      <c r="G97" s="27">
        <f t="shared" si="14"/>
        <v>0</v>
      </c>
      <c r="H97" s="27">
        <f t="shared" si="14"/>
        <v>0</v>
      </c>
      <c r="I97" s="27">
        <f t="shared" si="14"/>
        <v>7639</v>
      </c>
      <c r="J97" s="27">
        <f t="shared" si="14"/>
        <v>14307</v>
      </c>
      <c r="K97" s="27">
        <f t="shared" si="14"/>
        <v>21946</v>
      </c>
      <c r="L97" s="27">
        <f t="shared" si="14"/>
        <v>18477.98</v>
      </c>
      <c r="M97" s="27">
        <f t="shared" si="14"/>
        <v>21168.08683</v>
      </c>
      <c r="N97" s="27">
        <v>26.0</v>
      </c>
      <c r="O97" s="27">
        <f>(M97/(I97+J97))*N97</f>
        <v>25.07838593</v>
      </c>
      <c r="P97" s="41">
        <f>+L97/($I97+$J97)*$N$4</f>
        <v>21.89134603</v>
      </c>
      <c r="Q97" s="27">
        <f t="shared" ref="Q97:S97" si="15">SUM(Q4:Q96)</f>
        <v>1924</v>
      </c>
      <c r="R97" s="27">
        <f t="shared" si="15"/>
        <v>7929</v>
      </c>
      <c r="S97" s="27">
        <f t="shared" si="15"/>
        <v>0</v>
      </c>
      <c r="T97" s="31"/>
      <c r="U97" s="2"/>
      <c r="V97" s="42">
        <f t="shared" ref="V97:W97" si="16">SUM(V4:V96)</f>
        <v>20240909914</v>
      </c>
      <c r="W97" s="42">
        <f t="shared" si="16"/>
        <v>17512564073</v>
      </c>
      <c r="X97" s="27">
        <f>(W97/V97)*N96</f>
        <v>22.49536547</v>
      </c>
      <c r="Y97" s="31"/>
      <c r="Z97" s="31"/>
    </row>
    <row r="98" ht="18.75" customHeight="1">
      <c r="A98" s="2"/>
      <c r="B98" s="1"/>
      <c r="C98" s="2"/>
      <c r="D98" s="8"/>
      <c r="E98" s="33"/>
      <c r="F98" s="33"/>
      <c r="G98" s="33"/>
      <c r="H98" s="33"/>
      <c r="I98" s="33">
        <f>I97+J97</f>
        <v>21946</v>
      </c>
      <c r="J98" s="33"/>
      <c r="K98" s="20"/>
      <c r="L98" s="33"/>
      <c r="M98" s="33"/>
      <c r="N98" s="3"/>
      <c r="O98" s="33"/>
      <c r="P98" s="33"/>
      <c r="Q98" s="34"/>
      <c r="R98" s="33"/>
      <c r="S98" s="33"/>
      <c r="T98" s="33"/>
      <c r="U98" s="2"/>
      <c r="V98" s="2"/>
      <c r="W98" s="2"/>
      <c r="X98" s="2"/>
      <c r="Y98" s="2"/>
      <c r="Z98" s="2"/>
    </row>
    <row r="99" ht="12.75" customHeight="1">
      <c r="A99" s="2"/>
      <c r="B99" s="2" t="s">
        <v>99</v>
      </c>
      <c r="C99" s="35">
        <v>24.9</v>
      </c>
      <c r="D99" s="2" t="s">
        <v>100</v>
      </c>
      <c r="E99" s="2"/>
      <c r="F99" s="2"/>
      <c r="G99" s="2"/>
      <c r="H99" s="2"/>
      <c r="I99" s="2"/>
      <c r="J99" s="2"/>
      <c r="K99" s="20"/>
      <c r="L99" s="2"/>
      <c r="M99" s="2"/>
      <c r="N99" s="3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1"/>
      <c r="C102" s="36"/>
      <c r="D102" s="36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57"/>
    <col customWidth="1" min="2" max="2" width="17.86"/>
    <col customWidth="1" min="3" max="4" width="15.0"/>
    <col customWidth="1" min="5" max="5" width="16.14"/>
    <col customWidth="1" min="6" max="6" width="13.29"/>
    <col customWidth="1" min="7" max="7" width="11.57"/>
    <col customWidth="1" min="8" max="8" width="9.57"/>
    <col customWidth="1" min="9" max="9" width="13.29"/>
    <col customWidth="1" min="10" max="11" width="10.29"/>
    <col customWidth="1" min="12" max="12" width="12.71"/>
    <col customWidth="1" min="13" max="13" width="11.57"/>
    <col customWidth="1" min="14" max="14" width="11.43"/>
    <col customWidth="1" min="15" max="15" width="10.71"/>
    <col customWidth="1" min="16" max="16" width="8.86"/>
    <col customWidth="1" min="17" max="18" width="13.29"/>
    <col customWidth="1" min="19" max="19" width="7.86"/>
    <col customWidth="1" min="20" max="20" width="13.71"/>
    <col customWidth="1" min="21" max="23" width="13.57"/>
    <col customWidth="1" min="24" max="24" width="14.57"/>
    <col customWidth="1" min="25" max="26" width="8.71"/>
  </cols>
  <sheetData>
    <row r="1" ht="12.75" customHeight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4" t="s">
        <v>0</v>
      </c>
      <c r="U1" s="5">
        <v>0.0052</v>
      </c>
      <c r="V1" s="4" t="s">
        <v>1</v>
      </c>
      <c r="W1" s="45">
        <f>(W96*$U$1)/V96</f>
        <v>0.005114716563</v>
      </c>
      <c r="X1" s="2"/>
      <c r="Y1" s="2"/>
      <c r="Z1" s="2"/>
    </row>
    <row r="2" ht="12.75" customHeight="1">
      <c r="A2" s="2"/>
      <c r="B2" s="7"/>
      <c r="C2" s="8" t="s">
        <v>2</v>
      </c>
      <c r="D2" s="8"/>
      <c r="E2" s="9" t="s">
        <v>144</v>
      </c>
      <c r="F2" s="10"/>
      <c r="G2" s="11" t="s">
        <v>4</v>
      </c>
      <c r="H2" s="10"/>
      <c r="I2" s="10"/>
      <c r="J2" s="12"/>
      <c r="K2" s="12"/>
      <c r="L2" s="10"/>
      <c r="M2" s="10"/>
      <c r="N2" s="13"/>
      <c r="O2" s="8"/>
      <c r="P2" s="14"/>
      <c r="Q2" s="14"/>
      <c r="R2" s="10"/>
      <c r="S2" s="10"/>
      <c r="T2" s="10"/>
      <c r="U2" s="2"/>
      <c r="V2" s="2"/>
      <c r="W2" s="2"/>
      <c r="X2" s="2"/>
      <c r="Y2" s="2"/>
      <c r="Z2" s="2"/>
    </row>
    <row r="3" ht="12.75" customHeight="1">
      <c r="A3" s="2"/>
      <c r="B3" s="15" t="s">
        <v>5</v>
      </c>
      <c r="C3" s="15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7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38" t="s">
        <v>17</v>
      </c>
      <c r="O3" s="19" t="s">
        <v>18</v>
      </c>
      <c r="P3" s="19" t="s">
        <v>19</v>
      </c>
      <c r="Q3" s="18" t="s">
        <v>20</v>
      </c>
      <c r="R3" s="18" t="s">
        <v>21</v>
      </c>
      <c r="S3" s="18" t="s">
        <v>22</v>
      </c>
      <c r="T3" s="2"/>
      <c r="U3" s="18" t="s">
        <v>23</v>
      </c>
      <c r="V3" s="18" t="s">
        <v>102</v>
      </c>
      <c r="W3" s="18" t="s">
        <v>103</v>
      </c>
      <c r="X3" s="2"/>
      <c r="Y3" s="2"/>
      <c r="Z3" s="2"/>
    </row>
    <row r="4" ht="12.75" customHeight="1">
      <c r="A4" s="2"/>
      <c r="B4" s="8" t="s">
        <v>104</v>
      </c>
      <c r="C4" s="8" t="s">
        <v>27</v>
      </c>
      <c r="D4" s="8">
        <v>14.0</v>
      </c>
      <c r="E4" s="20">
        <v>120.0</v>
      </c>
      <c r="F4" s="20">
        <v>0.0</v>
      </c>
      <c r="G4" s="20">
        <v>0.0</v>
      </c>
      <c r="H4" s="21">
        <v>0.0</v>
      </c>
      <c r="I4" s="20">
        <v>0.0</v>
      </c>
      <c r="J4" s="20">
        <v>24.0</v>
      </c>
      <c r="K4" s="20">
        <f t="shared" ref="K4:K95" si="1">I4+J4</f>
        <v>24</v>
      </c>
      <c r="L4" s="20">
        <v>96.0</v>
      </c>
      <c r="M4" s="20">
        <v>97.5</v>
      </c>
      <c r="N4" s="22">
        <v>23.0</v>
      </c>
      <c r="O4" s="20">
        <f>(M4/(I4+J4))*N4</f>
        <v>93.4375</v>
      </c>
      <c r="P4" s="39">
        <v>4.0</v>
      </c>
      <c r="Q4" s="20">
        <v>0.0</v>
      </c>
      <c r="R4" s="20">
        <v>0.0</v>
      </c>
      <c r="S4" s="20">
        <v>0.0</v>
      </c>
      <c r="T4" s="2"/>
      <c r="U4" s="2">
        <v>1631375.0</v>
      </c>
      <c r="V4" s="40">
        <f t="shared" ref="V4:V95" si="2">U4*(I4+J4)</f>
        <v>39153000</v>
      </c>
      <c r="W4" s="40">
        <f t="shared" ref="W4:W95" si="3">U4*M4</f>
        <v>159059062.5</v>
      </c>
      <c r="X4" s="2"/>
      <c r="Y4" s="2"/>
      <c r="Z4" s="2"/>
    </row>
    <row r="5" ht="12.75" customHeight="1">
      <c r="A5" s="2"/>
      <c r="B5" s="8" t="s">
        <v>28</v>
      </c>
      <c r="C5" s="8" t="s">
        <v>27</v>
      </c>
      <c r="D5" s="8">
        <v>14.0</v>
      </c>
      <c r="E5" s="20">
        <v>177.0</v>
      </c>
      <c r="F5" s="20">
        <v>21.0</v>
      </c>
      <c r="G5" s="20">
        <v>0.0</v>
      </c>
      <c r="H5" s="21">
        <v>0.0</v>
      </c>
      <c r="I5" s="20">
        <v>0.0</v>
      </c>
      <c r="J5" s="20">
        <v>0.0</v>
      </c>
      <c r="K5" s="20">
        <f t="shared" si="1"/>
        <v>0</v>
      </c>
      <c r="L5" s="20">
        <v>198.0</v>
      </c>
      <c r="M5" s="20">
        <v>198.0</v>
      </c>
      <c r="N5" s="22">
        <v>23.0</v>
      </c>
      <c r="O5" s="20">
        <v>0.0</v>
      </c>
      <c r="P5" s="39">
        <v>0.0</v>
      </c>
      <c r="Q5" s="20">
        <v>0.0</v>
      </c>
      <c r="R5" s="20">
        <v>0.0</v>
      </c>
      <c r="S5" s="20">
        <v>0.0</v>
      </c>
      <c r="T5" s="2"/>
      <c r="U5" s="2">
        <v>844750.0</v>
      </c>
      <c r="V5" s="40">
        <f t="shared" si="2"/>
        <v>0</v>
      </c>
      <c r="W5" s="40">
        <f t="shared" si="3"/>
        <v>167260500</v>
      </c>
      <c r="X5" s="2"/>
      <c r="Y5" s="2"/>
      <c r="Z5" s="2"/>
    </row>
    <row r="6" ht="12.75" customHeight="1">
      <c r="A6" s="2"/>
      <c r="B6" s="8" t="s">
        <v>29</v>
      </c>
      <c r="C6" s="8" t="s">
        <v>27</v>
      </c>
      <c r="D6" s="8">
        <v>14.0</v>
      </c>
      <c r="E6" s="20">
        <v>76.0</v>
      </c>
      <c r="F6" s="20">
        <v>102.0</v>
      </c>
      <c r="G6" s="20">
        <v>0.0</v>
      </c>
      <c r="H6" s="21">
        <v>0.0</v>
      </c>
      <c r="I6" s="20">
        <v>0.0</v>
      </c>
      <c r="J6" s="20">
        <v>39.0</v>
      </c>
      <c r="K6" s="20">
        <f t="shared" si="1"/>
        <v>39</v>
      </c>
      <c r="L6" s="20">
        <v>139.0</v>
      </c>
      <c r="M6" s="20">
        <v>137.4</v>
      </c>
      <c r="N6" s="22">
        <v>23.0</v>
      </c>
      <c r="O6" s="20">
        <f t="shared" ref="O6:O10" si="4">(M6/(I6+J6))*N6</f>
        <v>81.03076923</v>
      </c>
      <c r="P6" s="39">
        <v>3.5641025641025643</v>
      </c>
      <c r="Q6" s="20">
        <v>0.0</v>
      </c>
      <c r="R6" s="20">
        <v>0.0</v>
      </c>
      <c r="S6" s="20">
        <v>0.0</v>
      </c>
      <c r="T6" s="2"/>
      <c r="U6" s="2">
        <v>928605.0</v>
      </c>
      <c r="V6" s="40">
        <f t="shared" si="2"/>
        <v>36215595</v>
      </c>
      <c r="W6" s="40">
        <f t="shared" si="3"/>
        <v>127590327</v>
      </c>
      <c r="X6" s="2"/>
      <c r="Y6" s="2"/>
      <c r="Z6" s="2"/>
    </row>
    <row r="7" ht="12.75" customHeight="1">
      <c r="A7" s="2"/>
      <c r="B7" s="8" t="s">
        <v>30</v>
      </c>
      <c r="C7" s="8" t="s">
        <v>27</v>
      </c>
      <c r="D7" s="8">
        <v>14.0</v>
      </c>
      <c r="E7" s="20">
        <v>55.0</v>
      </c>
      <c r="F7" s="20">
        <v>94.0</v>
      </c>
      <c r="G7" s="20">
        <v>0.0</v>
      </c>
      <c r="H7" s="21">
        <v>0.0</v>
      </c>
      <c r="I7" s="20">
        <v>0.0</v>
      </c>
      <c r="J7" s="20">
        <v>81.0</v>
      </c>
      <c r="K7" s="20">
        <f t="shared" si="1"/>
        <v>81</v>
      </c>
      <c r="L7" s="20">
        <v>68.0</v>
      </c>
      <c r="M7" s="20">
        <v>57.5</v>
      </c>
      <c r="N7" s="22">
        <v>23.0</v>
      </c>
      <c r="O7" s="20">
        <f t="shared" si="4"/>
        <v>16.32716049</v>
      </c>
      <c r="P7" s="39">
        <v>0.8395061728395061</v>
      </c>
      <c r="Q7" s="20">
        <v>6.0</v>
      </c>
      <c r="R7" s="20">
        <v>370.0</v>
      </c>
      <c r="S7" s="20">
        <v>0.0</v>
      </c>
      <c r="T7" s="2"/>
      <c r="U7" s="2">
        <v>1329900.0</v>
      </c>
      <c r="V7" s="40">
        <f t="shared" si="2"/>
        <v>107721900</v>
      </c>
      <c r="W7" s="40">
        <f t="shared" si="3"/>
        <v>76469250</v>
      </c>
      <c r="X7" s="2"/>
      <c r="Y7" s="2"/>
      <c r="Z7" s="2"/>
    </row>
    <row r="8" ht="12.75" customHeight="1">
      <c r="A8" s="2"/>
      <c r="B8" s="43" t="s">
        <v>120</v>
      </c>
      <c r="C8" s="8" t="s">
        <v>27</v>
      </c>
      <c r="D8" s="8">
        <v>14.0</v>
      </c>
      <c r="E8" s="20">
        <v>112.0</v>
      </c>
      <c r="F8" s="20">
        <v>258.0</v>
      </c>
      <c r="G8" s="20">
        <v>0.0</v>
      </c>
      <c r="H8" s="21">
        <v>0.0</v>
      </c>
      <c r="I8" s="20">
        <v>0.0</v>
      </c>
      <c r="J8" s="20">
        <v>108.0</v>
      </c>
      <c r="K8" s="20">
        <f t="shared" si="1"/>
        <v>108</v>
      </c>
      <c r="L8" s="20">
        <v>262.0</v>
      </c>
      <c r="M8" s="20">
        <v>183.25</v>
      </c>
      <c r="N8" s="22">
        <v>23.0</v>
      </c>
      <c r="O8" s="20">
        <f t="shared" si="4"/>
        <v>39.02546296</v>
      </c>
      <c r="P8" s="39">
        <v>2.425925925925926</v>
      </c>
      <c r="Q8" s="20">
        <v>8.0</v>
      </c>
      <c r="R8" s="20">
        <v>126.0</v>
      </c>
      <c r="S8" s="20">
        <v>0.0</v>
      </c>
      <c r="T8" s="2"/>
      <c r="U8" s="2">
        <v>865210.0</v>
      </c>
      <c r="V8" s="40">
        <f t="shared" si="2"/>
        <v>93442680</v>
      </c>
      <c r="W8" s="40">
        <f t="shared" si="3"/>
        <v>158549732.5</v>
      </c>
      <c r="X8" s="2"/>
      <c r="Y8" s="2"/>
      <c r="Z8" s="2"/>
    </row>
    <row r="9" ht="12.75" customHeight="1">
      <c r="A9" s="2"/>
      <c r="B9" s="43" t="s">
        <v>121</v>
      </c>
      <c r="C9" s="8" t="s">
        <v>27</v>
      </c>
      <c r="D9" s="8">
        <v>14.0</v>
      </c>
      <c r="E9" s="20">
        <v>212.0</v>
      </c>
      <c r="F9" s="20">
        <v>111.0</v>
      </c>
      <c r="G9" s="20">
        <v>0.0</v>
      </c>
      <c r="H9" s="21">
        <v>0.0</v>
      </c>
      <c r="I9" s="20">
        <v>0.0</v>
      </c>
      <c r="J9" s="20">
        <v>210.0</v>
      </c>
      <c r="K9" s="20">
        <f t="shared" si="1"/>
        <v>210</v>
      </c>
      <c r="L9" s="20">
        <v>113.0</v>
      </c>
      <c r="M9" s="20">
        <v>86.60000000000001</v>
      </c>
      <c r="N9" s="22">
        <v>23.0</v>
      </c>
      <c r="O9" s="20">
        <f t="shared" si="4"/>
        <v>9.484761905</v>
      </c>
      <c r="P9" s="39">
        <v>0.5380952380952381</v>
      </c>
      <c r="Q9" s="20">
        <v>0.0</v>
      </c>
      <c r="R9" s="20">
        <v>624.0</v>
      </c>
      <c r="S9" s="20">
        <v>0.0</v>
      </c>
      <c r="T9" s="2"/>
      <c r="U9" s="2">
        <v>865210.0</v>
      </c>
      <c r="V9" s="40">
        <f t="shared" si="2"/>
        <v>181694100</v>
      </c>
      <c r="W9" s="40">
        <f t="shared" si="3"/>
        <v>74927186</v>
      </c>
      <c r="X9" s="2"/>
      <c r="Y9" s="2"/>
      <c r="Z9" s="2"/>
    </row>
    <row r="10" ht="12.75" customHeight="1">
      <c r="A10" s="2"/>
      <c r="B10" s="8" t="s">
        <v>31</v>
      </c>
      <c r="C10" s="8" t="s">
        <v>27</v>
      </c>
      <c r="D10" s="8">
        <v>14.0</v>
      </c>
      <c r="E10" s="20">
        <v>324.0</v>
      </c>
      <c r="F10" s="20">
        <v>0.0</v>
      </c>
      <c r="G10" s="20">
        <v>0.0</v>
      </c>
      <c r="H10" s="21">
        <v>0.0</v>
      </c>
      <c r="I10" s="20">
        <v>0.0</v>
      </c>
      <c r="J10" s="20">
        <v>108.0</v>
      </c>
      <c r="K10" s="20">
        <f t="shared" si="1"/>
        <v>108</v>
      </c>
      <c r="L10" s="20">
        <v>216.0</v>
      </c>
      <c r="M10" s="20">
        <v>243.0</v>
      </c>
      <c r="N10" s="22">
        <v>23.0</v>
      </c>
      <c r="O10" s="20">
        <f t="shared" si="4"/>
        <v>51.75</v>
      </c>
      <c r="P10" s="39">
        <v>2.0</v>
      </c>
      <c r="Q10" s="20">
        <v>0.0</v>
      </c>
      <c r="R10" s="20">
        <v>0.0</v>
      </c>
      <c r="S10" s="20">
        <v>0.0</v>
      </c>
      <c r="T10" s="2"/>
      <c r="U10" s="2">
        <v>841116.0</v>
      </c>
      <c r="V10" s="40">
        <f t="shared" si="2"/>
        <v>90840528</v>
      </c>
      <c r="W10" s="40">
        <f t="shared" si="3"/>
        <v>204391188</v>
      </c>
      <c r="X10" s="2"/>
      <c r="Y10" s="2"/>
      <c r="Z10" s="2"/>
    </row>
    <row r="11" ht="12.75" customHeight="1">
      <c r="A11" s="2"/>
      <c r="B11" s="8" t="s">
        <v>32</v>
      </c>
      <c r="C11" s="8" t="s">
        <v>27</v>
      </c>
      <c r="D11" s="8">
        <v>14.0</v>
      </c>
      <c r="E11" s="20">
        <v>42.0</v>
      </c>
      <c r="F11" s="20">
        <v>0.0</v>
      </c>
      <c r="G11" s="20">
        <v>0.0</v>
      </c>
      <c r="H11" s="21">
        <v>0.0</v>
      </c>
      <c r="I11" s="20">
        <v>0.0</v>
      </c>
      <c r="J11" s="20">
        <v>0.0</v>
      </c>
      <c r="K11" s="20">
        <f t="shared" si="1"/>
        <v>0</v>
      </c>
      <c r="L11" s="20">
        <v>42.0</v>
      </c>
      <c r="M11" s="20">
        <v>0.0</v>
      </c>
      <c r="N11" s="22">
        <v>23.0</v>
      </c>
      <c r="O11" s="20">
        <v>0.0</v>
      </c>
      <c r="P11" s="39">
        <v>0.0</v>
      </c>
      <c r="Q11" s="20">
        <v>0.0</v>
      </c>
      <c r="R11" s="20">
        <v>0.0</v>
      </c>
      <c r="S11" s="20">
        <v>0.0</v>
      </c>
      <c r="T11" s="2"/>
      <c r="U11" s="2">
        <v>928605.0</v>
      </c>
      <c r="V11" s="40">
        <f t="shared" si="2"/>
        <v>0</v>
      </c>
      <c r="W11" s="40">
        <f t="shared" si="3"/>
        <v>0</v>
      </c>
      <c r="X11" s="2"/>
      <c r="Y11" s="2"/>
      <c r="Z11" s="2"/>
    </row>
    <row r="12" ht="12.75" customHeight="1">
      <c r="A12" s="2"/>
      <c r="B12" s="43" t="s">
        <v>122</v>
      </c>
      <c r="C12" s="8" t="s">
        <v>27</v>
      </c>
      <c r="D12" s="8">
        <v>14.0</v>
      </c>
      <c r="E12" s="20">
        <v>252.0</v>
      </c>
      <c r="F12" s="20">
        <v>133.0</v>
      </c>
      <c r="G12" s="20">
        <v>0.0</v>
      </c>
      <c r="H12" s="21">
        <v>0.0</v>
      </c>
      <c r="I12" s="20">
        <v>0.0</v>
      </c>
      <c r="J12" s="20">
        <v>0.0</v>
      </c>
      <c r="K12" s="20">
        <f t="shared" si="1"/>
        <v>0</v>
      </c>
      <c r="L12" s="20">
        <v>385.0</v>
      </c>
      <c r="M12" s="20">
        <v>334.0</v>
      </c>
      <c r="N12" s="22">
        <v>23.0</v>
      </c>
      <c r="O12" s="20">
        <v>0.0</v>
      </c>
      <c r="P12" s="39">
        <v>0.0</v>
      </c>
      <c r="Q12" s="20">
        <v>17.0</v>
      </c>
      <c r="R12" s="20">
        <v>300.0</v>
      </c>
      <c r="S12" s="20">
        <v>0.0</v>
      </c>
      <c r="T12" s="2"/>
      <c r="U12" s="2">
        <v>139965.0</v>
      </c>
      <c r="V12" s="40">
        <f t="shared" si="2"/>
        <v>0</v>
      </c>
      <c r="W12" s="40">
        <f t="shared" si="3"/>
        <v>46748310</v>
      </c>
      <c r="X12" s="2"/>
      <c r="Y12" s="2"/>
      <c r="Z12" s="2"/>
    </row>
    <row r="13" ht="12.75" customHeight="1">
      <c r="A13" s="2"/>
      <c r="B13" s="8" t="s">
        <v>105</v>
      </c>
      <c r="C13" s="8" t="s">
        <v>27</v>
      </c>
      <c r="D13" s="8">
        <v>14.0</v>
      </c>
      <c r="E13" s="20">
        <v>102.0</v>
      </c>
      <c r="F13" s="20">
        <v>55.0</v>
      </c>
      <c r="G13" s="20">
        <v>0.0</v>
      </c>
      <c r="H13" s="21">
        <v>0.0</v>
      </c>
      <c r="I13" s="20">
        <v>0.0</v>
      </c>
      <c r="J13" s="20">
        <v>102.0</v>
      </c>
      <c r="K13" s="20">
        <f t="shared" si="1"/>
        <v>102</v>
      </c>
      <c r="L13" s="20">
        <v>55.0</v>
      </c>
      <c r="M13" s="20">
        <v>99.0</v>
      </c>
      <c r="N13" s="22">
        <v>23.0</v>
      </c>
      <c r="O13" s="20">
        <f>(M13/(I13+J13))*N13</f>
        <v>22.32352941</v>
      </c>
      <c r="P13" s="39">
        <v>0.5392156862745098</v>
      </c>
      <c r="Q13" s="20">
        <v>0.0</v>
      </c>
      <c r="R13" s="20">
        <v>0.0</v>
      </c>
      <c r="S13" s="20">
        <v>0.0</v>
      </c>
      <c r="T13" s="2"/>
      <c r="U13" s="2">
        <v>165230.0</v>
      </c>
      <c r="V13" s="40">
        <f t="shared" si="2"/>
        <v>16853460</v>
      </c>
      <c r="W13" s="40">
        <f t="shared" si="3"/>
        <v>16357770</v>
      </c>
      <c r="X13" s="2"/>
      <c r="Y13" s="2"/>
      <c r="Z13" s="2"/>
    </row>
    <row r="14" ht="12.75" customHeight="1">
      <c r="A14" s="2"/>
      <c r="B14" s="8" t="s">
        <v>106</v>
      </c>
      <c r="C14" s="8" t="s">
        <v>27</v>
      </c>
      <c r="D14" s="8">
        <v>14.0</v>
      </c>
      <c r="E14" s="20">
        <v>4493.0</v>
      </c>
      <c r="F14" s="20">
        <v>0.0</v>
      </c>
      <c r="G14" s="20">
        <v>0.0</v>
      </c>
      <c r="H14" s="21">
        <v>0.0</v>
      </c>
      <c r="I14" s="20">
        <v>0.0</v>
      </c>
      <c r="J14" s="20">
        <v>0.0</v>
      </c>
      <c r="K14" s="20">
        <f t="shared" si="1"/>
        <v>0</v>
      </c>
      <c r="L14" s="20">
        <v>4493.0</v>
      </c>
      <c r="M14" s="20">
        <v>0.0</v>
      </c>
      <c r="N14" s="22">
        <v>23.0</v>
      </c>
      <c r="O14" s="20">
        <v>0.0</v>
      </c>
      <c r="P14" s="39">
        <v>0.0</v>
      </c>
      <c r="Q14" s="20">
        <v>330.0</v>
      </c>
      <c r="R14" s="20">
        <v>0.0</v>
      </c>
      <c r="S14" s="20">
        <v>0.0</v>
      </c>
      <c r="T14" s="2"/>
      <c r="U14" s="2">
        <v>139965.0</v>
      </c>
      <c r="V14" s="40">
        <f t="shared" si="2"/>
        <v>0</v>
      </c>
      <c r="W14" s="40">
        <f t="shared" si="3"/>
        <v>0</v>
      </c>
      <c r="X14" s="2"/>
      <c r="Y14" s="2"/>
      <c r="Z14" s="2"/>
    </row>
    <row r="15" ht="12.75" customHeight="1">
      <c r="A15" s="2"/>
      <c r="B15" s="8" t="s">
        <v>34</v>
      </c>
      <c r="C15" s="8" t="s">
        <v>27</v>
      </c>
      <c r="D15" s="8">
        <v>14.0</v>
      </c>
      <c r="E15" s="20">
        <v>45.0</v>
      </c>
      <c r="F15" s="20">
        <v>27.0</v>
      </c>
      <c r="G15" s="20">
        <v>0.0</v>
      </c>
      <c r="H15" s="21">
        <v>0.0</v>
      </c>
      <c r="I15" s="20">
        <v>0.0</v>
      </c>
      <c r="J15" s="20">
        <v>64.0</v>
      </c>
      <c r="K15" s="20">
        <f t="shared" si="1"/>
        <v>64</v>
      </c>
      <c r="L15" s="20">
        <v>8.0</v>
      </c>
      <c r="M15" s="20">
        <v>18.111111111111097</v>
      </c>
      <c r="N15" s="22">
        <v>23.0</v>
      </c>
      <c r="O15" s="20">
        <f t="shared" ref="O15:O17" si="5">(M15/(I15+J15))*N15</f>
        <v>6.508680556</v>
      </c>
      <c r="P15" s="39">
        <v>0.125</v>
      </c>
      <c r="Q15" s="20">
        <v>0.0</v>
      </c>
      <c r="R15" s="20">
        <v>38.0</v>
      </c>
      <c r="S15" s="20">
        <v>0.0</v>
      </c>
      <c r="T15" s="2"/>
      <c r="U15" s="2">
        <v>3438210.0</v>
      </c>
      <c r="V15" s="40">
        <f t="shared" si="2"/>
        <v>220045440</v>
      </c>
      <c r="W15" s="40">
        <f t="shared" si="3"/>
        <v>62269803.33</v>
      </c>
      <c r="X15" s="2"/>
      <c r="Y15" s="2"/>
      <c r="Z15" s="2"/>
    </row>
    <row r="16" ht="12.75" customHeight="1">
      <c r="A16" s="2"/>
      <c r="B16" s="8" t="s">
        <v>35</v>
      </c>
      <c r="C16" s="8" t="s">
        <v>27</v>
      </c>
      <c r="D16" s="8">
        <v>14.0</v>
      </c>
      <c r="E16" s="20">
        <v>563.0</v>
      </c>
      <c r="F16" s="20">
        <v>461.0</v>
      </c>
      <c r="G16" s="20">
        <v>0.0</v>
      </c>
      <c r="H16" s="21">
        <v>0.0</v>
      </c>
      <c r="I16" s="20">
        <v>0.0</v>
      </c>
      <c r="J16" s="20">
        <v>725.0</v>
      </c>
      <c r="K16" s="20">
        <f t="shared" si="1"/>
        <v>725</v>
      </c>
      <c r="L16" s="20">
        <v>299.0</v>
      </c>
      <c r="M16" s="20">
        <v>588.0</v>
      </c>
      <c r="N16" s="22">
        <v>23.0</v>
      </c>
      <c r="O16" s="20">
        <f t="shared" si="5"/>
        <v>18.6537931</v>
      </c>
      <c r="P16" s="39">
        <v>0.4124137931034483</v>
      </c>
      <c r="Q16" s="20">
        <v>0.0</v>
      </c>
      <c r="R16" s="20">
        <v>1200.0</v>
      </c>
      <c r="S16" s="20">
        <v>150.0</v>
      </c>
      <c r="T16" s="2"/>
      <c r="U16" s="2">
        <v>165230.0</v>
      </c>
      <c r="V16" s="40">
        <f t="shared" si="2"/>
        <v>119791750</v>
      </c>
      <c r="W16" s="40">
        <f t="shared" si="3"/>
        <v>97155240</v>
      </c>
      <c r="X16" s="2"/>
      <c r="Y16" s="2"/>
      <c r="Z16" s="2"/>
    </row>
    <row r="17" ht="12.75" customHeight="1">
      <c r="A17" s="2"/>
      <c r="B17" s="8" t="s">
        <v>36</v>
      </c>
      <c r="C17" s="8" t="s">
        <v>27</v>
      </c>
      <c r="D17" s="8">
        <v>14.0</v>
      </c>
      <c r="E17" s="20">
        <v>274.0</v>
      </c>
      <c r="F17" s="20">
        <v>0.0</v>
      </c>
      <c r="G17" s="20">
        <v>0.0</v>
      </c>
      <c r="H17" s="21">
        <v>0.0</v>
      </c>
      <c r="I17" s="20">
        <v>0.0</v>
      </c>
      <c r="J17" s="20">
        <v>40.0</v>
      </c>
      <c r="K17" s="20">
        <f t="shared" si="1"/>
        <v>40</v>
      </c>
      <c r="L17" s="20">
        <v>234.0</v>
      </c>
      <c r="M17" s="20">
        <v>256.888888888889</v>
      </c>
      <c r="N17" s="22">
        <v>23.0</v>
      </c>
      <c r="O17" s="20">
        <f t="shared" si="5"/>
        <v>147.7111111</v>
      </c>
      <c r="P17" s="39">
        <v>5.85</v>
      </c>
      <c r="Q17" s="20">
        <v>0.0</v>
      </c>
      <c r="R17" s="20">
        <v>0.0</v>
      </c>
      <c r="S17" s="20">
        <v>0.0</v>
      </c>
      <c r="T17" s="2"/>
      <c r="U17" s="2">
        <v>1516675.0</v>
      </c>
      <c r="V17" s="40">
        <f t="shared" si="2"/>
        <v>60667000</v>
      </c>
      <c r="W17" s="40">
        <f t="shared" si="3"/>
        <v>389616955.6</v>
      </c>
      <c r="X17" s="2"/>
      <c r="Y17" s="2"/>
      <c r="Z17" s="2"/>
    </row>
    <row r="18" ht="12.75" customHeight="1">
      <c r="A18" s="2"/>
      <c r="B18" s="43" t="s">
        <v>123</v>
      </c>
      <c r="C18" s="8" t="s">
        <v>27</v>
      </c>
      <c r="D18" s="8">
        <v>14.0</v>
      </c>
      <c r="E18" s="20">
        <v>6.0</v>
      </c>
      <c r="F18" s="20">
        <v>16.0</v>
      </c>
      <c r="G18" s="20">
        <v>0.0</v>
      </c>
      <c r="H18" s="21">
        <v>0.0</v>
      </c>
      <c r="I18" s="20">
        <v>0.0</v>
      </c>
      <c r="J18" s="20">
        <v>0.0</v>
      </c>
      <c r="K18" s="20">
        <f t="shared" si="1"/>
        <v>0</v>
      </c>
      <c r="L18" s="20">
        <v>22.0</v>
      </c>
      <c r="M18" s="20">
        <v>22.0</v>
      </c>
      <c r="N18" s="22">
        <v>23.0</v>
      </c>
      <c r="O18" s="20">
        <v>0.0</v>
      </c>
      <c r="P18" s="39">
        <v>0.0</v>
      </c>
      <c r="Q18" s="20">
        <v>0.0</v>
      </c>
      <c r="R18" s="20">
        <v>0.0</v>
      </c>
      <c r="S18" s="20">
        <v>0.0</v>
      </c>
      <c r="T18" s="2"/>
      <c r="U18" s="2">
        <v>1516675.0</v>
      </c>
      <c r="V18" s="40">
        <f t="shared" si="2"/>
        <v>0</v>
      </c>
      <c r="W18" s="40">
        <f t="shared" si="3"/>
        <v>33366850</v>
      </c>
      <c r="X18" s="2"/>
      <c r="Y18" s="2"/>
      <c r="Z18" s="2"/>
    </row>
    <row r="19" ht="12.75" customHeight="1">
      <c r="A19" s="2"/>
      <c r="B19" s="8" t="s">
        <v>37</v>
      </c>
      <c r="C19" s="8" t="s">
        <v>27</v>
      </c>
      <c r="D19" s="8">
        <v>14.0</v>
      </c>
      <c r="E19" s="20">
        <v>57.0</v>
      </c>
      <c r="F19" s="20">
        <v>0.0</v>
      </c>
      <c r="G19" s="20">
        <v>0.0</v>
      </c>
      <c r="H19" s="21">
        <v>0.0</v>
      </c>
      <c r="I19" s="20">
        <v>0.0</v>
      </c>
      <c r="J19" s="20">
        <v>0.0</v>
      </c>
      <c r="K19" s="20">
        <f t="shared" si="1"/>
        <v>0</v>
      </c>
      <c r="L19" s="20">
        <v>57.0</v>
      </c>
      <c r="M19" s="20">
        <v>0.0</v>
      </c>
      <c r="N19" s="22">
        <v>23.0</v>
      </c>
      <c r="O19" s="20">
        <v>0.0</v>
      </c>
      <c r="P19" s="39">
        <v>0.0</v>
      </c>
      <c r="Q19" s="20">
        <v>0.0</v>
      </c>
      <c r="R19" s="20">
        <v>0.0</v>
      </c>
      <c r="S19" s="20">
        <v>0.0</v>
      </c>
      <c r="T19" s="2"/>
      <c r="U19" s="2">
        <v>1516675.0</v>
      </c>
      <c r="V19" s="40">
        <f t="shared" si="2"/>
        <v>0</v>
      </c>
      <c r="W19" s="40">
        <f t="shared" si="3"/>
        <v>0</v>
      </c>
      <c r="X19" s="2"/>
      <c r="Y19" s="2"/>
      <c r="Z19" s="2"/>
    </row>
    <row r="20" ht="12.75" customHeight="1">
      <c r="A20" s="2"/>
      <c r="B20" s="8" t="s">
        <v>38</v>
      </c>
      <c r="C20" s="8" t="s">
        <v>27</v>
      </c>
      <c r="D20" s="8">
        <v>14.0</v>
      </c>
      <c r="E20" s="20">
        <v>9.0</v>
      </c>
      <c r="F20" s="20">
        <v>0.0</v>
      </c>
      <c r="G20" s="20">
        <v>0.0</v>
      </c>
      <c r="H20" s="21">
        <v>0.0</v>
      </c>
      <c r="I20" s="20">
        <v>0.0</v>
      </c>
      <c r="J20" s="20">
        <v>6.0</v>
      </c>
      <c r="K20" s="20">
        <f t="shared" si="1"/>
        <v>6</v>
      </c>
      <c r="L20" s="20">
        <v>3.0</v>
      </c>
      <c r="M20" s="20">
        <v>5.0</v>
      </c>
      <c r="N20" s="22">
        <v>23.0</v>
      </c>
      <c r="O20" s="20">
        <f t="shared" ref="O20:O25" si="6">(M20/(I20+J20))*N20</f>
        <v>19.16666667</v>
      </c>
      <c r="P20" s="39">
        <v>0.5</v>
      </c>
      <c r="Q20" s="20">
        <v>0.0</v>
      </c>
      <c r="R20" s="20">
        <v>37.0</v>
      </c>
      <c r="S20" s="20">
        <v>0.0</v>
      </c>
      <c r="T20" s="2"/>
      <c r="U20" s="2">
        <v>1516675.0</v>
      </c>
      <c r="V20" s="40">
        <f t="shared" si="2"/>
        <v>9100050</v>
      </c>
      <c r="W20" s="40">
        <f t="shared" si="3"/>
        <v>7583375</v>
      </c>
      <c r="X20" s="2"/>
      <c r="Y20" s="2"/>
      <c r="Z20" s="2"/>
    </row>
    <row r="21" ht="12.75" customHeight="1">
      <c r="A21" s="2"/>
      <c r="B21" s="8" t="s">
        <v>39</v>
      </c>
      <c r="C21" s="8" t="s">
        <v>27</v>
      </c>
      <c r="D21" s="8">
        <v>14.0</v>
      </c>
      <c r="E21" s="20">
        <v>49.0</v>
      </c>
      <c r="F21" s="20">
        <v>0.0</v>
      </c>
      <c r="G21" s="20">
        <v>0.0</v>
      </c>
      <c r="H21" s="21">
        <v>0.0</v>
      </c>
      <c r="I21" s="20">
        <v>0.0</v>
      </c>
      <c r="J21" s="20">
        <v>8.0</v>
      </c>
      <c r="K21" s="20">
        <f t="shared" si="1"/>
        <v>8</v>
      </c>
      <c r="L21" s="20">
        <v>41.0</v>
      </c>
      <c r="M21" s="20">
        <v>44.0</v>
      </c>
      <c r="N21" s="22">
        <v>23.0</v>
      </c>
      <c r="O21" s="20">
        <f t="shared" si="6"/>
        <v>126.5</v>
      </c>
      <c r="P21" s="39">
        <v>5.125</v>
      </c>
      <c r="Q21" s="20">
        <v>0.0</v>
      </c>
      <c r="R21" s="20">
        <v>0.0</v>
      </c>
      <c r="S21" s="20">
        <v>0.0</v>
      </c>
      <c r="T21" s="2"/>
      <c r="U21" s="2">
        <v>1516675.0</v>
      </c>
      <c r="V21" s="40">
        <f t="shared" si="2"/>
        <v>12133400</v>
      </c>
      <c r="W21" s="40">
        <f t="shared" si="3"/>
        <v>66733700</v>
      </c>
      <c r="X21" s="2"/>
      <c r="Y21" s="2"/>
      <c r="Z21" s="2"/>
    </row>
    <row r="22" ht="12.75" customHeight="1">
      <c r="A22" s="2"/>
      <c r="B22" s="8" t="s">
        <v>40</v>
      </c>
      <c r="C22" s="8" t="s">
        <v>27</v>
      </c>
      <c r="D22" s="8">
        <v>14.0</v>
      </c>
      <c r="E22" s="20">
        <v>20.0</v>
      </c>
      <c r="F22" s="20">
        <v>0.0</v>
      </c>
      <c r="G22" s="20">
        <v>0.0</v>
      </c>
      <c r="H22" s="21">
        <v>2.0</v>
      </c>
      <c r="I22" s="20">
        <v>0.0</v>
      </c>
      <c r="J22" s="20">
        <v>22.0</v>
      </c>
      <c r="K22" s="20">
        <f t="shared" si="1"/>
        <v>22</v>
      </c>
      <c r="L22" s="20">
        <v>0.0</v>
      </c>
      <c r="M22" s="20">
        <v>7.42857142857143</v>
      </c>
      <c r="N22" s="22">
        <v>23.0</v>
      </c>
      <c r="O22" s="20">
        <f t="shared" si="6"/>
        <v>7.766233766</v>
      </c>
      <c r="P22" s="39">
        <v>0.0</v>
      </c>
      <c r="Q22" s="20">
        <v>0.0</v>
      </c>
      <c r="R22" s="20">
        <v>0.0</v>
      </c>
      <c r="S22" s="20">
        <v>0.0</v>
      </c>
      <c r="T22" s="2"/>
      <c r="U22" s="2">
        <v>1516675.0</v>
      </c>
      <c r="V22" s="40">
        <f t="shared" si="2"/>
        <v>33366850</v>
      </c>
      <c r="W22" s="40">
        <f t="shared" si="3"/>
        <v>11266728.57</v>
      </c>
      <c r="X22" s="2"/>
      <c r="Y22" s="2"/>
      <c r="Z22" s="2"/>
    </row>
    <row r="23" ht="12.75" customHeight="1">
      <c r="A23" s="2"/>
      <c r="B23" s="8" t="s">
        <v>145</v>
      </c>
      <c r="C23" s="8" t="s">
        <v>27</v>
      </c>
      <c r="D23" s="8">
        <v>14.0</v>
      </c>
      <c r="E23" s="20">
        <v>74.0</v>
      </c>
      <c r="F23" s="20">
        <v>75.0</v>
      </c>
      <c r="G23" s="20">
        <v>0.0</v>
      </c>
      <c r="H23" s="21">
        <v>0.0</v>
      </c>
      <c r="I23" s="20">
        <v>0.0</v>
      </c>
      <c r="J23" s="20">
        <v>38.0</v>
      </c>
      <c r="K23" s="20">
        <f t="shared" si="1"/>
        <v>38</v>
      </c>
      <c r="L23" s="20">
        <v>111.0</v>
      </c>
      <c r="M23" s="20">
        <v>73.0</v>
      </c>
      <c r="N23" s="22">
        <v>23.0</v>
      </c>
      <c r="O23" s="20">
        <f t="shared" si="6"/>
        <v>44.18421053</v>
      </c>
      <c r="P23" s="39">
        <v>2.9210526315789473</v>
      </c>
      <c r="Q23" s="20">
        <v>0.0</v>
      </c>
      <c r="R23" s="20">
        <v>0.0</v>
      </c>
      <c r="S23" s="20">
        <v>0.0</v>
      </c>
      <c r="T23" s="2"/>
      <c r="U23" s="2">
        <v>1516675.0</v>
      </c>
      <c r="V23" s="40">
        <f t="shared" si="2"/>
        <v>57633650</v>
      </c>
      <c r="W23" s="40">
        <f t="shared" si="3"/>
        <v>110717275</v>
      </c>
      <c r="X23" s="2"/>
      <c r="Y23" s="2"/>
      <c r="Z23" s="2"/>
    </row>
    <row r="24" ht="12.75" customHeight="1">
      <c r="A24" s="2"/>
      <c r="B24" s="8" t="s">
        <v>41</v>
      </c>
      <c r="C24" s="8" t="s">
        <v>27</v>
      </c>
      <c r="D24" s="8">
        <v>14.0</v>
      </c>
      <c r="E24" s="20">
        <v>55.0</v>
      </c>
      <c r="F24" s="20">
        <v>0.0</v>
      </c>
      <c r="G24" s="20">
        <v>0.0</v>
      </c>
      <c r="H24" s="21">
        <v>0.0</v>
      </c>
      <c r="I24" s="20">
        <v>0.0</v>
      </c>
      <c r="J24" s="20">
        <v>2.0</v>
      </c>
      <c r="K24" s="20">
        <f t="shared" si="1"/>
        <v>2</v>
      </c>
      <c r="L24" s="20">
        <v>53.0</v>
      </c>
      <c r="M24" s="20">
        <v>53.0</v>
      </c>
      <c r="N24" s="22">
        <v>23.0</v>
      </c>
      <c r="O24" s="20">
        <f t="shared" si="6"/>
        <v>609.5</v>
      </c>
      <c r="P24" s="39">
        <v>26.5</v>
      </c>
      <c r="Q24" s="20">
        <v>0.0</v>
      </c>
      <c r="R24" s="20">
        <v>0.0</v>
      </c>
      <c r="S24" s="20">
        <v>36.0</v>
      </c>
      <c r="T24" s="2"/>
      <c r="U24" s="2">
        <v>1516675.0</v>
      </c>
      <c r="V24" s="40">
        <f t="shared" si="2"/>
        <v>3033350</v>
      </c>
      <c r="W24" s="40">
        <f t="shared" si="3"/>
        <v>80383775</v>
      </c>
      <c r="X24" s="2"/>
      <c r="Y24" s="2"/>
      <c r="Z24" s="2"/>
    </row>
    <row r="25" ht="12.75" customHeight="1">
      <c r="A25" s="2"/>
      <c r="B25" s="8" t="s">
        <v>42</v>
      </c>
      <c r="C25" s="8" t="s">
        <v>27</v>
      </c>
      <c r="D25" s="8">
        <v>14.0</v>
      </c>
      <c r="E25" s="20">
        <v>50.0</v>
      </c>
      <c r="F25" s="20">
        <v>198.0</v>
      </c>
      <c r="G25" s="20">
        <v>0.0</v>
      </c>
      <c r="H25" s="21">
        <v>0.0</v>
      </c>
      <c r="I25" s="20">
        <v>0.0</v>
      </c>
      <c r="J25" s="20">
        <v>176.0</v>
      </c>
      <c r="K25" s="20">
        <f t="shared" si="1"/>
        <v>176</v>
      </c>
      <c r="L25" s="20">
        <v>72.0</v>
      </c>
      <c r="M25" s="20">
        <v>120.625</v>
      </c>
      <c r="N25" s="22">
        <v>23.0</v>
      </c>
      <c r="O25" s="20">
        <f t="shared" si="6"/>
        <v>15.76349432</v>
      </c>
      <c r="P25" s="39">
        <v>0.4090909090909091</v>
      </c>
      <c r="Q25" s="20">
        <v>3.0</v>
      </c>
      <c r="R25" s="20">
        <v>140.0</v>
      </c>
      <c r="S25" s="20">
        <v>0.0</v>
      </c>
      <c r="T25" s="2"/>
      <c r="U25" s="2">
        <v>1345865.0</v>
      </c>
      <c r="V25" s="40">
        <f t="shared" si="2"/>
        <v>236872240</v>
      </c>
      <c r="W25" s="40">
        <f t="shared" si="3"/>
        <v>162344965.6</v>
      </c>
      <c r="X25" s="2"/>
      <c r="Y25" s="2"/>
      <c r="Z25" s="2"/>
    </row>
    <row r="26" ht="12.75" customHeight="1">
      <c r="A26" s="2"/>
      <c r="B26" s="43" t="s">
        <v>124</v>
      </c>
      <c r="C26" s="8" t="s">
        <v>27</v>
      </c>
      <c r="D26" s="8">
        <v>14.0</v>
      </c>
      <c r="E26" s="20">
        <v>84.0</v>
      </c>
      <c r="F26" s="20">
        <v>0.0</v>
      </c>
      <c r="G26" s="20">
        <v>0.0</v>
      </c>
      <c r="H26" s="21">
        <v>0.0</v>
      </c>
      <c r="I26" s="20">
        <v>0.0</v>
      </c>
      <c r="J26" s="20">
        <v>0.0</v>
      </c>
      <c r="K26" s="20">
        <f t="shared" si="1"/>
        <v>0</v>
      </c>
      <c r="L26" s="20">
        <v>84.0</v>
      </c>
      <c r="M26" s="20">
        <v>0.0</v>
      </c>
      <c r="N26" s="22">
        <v>23.0</v>
      </c>
      <c r="O26" s="20">
        <v>0.0</v>
      </c>
      <c r="P26" s="39">
        <v>0.0</v>
      </c>
      <c r="Q26" s="20">
        <v>0.0</v>
      </c>
      <c r="R26" s="20">
        <v>0.0</v>
      </c>
      <c r="S26" s="20">
        <v>0.0</v>
      </c>
      <c r="T26" s="2"/>
      <c r="U26" s="2">
        <v>1326180.0</v>
      </c>
      <c r="V26" s="40">
        <f t="shared" si="2"/>
        <v>0</v>
      </c>
      <c r="W26" s="40">
        <f t="shared" si="3"/>
        <v>0</v>
      </c>
      <c r="X26" s="2"/>
      <c r="Y26" s="2"/>
      <c r="Z26" s="2"/>
    </row>
    <row r="27" ht="12.75" customHeight="1">
      <c r="A27" s="2"/>
      <c r="B27" s="8" t="s">
        <v>44</v>
      </c>
      <c r="C27" s="8" t="s">
        <v>27</v>
      </c>
      <c r="D27" s="8">
        <v>14.0</v>
      </c>
      <c r="E27" s="20">
        <v>112.0</v>
      </c>
      <c r="F27" s="20">
        <v>0.0</v>
      </c>
      <c r="G27" s="20">
        <v>0.0</v>
      </c>
      <c r="H27" s="21">
        <v>0.0</v>
      </c>
      <c r="I27" s="20">
        <v>0.0</v>
      </c>
      <c r="J27" s="20">
        <v>81.0</v>
      </c>
      <c r="K27" s="20">
        <f t="shared" si="1"/>
        <v>81</v>
      </c>
      <c r="L27" s="20">
        <v>31.0</v>
      </c>
      <c r="M27" s="20">
        <v>31.0</v>
      </c>
      <c r="N27" s="22">
        <v>23.0</v>
      </c>
      <c r="O27" s="20">
        <f t="shared" ref="O27:O43" si="7">(M27/(I27+J27))*N27</f>
        <v>8.802469136</v>
      </c>
      <c r="P27" s="39">
        <v>0.38271604938271603</v>
      </c>
      <c r="Q27" s="20">
        <v>0.0</v>
      </c>
      <c r="R27" s="20">
        <v>0.0</v>
      </c>
      <c r="S27" s="20">
        <v>0.0</v>
      </c>
      <c r="T27" s="2"/>
      <c r="U27" s="2">
        <v>542345.0</v>
      </c>
      <c r="V27" s="40">
        <f t="shared" si="2"/>
        <v>43929945</v>
      </c>
      <c r="W27" s="40">
        <f t="shared" si="3"/>
        <v>16812695</v>
      </c>
      <c r="X27" s="2"/>
      <c r="Y27" s="2"/>
      <c r="Z27" s="2"/>
    </row>
    <row r="28" ht="12.75" customHeight="1">
      <c r="A28" s="2"/>
      <c r="B28" s="8" t="s">
        <v>46</v>
      </c>
      <c r="C28" s="8" t="s">
        <v>27</v>
      </c>
      <c r="D28" s="8">
        <v>14.0</v>
      </c>
      <c r="E28" s="20">
        <v>33.0</v>
      </c>
      <c r="F28" s="20">
        <v>486.0</v>
      </c>
      <c r="G28" s="20">
        <v>0.0</v>
      </c>
      <c r="H28" s="21">
        <v>0.0</v>
      </c>
      <c r="I28" s="20">
        <v>0.0</v>
      </c>
      <c r="J28" s="20">
        <v>249.0</v>
      </c>
      <c r="K28" s="20">
        <f t="shared" si="1"/>
        <v>249</v>
      </c>
      <c r="L28" s="20">
        <v>270.0</v>
      </c>
      <c r="M28" s="20">
        <v>123.428571428571</v>
      </c>
      <c r="N28" s="22">
        <v>23.0</v>
      </c>
      <c r="O28" s="20">
        <f t="shared" si="7"/>
        <v>11.4010327</v>
      </c>
      <c r="P28" s="39">
        <v>1.0843373493975903</v>
      </c>
      <c r="Q28" s="20">
        <v>0.0</v>
      </c>
      <c r="R28" s="20">
        <v>33.0</v>
      </c>
      <c r="S28" s="20">
        <v>0.0</v>
      </c>
      <c r="T28" s="2"/>
      <c r="U28" s="2">
        <v>848935.0</v>
      </c>
      <c r="V28" s="40">
        <f t="shared" si="2"/>
        <v>211384815</v>
      </c>
      <c r="W28" s="40">
        <f t="shared" si="3"/>
        <v>104782834.3</v>
      </c>
      <c r="X28" s="2"/>
      <c r="Y28" s="2"/>
      <c r="Z28" s="2"/>
    </row>
    <row r="29" ht="12.75" customHeight="1">
      <c r="A29" s="2"/>
      <c r="B29" s="8" t="s">
        <v>125</v>
      </c>
      <c r="C29" s="8" t="s">
        <v>27</v>
      </c>
      <c r="D29" s="8">
        <v>14.0</v>
      </c>
      <c r="E29" s="20">
        <v>90.0</v>
      </c>
      <c r="F29" s="20">
        <v>520.0</v>
      </c>
      <c r="G29" s="20">
        <v>0.0</v>
      </c>
      <c r="H29" s="21">
        <v>0.0</v>
      </c>
      <c r="I29" s="20">
        <v>0.0</v>
      </c>
      <c r="J29" s="20">
        <v>340.0</v>
      </c>
      <c r="K29" s="20">
        <f t="shared" si="1"/>
        <v>340</v>
      </c>
      <c r="L29" s="20">
        <v>270.0</v>
      </c>
      <c r="M29" s="20">
        <v>93.7777777777778</v>
      </c>
      <c r="N29" s="22">
        <v>23.0</v>
      </c>
      <c r="O29" s="20">
        <f t="shared" si="7"/>
        <v>6.34379085</v>
      </c>
      <c r="P29" s="39">
        <v>0.7941176470588235</v>
      </c>
      <c r="Q29" s="20">
        <v>0.0</v>
      </c>
      <c r="R29" s="20">
        <v>36.0</v>
      </c>
      <c r="S29" s="20">
        <v>0.0</v>
      </c>
      <c r="T29" s="2"/>
      <c r="U29" s="2">
        <v>848935.0</v>
      </c>
      <c r="V29" s="40">
        <f t="shared" si="2"/>
        <v>288637900</v>
      </c>
      <c r="W29" s="40">
        <f t="shared" si="3"/>
        <v>79611237.78</v>
      </c>
      <c r="X29" s="2"/>
      <c r="Y29" s="2"/>
      <c r="Z29" s="2"/>
    </row>
    <row r="30" ht="12.75" customHeight="1">
      <c r="A30" s="2"/>
      <c r="B30" s="43" t="s">
        <v>146</v>
      </c>
      <c r="C30" s="8" t="s">
        <v>27</v>
      </c>
      <c r="D30" s="8">
        <v>14.0</v>
      </c>
      <c r="E30" s="20">
        <v>148.0</v>
      </c>
      <c r="F30" s="20">
        <v>0.0</v>
      </c>
      <c r="G30" s="20">
        <v>0.0</v>
      </c>
      <c r="H30" s="21">
        <v>0.0</v>
      </c>
      <c r="I30" s="20">
        <v>0.0</v>
      </c>
      <c r="J30" s="20">
        <v>101.0</v>
      </c>
      <c r="K30" s="20">
        <f t="shared" si="1"/>
        <v>101</v>
      </c>
      <c r="L30" s="20">
        <v>47.0</v>
      </c>
      <c r="M30" s="20">
        <v>92.6666666666667</v>
      </c>
      <c r="N30" s="22">
        <v>23.0</v>
      </c>
      <c r="O30" s="20">
        <f t="shared" si="7"/>
        <v>21.10231023</v>
      </c>
      <c r="P30" s="39">
        <v>0.46534653465346537</v>
      </c>
      <c r="Q30" s="20">
        <v>0.0</v>
      </c>
      <c r="R30" s="20">
        <v>0.0</v>
      </c>
      <c r="S30" s="20">
        <v>0.0</v>
      </c>
      <c r="T30" s="2"/>
      <c r="U30" s="2">
        <v>819485.0</v>
      </c>
      <c r="V30" s="40">
        <f t="shared" si="2"/>
        <v>82767985</v>
      </c>
      <c r="W30" s="40">
        <f t="shared" si="3"/>
        <v>75938943.33</v>
      </c>
      <c r="X30" s="2"/>
      <c r="Y30" s="2"/>
      <c r="Z30" s="2"/>
    </row>
    <row r="31" ht="12.75" customHeight="1">
      <c r="A31" s="2"/>
      <c r="B31" s="43" t="s">
        <v>126</v>
      </c>
      <c r="C31" s="8" t="s">
        <v>27</v>
      </c>
      <c r="D31" s="8">
        <v>14.0</v>
      </c>
      <c r="E31" s="20">
        <v>549.0</v>
      </c>
      <c r="F31" s="20">
        <v>300.0</v>
      </c>
      <c r="G31" s="20">
        <v>0.0</v>
      </c>
      <c r="H31" s="21">
        <v>0.0</v>
      </c>
      <c r="I31" s="20">
        <v>0.0</v>
      </c>
      <c r="J31" s="20">
        <v>441.0</v>
      </c>
      <c r="K31" s="20">
        <f t="shared" si="1"/>
        <v>441</v>
      </c>
      <c r="L31" s="20">
        <v>408.0</v>
      </c>
      <c r="M31" s="20">
        <v>395.57142857142907</v>
      </c>
      <c r="N31" s="22">
        <v>23.0</v>
      </c>
      <c r="O31" s="20">
        <f t="shared" si="7"/>
        <v>20.63070943</v>
      </c>
      <c r="P31" s="39">
        <v>0.9251700680272109</v>
      </c>
      <c r="Q31" s="20">
        <v>0.0</v>
      </c>
      <c r="R31" s="20">
        <v>1250.0</v>
      </c>
      <c r="S31" s="20">
        <v>150.0</v>
      </c>
      <c r="T31" s="2"/>
      <c r="U31" s="2">
        <v>819485.0</v>
      </c>
      <c r="V31" s="40">
        <f t="shared" si="2"/>
        <v>361392885</v>
      </c>
      <c r="W31" s="40">
        <f t="shared" si="3"/>
        <v>324164852.1</v>
      </c>
      <c r="X31" s="2"/>
      <c r="Y31" s="2"/>
      <c r="Z31" s="2"/>
    </row>
    <row r="32" ht="12.75" customHeight="1">
      <c r="A32" s="2"/>
      <c r="B32" s="8" t="s">
        <v>127</v>
      </c>
      <c r="C32" s="8" t="s">
        <v>27</v>
      </c>
      <c r="D32" s="8">
        <v>14.0</v>
      </c>
      <c r="E32" s="20">
        <v>76.0</v>
      </c>
      <c r="F32" s="20">
        <v>0.0</v>
      </c>
      <c r="G32" s="20">
        <v>0.0</v>
      </c>
      <c r="H32" s="21">
        <v>0.0</v>
      </c>
      <c r="I32" s="20">
        <v>0.0</v>
      </c>
      <c r="J32" s="20">
        <v>13.0</v>
      </c>
      <c r="K32" s="20">
        <f t="shared" si="1"/>
        <v>13</v>
      </c>
      <c r="L32" s="20">
        <v>63.0</v>
      </c>
      <c r="M32" s="20">
        <v>68.0</v>
      </c>
      <c r="N32" s="22">
        <v>23.0</v>
      </c>
      <c r="O32" s="20">
        <f t="shared" si="7"/>
        <v>120.3076923</v>
      </c>
      <c r="P32" s="39">
        <v>4.846153846153846</v>
      </c>
      <c r="Q32" s="20">
        <v>0.0</v>
      </c>
      <c r="R32" s="20">
        <v>0.0</v>
      </c>
      <c r="S32" s="20">
        <v>0.0</v>
      </c>
      <c r="T32" s="2"/>
      <c r="U32" s="2">
        <v>1272550.0</v>
      </c>
      <c r="V32" s="40">
        <f t="shared" si="2"/>
        <v>16543150</v>
      </c>
      <c r="W32" s="40">
        <f t="shared" si="3"/>
        <v>86533400</v>
      </c>
      <c r="X32" s="2"/>
      <c r="Y32" s="2"/>
      <c r="Z32" s="2"/>
    </row>
    <row r="33" ht="12.75" customHeight="1">
      <c r="A33" s="2"/>
      <c r="B33" s="8" t="s">
        <v>49</v>
      </c>
      <c r="C33" s="8" t="s">
        <v>27</v>
      </c>
      <c r="D33" s="8">
        <v>14.0</v>
      </c>
      <c r="E33" s="20">
        <v>85.0</v>
      </c>
      <c r="F33" s="20">
        <v>100.0</v>
      </c>
      <c r="G33" s="20">
        <v>0.0</v>
      </c>
      <c r="H33" s="21">
        <v>0.0</v>
      </c>
      <c r="I33" s="20">
        <v>0.0</v>
      </c>
      <c r="J33" s="20">
        <v>79.0</v>
      </c>
      <c r="K33" s="20">
        <f t="shared" si="1"/>
        <v>79</v>
      </c>
      <c r="L33" s="20">
        <v>106.0</v>
      </c>
      <c r="M33" s="20">
        <v>98.2</v>
      </c>
      <c r="N33" s="22">
        <v>23.0</v>
      </c>
      <c r="O33" s="20">
        <f t="shared" si="7"/>
        <v>28.58987342</v>
      </c>
      <c r="P33" s="39">
        <v>1.3417721518987342</v>
      </c>
      <c r="Q33" s="20">
        <v>0.0</v>
      </c>
      <c r="R33" s="20">
        <v>100.0</v>
      </c>
      <c r="S33" s="20">
        <v>0.0</v>
      </c>
      <c r="T33" s="2"/>
      <c r="U33" s="2">
        <v>1272550.0</v>
      </c>
      <c r="V33" s="40">
        <f t="shared" si="2"/>
        <v>100531450</v>
      </c>
      <c r="W33" s="40">
        <f t="shared" si="3"/>
        <v>124964410</v>
      </c>
      <c r="X33" s="2"/>
      <c r="Y33" s="2"/>
      <c r="Z33" s="2"/>
    </row>
    <row r="34" ht="12.75" customHeight="1">
      <c r="A34" s="2"/>
      <c r="B34" s="8" t="s">
        <v>50</v>
      </c>
      <c r="C34" s="8" t="s">
        <v>27</v>
      </c>
      <c r="D34" s="8">
        <v>14.0</v>
      </c>
      <c r="E34" s="20">
        <v>173.0</v>
      </c>
      <c r="F34" s="20">
        <v>0.0</v>
      </c>
      <c r="G34" s="20">
        <v>0.0</v>
      </c>
      <c r="H34" s="21">
        <v>0.0</v>
      </c>
      <c r="I34" s="20">
        <v>0.0</v>
      </c>
      <c r="J34" s="20">
        <v>99.0</v>
      </c>
      <c r="K34" s="20">
        <f t="shared" si="1"/>
        <v>99</v>
      </c>
      <c r="L34" s="20">
        <v>74.0</v>
      </c>
      <c r="M34" s="20">
        <v>96.5</v>
      </c>
      <c r="N34" s="22">
        <v>23.0</v>
      </c>
      <c r="O34" s="20">
        <f t="shared" si="7"/>
        <v>22.41919192</v>
      </c>
      <c r="P34" s="39">
        <v>0.7474747474747475</v>
      </c>
      <c r="Q34" s="20">
        <v>0.0</v>
      </c>
      <c r="R34" s="20">
        <v>100.0</v>
      </c>
      <c r="S34" s="20">
        <v>0.0</v>
      </c>
      <c r="T34" s="2"/>
      <c r="U34" s="2">
        <v>1272550.0</v>
      </c>
      <c r="V34" s="40">
        <f t="shared" si="2"/>
        <v>125982450</v>
      </c>
      <c r="W34" s="40">
        <f t="shared" si="3"/>
        <v>122801075</v>
      </c>
      <c r="X34" s="2"/>
      <c r="Y34" s="2"/>
      <c r="Z34" s="2"/>
    </row>
    <row r="35" ht="12.75" customHeight="1">
      <c r="A35" s="2"/>
      <c r="B35" s="8" t="s">
        <v>51</v>
      </c>
      <c r="C35" s="8" t="s">
        <v>27</v>
      </c>
      <c r="D35" s="8">
        <v>14.0</v>
      </c>
      <c r="E35" s="20">
        <v>701.0</v>
      </c>
      <c r="F35" s="20">
        <v>0.0</v>
      </c>
      <c r="G35" s="20">
        <v>0.0</v>
      </c>
      <c r="H35" s="21">
        <v>0.0</v>
      </c>
      <c r="I35" s="20">
        <v>0.0</v>
      </c>
      <c r="J35" s="20">
        <v>540.0</v>
      </c>
      <c r="K35" s="20">
        <f t="shared" si="1"/>
        <v>540</v>
      </c>
      <c r="L35" s="20">
        <v>161.0</v>
      </c>
      <c r="M35" s="20">
        <v>411.0</v>
      </c>
      <c r="N35" s="22">
        <v>23.0</v>
      </c>
      <c r="O35" s="20">
        <f t="shared" si="7"/>
        <v>17.50555556</v>
      </c>
      <c r="P35" s="39">
        <v>0.29814814814814816</v>
      </c>
      <c r="Q35" s="20">
        <v>0.0</v>
      </c>
      <c r="R35" s="20">
        <v>250.0</v>
      </c>
      <c r="S35" s="20">
        <v>0.0</v>
      </c>
      <c r="T35" s="2"/>
      <c r="U35" s="2">
        <v>819485.0</v>
      </c>
      <c r="V35" s="40">
        <f t="shared" si="2"/>
        <v>442521900</v>
      </c>
      <c r="W35" s="40">
        <f t="shared" si="3"/>
        <v>336808335</v>
      </c>
      <c r="X35" s="2"/>
      <c r="Y35" s="2"/>
      <c r="Z35" s="2"/>
    </row>
    <row r="36" ht="12.75" customHeight="1">
      <c r="A36" s="2"/>
      <c r="B36" s="8" t="s">
        <v>147</v>
      </c>
      <c r="C36" s="8" t="s">
        <v>27</v>
      </c>
      <c r="D36" s="8">
        <v>14.0</v>
      </c>
      <c r="E36" s="20">
        <v>0.0</v>
      </c>
      <c r="F36" s="20">
        <v>500.0</v>
      </c>
      <c r="G36" s="20">
        <v>0.0</v>
      </c>
      <c r="H36" s="21">
        <v>0.0</v>
      </c>
      <c r="I36" s="20">
        <v>0.0</v>
      </c>
      <c r="J36" s="20">
        <v>14.0</v>
      </c>
      <c r="K36" s="20">
        <f t="shared" si="1"/>
        <v>14</v>
      </c>
      <c r="L36" s="20">
        <v>486.0</v>
      </c>
      <c r="M36" s="20">
        <v>422.0</v>
      </c>
      <c r="N36" s="22">
        <v>23.0</v>
      </c>
      <c r="O36" s="20">
        <f t="shared" si="7"/>
        <v>693.2857143</v>
      </c>
      <c r="P36" s="39">
        <v>34.714285714285715</v>
      </c>
      <c r="Q36" s="20">
        <v>100.0</v>
      </c>
      <c r="R36" s="20">
        <v>100.0</v>
      </c>
      <c r="S36" s="20">
        <v>0.0</v>
      </c>
      <c r="T36" s="2"/>
      <c r="U36" s="2">
        <v>819485.0</v>
      </c>
      <c r="V36" s="40">
        <f t="shared" si="2"/>
        <v>11472790</v>
      </c>
      <c r="W36" s="40">
        <f t="shared" si="3"/>
        <v>345822670</v>
      </c>
      <c r="X36" s="2"/>
      <c r="Y36" s="2"/>
      <c r="Z36" s="2"/>
    </row>
    <row r="37" ht="12.75" customHeight="1">
      <c r="A37" s="2"/>
      <c r="B37" s="8" t="s">
        <v>108</v>
      </c>
      <c r="C37" s="8" t="s">
        <v>27</v>
      </c>
      <c r="D37" s="8">
        <v>14.0</v>
      </c>
      <c r="E37" s="20">
        <v>162.0</v>
      </c>
      <c r="F37" s="20">
        <v>0.0</v>
      </c>
      <c r="G37" s="20">
        <v>0.0</v>
      </c>
      <c r="H37" s="21">
        <v>0.0</v>
      </c>
      <c r="I37" s="20">
        <v>0.0</v>
      </c>
      <c r="J37" s="20">
        <v>96.0</v>
      </c>
      <c r="K37" s="20">
        <f t="shared" si="1"/>
        <v>96</v>
      </c>
      <c r="L37" s="20">
        <v>66.0</v>
      </c>
      <c r="M37" s="20">
        <v>90.0</v>
      </c>
      <c r="N37" s="22">
        <v>23.0</v>
      </c>
      <c r="O37" s="20">
        <f t="shared" si="7"/>
        <v>21.5625</v>
      </c>
      <c r="P37" s="39">
        <v>0.6875</v>
      </c>
      <c r="Q37" s="20">
        <v>0.0</v>
      </c>
      <c r="R37" s="20">
        <v>305.0</v>
      </c>
      <c r="S37" s="20">
        <v>0.0</v>
      </c>
      <c r="T37" s="2"/>
      <c r="U37" s="2">
        <v>1445220.0</v>
      </c>
      <c r="V37" s="40">
        <f t="shared" si="2"/>
        <v>138741120</v>
      </c>
      <c r="W37" s="40">
        <f t="shared" si="3"/>
        <v>130069800</v>
      </c>
      <c r="X37" s="2"/>
      <c r="Y37" s="2"/>
      <c r="Z37" s="2"/>
    </row>
    <row r="38" ht="12.75" customHeight="1">
      <c r="A38" s="2"/>
      <c r="B38" s="8" t="s">
        <v>128</v>
      </c>
      <c r="C38" s="8" t="s">
        <v>27</v>
      </c>
      <c r="D38" s="8">
        <v>14.0</v>
      </c>
      <c r="E38" s="20">
        <v>46.0</v>
      </c>
      <c r="F38" s="20">
        <v>154.0</v>
      </c>
      <c r="G38" s="20">
        <v>0.0</v>
      </c>
      <c r="H38" s="21">
        <v>0.0</v>
      </c>
      <c r="I38" s="20">
        <v>0.0</v>
      </c>
      <c r="J38" s="20">
        <v>74.0</v>
      </c>
      <c r="K38" s="20">
        <f t="shared" si="1"/>
        <v>74</v>
      </c>
      <c r="L38" s="20">
        <v>126.0</v>
      </c>
      <c r="M38" s="20">
        <v>150.666666666667</v>
      </c>
      <c r="N38" s="22">
        <v>23.0</v>
      </c>
      <c r="O38" s="20">
        <f t="shared" si="7"/>
        <v>46.82882883</v>
      </c>
      <c r="P38" s="39">
        <v>1.7027027027027026</v>
      </c>
      <c r="Q38" s="20">
        <v>0.0</v>
      </c>
      <c r="R38" s="20">
        <v>0.0</v>
      </c>
      <c r="S38" s="20">
        <v>0.0</v>
      </c>
      <c r="T38" s="2"/>
      <c r="U38" s="2">
        <v>1445220.0</v>
      </c>
      <c r="V38" s="40">
        <f t="shared" si="2"/>
        <v>106946280</v>
      </c>
      <c r="W38" s="40">
        <f t="shared" si="3"/>
        <v>217746480</v>
      </c>
      <c r="X38" s="2"/>
      <c r="Y38" s="2"/>
      <c r="Z38" s="2"/>
    </row>
    <row r="39" ht="12.75" customHeight="1">
      <c r="A39" s="2"/>
      <c r="B39" s="8" t="s">
        <v>54</v>
      </c>
      <c r="C39" s="8" t="s">
        <v>27</v>
      </c>
      <c r="D39" s="8">
        <v>14.0</v>
      </c>
      <c r="E39" s="20">
        <v>48.0</v>
      </c>
      <c r="F39" s="20">
        <v>154.0</v>
      </c>
      <c r="G39" s="20">
        <v>0.0</v>
      </c>
      <c r="H39" s="21">
        <v>0.0</v>
      </c>
      <c r="I39" s="20">
        <v>0.0</v>
      </c>
      <c r="J39" s="20">
        <v>128.0</v>
      </c>
      <c r="K39" s="20">
        <f t="shared" si="1"/>
        <v>128</v>
      </c>
      <c r="L39" s="20">
        <v>74.0</v>
      </c>
      <c r="M39" s="20">
        <v>111.60000000000001</v>
      </c>
      <c r="N39" s="22">
        <v>23.0</v>
      </c>
      <c r="O39" s="20">
        <f t="shared" si="7"/>
        <v>20.053125</v>
      </c>
      <c r="P39" s="39">
        <v>0.578125</v>
      </c>
      <c r="Q39" s="20">
        <v>16.0</v>
      </c>
      <c r="R39" s="20">
        <v>357.0</v>
      </c>
      <c r="S39" s="20">
        <v>0.0</v>
      </c>
      <c r="T39" s="2"/>
      <c r="U39" s="2">
        <v>1445220.0</v>
      </c>
      <c r="V39" s="40">
        <f t="shared" si="2"/>
        <v>184988160</v>
      </c>
      <c r="W39" s="40">
        <f t="shared" si="3"/>
        <v>161286552</v>
      </c>
      <c r="X39" s="2"/>
      <c r="Y39" s="2"/>
      <c r="Z39" s="2"/>
    </row>
    <row r="40" ht="12.75" customHeight="1">
      <c r="A40" s="2"/>
      <c r="B40" s="8" t="s">
        <v>55</v>
      </c>
      <c r="C40" s="8" t="s">
        <v>27</v>
      </c>
      <c r="D40" s="8">
        <v>14.0</v>
      </c>
      <c r="E40" s="20">
        <v>112.0</v>
      </c>
      <c r="F40" s="20">
        <v>105.0</v>
      </c>
      <c r="G40" s="20">
        <v>0.0</v>
      </c>
      <c r="H40" s="21">
        <v>0.0</v>
      </c>
      <c r="I40" s="20">
        <v>0.0</v>
      </c>
      <c r="J40" s="20">
        <v>105.0</v>
      </c>
      <c r="K40" s="20">
        <f t="shared" si="1"/>
        <v>105</v>
      </c>
      <c r="L40" s="20">
        <v>112.0</v>
      </c>
      <c r="M40" s="20">
        <v>163.0</v>
      </c>
      <c r="N40" s="22">
        <v>23.0</v>
      </c>
      <c r="O40" s="20">
        <f t="shared" si="7"/>
        <v>35.7047619</v>
      </c>
      <c r="P40" s="39">
        <v>1.0666666666666667</v>
      </c>
      <c r="Q40" s="20">
        <v>0.0</v>
      </c>
      <c r="R40" s="20">
        <v>100.0</v>
      </c>
      <c r="S40" s="20">
        <v>0.0</v>
      </c>
      <c r="T40" s="2"/>
      <c r="U40" s="2">
        <v>1272550.0</v>
      </c>
      <c r="V40" s="40">
        <f t="shared" si="2"/>
        <v>133617750</v>
      </c>
      <c r="W40" s="40">
        <f t="shared" si="3"/>
        <v>207425650</v>
      </c>
      <c r="X40" s="2"/>
      <c r="Y40" s="2"/>
      <c r="Z40" s="2"/>
    </row>
    <row r="41" ht="12.75" customHeight="1">
      <c r="A41" s="2"/>
      <c r="B41" s="8" t="s">
        <v>58</v>
      </c>
      <c r="C41" s="8" t="s">
        <v>27</v>
      </c>
      <c r="D41" s="8">
        <v>14.0</v>
      </c>
      <c r="E41" s="20">
        <v>216.0</v>
      </c>
      <c r="F41" s="20">
        <v>100.0</v>
      </c>
      <c r="G41" s="20">
        <v>0.0</v>
      </c>
      <c r="H41" s="21">
        <v>0.0</v>
      </c>
      <c r="I41" s="20">
        <v>0.0</v>
      </c>
      <c r="J41" s="20">
        <v>162.0</v>
      </c>
      <c r="K41" s="20">
        <f t="shared" si="1"/>
        <v>162</v>
      </c>
      <c r="L41" s="20">
        <v>154.0</v>
      </c>
      <c r="M41" s="20">
        <v>196.5</v>
      </c>
      <c r="N41" s="22">
        <v>23.0</v>
      </c>
      <c r="O41" s="20">
        <f t="shared" si="7"/>
        <v>27.89814815</v>
      </c>
      <c r="P41" s="39">
        <v>0.9506172839506173</v>
      </c>
      <c r="Q41" s="20">
        <v>0.0</v>
      </c>
      <c r="R41" s="20">
        <v>100.0</v>
      </c>
      <c r="S41" s="20">
        <v>0.0</v>
      </c>
      <c r="T41" s="2"/>
      <c r="U41" s="2">
        <v>819485.0</v>
      </c>
      <c r="V41" s="40">
        <f t="shared" si="2"/>
        <v>132756570</v>
      </c>
      <c r="W41" s="40">
        <f t="shared" si="3"/>
        <v>161028802.5</v>
      </c>
      <c r="X41" s="2"/>
      <c r="Y41" s="2"/>
      <c r="Z41" s="2"/>
    </row>
    <row r="42" ht="12.75" customHeight="1">
      <c r="A42" s="2"/>
      <c r="B42" s="8" t="s">
        <v>59</v>
      </c>
      <c r="C42" s="8" t="s">
        <v>27</v>
      </c>
      <c r="D42" s="8">
        <v>14.0</v>
      </c>
      <c r="E42" s="20">
        <v>407.98</v>
      </c>
      <c r="F42" s="20">
        <v>310.0</v>
      </c>
      <c r="G42" s="20">
        <v>0.0</v>
      </c>
      <c r="H42" s="21">
        <v>0.0</v>
      </c>
      <c r="I42" s="20">
        <v>0.0</v>
      </c>
      <c r="J42" s="20">
        <v>554.0</v>
      </c>
      <c r="K42" s="20">
        <f t="shared" si="1"/>
        <v>554</v>
      </c>
      <c r="L42" s="20">
        <v>163.98</v>
      </c>
      <c r="M42" s="20">
        <v>292.78000000000003</v>
      </c>
      <c r="N42" s="22">
        <v>23.0</v>
      </c>
      <c r="O42" s="20">
        <f t="shared" si="7"/>
        <v>12.15512635</v>
      </c>
      <c r="P42" s="39">
        <v>0.2959927797833935</v>
      </c>
      <c r="Q42" s="20">
        <v>100.0</v>
      </c>
      <c r="R42" s="20">
        <v>1240.0</v>
      </c>
      <c r="S42" s="20">
        <v>100.0</v>
      </c>
      <c r="T42" s="2"/>
      <c r="U42" s="2">
        <v>819485.0</v>
      </c>
      <c r="V42" s="40">
        <f t="shared" si="2"/>
        <v>453994690</v>
      </c>
      <c r="W42" s="40">
        <f t="shared" si="3"/>
        <v>239928818.3</v>
      </c>
      <c r="X42" s="2"/>
      <c r="Y42" s="2"/>
      <c r="Z42" s="2"/>
    </row>
    <row r="43" ht="12.75" customHeight="1">
      <c r="A43" s="2"/>
      <c r="B43" s="8" t="s">
        <v>148</v>
      </c>
      <c r="C43" s="8" t="s">
        <v>27</v>
      </c>
      <c r="D43" s="8">
        <v>14.0</v>
      </c>
      <c r="E43" s="20">
        <v>28.0</v>
      </c>
      <c r="F43" s="20">
        <v>0.0</v>
      </c>
      <c r="G43" s="20">
        <v>0.0</v>
      </c>
      <c r="H43" s="21">
        <v>0.0</v>
      </c>
      <c r="I43" s="20">
        <v>0.0</v>
      </c>
      <c r="J43" s="20">
        <v>5.0</v>
      </c>
      <c r="K43" s="20">
        <f t="shared" si="1"/>
        <v>5</v>
      </c>
      <c r="L43" s="20">
        <v>23.0</v>
      </c>
      <c r="M43" s="20">
        <v>23.0</v>
      </c>
      <c r="N43" s="22">
        <v>23.0</v>
      </c>
      <c r="O43" s="20">
        <f t="shared" si="7"/>
        <v>105.8</v>
      </c>
      <c r="P43" s="39">
        <v>4.6</v>
      </c>
      <c r="Q43" s="20">
        <v>0.0</v>
      </c>
      <c r="R43" s="20">
        <v>0.0</v>
      </c>
      <c r="S43" s="20">
        <v>0.0</v>
      </c>
      <c r="T43" s="2"/>
      <c r="U43" s="2">
        <v>1481800.0</v>
      </c>
      <c r="V43" s="40">
        <f t="shared" si="2"/>
        <v>7409000</v>
      </c>
      <c r="W43" s="40">
        <f t="shared" si="3"/>
        <v>34081400</v>
      </c>
      <c r="X43" s="2"/>
      <c r="Y43" s="2"/>
      <c r="Z43" s="2"/>
    </row>
    <row r="44" ht="12.75" customHeight="1">
      <c r="A44" s="2"/>
      <c r="B44" s="8" t="s">
        <v>60</v>
      </c>
      <c r="C44" s="8" t="s">
        <v>27</v>
      </c>
      <c r="D44" s="8">
        <v>14.0</v>
      </c>
      <c r="E44" s="20">
        <v>132.0</v>
      </c>
      <c r="F44" s="20">
        <v>0.0</v>
      </c>
      <c r="G44" s="20">
        <v>0.0</v>
      </c>
      <c r="H44" s="21">
        <v>0.0</v>
      </c>
      <c r="I44" s="20">
        <v>0.0</v>
      </c>
      <c r="J44" s="20">
        <v>0.0</v>
      </c>
      <c r="K44" s="20">
        <f t="shared" si="1"/>
        <v>0</v>
      </c>
      <c r="L44" s="20">
        <v>132.0</v>
      </c>
      <c r="M44" s="20">
        <v>0.0</v>
      </c>
      <c r="N44" s="22">
        <v>23.0</v>
      </c>
      <c r="O44" s="20">
        <v>0.0</v>
      </c>
      <c r="P44" s="39">
        <v>0.0</v>
      </c>
      <c r="Q44" s="20">
        <v>0.0</v>
      </c>
      <c r="R44" s="20">
        <v>0.0</v>
      </c>
      <c r="S44" s="20">
        <v>0.0</v>
      </c>
      <c r="T44" s="2"/>
      <c r="U44" s="2">
        <v>1481800.0</v>
      </c>
      <c r="V44" s="40">
        <f t="shared" si="2"/>
        <v>0</v>
      </c>
      <c r="W44" s="40">
        <f t="shared" si="3"/>
        <v>0</v>
      </c>
      <c r="X44" s="2"/>
      <c r="Y44" s="2"/>
      <c r="Z44" s="2"/>
    </row>
    <row r="45" ht="12.75" customHeight="1">
      <c r="A45" s="2"/>
      <c r="B45" s="8" t="s">
        <v>61</v>
      </c>
      <c r="C45" s="8" t="s">
        <v>27</v>
      </c>
      <c r="D45" s="8">
        <v>14.0</v>
      </c>
      <c r="E45" s="20">
        <v>8.0</v>
      </c>
      <c r="F45" s="20">
        <v>0.0</v>
      </c>
      <c r="G45" s="20">
        <v>0.0</v>
      </c>
      <c r="H45" s="21">
        <v>0.0</v>
      </c>
      <c r="I45" s="20">
        <v>0.0</v>
      </c>
      <c r="J45" s="20">
        <v>0.0</v>
      </c>
      <c r="K45" s="20">
        <f t="shared" si="1"/>
        <v>0</v>
      </c>
      <c r="L45" s="20">
        <v>8.0</v>
      </c>
      <c r="M45" s="20">
        <v>0.0</v>
      </c>
      <c r="N45" s="22">
        <v>23.0</v>
      </c>
      <c r="O45" s="20">
        <v>0.0</v>
      </c>
      <c r="P45" s="39">
        <v>0.0</v>
      </c>
      <c r="Q45" s="20">
        <v>0.0</v>
      </c>
      <c r="R45" s="20">
        <v>0.0</v>
      </c>
      <c r="S45" s="20">
        <v>0.0</v>
      </c>
      <c r="T45" s="2"/>
      <c r="U45" s="2">
        <v>1481800.0</v>
      </c>
      <c r="V45" s="40">
        <f t="shared" si="2"/>
        <v>0</v>
      </c>
      <c r="W45" s="40">
        <f t="shared" si="3"/>
        <v>0</v>
      </c>
      <c r="X45" s="2"/>
      <c r="Y45" s="2"/>
      <c r="Z45" s="2"/>
    </row>
    <row r="46" ht="12.75" customHeight="1">
      <c r="A46" s="2"/>
      <c r="B46" s="43" t="s">
        <v>129</v>
      </c>
      <c r="C46" s="8" t="s">
        <v>27</v>
      </c>
      <c r="D46" s="8">
        <v>14.0</v>
      </c>
      <c r="E46" s="20">
        <v>28.0</v>
      </c>
      <c r="F46" s="20">
        <v>0.0</v>
      </c>
      <c r="G46" s="20">
        <v>0.0</v>
      </c>
      <c r="H46" s="21">
        <v>0.0</v>
      </c>
      <c r="I46" s="20">
        <v>0.0</v>
      </c>
      <c r="J46" s="20">
        <v>0.0</v>
      </c>
      <c r="K46" s="20">
        <f t="shared" si="1"/>
        <v>0</v>
      </c>
      <c r="L46" s="20">
        <v>28.0</v>
      </c>
      <c r="M46" s="20">
        <v>0.0</v>
      </c>
      <c r="N46" s="22">
        <v>23.0</v>
      </c>
      <c r="O46" s="20">
        <v>0.0</v>
      </c>
      <c r="P46" s="39">
        <v>0.0</v>
      </c>
      <c r="Q46" s="20">
        <v>0.0</v>
      </c>
      <c r="R46" s="20">
        <v>0.0</v>
      </c>
      <c r="S46" s="20">
        <v>0.0</v>
      </c>
      <c r="T46" s="2"/>
      <c r="U46" s="2">
        <v>1481800.0</v>
      </c>
      <c r="V46" s="40">
        <f t="shared" si="2"/>
        <v>0</v>
      </c>
      <c r="W46" s="40">
        <f t="shared" si="3"/>
        <v>0</v>
      </c>
      <c r="X46" s="2"/>
      <c r="Y46" s="2"/>
      <c r="Z46" s="2"/>
    </row>
    <row r="47" ht="12.75" customHeight="1">
      <c r="A47" s="2"/>
      <c r="B47" s="8" t="s">
        <v>62</v>
      </c>
      <c r="C47" s="8" t="s">
        <v>27</v>
      </c>
      <c r="D47" s="8">
        <v>14.0</v>
      </c>
      <c r="E47" s="20">
        <v>5.0</v>
      </c>
      <c r="F47" s="20">
        <v>0.0</v>
      </c>
      <c r="G47" s="20">
        <v>0.0</v>
      </c>
      <c r="H47" s="21">
        <v>0.0</v>
      </c>
      <c r="I47" s="20">
        <v>0.0</v>
      </c>
      <c r="J47" s="20">
        <v>5.0</v>
      </c>
      <c r="K47" s="20">
        <f t="shared" si="1"/>
        <v>5</v>
      </c>
      <c r="L47" s="20">
        <v>0.0</v>
      </c>
      <c r="M47" s="20">
        <v>0.0</v>
      </c>
      <c r="N47" s="22">
        <v>23.0</v>
      </c>
      <c r="O47" s="20">
        <f t="shared" ref="O47:O49" si="8">(M47/(I47+J47))*N47</f>
        <v>0</v>
      </c>
      <c r="P47" s="39">
        <v>0.0</v>
      </c>
      <c r="Q47" s="20">
        <v>0.0</v>
      </c>
      <c r="R47" s="20">
        <v>0.0</v>
      </c>
      <c r="S47" s="20">
        <v>0.0</v>
      </c>
      <c r="T47" s="2"/>
      <c r="U47" s="2">
        <v>1481800.0</v>
      </c>
      <c r="V47" s="40">
        <f t="shared" si="2"/>
        <v>7409000</v>
      </c>
      <c r="W47" s="40">
        <f t="shared" si="3"/>
        <v>0</v>
      </c>
      <c r="X47" s="2"/>
      <c r="Y47" s="2"/>
      <c r="Z47" s="2"/>
    </row>
    <row r="48" ht="12.75" customHeight="1">
      <c r="A48" s="2"/>
      <c r="B48" s="8" t="s">
        <v>63</v>
      </c>
      <c r="C48" s="8" t="s">
        <v>27</v>
      </c>
      <c r="D48" s="8">
        <v>14.0</v>
      </c>
      <c r="E48" s="20">
        <v>54.0</v>
      </c>
      <c r="F48" s="20">
        <v>0.0</v>
      </c>
      <c r="G48" s="20">
        <v>0.0</v>
      </c>
      <c r="H48" s="21">
        <v>0.0</v>
      </c>
      <c r="I48" s="20">
        <v>0.0</v>
      </c>
      <c r="J48" s="20">
        <v>4.0</v>
      </c>
      <c r="K48" s="20">
        <f t="shared" si="1"/>
        <v>4</v>
      </c>
      <c r="L48" s="20">
        <v>50.0</v>
      </c>
      <c r="M48" s="20">
        <v>50.0</v>
      </c>
      <c r="N48" s="22">
        <v>23.0</v>
      </c>
      <c r="O48" s="20">
        <f t="shared" si="8"/>
        <v>287.5</v>
      </c>
      <c r="P48" s="39">
        <v>12.5</v>
      </c>
      <c r="Q48" s="20">
        <v>0.0</v>
      </c>
      <c r="R48" s="20">
        <v>0.0</v>
      </c>
      <c r="S48" s="20">
        <v>0.0</v>
      </c>
      <c r="T48" s="2"/>
      <c r="U48" s="2">
        <v>1481800.0</v>
      </c>
      <c r="V48" s="40">
        <f t="shared" si="2"/>
        <v>5927200</v>
      </c>
      <c r="W48" s="40">
        <f t="shared" si="3"/>
        <v>74090000</v>
      </c>
      <c r="X48" s="2"/>
      <c r="Y48" s="2"/>
      <c r="Z48" s="2"/>
    </row>
    <row r="49" ht="12.75" customHeight="1">
      <c r="A49" s="2"/>
      <c r="B49" s="8" t="s">
        <v>64</v>
      </c>
      <c r="C49" s="8" t="s">
        <v>27</v>
      </c>
      <c r="D49" s="8">
        <v>14.0</v>
      </c>
      <c r="E49" s="20">
        <v>59.0</v>
      </c>
      <c r="F49" s="20">
        <v>0.0</v>
      </c>
      <c r="G49" s="20">
        <v>0.0</v>
      </c>
      <c r="H49" s="21">
        <v>0.0</v>
      </c>
      <c r="I49" s="20">
        <v>0.0</v>
      </c>
      <c r="J49" s="20">
        <v>2.0</v>
      </c>
      <c r="K49" s="20">
        <f t="shared" si="1"/>
        <v>2</v>
      </c>
      <c r="L49" s="20">
        <v>57.0</v>
      </c>
      <c r="M49" s="20">
        <v>57.0</v>
      </c>
      <c r="N49" s="22">
        <v>23.0</v>
      </c>
      <c r="O49" s="20">
        <f t="shared" si="8"/>
        <v>655.5</v>
      </c>
      <c r="P49" s="39">
        <v>28.5</v>
      </c>
      <c r="Q49" s="20">
        <v>0.0</v>
      </c>
      <c r="R49" s="20">
        <v>0.0</v>
      </c>
      <c r="S49" s="20">
        <v>0.0</v>
      </c>
      <c r="T49" s="2"/>
      <c r="U49" s="2">
        <v>1481800.0</v>
      </c>
      <c r="V49" s="40">
        <f t="shared" si="2"/>
        <v>2963600</v>
      </c>
      <c r="W49" s="40">
        <f t="shared" si="3"/>
        <v>84462600</v>
      </c>
      <c r="X49" s="2"/>
      <c r="Y49" s="2"/>
      <c r="Z49" s="2"/>
    </row>
    <row r="50" ht="12.75" customHeight="1">
      <c r="A50" s="2"/>
      <c r="B50" s="8" t="s">
        <v>65</v>
      </c>
      <c r="C50" s="8" t="s">
        <v>27</v>
      </c>
      <c r="D50" s="8">
        <v>14.0</v>
      </c>
      <c r="E50" s="20">
        <v>23.0</v>
      </c>
      <c r="F50" s="20">
        <v>0.0</v>
      </c>
      <c r="G50" s="20">
        <v>0.0</v>
      </c>
      <c r="H50" s="21">
        <v>0.0</v>
      </c>
      <c r="I50" s="20">
        <v>0.0</v>
      </c>
      <c r="J50" s="20">
        <v>0.0</v>
      </c>
      <c r="K50" s="20">
        <f t="shared" si="1"/>
        <v>0</v>
      </c>
      <c r="L50" s="20">
        <v>23.0</v>
      </c>
      <c r="M50" s="20">
        <v>0.0</v>
      </c>
      <c r="N50" s="22">
        <v>23.0</v>
      </c>
      <c r="O50" s="20">
        <v>0.0</v>
      </c>
      <c r="P50" s="39">
        <v>0.0</v>
      </c>
      <c r="Q50" s="20">
        <v>0.0</v>
      </c>
      <c r="R50" s="20">
        <v>0.0</v>
      </c>
      <c r="S50" s="20">
        <v>0.0</v>
      </c>
      <c r="T50" s="2"/>
      <c r="U50" s="2">
        <v>942555.0</v>
      </c>
      <c r="V50" s="40">
        <f t="shared" si="2"/>
        <v>0</v>
      </c>
      <c r="W50" s="40">
        <f t="shared" si="3"/>
        <v>0</v>
      </c>
      <c r="X50" s="2"/>
      <c r="Y50" s="2"/>
      <c r="Z50" s="2"/>
    </row>
    <row r="51" ht="12.75" customHeight="1">
      <c r="A51" s="2"/>
      <c r="B51" s="8" t="s">
        <v>66</v>
      </c>
      <c r="C51" s="8" t="s">
        <v>27</v>
      </c>
      <c r="D51" s="8">
        <v>14.0</v>
      </c>
      <c r="E51" s="20">
        <v>72.0</v>
      </c>
      <c r="F51" s="20">
        <v>146.0</v>
      </c>
      <c r="G51" s="20">
        <v>0.0</v>
      </c>
      <c r="H51" s="21">
        <v>0.0</v>
      </c>
      <c r="I51" s="20">
        <v>0.0</v>
      </c>
      <c r="J51" s="20">
        <v>72.0</v>
      </c>
      <c r="K51" s="20">
        <f t="shared" si="1"/>
        <v>72</v>
      </c>
      <c r="L51" s="20">
        <v>146.0</v>
      </c>
      <c r="M51" s="20">
        <v>142.666666666667</v>
      </c>
      <c r="N51" s="22">
        <v>23.0</v>
      </c>
      <c r="O51" s="20">
        <f t="shared" ref="O51:O56" si="9">(M51/(I51+J51))*N51</f>
        <v>45.57407407</v>
      </c>
      <c r="P51" s="39">
        <v>2.0277777777777777</v>
      </c>
      <c r="Q51" s="20">
        <v>0.0</v>
      </c>
      <c r="R51" s="20">
        <v>0.0</v>
      </c>
      <c r="S51" s="20">
        <v>0.0</v>
      </c>
      <c r="T51" s="2"/>
      <c r="U51" s="2">
        <v>958675.0</v>
      </c>
      <c r="V51" s="40">
        <f t="shared" si="2"/>
        <v>69024600</v>
      </c>
      <c r="W51" s="40">
        <f t="shared" si="3"/>
        <v>136770966.7</v>
      </c>
      <c r="X51" s="2"/>
      <c r="Y51" s="2"/>
      <c r="Z51" s="2"/>
    </row>
    <row r="52" ht="12.75" customHeight="1">
      <c r="A52" s="2"/>
      <c r="B52" s="8" t="s">
        <v>109</v>
      </c>
      <c r="C52" s="8" t="s">
        <v>27</v>
      </c>
      <c r="D52" s="8">
        <v>14.0</v>
      </c>
      <c r="E52" s="20">
        <v>200.0</v>
      </c>
      <c r="F52" s="20">
        <v>348.0</v>
      </c>
      <c r="G52" s="20">
        <v>0.0</v>
      </c>
      <c r="H52" s="21">
        <v>0.0</v>
      </c>
      <c r="I52" s="20">
        <v>0.0</v>
      </c>
      <c r="J52" s="20">
        <v>418.0</v>
      </c>
      <c r="K52" s="20">
        <f t="shared" si="1"/>
        <v>418</v>
      </c>
      <c r="L52" s="20">
        <v>130.0</v>
      </c>
      <c r="M52" s="20">
        <v>209.4</v>
      </c>
      <c r="N52" s="22">
        <v>23.0</v>
      </c>
      <c r="O52" s="20">
        <f t="shared" si="9"/>
        <v>11.52200957</v>
      </c>
      <c r="P52" s="39">
        <v>0.31100478468899523</v>
      </c>
      <c r="Q52" s="20">
        <v>0.0</v>
      </c>
      <c r="R52" s="20">
        <v>202.0</v>
      </c>
      <c r="S52" s="20">
        <v>0.0</v>
      </c>
      <c r="T52" s="2"/>
      <c r="U52" s="2">
        <v>848935.0</v>
      </c>
      <c r="V52" s="40">
        <f t="shared" si="2"/>
        <v>354854830</v>
      </c>
      <c r="W52" s="40">
        <f t="shared" si="3"/>
        <v>177766989</v>
      </c>
      <c r="X52" s="2"/>
      <c r="Y52" s="2"/>
      <c r="Z52" s="2"/>
    </row>
    <row r="53" ht="12.75" customHeight="1">
      <c r="A53" s="2"/>
      <c r="B53" s="8" t="s">
        <v>110</v>
      </c>
      <c r="C53" s="8" t="s">
        <v>27</v>
      </c>
      <c r="D53" s="8">
        <v>14.0</v>
      </c>
      <c r="E53" s="20">
        <v>135.0</v>
      </c>
      <c r="F53" s="20">
        <v>100.0</v>
      </c>
      <c r="G53" s="20">
        <v>0.0</v>
      </c>
      <c r="H53" s="21">
        <v>0.0</v>
      </c>
      <c r="I53" s="20">
        <v>0.0</v>
      </c>
      <c r="J53" s="20">
        <v>235.0</v>
      </c>
      <c r="K53" s="20">
        <f t="shared" si="1"/>
        <v>235</v>
      </c>
      <c r="L53" s="20">
        <v>0.0</v>
      </c>
      <c r="M53" s="20">
        <v>103.333333333333</v>
      </c>
      <c r="N53" s="22">
        <v>23.0</v>
      </c>
      <c r="O53" s="20">
        <f t="shared" si="9"/>
        <v>10.11347518</v>
      </c>
      <c r="P53" s="39">
        <v>0.0</v>
      </c>
      <c r="Q53" s="20">
        <v>0.0</v>
      </c>
      <c r="R53" s="20">
        <v>300.0</v>
      </c>
      <c r="S53" s="20">
        <v>0.0</v>
      </c>
      <c r="T53" s="2"/>
      <c r="U53" s="2">
        <v>1012770.0</v>
      </c>
      <c r="V53" s="40">
        <f t="shared" si="2"/>
        <v>238000950</v>
      </c>
      <c r="W53" s="40">
        <f t="shared" si="3"/>
        <v>104652900</v>
      </c>
      <c r="X53" s="2"/>
      <c r="Y53" s="2"/>
      <c r="Z53" s="2"/>
    </row>
    <row r="54" ht="12.75" customHeight="1">
      <c r="A54" s="2"/>
      <c r="B54" s="8" t="s">
        <v>68</v>
      </c>
      <c r="C54" s="8" t="s">
        <v>27</v>
      </c>
      <c r="D54" s="8">
        <v>14.0</v>
      </c>
      <c r="E54" s="20">
        <v>45.0</v>
      </c>
      <c r="F54" s="20">
        <v>0.0</v>
      </c>
      <c r="G54" s="20">
        <v>0.0</v>
      </c>
      <c r="H54" s="21">
        <v>0.0</v>
      </c>
      <c r="I54" s="20">
        <v>0.0</v>
      </c>
      <c r="J54" s="20">
        <v>45.0</v>
      </c>
      <c r="K54" s="20">
        <f t="shared" si="1"/>
        <v>45</v>
      </c>
      <c r="L54" s="20">
        <v>0.0</v>
      </c>
      <c r="M54" s="20">
        <v>0.0</v>
      </c>
      <c r="N54" s="22">
        <v>23.0</v>
      </c>
      <c r="O54" s="20">
        <f t="shared" si="9"/>
        <v>0</v>
      </c>
      <c r="P54" s="39">
        <v>0.0</v>
      </c>
      <c r="Q54" s="20">
        <v>0.0</v>
      </c>
      <c r="R54" s="20">
        <v>0.0</v>
      </c>
      <c r="S54" s="20">
        <v>0.0</v>
      </c>
      <c r="T54" s="2"/>
      <c r="U54" s="2">
        <v>1012770.0</v>
      </c>
      <c r="V54" s="40">
        <f t="shared" si="2"/>
        <v>45574650</v>
      </c>
      <c r="W54" s="40">
        <f t="shared" si="3"/>
        <v>0</v>
      </c>
      <c r="X54" s="2"/>
      <c r="Y54" s="2"/>
      <c r="Z54" s="2"/>
    </row>
    <row r="55" ht="12.75" customHeight="1">
      <c r="A55" s="2"/>
      <c r="B55" s="43" t="s">
        <v>130</v>
      </c>
      <c r="C55" s="8" t="s">
        <v>27</v>
      </c>
      <c r="D55" s="8">
        <v>14.0</v>
      </c>
      <c r="E55" s="20">
        <v>360.0</v>
      </c>
      <c r="F55" s="20">
        <v>120.0</v>
      </c>
      <c r="G55" s="20">
        <v>0.0</v>
      </c>
      <c r="H55" s="21">
        <v>0.0</v>
      </c>
      <c r="I55" s="20">
        <v>0.0</v>
      </c>
      <c r="J55" s="20">
        <v>45.0</v>
      </c>
      <c r="K55" s="20">
        <f t="shared" si="1"/>
        <v>45</v>
      </c>
      <c r="L55" s="20">
        <v>435.0</v>
      </c>
      <c r="M55" s="20">
        <v>457.5</v>
      </c>
      <c r="N55" s="22">
        <v>23.0</v>
      </c>
      <c r="O55" s="20">
        <f t="shared" si="9"/>
        <v>233.8333333</v>
      </c>
      <c r="P55" s="39">
        <v>9.666666666666666</v>
      </c>
      <c r="Q55" s="20">
        <v>0.0</v>
      </c>
      <c r="R55" s="20">
        <v>0.0</v>
      </c>
      <c r="S55" s="20">
        <v>0.0</v>
      </c>
      <c r="T55" s="2"/>
      <c r="U55" s="2">
        <v>1012770.0</v>
      </c>
      <c r="V55" s="40">
        <f t="shared" si="2"/>
        <v>45574650</v>
      </c>
      <c r="W55" s="40">
        <f t="shared" si="3"/>
        <v>463342275</v>
      </c>
      <c r="X55" s="2"/>
      <c r="Y55" s="2"/>
      <c r="Z55" s="2"/>
    </row>
    <row r="56" ht="12.75" customHeight="1">
      <c r="A56" s="2"/>
      <c r="B56" s="8" t="s">
        <v>111</v>
      </c>
      <c r="C56" s="8" t="s">
        <v>27</v>
      </c>
      <c r="D56" s="8">
        <v>14.0</v>
      </c>
      <c r="E56" s="20">
        <v>538.0</v>
      </c>
      <c r="F56" s="20">
        <v>350.0</v>
      </c>
      <c r="G56" s="20">
        <v>0.0</v>
      </c>
      <c r="H56" s="21">
        <v>0.0</v>
      </c>
      <c r="I56" s="20">
        <v>0.0</v>
      </c>
      <c r="J56" s="20">
        <v>358.0</v>
      </c>
      <c r="K56" s="20">
        <f t="shared" si="1"/>
        <v>358</v>
      </c>
      <c r="L56" s="20">
        <v>530.0</v>
      </c>
      <c r="M56" s="20">
        <v>514.444444444444</v>
      </c>
      <c r="N56" s="22">
        <v>23.0</v>
      </c>
      <c r="O56" s="20">
        <f t="shared" si="9"/>
        <v>33.05090006</v>
      </c>
      <c r="P56" s="39">
        <v>1.4804469273743017</v>
      </c>
      <c r="Q56" s="20">
        <v>0.0</v>
      </c>
      <c r="R56" s="20">
        <v>0.0</v>
      </c>
      <c r="S56" s="20">
        <v>0.0</v>
      </c>
      <c r="T56" s="2"/>
      <c r="U56" s="2">
        <v>1012770.0</v>
      </c>
      <c r="V56" s="40">
        <f t="shared" si="2"/>
        <v>362571660</v>
      </c>
      <c r="W56" s="40">
        <f t="shared" si="3"/>
        <v>521013900</v>
      </c>
      <c r="X56" s="2"/>
      <c r="Y56" s="2"/>
      <c r="Z56" s="2"/>
    </row>
    <row r="57" ht="12.75" customHeight="1">
      <c r="A57" s="2"/>
      <c r="B57" s="8" t="s">
        <v>112</v>
      </c>
      <c r="C57" s="8" t="s">
        <v>27</v>
      </c>
      <c r="D57" s="8">
        <v>14.0</v>
      </c>
      <c r="E57" s="20">
        <v>60.0</v>
      </c>
      <c r="F57" s="20">
        <v>0.0</v>
      </c>
      <c r="G57" s="20">
        <v>0.0</v>
      </c>
      <c r="H57" s="21">
        <v>0.0</v>
      </c>
      <c r="I57" s="20">
        <v>0.0</v>
      </c>
      <c r="J57" s="20">
        <v>0.0</v>
      </c>
      <c r="K57" s="20">
        <f t="shared" si="1"/>
        <v>0</v>
      </c>
      <c r="L57" s="20">
        <v>60.0</v>
      </c>
      <c r="M57" s="20">
        <v>0.0</v>
      </c>
      <c r="N57" s="22">
        <v>23.0</v>
      </c>
      <c r="O57" s="20">
        <v>0.0</v>
      </c>
      <c r="P57" s="39">
        <v>0.0</v>
      </c>
      <c r="Q57" s="20">
        <v>0.0</v>
      </c>
      <c r="R57" s="20">
        <v>0.0</v>
      </c>
      <c r="S57" s="20">
        <v>0.0</v>
      </c>
      <c r="T57" s="2"/>
      <c r="U57" s="2">
        <v>1237210.0</v>
      </c>
      <c r="V57" s="40">
        <f t="shared" si="2"/>
        <v>0</v>
      </c>
      <c r="W57" s="40">
        <f t="shared" si="3"/>
        <v>0</v>
      </c>
      <c r="X57" s="2"/>
      <c r="Y57" s="2"/>
      <c r="Z57" s="2"/>
    </row>
    <row r="58" ht="12.75" customHeight="1">
      <c r="A58" s="2"/>
      <c r="B58" s="8" t="s">
        <v>71</v>
      </c>
      <c r="C58" s="8" t="s">
        <v>27</v>
      </c>
      <c r="D58" s="8">
        <v>14.0</v>
      </c>
      <c r="E58" s="20">
        <v>44.0</v>
      </c>
      <c r="F58" s="20">
        <v>0.0</v>
      </c>
      <c r="G58" s="20">
        <v>0.0</v>
      </c>
      <c r="H58" s="21">
        <v>0.0</v>
      </c>
      <c r="I58" s="20">
        <v>0.0</v>
      </c>
      <c r="J58" s="20">
        <v>4.0</v>
      </c>
      <c r="K58" s="20">
        <f t="shared" si="1"/>
        <v>4</v>
      </c>
      <c r="L58" s="20">
        <v>40.0</v>
      </c>
      <c r="M58" s="20">
        <v>40.0</v>
      </c>
      <c r="N58" s="22">
        <v>23.0</v>
      </c>
      <c r="O58" s="20">
        <f>(M58/(I58+J58))*N58</f>
        <v>230</v>
      </c>
      <c r="P58" s="39">
        <v>10.0</v>
      </c>
      <c r="Q58" s="20">
        <v>0.0</v>
      </c>
      <c r="R58" s="20">
        <v>0.0</v>
      </c>
      <c r="S58" s="20">
        <v>0.0</v>
      </c>
      <c r="T58" s="2"/>
      <c r="U58" s="2">
        <v>1436695.0</v>
      </c>
      <c r="V58" s="40">
        <f t="shared" si="2"/>
        <v>5746780</v>
      </c>
      <c r="W58" s="40">
        <f t="shared" si="3"/>
        <v>57467800</v>
      </c>
      <c r="X58" s="2"/>
      <c r="Y58" s="2"/>
      <c r="Z58" s="2"/>
    </row>
    <row r="59" ht="12.75" customHeight="1">
      <c r="A59" s="2"/>
      <c r="B59" s="43" t="s">
        <v>131</v>
      </c>
      <c r="C59" s="8" t="s">
        <v>27</v>
      </c>
      <c r="D59" s="8">
        <v>14.0</v>
      </c>
      <c r="E59" s="20">
        <v>105.0</v>
      </c>
      <c r="F59" s="20">
        <v>0.0</v>
      </c>
      <c r="G59" s="20">
        <v>0.0</v>
      </c>
      <c r="H59" s="21">
        <v>0.0</v>
      </c>
      <c r="I59" s="20">
        <v>0.0</v>
      </c>
      <c r="J59" s="20">
        <v>0.0</v>
      </c>
      <c r="K59" s="20">
        <f t="shared" si="1"/>
        <v>0</v>
      </c>
      <c r="L59" s="20">
        <v>105.0</v>
      </c>
      <c r="M59" s="20">
        <v>0.0</v>
      </c>
      <c r="N59" s="22">
        <v>23.0</v>
      </c>
      <c r="O59" s="20">
        <v>0.0</v>
      </c>
      <c r="P59" s="39">
        <v>0.0</v>
      </c>
      <c r="Q59" s="20">
        <v>0.0</v>
      </c>
      <c r="R59" s="20">
        <v>0.0</v>
      </c>
      <c r="S59" s="20">
        <v>0.0</v>
      </c>
      <c r="T59" s="2"/>
      <c r="U59" s="2">
        <v>1436695.0</v>
      </c>
      <c r="V59" s="40">
        <f t="shared" si="2"/>
        <v>0</v>
      </c>
      <c r="W59" s="40">
        <f t="shared" si="3"/>
        <v>0</v>
      </c>
      <c r="X59" s="2"/>
      <c r="Y59" s="2"/>
      <c r="Z59" s="2"/>
    </row>
    <row r="60" ht="12.75" customHeight="1">
      <c r="A60" s="2"/>
      <c r="B60" s="8" t="s">
        <v>72</v>
      </c>
      <c r="C60" s="8" t="s">
        <v>27</v>
      </c>
      <c r="D60" s="8">
        <v>14.0</v>
      </c>
      <c r="E60" s="20">
        <v>250.0</v>
      </c>
      <c r="F60" s="20">
        <v>748.0</v>
      </c>
      <c r="G60" s="20">
        <v>0.0</v>
      </c>
      <c r="H60" s="21">
        <v>0.0</v>
      </c>
      <c r="I60" s="20">
        <v>0.0</v>
      </c>
      <c r="J60" s="20">
        <v>714.0</v>
      </c>
      <c r="K60" s="20">
        <f t="shared" si="1"/>
        <v>714</v>
      </c>
      <c r="L60" s="20">
        <v>284.0</v>
      </c>
      <c r="M60" s="20">
        <v>402.888888888889</v>
      </c>
      <c r="N60" s="22">
        <v>23.0</v>
      </c>
      <c r="O60" s="20">
        <f t="shared" ref="O60:O65" si="10">(M60/(I60+J60))*N60</f>
        <v>12.97821351</v>
      </c>
      <c r="P60" s="39">
        <v>0.39775910364145656</v>
      </c>
      <c r="Q60" s="20">
        <v>0.0</v>
      </c>
      <c r="R60" s="20">
        <v>700.0</v>
      </c>
      <c r="S60" s="20">
        <v>0.0</v>
      </c>
      <c r="T60" s="2"/>
      <c r="U60" s="2">
        <v>848935.0</v>
      </c>
      <c r="V60" s="40">
        <f t="shared" si="2"/>
        <v>606139590</v>
      </c>
      <c r="W60" s="40">
        <f t="shared" si="3"/>
        <v>342026478.9</v>
      </c>
      <c r="X60" s="2"/>
      <c r="Y60" s="2"/>
      <c r="Z60" s="2"/>
    </row>
    <row r="61" ht="12.75" customHeight="1">
      <c r="A61" s="2"/>
      <c r="B61" s="8" t="s">
        <v>73</v>
      </c>
      <c r="C61" s="8" t="s">
        <v>27</v>
      </c>
      <c r="D61" s="8">
        <v>14.0</v>
      </c>
      <c r="E61" s="20">
        <v>36.0</v>
      </c>
      <c r="F61" s="20">
        <v>0.0</v>
      </c>
      <c r="G61" s="20">
        <v>0.0</v>
      </c>
      <c r="H61" s="21">
        <v>0.0</v>
      </c>
      <c r="I61" s="20">
        <v>0.0</v>
      </c>
      <c r="J61" s="20">
        <v>7.0</v>
      </c>
      <c r="K61" s="20">
        <f t="shared" si="1"/>
        <v>7</v>
      </c>
      <c r="L61" s="20">
        <v>29.0</v>
      </c>
      <c r="M61" s="20">
        <v>29.0</v>
      </c>
      <c r="N61" s="22">
        <v>23.0</v>
      </c>
      <c r="O61" s="20">
        <f t="shared" si="10"/>
        <v>95.28571429</v>
      </c>
      <c r="P61" s="39">
        <v>4.142857142857143</v>
      </c>
      <c r="Q61" s="20">
        <v>0.0</v>
      </c>
      <c r="R61" s="20">
        <v>100.0</v>
      </c>
      <c r="S61" s="20">
        <v>0.0</v>
      </c>
      <c r="T61" s="2"/>
      <c r="U61" s="2">
        <v>1497718.5</v>
      </c>
      <c r="V61" s="40">
        <f t="shared" si="2"/>
        <v>10484029.5</v>
      </c>
      <c r="W61" s="40">
        <f t="shared" si="3"/>
        <v>43433836.5</v>
      </c>
      <c r="X61" s="2"/>
      <c r="Y61" s="2"/>
      <c r="Z61" s="2"/>
    </row>
    <row r="62" ht="12.75" customHeight="1">
      <c r="A62" s="2"/>
      <c r="B62" s="8" t="s">
        <v>149</v>
      </c>
      <c r="C62" s="8" t="s">
        <v>27</v>
      </c>
      <c r="D62" s="8">
        <v>14.0</v>
      </c>
      <c r="E62" s="20">
        <v>248.0</v>
      </c>
      <c r="F62" s="20">
        <v>666.0</v>
      </c>
      <c r="G62" s="20">
        <v>0.0</v>
      </c>
      <c r="H62" s="21">
        <v>0.0</v>
      </c>
      <c r="I62" s="20">
        <v>0.0</v>
      </c>
      <c r="J62" s="20">
        <v>652.0</v>
      </c>
      <c r="K62" s="20">
        <f t="shared" si="1"/>
        <v>652</v>
      </c>
      <c r="L62" s="20">
        <v>262.0</v>
      </c>
      <c r="M62" s="20">
        <v>372.0</v>
      </c>
      <c r="N62" s="22">
        <v>23.0</v>
      </c>
      <c r="O62" s="20">
        <f t="shared" si="10"/>
        <v>13.12269939</v>
      </c>
      <c r="P62" s="39">
        <v>0.401840490797546</v>
      </c>
      <c r="Q62" s="20">
        <v>994.0</v>
      </c>
      <c r="R62" s="20">
        <v>654.0</v>
      </c>
      <c r="S62" s="20">
        <v>0.0</v>
      </c>
      <c r="T62" s="2"/>
      <c r="U62" s="2">
        <v>1372215.0</v>
      </c>
      <c r="V62" s="40">
        <f t="shared" si="2"/>
        <v>894684180</v>
      </c>
      <c r="W62" s="40">
        <f t="shared" si="3"/>
        <v>510463980</v>
      </c>
      <c r="X62" s="2"/>
      <c r="Y62" s="2"/>
      <c r="Z62" s="2"/>
    </row>
    <row r="63" ht="12.75" customHeight="1">
      <c r="A63" s="2"/>
      <c r="B63" s="43" t="s">
        <v>132</v>
      </c>
      <c r="C63" s="8" t="s">
        <v>27</v>
      </c>
      <c r="D63" s="8">
        <v>14.0</v>
      </c>
      <c r="E63" s="20">
        <v>95.0</v>
      </c>
      <c r="F63" s="20">
        <v>610.0</v>
      </c>
      <c r="G63" s="20">
        <v>0.0</v>
      </c>
      <c r="H63" s="21">
        <v>0.0</v>
      </c>
      <c r="I63" s="20">
        <v>0.0</v>
      </c>
      <c r="J63" s="20">
        <v>460.0</v>
      </c>
      <c r="K63" s="20">
        <f t="shared" si="1"/>
        <v>460</v>
      </c>
      <c r="L63" s="20">
        <v>245.0</v>
      </c>
      <c r="M63" s="20">
        <v>155.1875</v>
      </c>
      <c r="N63" s="22">
        <v>23.0</v>
      </c>
      <c r="O63" s="20">
        <f t="shared" si="10"/>
        <v>7.759375</v>
      </c>
      <c r="P63" s="39">
        <v>0.532608695652174</v>
      </c>
      <c r="Q63" s="20">
        <v>14.0</v>
      </c>
      <c r="R63" s="20">
        <v>882.0</v>
      </c>
      <c r="S63" s="20">
        <v>100.0</v>
      </c>
      <c r="T63" s="2"/>
      <c r="U63" s="2">
        <v>1396550.0</v>
      </c>
      <c r="V63" s="40">
        <f t="shared" si="2"/>
        <v>642413000</v>
      </c>
      <c r="W63" s="40">
        <f t="shared" si="3"/>
        <v>216727103.1</v>
      </c>
      <c r="X63" s="2"/>
      <c r="Y63" s="2"/>
      <c r="Z63" s="2"/>
    </row>
    <row r="64" ht="12.75" customHeight="1">
      <c r="A64" s="2"/>
      <c r="B64" s="8" t="s">
        <v>75</v>
      </c>
      <c r="C64" s="8" t="s">
        <v>27</v>
      </c>
      <c r="D64" s="8">
        <v>14.0</v>
      </c>
      <c r="E64" s="20">
        <v>23.0</v>
      </c>
      <c r="F64" s="20">
        <v>86.0</v>
      </c>
      <c r="G64" s="20">
        <v>0.0</v>
      </c>
      <c r="H64" s="21">
        <v>0.0</v>
      </c>
      <c r="I64" s="20">
        <v>0.0</v>
      </c>
      <c r="J64" s="20">
        <v>70.0</v>
      </c>
      <c r="K64" s="20">
        <f t="shared" si="1"/>
        <v>70</v>
      </c>
      <c r="L64" s="20">
        <v>39.0</v>
      </c>
      <c r="M64" s="20">
        <v>21.25</v>
      </c>
      <c r="N64" s="22">
        <v>23.0</v>
      </c>
      <c r="O64" s="20">
        <f t="shared" si="10"/>
        <v>6.982142857</v>
      </c>
      <c r="P64" s="39">
        <v>0.5571428571428572</v>
      </c>
      <c r="Q64" s="20">
        <v>0.0</v>
      </c>
      <c r="R64" s="20">
        <v>100.0</v>
      </c>
      <c r="S64" s="20">
        <v>0.0</v>
      </c>
      <c r="T64" s="2"/>
      <c r="U64" s="2">
        <v>1143590.0</v>
      </c>
      <c r="V64" s="40">
        <f t="shared" si="2"/>
        <v>80051300</v>
      </c>
      <c r="W64" s="40">
        <f t="shared" si="3"/>
        <v>24301287.5</v>
      </c>
      <c r="X64" s="2"/>
      <c r="Y64" s="2"/>
      <c r="Z64" s="2"/>
    </row>
    <row r="65" ht="12.75" customHeight="1">
      <c r="A65" s="2"/>
      <c r="B65" s="8" t="s">
        <v>133</v>
      </c>
      <c r="C65" s="8" t="s">
        <v>27</v>
      </c>
      <c r="D65" s="8">
        <v>14.0</v>
      </c>
      <c r="E65" s="20">
        <v>24.0</v>
      </c>
      <c r="F65" s="20">
        <v>105.0</v>
      </c>
      <c r="G65" s="20">
        <v>0.0</v>
      </c>
      <c r="H65" s="21">
        <v>0.0</v>
      </c>
      <c r="I65" s="20">
        <v>0.0</v>
      </c>
      <c r="J65" s="20">
        <v>59.0</v>
      </c>
      <c r="K65" s="20">
        <f t="shared" si="1"/>
        <v>59</v>
      </c>
      <c r="L65" s="20">
        <v>70.0</v>
      </c>
      <c r="M65" s="20">
        <v>92.6666666666667</v>
      </c>
      <c r="N65" s="22">
        <v>23.0</v>
      </c>
      <c r="O65" s="20">
        <f t="shared" si="10"/>
        <v>36.12429379</v>
      </c>
      <c r="P65" s="39">
        <v>1.1864406779661016</v>
      </c>
      <c r="Q65" s="20">
        <v>0.0</v>
      </c>
      <c r="R65" s="20">
        <v>200.0</v>
      </c>
      <c r="S65" s="20">
        <v>0.0</v>
      </c>
      <c r="T65" s="2"/>
      <c r="U65" s="2">
        <v>954645.0</v>
      </c>
      <c r="V65" s="40">
        <f t="shared" si="2"/>
        <v>56324055</v>
      </c>
      <c r="W65" s="40">
        <f t="shared" si="3"/>
        <v>88463770</v>
      </c>
      <c r="X65" s="2"/>
      <c r="Y65" s="2"/>
      <c r="Z65" s="2"/>
    </row>
    <row r="66" ht="12.75" customHeight="1">
      <c r="A66" s="2"/>
      <c r="B66" s="8" t="s">
        <v>77</v>
      </c>
      <c r="C66" s="8" t="s">
        <v>27</v>
      </c>
      <c r="D66" s="8">
        <v>14.0</v>
      </c>
      <c r="E66" s="20">
        <v>56.0</v>
      </c>
      <c r="F66" s="20">
        <v>0.0</v>
      </c>
      <c r="G66" s="20">
        <v>0.0</v>
      </c>
      <c r="H66" s="21">
        <v>0.0</v>
      </c>
      <c r="I66" s="20">
        <v>0.0</v>
      </c>
      <c r="J66" s="20">
        <v>0.0</v>
      </c>
      <c r="K66" s="20">
        <f t="shared" si="1"/>
        <v>0</v>
      </c>
      <c r="L66" s="20">
        <v>56.0</v>
      </c>
      <c r="M66" s="20">
        <v>0.0</v>
      </c>
      <c r="N66" s="22">
        <v>23.0</v>
      </c>
      <c r="O66" s="20">
        <v>0.0</v>
      </c>
      <c r="P66" s="39">
        <v>0.0</v>
      </c>
      <c r="Q66" s="20">
        <v>0.0</v>
      </c>
      <c r="R66" s="20">
        <v>0.0</v>
      </c>
      <c r="S66" s="20">
        <v>0.0</v>
      </c>
      <c r="T66" s="2"/>
      <c r="U66" s="2">
        <v>771202.5</v>
      </c>
      <c r="V66" s="40">
        <f t="shared" si="2"/>
        <v>0</v>
      </c>
      <c r="W66" s="40">
        <f t="shared" si="3"/>
        <v>0</v>
      </c>
      <c r="X66" s="2"/>
      <c r="Y66" s="2"/>
      <c r="Z66" s="2"/>
    </row>
    <row r="67" ht="12.75" customHeight="1">
      <c r="A67" s="2"/>
      <c r="B67" s="8" t="s">
        <v>78</v>
      </c>
      <c r="C67" s="8" t="s">
        <v>27</v>
      </c>
      <c r="D67" s="8">
        <v>14.0</v>
      </c>
      <c r="E67" s="20">
        <v>105.0</v>
      </c>
      <c r="F67" s="20">
        <v>0.0</v>
      </c>
      <c r="G67" s="20">
        <v>0.0</v>
      </c>
      <c r="H67" s="21">
        <v>0.0</v>
      </c>
      <c r="I67" s="20">
        <v>0.0</v>
      </c>
      <c r="J67" s="20">
        <v>9.0</v>
      </c>
      <c r="K67" s="20">
        <f t="shared" si="1"/>
        <v>9</v>
      </c>
      <c r="L67" s="20">
        <v>96.0</v>
      </c>
      <c r="M67" s="20">
        <v>97.0</v>
      </c>
      <c r="N67" s="22">
        <v>23.0</v>
      </c>
      <c r="O67" s="20">
        <f t="shared" ref="O67:O70" si="11">(M67/(I67+J67))*N67</f>
        <v>247.8888889</v>
      </c>
      <c r="P67" s="39">
        <v>10.666666666666666</v>
      </c>
      <c r="Q67" s="20">
        <v>0.0</v>
      </c>
      <c r="R67" s="20">
        <v>0.0</v>
      </c>
      <c r="S67" s="20">
        <v>0.0</v>
      </c>
      <c r="T67" s="2"/>
      <c r="U67" s="2">
        <v>1497718.5</v>
      </c>
      <c r="V67" s="40">
        <f t="shared" si="2"/>
        <v>13479466.5</v>
      </c>
      <c r="W67" s="40">
        <f t="shared" si="3"/>
        <v>145278694.5</v>
      </c>
      <c r="X67" s="2"/>
      <c r="Y67" s="2"/>
      <c r="Z67" s="2"/>
    </row>
    <row r="68" ht="12.75" customHeight="1">
      <c r="A68" s="2"/>
      <c r="B68" s="8" t="s">
        <v>79</v>
      </c>
      <c r="C68" s="8" t="s">
        <v>27</v>
      </c>
      <c r="D68" s="8">
        <v>14.0</v>
      </c>
      <c r="E68" s="20">
        <v>216.0</v>
      </c>
      <c r="F68" s="20">
        <v>91.0</v>
      </c>
      <c r="G68" s="20">
        <v>0.0</v>
      </c>
      <c r="H68" s="21">
        <v>0.0</v>
      </c>
      <c r="I68" s="20">
        <v>0.0</v>
      </c>
      <c r="J68" s="20">
        <v>64.0</v>
      </c>
      <c r="K68" s="20">
        <f t="shared" si="1"/>
        <v>64</v>
      </c>
      <c r="L68" s="20">
        <v>243.0</v>
      </c>
      <c r="M68" s="20">
        <v>193.666666666667</v>
      </c>
      <c r="N68" s="22">
        <v>23.0</v>
      </c>
      <c r="O68" s="20">
        <f t="shared" si="11"/>
        <v>69.59895833</v>
      </c>
      <c r="P68" s="39">
        <v>3.796875</v>
      </c>
      <c r="Q68" s="20">
        <v>9.0</v>
      </c>
      <c r="R68" s="20">
        <v>100.0</v>
      </c>
      <c r="S68" s="20">
        <v>0.0</v>
      </c>
      <c r="T68" s="2"/>
      <c r="U68" s="2">
        <v>907060.0</v>
      </c>
      <c r="V68" s="40">
        <f t="shared" si="2"/>
        <v>58051840</v>
      </c>
      <c r="W68" s="40">
        <f t="shared" si="3"/>
        <v>175667286.7</v>
      </c>
      <c r="X68" s="2"/>
      <c r="Y68" s="2"/>
      <c r="Z68" s="2"/>
    </row>
    <row r="69" ht="12.75" customHeight="1">
      <c r="A69" s="2"/>
      <c r="B69" s="8" t="s">
        <v>80</v>
      </c>
      <c r="C69" s="8" t="s">
        <v>27</v>
      </c>
      <c r="D69" s="8">
        <v>14.0</v>
      </c>
      <c r="E69" s="20">
        <v>534.0</v>
      </c>
      <c r="F69" s="20">
        <v>0.0</v>
      </c>
      <c r="G69" s="20">
        <v>0.0</v>
      </c>
      <c r="H69" s="21">
        <v>0.0</v>
      </c>
      <c r="I69" s="20">
        <v>0.0</v>
      </c>
      <c r="J69" s="20">
        <v>324.0</v>
      </c>
      <c r="K69" s="20">
        <f t="shared" si="1"/>
        <v>324</v>
      </c>
      <c r="L69" s="20">
        <v>210.0</v>
      </c>
      <c r="M69" s="20">
        <v>369.42857142857105</v>
      </c>
      <c r="N69" s="22">
        <v>23.0</v>
      </c>
      <c r="O69" s="20">
        <f t="shared" si="11"/>
        <v>26.22486772</v>
      </c>
      <c r="P69" s="39">
        <v>0.6481481481481481</v>
      </c>
      <c r="Q69" s="20">
        <v>0.0</v>
      </c>
      <c r="R69" s="20">
        <v>0.0</v>
      </c>
      <c r="S69" s="20">
        <v>0.0</v>
      </c>
      <c r="T69" s="2"/>
      <c r="U69" s="2">
        <v>823515.0</v>
      </c>
      <c r="V69" s="40">
        <f t="shared" si="2"/>
        <v>266818860</v>
      </c>
      <c r="W69" s="40">
        <f t="shared" si="3"/>
        <v>304229970</v>
      </c>
      <c r="X69" s="2"/>
      <c r="Y69" s="2"/>
      <c r="Z69" s="2"/>
    </row>
    <row r="70" ht="12.75" customHeight="1">
      <c r="A70" s="2"/>
      <c r="B70" s="43" t="s">
        <v>134</v>
      </c>
      <c r="C70" s="8" t="s">
        <v>27</v>
      </c>
      <c r="D70" s="8">
        <v>14.0</v>
      </c>
      <c r="E70" s="20">
        <v>399.0</v>
      </c>
      <c r="F70" s="20">
        <v>115.0</v>
      </c>
      <c r="G70" s="20">
        <v>0.0</v>
      </c>
      <c r="H70" s="21">
        <v>0.0</v>
      </c>
      <c r="I70" s="20">
        <v>0.0</v>
      </c>
      <c r="J70" s="20">
        <v>219.0</v>
      </c>
      <c r="K70" s="20">
        <f t="shared" si="1"/>
        <v>219</v>
      </c>
      <c r="L70" s="20">
        <v>295.0</v>
      </c>
      <c r="M70" s="20">
        <v>341.166666666667</v>
      </c>
      <c r="N70" s="22">
        <v>23.0</v>
      </c>
      <c r="O70" s="20">
        <f t="shared" si="11"/>
        <v>35.83028919</v>
      </c>
      <c r="P70" s="39">
        <v>1.3470319634703196</v>
      </c>
      <c r="Q70" s="20">
        <v>100.0</v>
      </c>
      <c r="R70" s="20">
        <v>200.0</v>
      </c>
      <c r="S70" s="20">
        <v>0.0</v>
      </c>
      <c r="T70" s="2"/>
      <c r="U70" s="2">
        <v>823515.0</v>
      </c>
      <c r="V70" s="40">
        <f t="shared" si="2"/>
        <v>180349785</v>
      </c>
      <c r="W70" s="40">
        <f t="shared" si="3"/>
        <v>280955867.5</v>
      </c>
      <c r="X70" s="2"/>
      <c r="Y70" s="2"/>
      <c r="Z70" s="2"/>
    </row>
    <row r="71" ht="12.75" customHeight="1">
      <c r="A71" s="2"/>
      <c r="B71" s="8" t="s">
        <v>136</v>
      </c>
      <c r="C71" s="8" t="s">
        <v>27</v>
      </c>
      <c r="D71" s="8">
        <v>14.0</v>
      </c>
      <c r="E71" s="20">
        <v>100.0</v>
      </c>
      <c r="F71" s="20">
        <v>0.0</v>
      </c>
      <c r="G71" s="20">
        <v>0.0</v>
      </c>
      <c r="H71" s="21">
        <v>0.0</v>
      </c>
      <c r="I71" s="20">
        <v>0.0</v>
      </c>
      <c r="J71" s="20">
        <v>0.0</v>
      </c>
      <c r="K71" s="20">
        <f t="shared" si="1"/>
        <v>0</v>
      </c>
      <c r="L71" s="20">
        <v>100.0</v>
      </c>
      <c r="M71" s="20">
        <v>0.0</v>
      </c>
      <c r="N71" s="22">
        <v>23.0</v>
      </c>
      <c r="O71" s="20">
        <v>0.0</v>
      </c>
      <c r="P71" s="39">
        <v>0.0</v>
      </c>
      <c r="Q71" s="20">
        <v>0.0</v>
      </c>
      <c r="R71" s="20">
        <v>0.0</v>
      </c>
      <c r="S71" s="20">
        <v>0.0</v>
      </c>
      <c r="T71" s="2"/>
      <c r="U71" s="2">
        <v>823515.0</v>
      </c>
      <c r="V71" s="40">
        <f t="shared" si="2"/>
        <v>0</v>
      </c>
      <c r="W71" s="40">
        <f t="shared" si="3"/>
        <v>0</v>
      </c>
      <c r="X71" s="2"/>
      <c r="Y71" s="2"/>
      <c r="Z71" s="2"/>
    </row>
    <row r="72" ht="12.75" customHeight="1">
      <c r="A72" s="2"/>
      <c r="B72" s="43" t="s">
        <v>135</v>
      </c>
      <c r="C72" s="8" t="s">
        <v>27</v>
      </c>
      <c r="D72" s="8">
        <v>14.0</v>
      </c>
      <c r="E72" s="20">
        <v>371.0</v>
      </c>
      <c r="F72" s="20">
        <v>0.0</v>
      </c>
      <c r="G72" s="20">
        <v>0.0</v>
      </c>
      <c r="H72" s="21">
        <v>0.0</v>
      </c>
      <c r="I72" s="20">
        <v>0.0</v>
      </c>
      <c r="J72" s="20">
        <v>108.0</v>
      </c>
      <c r="K72" s="20">
        <f t="shared" si="1"/>
        <v>108</v>
      </c>
      <c r="L72" s="20">
        <v>263.0</v>
      </c>
      <c r="M72" s="20">
        <v>290.0</v>
      </c>
      <c r="N72" s="22">
        <v>23.0</v>
      </c>
      <c r="O72" s="20">
        <f>(M72/(I72+J72))*N72</f>
        <v>61.75925926</v>
      </c>
      <c r="P72" s="39">
        <v>2.435185185185185</v>
      </c>
      <c r="Q72" s="20">
        <v>0.0</v>
      </c>
      <c r="R72" s="20">
        <v>0.0</v>
      </c>
      <c r="S72" s="20">
        <v>0.0</v>
      </c>
      <c r="T72" s="2"/>
      <c r="U72" s="2">
        <v>823515.0</v>
      </c>
      <c r="V72" s="40">
        <f t="shared" si="2"/>
        <v>88939620</v>
      </c>
      <c r="W72" s="40">
        <f t="shared" si="3"/>
        <v>238819350</v>
      </c>
      <c r="X72" s="2"/>
      <c r="Y72" s="2"/>
      <c r="Z72" s="2"/>
    </row>
    <row r="73" ht="12.75" customHeight="1">
      <c r="A73" s="2"/>
      <c r="B73" s="8" t="s">
        <v>84</v>
      </c>
      <c r="C73" s="8" t="s">
        <v>27</v>
      </c>
      <c r="D73" s="8">
        <v>14.0</v>
      </c>
      <c r="E73" s="20">
        <v>27.0</v>
      </c>
      <c r="F73" s="20">
        <v>0.0</v>
      </c>
      <c r="G73" s="20">
        <v>0.0</v>
      </c>
      <c r="H73" s="21">
        <v>0.0</v>
      </c>
      <c r="I73" s="20">
        <v>0.0</v>
      </c>
      <c r="J73" s="20">
        <v>0.0</v>
      </c>
      <c r="K73" s="20">
        <f t="shared" si="1"/>
        <v>0</v>
      </c>
      <c r="L73" s="20">
        <v>27.0</v>
      </c>
      <c r="M73" s="20">
        <v>0.0</v>
      </c>
      <c r="N73" s="22">
        <v>23.0</v>
      </c>
      <c r="O73" s="20">
        <v>0.0</v>
      </c>
      <c r="P73" s="39">
        <v>0.0</v>
      </c>
      <c r="Q73" s="20">
        <v>2.3000000000000003</v>
      </c>
      <c r="R73" s="20">
        <v>15.0</v>
      </c>
      <c r="S73" s="20">
        <v>15.0</v>
      </c>
      <c r="T73" s="2"/>
      <c r="U73" s="2">
        <v>604345.0</v>
      </c>
      <c r="V73" s="40">
        <f t="shared" si="2"/>
        <v>0</v>
      </c>
      <c r="W73" s="40">
        <f t="shared" si="3"/>
        <v>0</v>
      </c>
      <c r="X73" s="2"/>
      <c r="Y73" s="2"/>
      <c r="Z73" s="2"/>
    </row>
    <row r="74" ht="12.75" customHeight="1">
      <c r="A74" s="2"/>
      <c r="B74" s="8" t="s">
        <v>113</v>
      </c>
      <c r="C74" s="8" t="s">
        <v>27</v>
      </c>
      <c r="D74" s="8">
        <v>14.0</v>
      </c>
      <c r="E74" s="20">
        <v>0.0</v>
      </c>
      <c r="F74" s="20">
        <v>111.0</v>
      </c>
      <c r="G74" s="20">
        <v>0.0</v>
      </c>
      <c r="H74" s="21">
        <v>0.0</v>
      </c>
      <c r="I74" s="20">
        <v>0.0</v>
      </c>
      <c r="J74" s="20">
        <v>30.0</v>
      </c>
      <c r="K74" s="20">
        <f t="shared" si="1"/>
        <v>30</v>
      </c>
      <c r="L74" s="20">
        <v>81.0</v>
      </c>
      <c r="M74" s="20">
        <v>51.8571428571429</v>
      </c>
      <c r="N74" s="22">
        <v>23.0</v>
      </c>
      <c r="O74" s="20">
        <f t="shared" ref="O74:O83" si="12">(M74/(I74+J74))*N74</f>
        <v>39.75714286</v>
      </c>
      <c r="P74" s="39">
        <v>2.7</v>
      </c>
      <c r="Q74" s="20">
        <v>7.0</v>
      </c>
      <c r="R74" s="20">
        <v>0.0</v>
      </c>
      <c r="S74" s="20">
        <v>0.0</v>
      </c>
      <c r="T74" s="2"/>
      <c r="U74" s="2">
        <v>597835.0</v>
      </c>
      <c r="V74" s="40">
        <f t="shared" si="2"/>
        <v>17935050</v>
      </c>
      <c r="W74" s="40">
        <f t="shared" si="3"/>
        <v>31002015</v>
      </c>
      <c r="X74" s="2"/>
      <c r="Y74" s="2"/>
      <c r="Z74" s="2"/>
    </row>
    <row r="75" ht="12.75" customHeight="1">
      <c r="A75" s="2"/>
      <c r="B75" s="8" t="s">
        <v>85</v>
      </c>
      <c r="C75" s="8" t="s">
        <v>27</v>
      </c>
      <c r="D75" s="8">
        <v>14.0</v>
      </c>
      <c r="E75" s="20">
        <v>585.0</v>
      </c>
      <c r="F75" s="20">
        <v>405.0</v>
      </c>
      <c r="G75" s="20">
        <v>0.0</v>
      </c>
      <c r="H75" s="21">
        <v>0.0</v>
      </c>
      <c r="I75" s="20">
        <v>0.0</v>
      </c>
      <c r="J75" s="20">
        <v>990.0</v>
      </c>
      <c r="K75" s="20">
        <f t="shared" si="1"/>
        <v>990</v>
      </c>
      <c r="L75" s="20">
        <v>0.0</v>
      </c>
      <c r="M75" s="20">
        <v>398.666666666667</v>
      </c>
      <c r="N75" s="22">
        <v>23.0</v>
      </c>
      <c r="O75" s="20">
        <f t="shared" si="12"/>
        <v>9.261952862</v>
      </c>
      <c r="P75" s="39">
        <v>0.0</v>
      </c>
      <c r="Q75" s="20">
        <v>72.0</v>
      </c>
      <c r="R75" s="20">
        <v>1000.0</v>
      </c>
      <c r="S75" s="20">
        <v>0.0</v>
      </c>
      <c r="T75" s="2"/>
      <c r="U75" s="2">
        <v>597835.0</v>
      </c>
      <c r="V75" s="40">
        <f t="shared" si="2"/>
        <v>591856650</v>
      </c>
      <c r="W75" s="40">
        <f t="shared" si="3"/>
        <v>238336886.7</v>
      </c>
      <c r="X75" s="2"/>
      <c r="Y75" s="2"/>
      <c r="Z75" s="2"/>
    </row>
    <row r="76" ht="12.75" customHeight="1">
      <c r="A76" s="2"/>
      <c r="B76" s="8" t="s">
        <v>114</v>
      </c>
      <c r="C76" s="8" t="s">
        <v>27</v>
      </c>
      <c r="D76" s="8">
        <v>14.0</v>
      </c>
      <c r="E76" s="20">
        <v>0.0</v>
      </c>
      <c r="F76" s="20">
        <v>994.0</v>
      </c>
      <c r="G76" s="20">
        <v>0.0</v>
      </c>
      <c r="H76" s="21">
        <v>0.0</v>
      </c>
      <c r="I76" s="20">
        <v>0.0</v>
      </c>
      <c r="J76" s="20">
        <v>500.0</v>
      </c>
      <c r="K76" s="20">
        <f t="shared" si="1"/>
        <v>500</v>
      </c>
      <c r="L76" s="20">
        <v>494.0</v>
      </c>
      <c r="M76" s="20">
        <v>632.7272727272731</v>
      </c>
      <c r="N76" s="22">
        <v>23.0</v>
      </c>
      <c r="O76" s="20">
        <f t="shared" si="12"/>
        <v>29.10545455</v>
      </c>
      <c r="P76" s="39">
        <v>0.988</v>
      </c>
      <c r="Q76" s="20">
        <v>8.0</v>
      </c>
      <c r="R76" s="20">
        <v>613.0</v>
      </c>
      <c r="S76" s="20">
        <v>0.0</v>
      </c>
      <c r="T76" s="2"/>
      <c r="U76" s="2">
        <v>597835.0</v>
      </c>
      <c r="V76" s="40">
        <f t="shared" si="2"/>
        <v>298917500</v>
      </c>
      <c r="W76" s="40">
        <f t="shared" si="3"/>
        <v>378266509.1</v>
      </c>
      <c r="X76" s="2"/>
      <c r="Y76" s="2"/>
      <c r="Z76" s="2"/>
    </row>
    <row r="77" ht="12.75" customHeight="1">
      <c r="A77" s="2"/>
      <c r="B77" s="8" t="s">
        <v>86</v>
      </c>
      <c r="C77" s="8" t="s">
        <v>27</v>
      </c>
      <c r="D77" s="8">
        <v>14.0</v>
      </c>
      <c r="E77" s="20">
        <v>434.0</v>
      </c>
      <c r="F77" s="20">
        <v>105.0</v>
      </c>
      <c r="G77" s="20">
        <v>0.0</v>
      </c>
      <c r="H77" s="21">
        <v>0.0</v>
      </c>
      <c r="I77" s="20">
        <v>0.0</v>
      </c>
      <c r="J77" s="20">
        <v>252.0</v>
      </c>
      <c r="K77" s="20">
        <f t="shared" si="1"/>
        <v>252</v>
      </c>
      <c r="L77" s="20">
        <v>287.0</v>
      </c>
      <c r="M77" s="20">
        <v>344.857142857143</v>
      </c>
      <c r="N77" s="22">
        <v>23.0</v>
      </c>
      <c r="O77" s="20">
        <f t="shared" si="12"/>
        <v>31.47505669</v>
      </c>
      <c r="P77" s="39">
        <v>1.1388888888888888</v>
      </c>
      <c r="Q77" s="20">
        <v>0.0</v>
      </c>
      <c r="R77" s="20">
        <v>500.0</v>
      </c>
      <c r="S77" s="20">
        <v>0.0</v>
      </c>
      <c r="T77" s="2"/>
      <c r="U77" s="2">
        <v>937285.0</v>
      </c>
      <c r="V77" s="40">
        <f t="shared" si="2"/>
        <v>236195820</v>
      </c>
      <c r="W77" s="40">
        <f t="shared" si="3"/>
        <v>323229427.1</v>
      </c>
      <c r="X77" s="2"/>
      <c r="Y77" s="2"/>
      <c r="Z77" s="2"/>
    </row>
    <row r="78" ht="12.75" customHeight="1">
      <c r="A78" s="2"/>
      <c r="B78" s="43" t="s">
        <v>137</v>
      </c>
      <c r="C78" s="8" t="s">
        <v>27</v>
      </c>
      <c r="D78" s="8">
        <v>14.0</v>
      </c>
      <c r="E78" s="20">
        <v>221.0</v>
      </c>
      <c r="F78" s="20">
        <v>427.0</v>
      </c>
      <c r="G78" s="20">
        <v>0.0</v>
      </c>
      <c r="H78" s="21">
        <v>0.0</v>
      </c>
      <c r="I78" s="20">
        <v>0.0</v>
      </c>
      <c r="J78" s="20">
        <v>408.0</v>
      </c>
      <c r="K78" s="20">
        <f t="shared" si="1"/>
        <v>408</v>
      </c>
      <c r="L78" s="20">
        <v>240.0</v>
      </c>
      <c r="M78" s="20">
        <v>247.0</v>
      </c>
      <c r="N78" s="22">
        <v>23.0</v>
      </c>
      <c r="O78" s="20">
        <f t="shared" si="12"/>
        <v>13.92401961</v>
      </c>
      <c r="P78" s="39">
        <v>0.5882352941176471</v>
      </c>
      <c r="Q78" s="20">
        <v>36.0</v>
      </c>
      <c r="R78" s="20">
        <v>600.0</v>
      </c>
      <c r="S78" s="20">
        <v>0.0</v>
      </c>
      <c r="T78" s="2"/>
      <c r="U78" s="2">
        <v>1402595.0</v>
      </c>
      <c r="V78" s="40">
        <f t="shared" si="2"/>
        <v>572258760</v>
      </c>
      <c r="W78" s="40">
        <f t="shared" si="3"/>
        <v>346440965</v>
      </c>
      <c r="X78" s="2"/>
      <c r="Y78" s="2"/>
      <c r="Z78" s="2"/>
    </row>
    <row r="79" ht="12.75" customHeight="1">
      <c r="A79" s="2"/>
      <c r="B79" s="8" t="s">
        <v>87</v>
      </c>
      <c r="C79" s="8" t="s">
        <v>27</v>
      </c>
      <c r="D79" s="8">
        <v>14.0</v>
      </c>
      <c r="E79" s="20">
        <v>6.0</v>
      </c>
      <c r="F79" s="20">
        <v>0.0</v>
      </c>
      <c r="G79" s="20">
        <v>0.0</v>
      </c>
      <c r="H79" s="21">
        <v>0.0</v>
      </c>
      <c r="I79" s="20">
        <v>0.0</v>
      </c>
      <c r="J79" s="20">
        <v>6.0</v>
      </c>
      <c r="K79" s="20">
        <f t="shared" si="1"/>
        <v>6</v>
      </c>
      <c r="L79" s="20">
        <v>0.0</v>
      </c>
      <c r="M79" s="20">
        <v>2.0</v>
      </c>
      <c r="N79" s="22">
        <v>23.0</v>
      </c>
      <c r="O79" s="20">
        <f t="shared" si="12"/>
        <v>7.666666667</v>
      </c>
      <c r="P79" s="39">
        <v>0.0</v>
      </c>
      <c r="Q79" s="20">
        <v>0.0</v>
      </c>
      <c r="R79" s="20">
        <v>0.0</v>
      </c>
      <c r="S79" s="20">
        <v>0.0</v>
      </c>
      <c r="T79" s="2"/>
      <c r="U79" s="2">
        <v>1.0957105E7</v>
      </c>
      <c r="V79" s="40">
        <f t="shared" si="2"/>
        <v>65742630</v>
      </c>
      <c r="W79" s="40">
        <f t="shared" si="3"/>
        <v>21914210</v>
      </c>
      <c r="X79" s="2"/>
      <c r="Y79" s="2"/>
      <c r="Z79" s="2"/>
    </row>
    <row r="80" ht="12.75" customHeight="1">
      <c r="A80" s="2"/>
      <c r="B80" s="43" t="s">
        <v>138</v>
      </c>
      <c r="C80" s="8" t="s">
        <v>27</v>
      </c>
      <c r="D80" s="8">
        <v>14.0</v>
      </c>
      <c r="E80" s="20">
        <v>16.0</v>
      </c>
      <c r="F80" s="20">
        <v>12.0</v>
      </c>
      <c r="G80" s="20">
        <v>0.0</v>
      </c>
      <c r="H80" s="21">
        <v>0.0</v>
      </c>
      <c r="I80" s="20">
        <v>0.0</v>
      </c>
      <c r="J80" s="20">
        <v>10.0</v>
      </c>
      <c r="K80" s="20">
        <f t="shared" si="1"/>
        <v>10</v>
      </c>
      <c r="L80" s="20">
        <v>18.0</v>
      </c>
      <c r="M80" s="20">
        <v>12.0</v>
      </c>
      <c r="N80" s="22">
        <v>23.0</v>
      </c>
      <c r="O80" s="20">
        <f t="shared" si="12"/>
        <v>27.6</v>
      </c>
      <c r="P80" s="39">
        <v>1.8</v>
      </c>
      <c r="Q80" s="20">
        <v>0.0</v>
      </c>
      <c r="R80" s="20">
        <v>29.0</v>
      </c>
      <c r="S80" s="20">
        <v>0.0</v>
      </c>
      <c r="T80" s="2"/>
      <c r="U80" s="2">
        <v>1.0957105E7</v>
      </c>
      <c r="V80" s="40">
        <f t="shared" si="2"/>
        <v>109571050</v>
      </c>
      <c r="W80" s="40">
        <f t="shared" si="3"/>
        <v>131485260</v>
      </c>
      <c r="X80" s="2"/>
      <c r="Y80" s="2"/>
      <c r="Z80" s="2"/>
    </row>
    <row r="81" ht="12.75" customHeight="1">
      <c r="A81" s="2"/>
      <c r="B81" s="8" t="s">
        <v>88</v>
      </c>
      <c r="C81" s="8" t="s">
        <v>27</v>
      </c>
      <c r="D81" s="8">
        <v>14.0</v>
      </c>
      <c r="E81" s="20">
        <v>665.0</v>
      </c>
      <c r="F81" s="20">
        <v>515.0</v>
      </c>
      <c r="G81" s="20">
        <v>0.0</v>
      </c>
      <c r="H81" s="21">
        <v>0.0</v>
      </c>
      <c r="I81" s="20">
        <v>0.0</v>
      </c>
      <c r="J81" s="20">
        <v>697.0</v>
      </c>
      <c r="K81" s="20">
        <f t="shared" si="1"/>
        <v>697</v>
      </c>
      <c r="L81" s="20">
        <v>483.0</v>
      </c>
      <c r="M81" s="20">
        <v>396.84615384615404</v>
      </c>
      <c r="N81" s="22">
        <v>23.0</v>
      </c>
      <c r="O81" s="20">
        <f t="shared" si="12"/>
        <v>13.09535371</v>
      </c>
      <c r="P81" s="39">
        <v>0.6929698708751794</v>
      </c>
      <c r="Q81" s="20">
        <v>627.0</v>
      </c>
      <c r="R81" s="20">
        <v>200.0</v>
      </c>
      <c r="S81" s="20">
        <v>0.0</v>
      </c>
      <c r="T81" s="2"/>
      <c r="U81" s="2">
        <v>1322925.0</v>
      </c>
      <c r="V81" s="40">
        <f t="shared" si="2"/>
        <v>922078725</v>
      </c>
      <c r="W81" s="40">
        <f t="shared" si="3"/>
        <v>524997698.1</v>
      </c>
      <c r="X81" s="2"/>
      <c r="Y81" s="2"/>
      <c r="Z81" s="2"/>
    </row>
    <row r="82" ht="12.75" customHeight="1">
      <c r="A82" s="2"/>
      <c r="B82" s="8" t="s">
        <v>150</v>
      </c>
      <c r="C82" s="8" t="s">
        <v>27</v>
      </c>
      <c r="D82" s="8">
        <v>14.0</v>
      </c>
      <c r="E82" s="20">
        <v>100.0</v>
      </c>
      <c r="F82" s="20">
        <v>0.0</v>
      </c>
      <c r="G82" s="20">
        <v>0.0</v>
      </c>
      <c r="H82" s="21">
        <v>0.0</v>
      </c>
      <c r="I82" s="20">
        <v>0.0</v>
      </c>
      <c r="J82" s="20">
        <v>60.0</v>
      </c>
      <c r="K82" s="20">
        <f t="shared" si="1"/>
        <v>60</v>
      </c>
      <c r="L82" s="20">
        <v>40.0</v>
      </c>
      <c r="M82" s="20">
        <v>55.0</v>
      </c>
      <c r="N82" s="22">
        <v>23.0</v>
      </c>
      <c r="O82" s="20">
        <f t="shared" si="12"/>
        <v>21.08333333</v>
      </c>
      <c r="P82" s="39">
        <v>0.6666666666666666</v>
      </c>
      <c r="Q82" s="20">
        <v>160.0</v>
      </c>
      <c r="R82" s="20">
        <v>0.0</v>
      </c>
      <c r="S82" s="20">
        <v>0.0</v>
      </c>
      <c r="T82" s="2"/>
      <c r="U82" s="2">
        <v>1322925.0</v>
      </c>
      <c r="V82" s="40">
        <f t="shared" si="2"/>
        <v>79375500</v>
      </c>
      <c r="W82" s="40">
        <f t="shared" si="3"/>
        <v>72760875</v>
      </c>
      <c r="X82" s="2"/>
      <c r="Y82" s="2"/>
      <c r="Z82" s="2"/>
    </row>
    <row r="83" ht="12.75" customHeight="1">
      <c r="A83" s="2"/>
      <c r="B83" s="44" t="s">
        <v>151</v>
      </c>
      <c r="C83" s="8" t="s">
        <v>27</v>
      </c>
      <c r="D83" s="8">
        <v>14.0</v>
      </c>
      <c r="E83" s="20">
        <v>95.0</v>
      </c>
      <c r="F83" s="20">
        <v>0.0</v>
      </c>
      <c r="G83" s="20">
        <v>0.0</v>
      </c>
      <c r="H83" s="21">
        <v>0.0</v>
      </c>
      <c r="I83" s="20">
        <v>0.0</v>
      </c>
      <c r="J83" s="20">
        <v>53.0</v>
      </c>
      <c r="K83" s="20">
        <f t="shared" si="1"/>
        <v>53</v>
      </c>
      <c r="L83" s="20">
        <v>42.0</v>
      </c>
      <c r="M83" s="20">
        <v>66.0</v>
      </c>
      <c r="N83" s="22">
        <v>23.0</v>
      </c>
      <c r="O83" s="20">
        <f t="shared" si="12"/>
        <v>28.64150943</v>
      </c>
      <c r="P83" s="39">
        <v>0.7924528301886793</v>
      </c>
      <c r="Q83" s="20">
        <v>0.0</v>
      </c>
      <c r="R83" s="20">
        <v>100.0</v>
      </c>
      <c r="S83" s="20">
        <v>0.0</v>
      </c>
      <c r="T83" s="2"/>
      <c r="U83" s="2">
        <v>1372215.0</v>
      </c>
      <c r="V83" s="40">
        <f t="shared" si="2"/>
        <v>72727395</v>
      </c>
      <c r="W83" s="40">
        <f t="shared" si="3"/>
        <v>90566190</v>
      </c>
      <c r="X83" s="2"/>
      <c r="Y83" s="2"/>
      <c r="Z83" s="2"/>
    </row>
    <row r="84" ht="12.75" customHeight="1">
      <c r="A84" s="2"/>
      <c r="B84" s="8" t="s">
        <v>89</v>
      </c>
      <c r="C84" s="8" t="s">
        <v>27</v>
      </c>
      <c r="D84" s="8">
        <v>14.0</v>
      </c>
      <c r="E84" s="20">
        <v>101.0</v>
      </c>
      <c r="F84" s="20">
        <v>0.0</v>
      </c>
      <c r="G84" s="20">
        <v>0.0</v>
      </c>
      <c r="H84" s="21">
        <v>0.0</v>
      </c>
      <c r="I84" s="20">
        <v>0.0</v>
      </c>
      <c r="J84" s="20">
        <v>0.0</v>
      </c>
      <c r="K84" s="20">
        <f t="shared" si="1"/>
        <v>0</v>
      </c>
      <c r="L84" s="20">
        <v>101.0</v>
      </c>
      <c r="M84" s="20">
        <v>0.0</v>
      </c>
      <c r="N84" s="22">
        <v>23.0</v>
      </c>
      <c r="O84" s="20">
        <v>0.0</v>
      </c>
      <c r="P84" s="39">
        <v>0.0</v>
      </c>
      <c r="Q84" s="20">
        <v>0.0</v>
      </c>
      <c r="R84" s="20">
        <v>0.0</v>
      </c>
      <c r="S84" s="20">
        <v>0.0</v>
      </c>
      <c r="T84" s="2"/>
      <c r="U84" s="2">
        <v>1027805.0</v>
      </c>
      <c r="V84" s="40">
        <f t="shared" si="2"/>
        <v>0</v>
      </c>
      <c r="W84" s="40">
        <f t="shared" si="3"/>
        <v>0</v>
      </c>
      <c r="X84" s="2"/>
      <c r="Y84" s="2"/>
      <c r="Z84" s="2"/>
    </row>
    <row r="85" ht="12.75" customHeight="1">
      <c r="A85" s="2"/>
      <c r="B85" s="8" t="s">
        <v>115</v>
      </c>
      <c r="C85" s="8" t="s">
        <v>27</v>
      </c>
      <c r="D85" s="8">
        <v>14.0</v>
      </c>
      <c r="E85" s="20">
        <v>18.0</v>
      </c>
      <c r="F85" s="20">
        <v>46.0</v>
      </c>
      <c r="G85" s="20">
        <v>0.0</v>
      </c>
      <c r="H85" s="21">
        <v>0.0</v>
      </c>
      <c r="I85" s="20">
        <v>0.0</v>
      </c>
      <c r="J85" s="20">
        <v>3.0</v>
      </c>
      <c r="K85" s="20">
        <f t="shared" si="1"/>
        <v>3</v>
      </c>
      <c r="L85" s="20">
        <v>61.0</v>
      </c>
      <c r="M85" s="20">
        <v>51.3333333333333</v>
      </c>
      <c r="N85" s="22">
        <v>23.0</v>
      </c>
      <c r="O85" s="20">
        <f t="shared" ref="O85:O92" si="13">(M85/(I85+J85))*N85</f>
        <v>393.5555556</v>
      </c>
      <c r="P85" s="39">
        <v>20.333333333333332</v>
      </c>
      <c r="Q85" s="20">
        <v>0.0</v>
      </c>
      <c r="R85" s="20">
        <v>0.0</v>
      </c>
      <c r="S85" s="20">
        <v>0.0</v>
      </c>
      <c r="T85" s="2"/>
      <c r="U85" s="2">
        <v>746480.0</v>
      </c>
      <c r="V85" s="40">
        <f t="shared" si="2"/>
        <v>2239440</v>
      </c>
      <c r="W85" s="40">
        <f t="shared" si="3"/>
        <v>38319306.67</v>
      </c>
      <c r="X85" s="2"/>
      <c r="Y85" s="2"/>
      <c r="Z85" s="2"/>
    </row>
    <row r="86" ht="12.75" customHeight="1">
      <c r="A86" s="2"/>
      <c r="B86" s="8" t="s">
        <v>90</v>
      </c>
      <c r="C86" s="8" t="s">
        <v>27</v>
      </c>
      <c r="D86" s="8">
        <v>14.0</v>
      </c>
      <c r="E86" s="20">
        <v>207.0</v>
      </c>
      <c r="F86" s="20">
        <v>397.0</v>
      </c>
      <c r="G86" s="20">
        <v>0.0</v>
      </c>
      <c r="H86" s="21">
        <v>0.0</v>
      </c>
      <c r="I86" s="20">
        <v>0.0</v>
      </c>
      <c r="J86" s="20">
        <v>388.0</v>
      </c>
      <c r="K86" s="20">
        <f t="shared" si="1"/>
        <v>388</v>
      </c>
      <c r="L86" s="20">
        <v>216.0</v>
      </c>
      <c r="M86" s="20">
        <v>203.4</v>
      </c>
      <c r="N86" s="22">
        <v>23.0</v>
      </c>
      <c r="O86" s="20">
        <f t="shared" si="13"/>
        <v>12.05721649</v>
      </c>
      <c r="P86" s="39">
        <v>0.5567010309278351</v>
      </c>
      <c r="Q86" s="20">
        <v>3.0</v>
      </c>
      <c r="R86" s="20">
        <v>705.0</v>
      </c>
      <c r="S86" s="20">
        <v>95.0</v>
      </c>
      <c r="T86" s="2"/>
      <c r="U86" s="2">
        <v>1372215.0</v>
      </c>
      <c r="V86" s="40">
        <f t="shared" si="2"/>
        <v>532419420</v>
      </c>
      <c r="W86" s="40">
        <f t="shared" si="3"/>
        <v>279108531</v>
      </c>
      <c r="X86" s="2"/>
      <c r="Y86" s="2"/>
      <c r="Z86" s="2"/>
    </row>
    <row r="87" ht="12.75" customHeight="1">
      <c r="A87" s="2"/>
      <c r="B87" s="8" t="s">
        <v>91</v>
      </c>
      <c r="C87" s="8" t="s">
        <v>27</v>
      </c>
      <c r="D87" s="8">
        <v>14.0</v>
      </c>
      <c r="E87" s="20">
        <v>40.0</v>
      </c>
      <c r="F87" s="20">
        <v>18.0</v>
      </c>
      <c r="G87" s="20">
        <v>0.0</v>
      </c>
      <c r="H87" s="21">
        <v>0.0</v>
      </c>
      <c r="I87" s="20">
        <v>0.0</v>
      </c>
      <c r="J87" s="20">
        <v>4.0</v>
      </c>
      <c r="K87" s="20">
        <f t="shared" si="1"/>
        <v>4</v>
      </c>
      <c r="L87" s="20">
        <v>54.0</v>
      </c>
      <c r="M87" s="20">
        <v>45.0</v>
      </c>
      <c r="N87" s="22">
        <v>23.0</v>
      </c>
      <c r="O87" s="20">
        <f t="shared" si="13"/>
        <v>258.75</v>
      </c>
      <c r="P87" s="39">
        <v>13.5</v>
      </c>
      <c r="Q87" s="20">
        <v>18.0</v>
      </c>
      <c r="R87" s="20">
        <v>0.0</v>
      </c>
      <c r="S87" s="20">
        <v>0.0</v>
      </c>
      <c r="T87" s="2"/>
      <c r="U87" s="2">
        <v>6276182.5</v>
      </c>
      <c r="V87" s="40">
        <f t="shared" si="2"/>
        <v>25104730</v>
      </c>
      <c r="W87" s="40">
        <f t="shared" si="3"/>
        <v>282428212.5</v>
      </c>
      <c r="X87" s="2"/>
      <c r="Y87" s="2"/>
      <c r="Z87" s="2"/>
    </row>
    <row r="88" ht="12.75" customHeight="1">
      <c r="A88" s="2"/>
      <c r="B88" s="8" t="s">
        <v>116</v>
      </c>
      <c r="C88" s="8" t="s">
        <v>27</v>
      </c>
      <c r="D88" s="8">
        <v>14.0</v>
      </c>
      <c r="E88" s="20">
        <v>81.0</v>
      </c>
      <c r="F88" s="20">
        <v>0.0</v>
      </c>
      <c r="G88" s="20">
        <v>0.0</v>
      </c>
      <c r="H88" s="21">
        <v>0.0</v>
      </c>
      <c r="I88" s="20">
        <v>0.0</v>
      </c>
      <c r="J88" s="20">
        <v>12.0</v>
      </c>
      <c r="K88" s="20">
        <f t="shared" si="1"/>
        <v>12</v>
      </c>
      <c r="L88" s="20">
        <v>69.0</v>
      </c>
      <c r="M88" s="20">
        <v>73.0</v>
      </c>
      <c r="N88" s="22">
        <v>23.0</v>
      </c>
      <c r="O88" s="20">
        <f t="shared" si="13"/>
        <v>139.9166667</v>
      </c>
      <c r="P88" s="39">
        <v>5.75</v>
      </c>
      <c r="Q88" s="20">
        <v>0.0</v>
      </c>
      <c r="R88" s="20">
        <v>0.0</v>
      </c>
      <c r="S88" s="20">
        <v>0.0</v>
      </c>
      <c r="T88" s="2"/>
      <c r="U88" s="2">
        <v>6276182.5</v>
      </c>
      <c r="V88" s="40">
        <f t="shared" si="2"/>
        <v>75314190</v>
      </c>
      <c r="W88" s="40">
        <f t="shared" si="3"/>
        <v>458161322.5</v>
      </c>
      <c r="X88" s="2"/>
      <c r="Y88" s="2"/>
      <c r="Z88" s="2"/>
    </row>
    <row r="89" ht="12.75" customHeight="1">
      <c r="A89" s="2"/>
      <c r="B89" s="43" t="s">
        <v>139</v>
      </c>
      <c r="C89" s="8" t="s">
        <v>27</v>
      </c>
      <c r="D89" s="8">
        <v>14.0</v>
      </c>
      <c r="E89" s="20">
        <v>54.0</v>
      </c>
      <c r="F89" s="20">
        <v>0.0</v>
      </c>
      <c r="G89" s="20">
        <v>0.0</v>
      </c>
      <c r="H89" s="21">
        <v>0.0</v>
      </c>
      <c r="I89" s="20">
        <v>0.0</v>
      </c>
      <c r="J89" s="20">
        <v>54.0</v>
      </c>
      <c r="K89" s="20">
        <f t="shared" si="1"/>
        <v>54</v>
      </c>
      <c r="L89" s="20">
        <v>0.0</v>
      </c>
      <c r="M89" s="20">
        <v>0.0</v>
      </c>
      <c r="N89" s="22">
        <v>23.0</v>
      </c>
      <c r="O89" s="20">
        <f t="shared" si="13"/>
        <v>0</v>
      </c>
      <c r="P89" s="39">
        <v>0.0</v>
      </c>
      <c r="Q89" s="20">
        <v>0.0</v>
      </c>
      <c r="R89" s="20">
        <v>150.0</v>
      </c>
      <c r="S89" s="20">
        <v>0.0</v>
      </c>
      <c r="T89" s="2"/>
      <c r="U89" s="2">
        <v>848935.0</v>
      </c>
      <c r="V89" s="40">
        <f t="shared" si="2"/>
        <v>45842490</v>
      </c>
      <c r="W89" s="40">
        <f t="shared" si="3"/>
        <v>0</v>
      </c>
      <c r="X89" s="2"/>
      <c r="Y89" s="2"/>
      <c r="Z89" s="2"/>
    </row>
    <row r="90" ht="12.75" customHeight="1">
      <c r="A90" s="2"/>
      <c r="B90" s="43" t="s">
        <v>140</v>
      </c>
      <c r="C90" s="8" t="s">
        <v>27</v>
      </c>
      <c r="D90" s="8">
        <v>14.0</v>
      </c>
      <c r="E90" s="20">
        <v>93.0</v>
      </c>
      <c r="F90" s="20">
        <v>204.0</v>
      </c>
      <c r="G90" s="20">
        <v>0.0</v>
      </c>
      <c r="H90" s="21">
        <v>0.0</v>
      </c>
      <c r="I90" s="20">
        <v>0.0</v>
      </c>
      <c r="J90" s="20">
        <v>72.0</v>
      </c>
      <c r="K90" s="20">
        <f t="shared" si="1"/>
        <v>72</v>
      </c>
      <c r="L90" s="20">
        <v>225.0</v>
      </c>
      <c r="M90" s="20">
        <v>184.5</v>
      </c>
      <c r="N90" s="22">
        <v>23.0</v>
      </c>
      <c r="O90" s="20">
        <f t="shared" si="13"/>
        <v>58.9375</v>
      </c>
      <c r="P90" s="39">
        <v>3.125</v>
      </c>
      <c r="Q90" s="20">
        <v>100.0</v>
      </c>
      <c r="R90" s="20">
        <v>100.0</v>
      </c>
      <c r="S90" s="20">
        <v>0.0</v>
      </c>
      <c r="T90" s="2"/>
      <c r="U90" s="2">
        <v>923955.0</v>
      </c>
      <c r="V90" s="40">
        <f t="shared" si="2"/>
        <v>66524760</v>
      </c>
      <c r="W90" s="40">
        <f t="shared" si="3"/>
        <v>170469697.5</v>
      </c>
      <c r="X90" s="2"/>
      <c r="Y90" s="2"/>
      <c r="Z90" s="2"/>
    </row>
    <row r="91" ht="12.75" customHeight="1">
      <c r="A91" s="2"/>
      <c r="B91" s="8" t="s">
        <v>117</v>
      </c>
      <c r="C91" s="8" t="s">
        <v>27</v>
      </c>
      <c r="D91" s="8">
        <v>14.0</v>
      </c>
      <c r="E91" s="20">
        <v>52.0</v>
      </c>
      <c r="F91" s="20">
        <v>80.0</v>
      </c>
      <c r="G91" s="20">
        <v>0.0</v>
      </c>
      <c r="H91" s="21">
        <v>0.0</v>
      </c>
      <c r="I91" s="20">
        <v>0.0</v>
      </c>
      <c r="J91" s="20">
        <v>54.0</v>
      </c>
      <c r="K91" s="20">
        <f t="shared" si="1"/>
        <v>54</v>
      </c>
      <c r="L91" s="20">
        <v>78.0</v>
      </c>
      <c r="M91" s="20">
        <v>63.0</v>
      </c>
      <c r="N91" s="22">
        <v>23.0</v>
      </c>
      <c r="O91" s="20">
        <f t="shared" si="13"/>
        <v>26.83333333</v>
      </c>
      <c r="P91" s="39">
        <v>1.4444444444444444</v>
      </c>
      <c r="Q91" s="20">
        <v>0.0</v>
      </c>
      <c r="R91" s="20">
        <v>120.0</v>
      </c>
      <c r="S91" s="20">
        <v>0.0</v>
      </c>
      <c r="T91" s="2"/>
      <c r="U91" s="2">
        <v>1345865.0</v>
      </c>
      <c r="V91" s="40">
        <f t="shared" si="2"/>
        <v>72676710</v>
      </c>
      <c r="W91" s="40">
        <f t="shared" si="3"/>
        <v>84789495</v>
      </c>
      <c r="X91" s="2"/>
      <c r="Y91" s="2"/>
      <c r="Z91" s="2"/>
    </row>
    <row r="92" ht="12.75" customHeight="1">
      <c r="A92" s="2"/>
      <c r="B92" s="8" t="s">
        <v>94</v>
      </c>
      <c r="C92" s="8" t="s">
        <v>27</v>
      </c>
      <c r="D92" s="8">
        <v>14.0</v>
      </c>
      <c r="E92" s="20">
        <v>22.0</v>
      </c>
      <c r="F92" s="20">
        <v>795.0</v>
      </c>
      <c r="G92" s="20">
        <v>0.0</v>
      </c>
      <c r="H92" s="21">
        <v>0.0</v>
      </c>
      <c r="I92" s="20">
        <v>0.0</v>
      </c>
      <c r="J92" s="20">
        <v>672.0</v>
      </c>
      <c r="K92" s="20">
        <f t="shared" si="1"/>
        <v>672</v>
      </c>
      <c r="L92" s="20">
        <v>145.0</v>
      </c>
      <c r="M92" s="20">
        <v>333.0</v>
      </c>
      <c r="N92" s="22">
        <v>23.0</v>
      </c>
      <c r="O92" s="20">
        <f t="shared" si="13"/>
        <v>11.39732143</v>
      </c>
      <c r="P92" s="39">
        <v>0.21577380952380953</v>
      </c>
      <c r="Q92" s="20">
        <v>0.0</v>
      </c>
      <c r="R92" s="20">
        <v>849.0</v>
      </c>
      <c r="S92" s="20">
        <v>100.0</v>
      </c>
      <c r="T92" s="2"/>
      <c r="U92" s="2">
        <v>923955.0</v>
      </c>
      <c r="V92" s="40">
        <f t="shared" si="2"/>
        <v>620897760</v>
      </c>
      <c r="W92" s="40">
        <f t="shared" si="3"/>
        <v>307677015</v>
      </c>
      <c r="X92" s="2"/>
      <c r="Y92" s="2"/>
      <c r="Z92" s="2"/>
    </row>
    <row r="93" ht="12.75" customHeight="1">
      <c r="A93" s="2"/>
      <c r="B93" s="8" t="s">
        <v>141</v>
      </c>
      <c r="C93" s="8" t="s">
        <v>27</v>
      </c>
      <c r="D93" s="8">
        <v>14.0</v>
      </c>
      <c r="E93" s="20">
        <v>15.0</v>
      </c>
      <c r="F93" s="20">
        <v>0.0</v>
      </c>
      <c r="G93" s="20">
        <v>0.0</v>
      </c>
      <c r="H93" s="21">
        <v>0.0</v>
      </c>
      <c r="I93" s="20">
        <v>0.0</v>
      </c>
      <c r="J93" s="20">
        <v>0.0</v>
      </c>
      <c r="K93" s="20">
        <f t="shared" si="1"/>
        <v>0</v>
      </c>
      <c r="L93" s="20">
        <v>15.0</v>
      </c>
      <c r="M93" s="20">
        <v>0.0</v>
      </c>
      <c r="N93" s="22">
        <v>23.0</v>
      </c>
      <c r="O93" s="20">
        <v>0.0</v>
      </c>
      <c r="P93" s="39">
        <v>0.0</v>
      </c>
      <c r="Q93" s="20">
        <v>0.0</v>
      </c>
      <c r="R93" s="20">
        <v>0.0</v>
      </c>
      <c r="S93" s="20">
        <v>0.0</v>
      </c>
      <c r="T93" s="2"/>
      <c r="U93" s="2">
        <v>504524.99999999994</v>
      </c>
      <c r="V93" s="40">
        <f t="shared" si="2"/>
        <v>0</v>
      </c>
      <c r="W93" s="40">
        <f t="shared" si="3"/>
        <v>0</v>
      </c>
      <c r="X93" s="2"/>
      <c r="Y93" s="2"/>
      <c r="Z93" s="2"/>
    </row>
    <row r="94" ht="12.75" customHeight="1">
      <c r="A94" s="2"/>
      <c r="B94" s="8" t="s">
        <v>96</v>
      </c>
      <c r="C94" s="8" t="s">
        <v>27</v>
      </c>
      <c r="D94" s="8">
        <v>14.0</v>
      </c>
      <c r="E94" s="20">
        <v>118.0</v>
      </c>
      <c r="F94" s="20">
        <v>0.0</v>
      </c>
      <c r="G94" s="20">
        <v>0.0</v>
      </c>
      <c r="H94" s="21">
        <v>0.0</v>
      </c>
      <c r="I94" s="20">
        <v>0.0</v>
      </c>
      <c r="J94" s="20">
        <v>118.0</v>
      </c>
      <c r="K94" s="20">
        <f t="shared" si="1"/>
        <v>118</v>
      </c>
      <c r="L94" s="20">
        <v>0.0</v>
      </c>
      <c r="M94" s="20">
        <v>23.0</v>
      </c>
      <c r="N94" s="22">
        <v>23.0</v>
      </c>
      <c r="O94" s="20">
        <f t="shared" ref="O94:O96" si="14">(M94/(I94+J94))*N94</f>
        <v>4.483050847</v>
      </c>
      <c r="P94" s="39">
        <v>0.0</v>
      </c>
      <c r="Q94" s="20">
        <v>0.0</v>
      </c>
      <c r="R94" s="20">
        <v>0.0</v>
      </c>
      <c r="S94" s="20">
        <v>0.0</v>
      </c>
      <c r="T94" s="2"/>
      <c r="U94" s="2">
        <v>848935.0</v>
      </c>
      <c r="V94" s="40">
        <f t="shared" si="2"/>
        <v>100174330</v>
      </c>
      <c r="W94" s="40">
        <f t="shared" si="3"/>
        <v>19525505</v>
      </c>
      <c r="X94" s="2"/>
      <c r="Y94" s="2"/>
      <c r="Z94" s="2"/>
    </row>
    <row r="95" ht="12.75" customHeight="1">
      <c r="A95" s="2"/>
      <c r="B95" s="8" t="s">
        <v>142</v>
      </c>
      <c r="C95" s="8" t="s">
        <v>27</v>
      </c>
      <c r="D95" s="8">
        <v>14.0</v>
      </c>
      <c r="E95" s="20">
        <v>202.0</v>
      </c>
      <c r="F95" s="20">
        <v>300.0</v>
      </c>
      <c r="G95" s="20">
        <v>0.0</v>
      </c>
      <c r="H95" s="21">
        <v>0.0</v>
      </c>
      <c r="I95" s="20">
        <v>0.0</v>
      </c>
      <c r="J95" s="20">
        <v>425.0</v>
      </c>
      <c r="K95" s="20">
        <f t="shared" si="1"/>
        <v>425</v>
      </c>
      <c r="L95" s="20">
        <v>77.0</v>
      </c>
      <c r="M95" s="20">
        <v>282.6</v>
      </c>
      <c r="N95" s="22">
        <v>23.0</v>
      </c>
      <c r="O95" s="20">
        <f t="shared" si="14"/>
        <v>15.29364706</v>
      </c>
      <c r="P95" s="39">
        <v>0.1811764705882353</v>
      </c>
      <c r="Q95" s="20">
        <v>0.0</v>
      </c>
      <c r="R95" s="20">
        <v>600.0</v>
      </c>
      <c r="S95" s="20">
        <v>0.0</v>
      </c>
      <c r="T95" s="2"/>
      <c r="U95" s="2">
        <v>848935.0</v>
      </c>
      <c r="V95" s="40">
        <f t="shared" si="2"/>
        <v>360797375</v>
      </c>
      <c r="W95" s="40">
        <f t="shared" si="3"/>
        <v>239909031</v>
      </c>
      <c r="X95" s="4" t="s">
        <v>152</v>
      </c>
      <c r="Y95" s="2"/>
      <c r="Z95" s="2"/>
    </row>
    <row r="96" ht="18.75" customHeight="1">
      <c r="A96" s="31"/>
      <c r="B96" s="25" t="s">
        <v>98</v>
      </c>
      <c r="C96" s="26"/>
      <c r="D96" s="26"/>
      <c r="E96" s="27">
        <f t="shared" ref="E96:M96" si="15">SUM(E4:E95)</f>
        <v>17714.98</v>
      </c>
      <c r="F96" s="27">
        <f t="shared" si="15"/>
        <v>12174</v>
      </c>
      <c r="G96" s="27">
        <f t="shared" si="15"/>
        <v>0</v>
      </c>
      <c r="H96" s="27">
        <f t="shared" si="15"/>
        <v>2</v>
      </c>
      <c r="I96" s="27">
        <f t="shared" si="15"/>
        <v>0</v>
      </c>
      <c r="J96" s="42">
        <f t="shared" si="15"/>
        <v>13516</v>
      </c>
      <c r="K96" s="42">
        <f t="shared" si="15"/>
        <v>13516</v>
      </c>
      <c r="L96" s="42">
        <f t="shared" si="15"/>
        <v>16374.98</v>
      </c>
      <c r="M96" s="42">
        <f t="shared" si="15"/>
        <v>12888.3818</v>
      </c>
      <c r="N96" s="28">
        <f>N95</f>
        <v>23</v>
      </c>
      <c r="O96" s="28">
        <f t="shared" si="14"/>
        <v>21.93199034</v>
      </c>
      <c r="P96" s="41">
        <f>+L96/($I96+$J96)*$N$4</f>
        <v>27.86508878</v>
      </c>
      <c r="Q96" s="27">
        <f t="shared" ref="Q96:S96" si="16">SUM(Q4:Q95)</f>
        <v>2730.3</v>
      </c>
      <c r="R96" s="27">
        <f t="shared" si="16"/>
        <v>15825</v>
      </c>
      <c r="S96" s="27">
        <f t="shared" si="16"/>
        <v>746</v>
      </c>
      <c r="T96" s="31"/>
      <c r="U96" s="2"/>
      <c r="V96" s="42">
        <f t="shared" ref="V96:W96" si="17">SUM(V4:V95)</f>
        <v>13066217764</v>
      </c>
      <c r="W96" s="42">
        <f t="shared" si="17"/>
        <v>12851923157</v>
      </c>
      <c r="X96" s="27">
        <f>(W96/V96)*N95</f>
        <v>22.6227848</v>
      </c>
      <c r="Y96" s="31"/>
      <c r="Z96" s="31"/>
    </row>
    <row r="97" ht="18.75" customHeight="1">
      <c r="A97" s="2"/>
      <c r="B97" s="1"/>
      <c r="C97" s="2"/>
      <c r="D97" s="2"/>
      <c r="E97" s="33"/>
      <c r="F97" s="33"/>
      <c r="G97" s="33"/>
      <c r="H97" s="33"/>
      <c r="I97" s="33"/>
      <c r="J97" s="33"/>
      <c r="K97" s="33"/>
      <c r="L97" s="33"/>
      <c r="M97" s="33"/>
      <c r="N97" s="3"/>
      <c r="O97" s="33"/>
      <c r="P97" s="33"/>
      <c r="Q97" s="34"/>
      <c r="R97" s="33"/>
      <c r="S97" s="33"/>
      <c r="T97" s="33"/>
      <c r="U97" s="2"/>
      <c r="V97" s="40"/>
      <c r="W97" s="40"/>
      <c r="X97" s="2"/>
      <c r="Y97" s="2"/>
      <c r="Z97" s="2"/>
    </row>
    <row r="98" ht="12.75" customHeight="1">
      <c r="A98" s="2"/>
      <c r="B98" s="2" t="s">
        <v>99</v>
      </c>
      <c r="C98" s="35">
        <v>24.9</v>
      </c>
      <c r="D98" s="2" t="s">
        <v>100</v>
      </c>
      <c r="E98" s="2"/>
      <c r="F98" s="2"/>
      <c r="G98" s="2"/>
      <c r="H98" s="2"/>
      <c r="I98" s="2"/>
      <c r="J98" s="2"/>
      <c r="K98" s="2"/>
      <c r="L98" s="2"/>
      <c r="M98" s="2"/>
      <c r="N98" s="3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1"/>
      <c r="C101" s="36"/>
      <c r="D101" s="36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57"/>
    <col customWidth="1" min="2" max="2" width="17.86"/>
    <col customWidth="1" min="3" max="4" width="15.0"/>
    <col customWidth="1" min="5" max="5" width="16.14"/>
    <col customWidth="1" min="6" max="6" width="13.29"/>
    <col customWidth="1" min="7" max="7" width="11.57"/>
    <col customWidth="1" min="8" max="8" width="9.57"/>
    <col customWidth="1" min="9" max="9" width="13.29"/>
    <col customWidth="1" min="10" max="11" width="10.29"/>
    <col customWidth="1" min="12" max="12" width="12.71"/>
    <col customWidth="1" min="13" max="13" width="11.57"/>
    <col customWidth="1" min="14" max="14" width="11.43"/>
    <col customWidth="1" min="15" max="15" width="9.86"/>
    <col customWidth="1" min="16" max="16" width="8.86"/>
    <col customWidth="1" min="17" max="18" width="13.29"/>
    <col customWidth="1" min="19" max="19" width="7.86"/>
    <col customWidth="1" min="20" max="20" width="13.71"/>
    <col customWidth="1" min="21" max="21" width="13.0"/>
    <col customWidth="1" min="22" max="22" width="17.43"/>
    <col customWidth="1" min="23" max="23" width="17.86"/>
    <col customWidth="1" min="24" max="24" width="16.43"/>
    <col customWidth="1" min="25" max="26" width="8.71"/>
  </cols>
  <sheetData>
    <row r="1" ht="12.75" customHeight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4" t="s">
        <v>0</v>
      </c>
      <c r="U1" s="5">
        <v>0.0052</v>
      </c>
      <c r="V1" s="4" t="s">
        <v>1</v>
      </c>
      <c r="W1" s="45">
        <f>(W100*$U$1)/V100</f>
        <v>0.004151558223</v>
      </c>
      <c r="X1" s="2"/>
      <c r="Y1" s="2"/>
      <c r="Z1" s="2"/>
    </row>
    <row r="2" ht="12.75" customHeight="1">
      <c r="A2" s="2"/>
      <c r="B2" s="7"/>
      <c r="C2" s="8" t="s">
        <v>2</v>
      </c>
      <c r="D2" s="8"/>
      <c r="E2" s="9" t="s">
        <v>153</v>
      </c>
      <c r="F2" s="10"/>
      <c r="G2" s="11" t="s">
        <v>4</v>
      </c>
      <c r="H2" s="10"/>
      <c r="I2" s="10"/>
      <c r="J2" s="12"/>
      <c r="K2" s="12"/>
      <c r="L2" s="10"/>
      <c r="M2" s="10"/>
      <c r="N2" s="13"/>
      <c r="O2" s="8"/>
      <c r="P2" s="14"/>
      <c r="Q2" s="14"/>
      <c r="R2" s="10"/>
      <c r="S2" s="10"/>
      <c r="T2" s="10"/>
      <c r="U2" s="2"/>
      <c r="V2" s="2"/>
      <c r="W2" s="2"/>
      <c r="X2" s="2"/>
      <c r="Y2" s="2"/>
      <c r="Z2" s="2"/>
    </row>
    <row r="3" ht="12.75" customHeight="1">
      <c r="A3" s="2"/>
      <c r="B3" s="15" t="s">
        <v>5</v>
      </c>
      <c r="C3" s="15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7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38" t="s">
        <v>17</v>
      </c>
      <c r="O3" s="19" t="s">
        <v>18</v>
      </c>
      <c r="P3" s="19" t="s">
        <v>19</v>
      </c>
      <c r="Q3" s="18" t="s">
        <v>20</v>
      </c>
      <c r="R3" s="18" t="s">
        <v>21</v>
      </c>
      <c r="S3" s="18" t="s">
        <v>22</v>
      </c>
      <c r="T3" s="2"/>
      <c r="U3" s="18" t="s">
        <v>23</v>
      </c>
      <c r="V3" s="18" t="s">
        <v>102</v>
      </c>
      <c r="W3" s="18" t="s">
        <v>103</v>
      </c>
      <c r="X3" s="2"/>
      <c r="Y3" s="2"/>
      <c r="Z3" s="2"/>
    </row>
    <row r="4" ht="12.75" customHeight="1">
      <c r="A4" s="2"/>
      <c r="B4" s="8" t="s">
        <v>104</v>
      </c>
      <c r="C4" s="8" t="s">
        <v>27</v>
      </c>
      <c r="D4" s="8">
        <v>14.0</v>
      </c>
      <c r="E4" s="20">
        <v>96.0</v>
      </c>
      <c r="F4" s="20">
        <v>102.0</v>
      </c>
      <c r="G4" s="20">
        <v>0.0</v>
      </c>
      <c r="H4" s="21">
        <v>0.0</v>
      </c>
      <c r="I4" s="20">
        <v>73.0</v>
      </c>
      <c r="J4" s="20">
        <v>0.0</v>
      </c>
      <c r="K4" s="20">
        <f t="shared" ref="K4:K99" si="1">I4+J4</f>
        <v>73</v>
      </c>
      <c r="L4" s="20">
        <v>125.0</v>
      </c>
      <c r="M4" s="20">
        <v>74.8</v>
      </c>
      <c r="N4" s="22">
        <v>24.0</v>
      </c>
      <c r="O4" s="20">
        <f t="shared" ref="O4:O18" si="2">(M4/(I4+J4))*N4</f>
        <v>24.59178082</v>
      </c>
      <c r="P4" s="39">
        <v>1.7123287671232876</v>
      </c>
      <c r="Q4" s="20">
        <v>0.0</v>
      </c>
      <c r="R4" s="20">
        <v>0.0</v>
      </c>
      <c r="S4" s="20">
        <v>0.0</v>
      </c>
      <c r="T4" s="2"/>
      <c r="U4" s="2">
        <v>1631375.0</v>
      </c>
      <c r="V4" s="40">
        <f t="shared" ref="V4:V99" si="3">U4*(I4+J4)</f>
        <v>119090375</v>
      </c>
      <c r="W4" s="40">
        <f t="shared" ref="W4:W99" si="4">U4*M4</f>
        <v>122026850</v>
      </c>
      <c r="X4" s="2"/>
      <c r="Y4" s="2"/>
      <c r="Z4" s="2"/>
    </row>
    <row r="5" ht="12.75" customHeight="1">
      <c r="A5" s="2"/>
      <c r="B5" s="8" t="s">
        <v>28</v>
      </c>
      <c r="C5" s="8" t="s">
        <v>27</v>
      </c>
      <c r="D5" s="8">
        <v>14.0</v>
      </c>
      <c r="E5" s="20">
        <v>198.0</v>
      </c>
      <c r="F5" s="20">
        <v>0.0</v>
      </c>
      <c r="G5" s="20">
        <v>0.0</v>
      </c>
      <c r="H5" s="21">
        <v>0.0</v>
      </c>
      <c r="I5" s="20">
        <v>52.0</v>
      </c>
      <c r="J5" s="20">
        <v>0.0</v>
      </c>
      <c r="K5" s="20">
        <f t="shared" si="1"/>
        <v>52</v>
      </c>
      <c r="L5" s="20">
        <v>146.0</v>
      </c>
      <c r="M5" s="20">
        <v>161.0</v>
      </c>
      <c r="N5" s="22">
        <v>24.0</v>
      </c>
      <c r="O5" s="20">
        <f t="shared" si="2"/>
        <v>74.30769231</v>
      </c>
      <c r="P5" s="39">
        <v>2.8076923076923075</v>
      </c>
      <c r="Q5" s="20">
        <v>0.0</v>
      </c>
      <c r="R5" s="20">
        <v>0.0</v>
      </c>
      <c r="S5" s="20">
        <v>0.0</v>
      </c>
      <c r="T5" s="2"/>
      <c r="U5" s="2">
        <v>844750.0</v>
      </c>
      <c r="V5" s="40">
        <f t="shared" si="3"/>
        <v>43927000</v>
      </c>
      <c r="W5" s="40">
        <f t="shared" si="4"/>
        <v>136004750</v>
      </c>
      <c r="X5" s="2"/>
      <c r="Y5" s="2"/>
      <c r="Z5" s="2"/>
    </row>
    <row r="6" ht="12.75" customHeight="1">
      <c r="A6" s="2"/>
      <c r="B6" s="8" t="s">
        <v>29</v>
      </c>
      <c r="C6" s="8" t="s">
        <v>27</v>
      </c>
      <c r="D6" s="8">
        <v>14.0</v>
      </c>
      <c r="E6" s="20">
        <v>139.0</v>
      </c>
      <c r="F6" s="20">
        <v>0.0</v>
      </c>
      <c r="G6" s="20">
        <v>0.0</v>
      </c>
      <c r="H6" s="21">
        <v>0.0</v>
      </c>
      <c r="I6" s="20">
        <v>58.0</v>
      </c>
      <c r="J6" s="20">
        <v>0.0</v>
      </c>
      <c r="K6" s="20">
        <f t="shared" si="1"/>
        <v>58</v>
      </c>
      <c r="L6" s="20">
        <v>81.0</v>
      </c>
      <c r="M6" s="20">
        <v>81.0</v>
      </c>
      <c r="N6" s="22">
        <v>24.0</v>
      </c>
      <c r="O6" s="20">
        <f t="shared" si="2"/>
        <v>33.51724138</v>
      </c>
      <c r="P6" s="39">
        <v>1.396551724137931</v>
      </c>
      <c r="Q6" s="20">
        <v>0.0</v>
      </c>
      <c r="R6" s="20">
        <v>100.0</v>
      </c>
      <c r="S6" s="20">
        <v>0.0</v>
      </c>
      <c r="T6" s="2"/>
      <c r="U6" s="2">
        <v>928605.0</v>
      </c>
      <c r="V6" s="40">
        <f t="shared" si="3"/>
        <v>53859090</v>
      </c>
      <c r="W6" s="40">
        <f t="shared" si="4"/>
        <v>75217005</v>
      </c>
      <c r="X6" s="2"/>
      <c r="Y6" s="2"/>
      <c r="Z6" s="2"/>
    </row>
    <row r="7" ht="12.75" customHeight="1">
      <c r="A7" s="2"/>
      <c r="B7" s="8" t="s">
        <v>30</v>
      </c>
      <c r="C7" s="8" t="s">
        <v>27</v>
      </c>
      <c r="D7" s="8">
        <v>14.0</v>
      </c>
      <c r="E7" s="20">
        <v>68.0</v>
      </c>
      <c r="F7" s="20">
        <v>347.0</v>
      </c>
      <c r="G7" s="20">
        <v>0.0</v>
      </c>
      <c r="H7" s="21">
        <v>0.0</v>
      </c>
      <c r="I7" s="20">
        <v>0.0</v>
      </c>
      <c r="J7" s="20">
        <v>229.0</v>
      </c>
      <c r="K7" s="20">
        <f t="shared" si="1"/>
        <v>229</v>
      </c>
      <c r="L7" s="20">
        <v>186.0</v>
      </c>
      <c r="M7" s="20">
        <v>96.4545454545455</v>
      </c>
      <c r="N7" s="22">
        <v>24.0</v>
      </c>
      <c r="O7" s="20">
        <f t="shared" si="2"/>
        <v>10.10877332</v>
      </c>
      <c r="P7" s="39">
        <v>0.8122270742358079</v>
      </c>
      <c r="Q7" s="20">
        <v>23.0</v>
      </c>
      <c r="R7" s="20">
        <v>100.0</v>
      </c>
      <c r="S7" s="20">
        <v>0.0</v>
      </c>
      <c r="T7" s="2"/>
      <c r="U7" s="2">
        <v>1329900.0</v>
      </c>
      <c r="V7" s="40">
        <f t="shared" si="3"/>
        <v>304547100</v>
      </c>
      <c r="W7" s="40">
        <f t="shared" si="4"/>
        <v>128274900</v>
      </c>
      <c r="X7" s="2"/>
      <c r="Y7" s="2"/>
      <c r="Z7" s="2"/>
    </row>
    <row r="8" ht="12.75" customHeight="1">
      <c r="A8" s="2"/>
      <c r="B8" s="43" t="s">
        <v>120</v>
      </c>
      <c r="C8" s="8" t="s">
        <v>27</v>
      </c>
      <c r="D8" s="8">
        <v>14.0</v>
      </c>
      <c r="E8" s="20">
        <v>262.0</v>
      </c>
      <c r="F8" s="20">
        <v>83.0</v>
      </c>
      <c r="G8" s="20">
        <v>0.0</v>
      </c>
      <c r="H8" s="21">
        <v>0.0</v>
      </c>
      <c r="I8" s="20">
        <v>159.0</v>
      </c>
      <c r="J8" s="20">
        <v>0.0</v>
      </c>
      <c r="K8" s="20">
        <f t="shared" si="1"/>
        <v>159</v>
      </c>
      <c r="L8" s="20">
        <v>186.0</v>
      </c>
      <c r="M8" s="20">
        <v>164.25</v>
      </c>
      <c r="N8" s="22">
        <v>24.0</v>
      </c>
      <c r="O8" s="20">
        <f t="shared" si="2"/>
        <v>24.79245283</v>
      </c>
      <c r="P8" s="39">
        <v>1.169811320754717</v>
      </c>
      <c r="Q8" s="20">
        <v>17.0</v>
      </c>
      <c r="R8" s="20">
        <v>160.0</v>
      </c>
      <c r="S8" s="20">
        <v>0.0</v>
      </c>
      <c r="T8" s="2"/>
      <c r="U8" s="2">
        <v>865210.0</v>
      </c>
      <c r="V8" s="40">
        <f t="shared" si="3"/>
        <v>137568390</v>
      </c>
      <c r="W8" s="40">
        <f t="shared" si="4"/>
        <v>142110742.5</v>
      </c>
      <c r="X8" s="2"/>
      <c r="Y8" s="2"/>
      <c r="Z8" s="2"/>
    </row>
    <row r="9" ht="12.75" customHeight="1">
      <c r="A9" s="2"/>
      <c r="B9" s="43" t="s">
        <v>121</v>
      </c>
      <c r="C9" s="8" t="s">
        <v>27</v>
      </c>
      <c r="D9" s="8">
        <v>14.0</v>
      </c>
      <c r="E9" s="20">
        <v>113.0</v>
      </c>
      <c r="F9" s="20">
        <v>460.0</v>
      </c>
      <c r="G9" s="20">
        <v>0.0</v>
      </c>
      <c r="H9" s="21">
        <v>0.0</v>
      </c>
      <c r="I9" s="20">
        <v>437.0</v>
      </c>
      <c r="J9" s="20">
        <v>0.0</v>
      </c>
      <c r="K9" s="20">
        <f t="shared" si="1"/>
        <v>437</v>
      </c>
      <c r="L9" s="20">
        <v>136.0</v>
      </c>
      <c r="M9" s="20">
        <v>253.5</v>
      </c>
      <c r="N9" s="22">
        <v>24.0</v>
      </c>
      <c r="O9" s="20">
        <f t="shared" si="2"/>
        <v>13.9221968</v>
      </c>
      <c r="P9" s="39">
        <v>0.3112128146453089</v>
      </c>
      <c r="Q9" s="20">
        <v>0.0</v>
      </c>
      <c r="R9" s="20">
        <v>425.0</v>
      </c>
      <c r="S9" s="20">
        <v>0.0</v>
      </c>
      <c r="T9" s="2"/>
      <c r="U9" s="2">
        <v>865210.0</v>
      </c>
      <c r="V9" s="40">
        <f t="shared" si="3"/>
        <v>378096770</v>
      </c>
      <c r="W9" s="40">
        <f t="shared" si="4"/>
        <v>219330735</v>
      </c>
      <c r="X9" s="2"/>
      <c r="Y9" s="2"/>
      <c r="Z9" s="2"/>
    </row>
    <row r="10" ht="12.75" customHeight="1">
      <c r="A10" s="2"/>
      <c r="B10" s="8" t="s">
        <v>31</v>
      </c>
      <c r="C10" s="8" t="s">
        <v>27</v>
      </c>
      <c r="D10" s="8">
        <v>14.0</v>
      </c>
      <c r="E10" s="20">
        <v>216.0</v>
      </c>
      <c r="F10" s="20">
        <v>23.0</v>
      </c>
      <c r="G10" s="20">
        <v>0.0</v>
      </c>
      <c r="H10" s="21">
        <v>0.0</v>
      </c>
      <c r="I10" s="20">
        <v>54.0</v>
      </c>
      <c r="J10" s="20">
        <v>0.0</v>
      </c>
      <c r="K10" s="20">
        <f t="shared" si="1"/>
        <v>54</v>
      </c>
      <c r="L10" s="20">
        <v>185.0</v>
      </c>
      <c r="M10" s="20">
        <v>173.5</v>
      </c>
      <c r="N10" s="22">
        <v>24.0</v>
      </c>
      <c r="O10" s="20">
        <f t="shared" si="2"/>
        <v>77.11111111</v>
      </c>
      <c r="P10" s="39">
        <v>3.425925925925926</v>
      </c>
      <c r="Q10" s="20">
        <v>0.0</v>
      </c>
      <c r="R10" s="20">
        <v>100.0</v>
      </c>
      <c r="S10" s="20">
        <v>0.0</v>
      </c>
      <c r="T10" s="2"/>
      <c r="U10" s="2">
        <v>841116.0</v>
      </c>
      <c r="V10" s="40">
        <f t="shared" si="3"/>
        <v>45420264</v>
      </c>
      <c r="W10" s="40">
        <f t="shared" si="4"/>
        <v>145933626</v>
      </c>
      <c r="X10" s="2"/>
      <c r="Y10" s="2"/>
      <c r="Z10" s="2"/>
    </row>
    <row r="11" ht="12.75" customHeight="1">
      <c r="A11" s="2"/>
      <c r="B11" s="8" t="s">
        <v>32</v>
      </c>
      <c r="C11" s="8" t="s">
        <v>27</v>
      </c>
      <c r="D11" s="8">
        <v>14.0</v>
      </c>
      <c r="E11" s="20">
        <v>42.0</v>
      </c>
      <c r="F11" s="20">
        <v>0.0</v>
      </c>
      <c r="G11" s="20">
        <v>0.0</v>
      </c>
      <c r="H11" s="21">
        <v>0.0</v>
      </c>
      <c r="I11" s="20">
        <v>16.0</v>
      </c>
      <c r="J11" s="20">
        <v>0.0</v>
      </c>
      <c r="K11" s="20">
        <f t="shared" si="1"/>
        <v>16</v>
      </c>
      <c r="L11" s="20">
        <v>26.0</v>
      </c>
      <c r="M11" s="20">
        <v>26.0</v>
      </c>
      <c r="N11" s="22">
        <v>24.0</v>
      </c>
      <c r="O11" s="20">
        <f t="shared" si="2"/>
        <v>39</v>
      </c>
      <c r="P11" s="39">
        <v>1.625</v>
      </c>
      <c r="Q11" s="20">
        <v>0.0</v>
      </c>
      <c r="R11" s="20">
        <v>0.0</v>
      </c>
      <c r="S11" s="20">
        <v>0.0</v>
      </c>
      <c r="T11" s="2"/>
      <c r="U11" s="2">
        <v>928605.0</v>
      </c>
      <c r="V11" s="40">
        <f t="shared" si="3"/>
        <v>14857680</v>
      </c>
      <c r="W11" s="40">
        <f t="shared" si="4"/>
        <v>24143730</v>
      </c>
      <c r="X11" s="2"/>
      <c r="Y11" s="2"/>
      <c r="Z11" s="2"/>
    </row>
    <row r="12" ht="12.75" customHeight="1">
      <c r="A12" s="2"/>
      <c r="B12" s="43" t="s">
        <v>122</v>
      </c>
      <c r="C12" s="8" t="s">
        <v>27</v>
      </c>
      <c r="D12" s="8">
        <v>14.0</v>
      </c>
      <c r="E12" s="20">
        <v>385.0</v>
      </c>
      <c r="F12" s="20">
        <v>327.0</v>
      </c>
      <c r="G12" s="20">
        <v>0.0</v>
      </c>
      <c r="H12" s="21">
        <v>0.0</v>
      </c>
      <c r="I12" s="20">
        <v>0.0</v>
      </c>
      <c r="J12" s="20">
        <v>223.0</v>
      </c>
      <c r="K12" s="20">
        <f t="shared" si="1"/>
        <v>223</v>
      </c>
      <c r="L12" s="20">
        <v>489.0</v>
      </c>
      <c r="M12" s="20">
        <v>503.0</v>
      </c>
      <c r="N12" s="22">
        <v>24.0</v>
      </c>
      <c r="O12" s="20">
        <f t="shared" si="2"/>
        <v>54.13452915</v>
      </c>
      <c r="P12" s="39">
        <v>2.192825112107623</v>
      </c>
      <c r="Q12" s="20">
        <v>0.0</v>
      </c>
      <c r="R12" s="20">
        <v>0.0</v>
      </c>
      <c r="S12" s="20">
        <v>0.0</v>
      </c>
      <c r="T12" s="2"/>
      <c r="U12" s="2">
        <v>139965.0</v>
      </c>
      <c r="V12" s="40">
        <f t="shared" si="3"/>
        <v>31212195</v>
      </c>
      <c r="W12" s="40">
        <f t="shared" si="4"/>
        <v>70402395</v>
      </c>
      <c r="X12" s="2"/>
      <c r="Y12" s="2"/>
      <c r="Z12" s="2"/>
    </row>
    <row r="13" ht="12.75" customHeight="1">
      <c r="A13" s="2"/>
      <c r="B13" s="8" t="s">
        <v>105</v>
      </c>
      <c r="C13" s="8" t="s">
        <v>27</v>
      </c>
      <c r="D13" s="8">
        <v>14.0</v>
      </c>
      <c r="E13" s="20">
        <v>55.0</v>
      </c>
      <c r="F13" s="20">
        <v>160.0</v>
      </c>
      <c r="G13" s="20">
        <v>0.0</v>
      </c>
      <c r="H13" s="21">
        <v>0.0</v>
      </c>
      <c r="I13" s="20">
        <v>0.0</v>
      </c>
      <c r="J13" s="20">
        <v>55.0</v>
      </c>
      <c r="K13" s="20">
        <f t="shared" si="1"/>
        <v>55</v>
      </c>
      <c r="L13" s="20">
        <v>160.0</v>
      </c>
      <c r="M13" s="20">
        <v>80.0</v>
      </c>
      <c r="N13" s="22">
        <v>24.0</v>
      </c>
      <c r="O13" s="20">
        <f t="shared" si="2"/>
        <v>34.90909091</v>
      </c>
      <c r="P13" s="39">
        <v>2.909090909090909</v>
      </c>
      <c r="Q13" s="20">
        <v>0.0</v>
      </c>
      <c r="R13" s="20">
        <v>0.0</v>
      </c>
      <c r="S13" s="20">
        <v>0.0</v>
      </c>
      <c r="T13" s="2"/>
      <c r="U13" s="2">
        <v>165230.0</v>
      </c>
      <c r="V13" s="40">
        <f t="shared" si="3"/>
        <v>9087650</v>
      </c>
      <c r="W13" s="40">
        <f t="shared" si="4"/>
        <v>13218400</v>
      </c>
      <c r="X13" s="2"/>
      <c r="Y13" s="2"/>
      <c r="Z13" s="2"/>
    </row>
    <row r="14" ht="12.75" customHeight="1">
      <c r="A14" s="2"/>
      <c r="B14" s="8" t="s">
        <v>106</v>
      </c>
      <c r="C14" s="8" t="s">
        <v>27</v>
      </c>
      <c r="D14" s="8">
        <v>14.0</v>
      </c>
      <c r="E14" s="20">
        <v>4493.0</v>
      </c>
      <c r="F14" s="20">
        <v>0.0</v>
      </c>
      <c r="G14" s="20">
        <v>0.0</v>
      </c>
      <c r="H14" s="21">
        <v>0.0</v>
      </c>
      <c r="I14" s="20">
        <v>0.0</v>
      </c>
      <c r="J14" s="20">
        <v>576.0</v>
      </c>
      <c r="K14" s="20">
        <f t="shared" si="1"/>
        <v>576</v>
      </c>
      <c r="L14" s="20">
        <v>3917.0</v>
      </c>
      <c r="M14" s="20">
        <v>4109.0</v>
      </c>
      <c r="N14" s="22">
        <v>24.0</v>
      </c>
      <c r="O14" s="20">
        <f t="shared" si="2"/>
        <v>171.2083333</v>
      </c>
      <c r="P14" s="39">
        <v>6.800347222222222</v>
      </c>
      <c r="Q14" s="20">
        <v>330.0</v>
      </c>
      <c r="R14" s="20">
        <v>0.0</v>
      </c>
      <c r="S14" s="20">
        <v>0.0</v>
      </c>
      <c r="T14" s="2"/>
      <c r="U14" s="2">
        <v>139965.0</v>
      </c>
      <c r="V14" s="40">
        <f t="shared" si="3"/>
        <v>80619840</v>
      </c>
      <c r="W14" s="40">
        <f t="shared" si="4"/>
        <v>575116185</v>
      </c>
      <c r="X14" s="2"/>
      <c r="Y14" s="2"/>
      <c r="Z14" s="2"/>
    </row>
    <row r="15" ht="12.75" customHeight="1">
      <c r="A15" s="2"/>
      <c r="B15" s="8" t="s">
        <v>107</v>
      </c>
      <c r="C15" s="8" t="s">
        <v>27</v>
      </c>
      <c r="D15" s="8">
        <v>14.0</v>
      </c>
      <c r="E15" s="20">
        <v>494.25</v>
      </c>
      <c r="F15" s="20">
        <v>0.0</v>
      </c>
      <c r="G15" s="20">
        <v>0.0</v>
      </c>
      <c r="H15" s="21">
        <v>0.0</v>
      </c>
      <c r="I15" s="20">
        <v>0.0</v>
      </c>
      <c r="J15" s="20">
        <v>321.0</v>
      </c>
      <c r="K15" s="20">
        <f t="shared" si="1"/>
        <v>321</v>
      </c>
      <c r="L15" s="20">
        <v>173.25</v>
      </c>
      <c r="M15" s="20">
        <v>237.75</v>
      </c>
      <c r="N15" s="22">
        <v>24.0</v>
      </c>
      <c r="O15" s="20">
        <f t="shared" si="2"/>
        <v>17.77570093</v>
      </c>
      <c r="P15" s="39">
        <v>0.5397196261682243</v>
      </c>
      <c r="Q15" s="20">
        <v>0.0</v>
      </c>
      <c r="R15" s="20">
        <v>0.0</v>
      </c>
      <c r="S15" s="20">
        <v>0.0</v>
      </c>
      <c r="T15" s="2"/>
      <c r="U15" s="2">
        <v>139965.0</v>
      </c>
      <c r="V15" s="40">
        <f t="shared" si="3"/>
        <v>44928765</v>
      </c>
      <c r="W15" s="40">
        <f t="shared" si="4"/>
        <v>33276678.75</v>
      </c>
      <c r="X15" s="2"/>
      <c r="Y15" s="2"/>
      <c r="Z15" s="2"/>
    </row>
    <row r="16" ht="12.75" customHeight="1">
      <c r="A16" s="2"/>
      <c r="B16" s="8" t="s">
        <v>34</v>
      </c>
      <c r="C16" s="8" t="s">
        <v>27</v>
      </c>
      <c r="D16" s="8">
        <v>14.0</v>
      </c>
      <c r="E16" s="20">
        <v>8.0</v>
      </c>
      <c r="F16" s="20">
        <v>165.0</v>
      </c>
      <c r="G16" s="20">
        <v>0.0</v>
      </c>
      <c r="H16" s="21">
        <v>0.0</v>
      </c>
      <c r="I16" s="20">
        <v>0.0</v>
      </c>
      <c r="J16" s="20">
        <v>120.0</v>
      </c>
      <c r="K16" s="20">
        <f t="shared" si="1"/>
        <v>120</v>
      </c>
      <c r="L16" s="20">
        <v>53.0</v>
      </c>
      <c r="M16" s="20">
        <v>42.2</v>
      </c>
      <c r="N16" s="22">
        <v>24.0</v>
      </c>
      <c r="O16" s="20">
        <f t="shared" si="2"/>
        <v>8.44</v>
      </c>
      <c r="P16" s="39">
        <v>0.44166666666666665</v>
      </c>
      <c r="Q16" s="20">
        <v>0.0</v>
      </c>
      <c r="R16" s="20">
        <v>50.0</v>
      </c>
      <c r="S16" s="20">
        <v>0.0</v>
      </c>
      <c r="T16" s="2"/>
      <c r="U16" s="2">
        <v>3438210.0</v>
      </c>
      <c r="V16" s="40">
        <f t="shared" si="3"/>
        <v>412585200</v>
      </c>
      <c r="W16" s="40">
        <f t="shared" si="4"/>
        <v>145092462</v>
      </c>
      <c r="X16" s="2"/>
      <c r="Y16" s="2"/>
      <c r="Z16" s="2"/>
    </row>
    <row r="17" ht="12.75" customHeight="1">
      <c r="A17" s="2"/>
      <c r="B17" s="8" t="s">
        <v>35</v>
      </c>
      <c r="C17" s="8" t="s">
        <v>27</v>
      </c>
      <c r="D17" s="8">
        <v>14.0</v>
      </c>
      <c r="E17" s="20">
        <v>299.0</v>
      </c>
      <c r="F17" s="20">
        <v>1319.0</v>
      </c>
      <c r="G17" s="20">
        <v>0.0</v>
      </c>
      <c r="H17" s="21">
        <v>0.0</v>
      </c>
      <c r="I17" s="20">
        <v>0.0</v>
      </c>
      <c r="J17" s="20">
        <v>960.0</v>
      </c>
      <c r="K17" s="20">
        <f t="shared" si="1"/>
        <v>960</v>
      </c>
      <c r="L17" s="20">
        <v>658.0</v>
      </c>
      <c r="M17" s="20">
        <v>845.333333333333</v>
      </c>
      <c r="N17" s="22">
        <v>24.0</v>
      </c>
      <c r="O17" s="20">
        <f t="shared" si="2"/>
        <v>21.13333333</v>
      </c>
      <c r="P17" s="39">
        <v>0.6854166666666667</v>
      </c>
      <c r="Q17" s="20">
        <v>0.0</v>
      </c>
      <c r="R17" s="20">
        <v>431.0</v>
      </c>
      <c r="S17" s="20">
        <v>100.0</v>
      </c>
      <c r="T17" s="2"/>
      <c r="U17" s="2">
        <v>165230.0</v>
      </c>
      <c r="V17" s="40">
        <f t="shared" si="3"/>
        <v>158620800</v>
      </c>
      <c r="W17" s="40">
        <f t="shared" si="4"/>
        <v>139674426.7</v>
      </c>
      <c r="X17" s="2"/>
      <c r="Y17" s="2"/>
      <c r="Z17" s="2"/>
    </row>
    <row r="18" ht="12.75" customHeight="1">
      <c r="A18" s="2"/>
      <c r="B18" s="8" t="s">
        <v>36</v>
      </c>
      <c r="C18" s="8" t="s">
        <v>27</v>
      </c>
      <c r="D18" s="8">
        <v>14.0</v>
      </c>
      <c r="E18" s="20">
        <v>234.0</v>
      </c>
      <c r="F18" s="20">
        <v>0.0</v>
      </c>
      <c r="G18" s="20">
        <v>0.0</v>
      </c>
      <c r="H18" s="21">
        <v>0.0</v>
      </c>
      <c r="I18" s="20">
        <v>12.0</v>
      </c>
      <c r="J18" s="20">
        <v>0.0</v>
      </c>
      <c r="K18" s="20">
        <f t="shared" si="1"/>
        <v>12</v>
      </c>
      <c r="L18" s="20">
        <v>222.0</v>
      </c>
      <c r="M18" s="20">
        <v>225.0</v>
      </c>
      <c r="N18" s="22">
        <v>24.0</v>
      </c>
      <c r="O18" s="20">
        <f t="shared" si="2"/>
        <v>450</v>
      </c>
      <c r="P18" s="39">
        <v>18.5</v>
      </c>
      <c r="Q18" s="20">
        <v>0.0</v>
      </c>
      <c r="R18" s="20">
        <v>0.0</v>
      </c>
      <c r="S18" s="20">
        <v>0.0</v>
      </c>
      <c r="T18" s="2"/>
      <c r="U18" s="2">
        <v>1516675.0</v>
      </c>
      <c r="V18" s="40">
        <f t="shared" si="3"/>
        <v>18200100</v>
      </c>
      <c r="W18" s="40">
        <f t="shared" si="4"/>
        <v>341251875</v>
      </c>
      <c r="X18" s="2"/>
      <c r="Y18" s="2"/>
      <c r="Z18" s="2"/>
    </row>
    <row r="19" ht="12.75" customHeight="1">
      <c r="A19" s="2"/>
      <c r="B19" s="8" t="s">
        <v>123</v>
      </c>
      <c r="C19" s="8" t="s">
        <v>27</v>
      </c>
      <c r="D19" s="8">
        <v>14.0</v>
      </c>
      <c r="E19" s="20">
        <v>22.0</v>
      </c>
      <c r="F19" s="20">
        <v>0.0</v>
      </c>
      <c r="G19" s="20">
        <v>0.0</v>
      </c>
      <c r="H19" s="21">
        <v>0.0</v>
      </c>
      <c r="I19" s="20">
        <v>0.0</v>
      </c>
      <c r="J19" s="20">
        <v>0.0</v>
      </c>
      <c r="K19" s="20">
        <f t="shared" si="1"/>
        <v>0</v>
      </c>
      <c r="L19" s="20">
        <v>22.0</v>
      </c>
      <c r="M19" s="20">
        <v>0.0</v>
      </c>
      <c r="N19" s="22">
        <v>24.0</v>
      </c>
      <c r="O19" s="20">
        <v>0.0</v>
      </c>
      <c r="P19" s="39">
        <v>0.0</v>
      </c>
      <c r="Q19" s="20">
        <v>0.0</v>
      </c>
      <c r="R19" s="20">
        <v>0.0</v>
      </c>
      <c r="S19" s="20">
        <v>0.0</v>
      </c>
      <c r="T19" s="2"/>
      <c r="U19" s="2">
        <v>1516675.0</v>
      </c>
      <c r="V19" s="40">
        <f t="shared" si="3"/>
        <v>0</v>
      </c>
      <c r="W19" s="40">
        <f t="shared" si="4"/>
        <v>0</v>
      </c>
      <c r="X19" s="2"/>
      <c r="Y19" s="2"/>
      <c r="Z19" s="2"/>
    </row>
    <row r="20" ht="12.75" customHeight="1">
      <c r="A20" s="2"/>
      <c r="B20" s="8" t="s">
        <v>37</v>
      </c>
      <c r="C20" s="8" t="s">
        <v>27</v>
      </c>
      <c r="D20" s="8">
        <v>14.0</v>
      </c>
      <c r="E20" s="20">
        <v>57.0</v>
      </c>
      <c r="F20" s="20">
        <v>0.0</v>
      </c>
      <c r="G20" s="20">
        <v>0.0</v>
      </c>
      <c r="H20" s="21">
        <v>0.0</v>
      </c>
      <c r="I20" s="20">
        <v>0.0</v>
      </c>
      <c r="J20" s="20">
        <v>0.0</v>
      </c>
      <c r="K20" s="20">
        <f t="shared" si="1"/>
        <v>0</v>
      </c>
      <c r="L20" s="20">
        <v>57.0</v>
      </c>
      <c r="M20" s="20">
        <v>0.0</v>
      </c>
      <c r="N20" s="22">
        <v>24.0</v>
      </c>
      <c r="O20" s="20">
        <v>0.0</v>
      </c>
      <c r="P20" s="39">
        <v>0.0</v>
      </c>
      <c r="Q20" s="20">
        <v>0.0</v>
      </c>
      <c r="R20" s="20">
        <v>0.0</v>
      </c>
      <c r="S20" s="20">
        <v>0.0</v>
      </c>
      <c r="T20" s="2"/>
      <c r="U20" s="2">
        <v>1516675.0</v>
      </c>
      <c r="V20" s="40">
        <f t="shared" si="3"/>
        <v>0</v>
      </c>
      <c r="W20" s="40">
        <f t="shared" si="4"/>
        <v>0</v>
      </c>
      <c r="X20" s="2"/>
      <c r="Y20" s="2"/>
      <c r="Z20" s="2"/>
    </row>
    <row r="21" ht="12.75" customHeight="1">
      <c r="A21" s="2"/>
      <c r="B21" s="8" t="s">
        <v>154</v>
      </c>
      <c r="C21" s="8" t="s">
        <v>27</v>
      </c>
      <c r="D21" s="8">
        <v>14.0</v>
      </c>
      <c r="E21" s="20">
        <v>0.0</v>
      </c>
      <c r="F21" s="20">
        <v>55.0</v>
      </c>
      <c r="G21" s="20">
        <v>0.0</v>
      </c>
      <c r="H21" s="21">
        <v>0.0</v>
      </c>
      <c r="I21" s="20">
        <v>0.0</v>
      </c>
      <c r="J21" s="20">
        <v>0.0</v>
      </c>
      <c r="K21" s="20">
        <f t="shared" si="1"/>
        <v>0</v>
      </c>
      <c r="L21" s="20">
        <v>55.0</v>
      </c>
      <c r="M21" s="20">
        <v>55.0</v>
      </c>
      <c r="N21" s="22">
        <v>24.0</v>
      </c>
      <c r="O21" s="20">
        <v>0.0</v>
      </c>
      <c r="P21" s="39">
        <v>0.0</v>
      </c>
      <c r="Q21" s="20">
        <v>0.0</v>
      </c>
      <c r="R21" s="20">
        <v>0.0</v>
      </c>
      <c r="S21" s="20">
        <v>0.0</v>
      </c>
      <c r="T21" s="2"/>
      <c r="U21" s="2">
        <v>1516675.0</v>
      </c>
      <c r="V21" s="40">
        <f t="shared" si="3"/>
        <v>0</v>
      </c>
      <c r="W21" s="40">
        <f t="shared" si="4"/>
        <v>83417125</v>
      </c>
      <c r="X21" s="2"/>
      <c r="Y21" s="2"/>
      <c r="Z21" s="2"/>
    </row>
    <row r="22" ht="12.75" customHeight="1">
      <c r="A22" s="2"/>
      <c r="B22" s="8" t="s">
        <v>38</v>
      </c>
      <c r="C22" s="8" t="s">
        <v>27</v>
      </c>
      <c r="D22" s="8">
        <v>14.0</v>
      </c>
      <c r="E22" s="20">
        <v>3.0</v>
      </c>
      <c r="F22" s="20">
        <v>37.0</v>
      </c>
      <c r="G22" s="20">
        <v>0.0</v>
      </c>
      <c r="H22" s="21">
        <v>0.0</v>
      </c>
      <c r="I22" s="20">
        <v>11.0</v>
      </c>
      <c r="J22" s="20">
        <v>0.0</v>
      </c>
      <c r="K22" s="20">
        <f t="shared" si="1"/>
        <v>11</v>
      </c>
      <c r="L22" s="20">
        <v>29.0</v>
      </c>
      <c r="M22" s="20">
        <v>26.400000000000002</v>
      </c>
      <c r="N22" s="22">
        <v>24.0</v>
      </c>
      <c r="O22" s="20">
        <f t="shared" ref="O22:O32" si="5">(M22/(I22+J22))*N22</f>
        <v>57.6</v>
      </c>
      <c r="P22" s="39">
        <v>2.6363636363636362</v>
      </c>
      <c r="Q22" s="20">
        <v>0.0</v>
      </c>
      <c r="R22" s="20">
        <v>0.0</v>
      </c>
      <c r="S22" s="20">
        <v>0.0</v>
      </c>
      <c r="T22" s="2"/>
      <c r="U22" s="2">
        <v>1516675.0</v>
      </c>
      <c r="V22" s="40">
        <f t="shared" si="3"/>
        <v>16683425</v>
      </c>
      <c r="W22" s="40">
        <f t="shared" si="4"/>
        <v>40040220</v>
      </c>
      <c r="X22" s="2"/>
      <c r="Y22" s="2"/>
      <c r="Z22" s="2"/>
    </row>
    <row r="23" ht="12.75" customHeight="1">
      <c r="A23" s="2"/>
      <c r="B23" s="8" t="s">
        <v>39</v>
      </c>
      <c r="C23" s="8" t="s">
        <v>27</v>
      </c>
      <c r="D23" s="8">
        <v>14.0</v>
      </c>
      <c r="E23" s="20">
        <v>41.0</v>
      </c>
      <c r="F23" s="20">
        <v>0.0</v>
      </c>
      <c r="G23" s="20">
        <v>0.0</v>
      </c>
      <c r="H23" s="21">
        <v>0.0</v>
      </c>
      <c r="I23" s="20">
        <v>12.0</v>
      </c>
      <c r="J23" s="20">
        <v>0.0</v>
      </c>
      <c r="K23" s="20">
        <f t="shared" si="1"/>
        <v>12</v>
      </c>
      <c r="L23" s="20">
        <v>29.0</v>
      </c>
      <c r="M23" s="20">
        <v>34.5</v>
      </c>
      <c r="N23" s="22">
        <v>24.0</v>
      </c>
      <c r="O23" s="20">
        <f t="shared" si="5"/>
        <v>69</v>
      </c>
      <c r="P23" s="39">
        <v>2.4166666666666665</v>
      </c>
      <c r="Q23" s="20">
        <v>0.0</v>
      </c>
      <c r="R23" s="20">
        <v>0.0</v>
      </c>
      <c r="S23" s="20">
        <v>0.0</v>
      </c>
      <c r="T23" s="2"/>
      <c r="U23" s="2">
        <v>1516675.0</v>
      </c>
      <c r="V23" s="40">
        <f t="shared" si="3"/>
        <v>18200100</v>
      </c>
      <c r="W23" s="40">
        <f t="shared" si="4"/>
        <v>52325287.5</v>
      </c>
      <c r="X23" s="2"/>
      <c r="Y23" s="2"/>
      <c r="Z23" s="2"/>
    </row>
    <row r="24" ht="12.75" customHeight="1">
      <c r="A24" s="2"/>
      <c r="B24" s="8" t="s">
        <v>145</v>
      </c>
      <c r="C24" s="8" t="s">
        <v>27</v>
      </c>
      <c r="D24" s="8">
        <v>14.0</v>
      </c>
      <c r="E24" s="20">
        <v>111.0</v>
      </c>
      <c r="F24" s="20">
        <v>0.0</v>
      </c>
      <c r="G24" s="20">
        <v>0.0</v>
      </c>
      <c r="H24" s="21">
        <v>0.0</v>
      </c>
      <c r="I24" s="20">
        <v>36.0</v>
      </c>
      <c r="J24" s="20">
        <v>0.0</v>
      </c>
      <c r="K24" s="20">
        <f t="shared" si="1"/>
        <v>36</v>
      </c>
      <c r="L24" s="20">
        <v>75.0</v>
      </c>
      <c r="M24" s="20">
        <v>89.28571428571429</v>
      </c>
      <c r="N24" s="22">
        <v>24.0</v>
      </c>
      <c r="O24" s="20">
        <f t="shared" si="5"/>
        <v>59.52380952</v>
      </c>
      <c r="P24" s="39">
        <v>2.0833333333333335</v>
      </c>
      <c r="Q24" s="20">
        <v>0.0</v>
      </c>
      <c r="R24" s="20">
        <v>0.0</v>
      </c>
      <c r="S24" s="20">
        <v>0.0</v>
      </c>
      <c r="T24" s="2"/>
      <c r="U24" s="2">
        <v>1516675.0</v>
      </c>
      <c r="V24" s="40">
        <f t="shared" si="3"/>
        <v>54600300</v>
      </c>
      <c r="W24" s="40">
        <f t="shared" si="4"/>
        <v>135417410.7</v>
      </c>
      <c r="X24" s="2"/>
      <c r="Y24" s="2"/>
      <c r="Z24" s="2"/>
    </row>
    <row r="25" ht="12.75" customHeight="1">
      <c r="A25" s="2"/>
      <c r="B25" s="8" t="s">
        <v>41</v>
      </c>
      <c r="C25" s="8" t="s">
        <v>27</v>
      </c>
      <c r="D25" s="8">
        <v>14.0</v>
      </c>
      <c r="E25" s="20">
        <v>53.0</v>
      </c>
      <c r="F25" s="20">
        <v>0.0</v>
      </c>
      <c r="G25" s="20">
        <v>0.0</v>
      </c>
      <c r="H25" s="21">
        <v>0.0</v>
      </c>
      <c r="I25" s="20">
        <v>12.0</v>
      </c>
      <c r="J25" s="20">
        <v>0.0</v>
      </c>
      <c r="K25" s="20">
        <f t="shared" si="1"/>
        <v>12</v>
      </c>
      <c r="L25" s="20">
        <v>41.0</v>
      </c>
      <c r="M25" s="20">
        <v>46.5</v>
      </c>
      <c r="N25" s="22">
        <v>24.0</v>
      </c>
      <c r="O25" s="20">
        <f t="shared" si="5"/>
        <v>93</v>
      </c>
      <c r="P25" s="39">
        <v>3.4166666666666665</v>
      </c>
      <c r="Q25" s="20">
        <v>0.0</v>
      </c>
      <c r="R25" s="20">
        <v>36.0</v>
      </c>
      <c r="S25" s="20">
        <v>0.0</v>
      </c>
      <c r="T25" s="2"/>
      <c r="U25" s="2">
        <v>1516675.0</v>
      </c>
      <c r="V25" s="40">
        <f t="shared" si="3"/>
        <v>18200100</v>
      </c>
      <c r="W25" s="40">
        <f t="shared" si="4"/>
        <v>70525387.5</v>
      </c>
      <c r="X25" s="2"/>
      <c r="Y25" s="2"/>
      <c r="Z25" s="2"/>
    </row>
    <row r="26" ht="12.75" customHeight="1">
      <c r="A26" s="2"/>
      <c r="B26" s="8" t="s">
        <v>42</v>
      </c>
      <c r="C26" s="8" t="s">
        <v>27</v>
      </c>
      <c r="D26" s="8">
        <v>14.0</v>
      </c>
      <c r="E26" s="20">
        <v>72.0</v>
      </c>
      <c r="F26" s="20">
        <v>138.0</v>
      </c>
      <c r="G26" s="20">
        <v>0.0</v>
      </c>
      <c r="H26" s="21">
        <v>0.0</v>
      </c>
      <c r="I26" s="20">
        <v>172.0</v>
      </c>
      <c r="J26" s="20">
        <v>0.0</v>
      </c>
      <c r="K26" s="20">
        <f t="shared" si="1"/>
        <v>172</v>
      </c>
      <c r="L26" s="20">
        <v>38.0</v>
      </c>
      <c r="M26" s="20">
        <v>83.75</v>
      </c>
      <c r="N26" s="22">
        <v>24.0</v>
      </c>
      <c r="O26" s="20">
        <f t="shared" si="5"/>
        <v>11.68604651</v>
      </c>
      <c r="P26" s="39">
        <v>0.22093023255813954</v>
      </c>
      <c r="Q26" s="20">
        <v>3.0</v>
      </c>
      <c r="R26" s="20">
        <v>0.0</v>
      </c>
      <c r="S26" s="20">
        <v>0.0</v>
      </c>
      <c r="T26" s="2"/>
      <c r="U26" s="2">
        <v>1345865.0</v>
      </c>
      <c r="V26" s="40">
        <f t="shared" si="3"/>
        <v>231488780</v>
      </c>
      <c r="W26" s="40">
        <f t="shared" si="4"/>
        <v>112716193.8</v>
      </c>
      <c r="X26" s="2"/>
      <c r="Y26" s="2"/>
      <c r="Z26" s="2"/>
    </row>
    <row r="27" ht="12.75" customHeight="1">
      <c r="A27" s="2"/>
      <c r="B27" s="8" t="s">
        <v>124</v>
      </c>
      <c r="C27" s="8" t="s">
        <v>27</v>
      </c>
      <c r="D27" s="8">
        <v>14.0</v>
      </c>
      <c r="E27" s="20">
        <v>84.0</v>
      </c>
      <c r="F27" s="20">
        <v>0.0</v>
      </c>
      <c r="G27" s="20">
        <v>0.0</v>
      </c>
      <c r="H27" s="21">
        <v>0.0</v>
      </c>
      <c r="I27" s="20">
        <v>6.0</v>
      </c>
      <c r="J27" s="20">
        <v>0.0</v>
      </c>
      <c r="K27" s="20">
        <f t="shared" si="1"/>
        <v>6</v>
      </c>
      <c r="L27" s="20">
        <v>78.0</v>
      </c>
      <c r="M27" s="20">
        <v>80.0</v>
      </c>
      <c r="N27" s="22">
        <v>24.0</v>
      </c>
      <c r="O27" s="20">
        <f t="shared" si="5"/>
        <v>320</v>
      </c>
      <c r="P27" s="39">
        <v>13.0</v>
      </c>
      <c r="Q27" s="20">
        <v>0.0</v>
      </c>
      <c r="R27" s="20">
        <v>0.0</v>
      </c>
      <c r="S27" s="20">
        <v>0.0</v>
      </c>
      <c r="T27" s="2"/>
      <c r="U27" s="2">
        <v>1326180.0</v>
      </c>
      <c r="V27" s="40">
        <f t="shared" si="3"/>
        <v>7957080</v>
      </c>
      <c r="W27" s="40">
        <f t="shared" si="4"/>
        <v>106094400</v>
      </c>
      <c r="X27" s="2"/>
      <c r="Y27" s="2"/>
      <c r="Z27" s="2"/>
    </row>
    <row r="28" ht="12.75" customHeight="1">
      <c r="A28" s="2"/>
      <c r="B28" s="8" t="s">
        <v>44</v>
      </c>
      <c r="C28" s="8" t="s">
        <v>27</v>
      </c>
      <c r="D28" s="8">
        <v>14.0</v>
      </c>
      <c r="E28" s="20">
        <v>31.0</v>
      </c>
      <c r="F28" s="20">
        <v>76.0</v>
      </c>
      <c r="G28" s="20">
        <v>0.0</v>
      </c>
      <c r="H28" s="21">
        <v>0.0</v>
      </c>
      <c r="I28" s="20">
        <v>31.0</v>
      </c>
      <c r="J28" s="20">
        <v>0.0</v>
      </c>
      <c r="K28" s="20">
        <f t="shared" si="1"/>
        <v>31</v>
      </c>
      <c r="L28" s="20">
        <v>76.0</v>
      </c>
      <c r="M28" s="20">
        <v>46.0</v>
      </c>
      <c r="N28" s="22">
        <v>24.0</v>
      </c>
      <c r="O28" s="20">
        <f t="shared" si="5"/>
        <v>35.61290323</v>
      </c>
      <c r="P28" s="39">
        <v>2.4516129032258065</v>
      </c>
      <c r="Q28" s="20">
        <v>0.0</v>
      </c>
      <c r="R28" s="20">
        <v>0.0</v>
      </c>
      <c r="S28" s="20">
        <v>0.0</v>
      </c>
      <c r="T28" s="2"/>
      <c r="U28" s="2">
        <v>542345.0</v>
      </c>
      <c r="V28" s="40">
        <f t="shared" si="3"/>
        <v>16812695</v>
      </c>
      <c r="W28" s="40">
        <f t="shared" si="4"/>
        <v>24947870</v>
      </c>
      <c r="X28" s="2"/>
      <c r="Y28" s="2"/>
      <c r="Z28" s="2"/>
    </row>
    <row r="29" ht="12.75" customHeight="1">
      <c r="A29" s="2"/>
      <c r="B29" s="8" t="s">
        <v>155</v>
      </c>
      <c r="C29" s="8" t="s">
        <v>27</v>
      </c>
      <c r="D29" s="8">
        <v>14.0</v>
      </c>
      <c r="E29" s="20">
        <v>0.0</v>
      </c>
      <c r="F29" s="20">
        <v>266.0</v>
      </c>
      <c r="G29" s="20">
        <v>0.0</v>
      </c>
      <c r="H29" s="21">
        <v>0.0</v>
      </c>
      <c r="I29" s="20">
        <v>266.0</v>
      </c>
      <c r="J29" s="20">
        <v>0.0</v>
      </c>
      <c r="K29" s="20">
        <f t="shared" si="1"/>
        <v>266</v>
      </c>
      <c r="L29" s="20">
        <v>0.0</v>
      </c>
      <c r="M29" s="20">
        <v>146.625</v>
      </c>
      <c r="N29" s="22">
        <v>24.0</v>
      </c>
      <c r="O29" s="20">
        <f t="shared" si="5"/>
        <v>13.22932331</v>
      </c>
      <c r="P29" s="39">
        <v>0.0</v>
      </c>
      <c r="Q29" s="20">
        <v>0.0</v>
      </c>
      <c r="R29" s="20">
        <v>300.0</v>
      </c>
      <c r="S29" s="20">
        <v>0.0</v>
      </c>
      <c r="T29" s="2"/>
      <c r="U29" s="2">
        <v>848935.0</v>
      </c>
      <c r="V29" s="40">
        <f t="shared" si="3"/>
        <v>225816710</v>
      </c>
      <c r="W29" s="40">
        <f t="shared" si="4"/>
        <v>124475094.4</v>
      </c>
      <c r="X29" s="2"/>
      <c r="Y29" s="2"/>
      <c r="Z29" s="2"/>
    </row>
    <row r="30" ht="12.75" customHeight="1">
      <c r="A30" s="2"/>
      <c r="B30" s="43" t="s">
        <v>125</v>
      </c>
      <c r="C30" s="8" t="s">
        <v>27</v>
      </c>
      <c r="D30" s="8">
        <v>14.0</v>
      </c>
      <c r="E30" s="20">
        <v>270.0</v>
      </c>
      <c r="F30" s="20">
        <v>23.0</v>
      </c>
      <c r="G30" s="20">
        <v>0.0</v>
      </c>
      <c r="H30" s="21">
        <v>0.0</v>
      </c>
      <c r="I30" s="20">
        <v>293.0</v>
      </c>
      <c r="J30" s="20">
        <v>0.0</v>
      </c>
      <c r="K30" s="20">
        <f t="shared" si="1"/>
        <v>293</v>
      </c>
      <c r="L30" s="20">
        <v>0.0</v>
      </c>
      <c r="M30" s="20">
        <v>101.5</v>
      </c>
      <c r="N30" s="22">
        <v>24.0</v>
      </c>
      <c r="O30" s="20">
        <f t="shared" si="5"/>
        <v>8.313993174</v>
      </c>
      <c r="P30" s="39">
        <v>0.0</v>
      </c>
      <c r="Q30" s="20">
        <v>10.0</v>
      </c>
      <c r="R30" s="20">
        <v>0.0</v>
      </c>
      <c r="S30" s="20">
        <v>0.0</v>
      </c>
      <c r="T30" s="2"/>
      <c r="U30" s="2">
        <v>848935.0</v>
      </c>
      <c r="V30" s="40">
        <f t="shared" si="3"/>
        <v>248737955</v>
      </c>
      <c r="W30" s="40">
        <f t="shared" si="4"/>
        <v>86166902.5</v>
      </c>
      <c r="X30" s="2"/>
      <c r="Y30" s="2"/>
      <c r="Z30" s="2"/>
    </row>
    <row r="31" ht="12.75" customHeight="1">
      <c r="A31" s="2"/>
      <c r="B31" s="43" t="s">
        <v>126</v>
      </c>
      <c r="C31" s="8" t="s">
        <v>27</v>
      </c>
      <c r="D31" s="8">
        <v>14.0</v>
      </c>
      <c r="E31" s="20">
        <v>270.0</v>
      </c>
      <c r="F31" s="20">
        <v>29.0</v>
      </c>
      <c r="G31" s="20">
        <v>0.0</v>
      </c>
      <c r="H31" s="21">
        <v>0.0</v>
      </c>
      <c r="I31" s="20">
        <v>299.0</v>
      </c>
      <c r="J31" s="20">
        <v>0.0</v>
      </c>
      <c r="K31" s="20">
        <f t="shared" si="1"/>
        <v>299</v>
      </c>
      <c r="L31" s="20">
        <v>0.0</v>
      </c>
      <c r="M31" s="20">
        <v>125.4</v>
      </c>
      <c r="N31" s="22">
        <v>24.0</v>
      </c>
      <c r="O31" s="20">
        <f t="shared" si="5"/>
        <v>10.06555184</v>
      </c>
      <c r="P31" s="39">
        <v>0.0</v>
      </c>
      <c r="Q31" s="20">
        <v>7.0</v>
      </c>
      <c r="R31" s="20">
        <v>0.0</v>
      </c>
      <c r="S31" s="20">
        <v>0.0</v>
      </c>
      <c r="T31" s="2"/>
      <c r="U31" s="2">
        <v>848935.0</v>
      </c>
      <c r="V31" s="40">
        <f t="shared" si="3"/>
        <v>253831565</v>
      </c>
      <c r="W31" s="40">
        <f t="shared" si="4"/>
        <v>106456449</v>
      </c>
      <c r="X31" s="2"/>
      <c r="Y31" s="2"/>
      <c r="Z31" s="2"/>
    </row>
    <row r="32" ht="12.75" customHeight="1">
      <c r="A32" s="2"/>
      <c r="B32" s="8" t="s">
        <v>156</v>
      </c>
      <c r="C32" s="8" t="s">
        <v>27</v>
      </c>
      <c r="D32" s="8">
        <v>14.0</v>
      </c>
      <c r="E32" s="20">
        <v>600.0</v>
      </c>
      <c r="F32" s="20">
        <v>1052.0</v>
      </c>
      <c r="G32" s="20">
        <v>0.0</v>
      </c>
      <c r="H32" s="21">
        <v>0.0</v>
      </c>
      <c r="I32" s="20">
        <v>0.0</v>
      </c>
      <c r="J32" s="20">
        <v>1112.0</v>
      </c>
      <c r="K32" s="20">
        <f t="shared" si="1"/>
        <v>1112</v>
      </c>
      <c r="L32" s="20">
        <v>540.0</v>
      </c>
      <c r="M32" s="20">
        <v>394.42857142857105</v>
      </c>
      <c r="N32" s="22">
        <v>24.0</v>
      </c>
      <c r="O32" s="20">
        <f t="shared" si="5"/>
        <v>8.512846865</v>
      </c>
      <c r="P32" s="39">
        <v>0.4856115107913669</v>
      </c>
      <c r="Q32" s="20">
        <v>58.31</v>
      </c>
      <c r="R32" s="20">
        <v>638.0</v>
      </c>
      <c r="S32" s="20">
        <v>0.0</v>
      </c>
      <c r="T32" s="2"/>
      <c r="U32" s="2">
        <v>1040049.9999999999</v>
      </c>
      <c r="V32" s="40">
        <f t="shared" si="3"/>
        <v>1156535600</v>
      </c>
      <c r="W32" s="40">
        <f t="shared" si="4"/>
        <v>410225435.7</v>
      </c>
      <c r="X32" s="2"/>
      <c r="Y32" s="2"/>
      <c r="Z32" s="2"/>
    </row>
    <row r="33" ht="12.75" customHeight="1">
      <c r="A33" s="2"/>
      <c r="B33" s="43" t="s">
        <v>127</v>
      </c>
      <c r="C33" s="8" t="s">
        <v>27</v>
      </c>
      <c r="D33" s="8">
        <v>14.0</v>
      </c>
      <c r="E33" s="20">
        <v>47.0</v>
      </c>
      <c r="F33" s="20">
        <v>0.0</v>
      </c>
      <c r="G33" s="20">
        <v>0.0</v>
      </c>
      <c r="H33" s="21">
        <v>0.0</v>
      </c>
      <c r="I33" s="20">
        <v>0.0</v>
      </c>
      <c r="J33" s="20">
        <v>0.0</v>
      </c>
      <c r="K33" s="20">
        <f t="shared" si="1"/>
        <v>0</v>
      </c>
      <c r="L33" s="20">
        <v>47.0</v>
      </c>
      <c r="M33" s="20">
        <v>0.0</v>
      </c>
      <c r="N33" s="22">
        <v>24.0</v>
      </c>
      <c r="O33" s="20">
        <v>0.0</v>
      </c>
      <c r="P33" s="39">
        <v>0.0</v>
      </c>
      <c r="Q33" s="20">
        <v>0.0</v>
      </c>
      <c r="R33" s="20">
        <v>100.0</v>
      </c>
      <c r="S33" s="20">
        <v>0.0</v>
      </c>
      <c r="T33" s="2"/>
      <c r="U33" s="2">
        <v>819485.0</v>
      </c>
      <c r="V33" s="40">
        <f t="shared" si="3"/>
        <v>0</v>
      </c>
      <c r="W33" s="40">
        <f t="shared" si="4"/>
        <v>0</v>
      </c>
      <c r="X33" s="2"/>
      <c r="Y33" s="2"/>
      <c r="Z33" s="2"/>
    </row>
    <row r="34" ht="12.75" customHeight="1">
      <c r="A34" s="2"/>
      <c r="B34" s="8" t="s">
        <v>48</v>
      </c>
      <c r="C34" s="8" t="s">
        <v>27</v>
      </c>
      <c r="D34" s="8">
        <v>14.0</v>
      </c>
      <c r="E34" s="20">
        <v>408.0</v>
      </c>
      <c r="F34" s="20">
        <v>1332.0</v>
      </c>
      <c r="G34" s="20">
        <v>0.0</v>
      </c>
      <c r="H34" s="21">
        <v>0.0</v>
      </c>
      <c r="I34" s="20">
        <v>0.0</v>
      </c>
      <c r="J34" s="20">
        <v>1110.0</v>
      </c>
      <c r="K34" s="20">
        <f t="shared" si="1"/>
        <v>1110</v>
      </c>
      <c r="L34" s="20">
        <v>630.0</v>
      </c>
      <c r="M34" s="20">
        <v>735.428571428571</v>
      </c>
      <c r="N34" s="22">
        <v>24.0</v>
      </c>
      <c r="O34" s="20">
        <f t="shared" ref="O34:O44" si="6">(M34/(I34+J34))*N34</f>
        <v>15.9011583</v>
      </c>
      <c r="P34" s="39">
        <v>0.5675675675675675</v>
      </c>
      <c r="Q34" s="20">
        <v>0.0</v>
      </c>
      <c r="R34" s="20">
        <v>468.0</v>
      </c>
      <c r="S34" s="20">
        <v>100.0</v>
      </c>
      <c r="T34" s="2"/>
      <c r="U34" s="2">
        <v>819485.0</v>
      </c>
      <c r="V34" s="40">
        <f t="shared" si="3"/>
        <v>909628350</v>
      </c>
      <c r="W34" s="40">
        <f t="shared" si="4"/>
        <v>602672682.9</v>
      </c>
      <c r="X34" s="2"/>
      <c r="Y34" s="2"/>
      <c r="Z34" s="2"/>
    </row>
    <row r="35" ht="12.75" customHeight="1">
      <c r="A35" s="2"/>
      <c r="B35" s="8" t="s">
        <v>49</v>
      </c>
      <c r="C35" s="8" t="s">
        <v>27</v>
      </c>
      <c r="D35" s="8">
        <v>14.0</v>
      </c>
      <c r="E35" s="20">
        <v>106.0</v>
      </c>
      <c r="F35" s="20">
        <v>90.0</v>
      </c>
      <c r="G35" s="20">
        <v>0.0</v>
      </c>
      <c r="H35" s="21">
        <v>0.0</v>
      </c>
      <c r="I35" s="20">
        <v>0.0</v>
      </c>
      <c r="J35" s="20">
        <v>90.0</v>
      </c>
      <c r="K35" s="20">
        <f t="shared" si="1"/>
        <v>90</v>
      </c>
      <c r="L35" s="20">
        <v>106.0</v>
      </c>
      <c r="M35" s="20">
        <v>149.333333333333</v>
      </c>
      <c r="N35" s="22">
        <v>24.0</v>
      </c>
      <c r="O35" s="20">
        <f t="shared" si="6"/>
        <v>39.82222222</v>
      </c>
      <c r="P35" s="39">
        <v>1.1777777777777778</v>
      </c>
      <c r="Q35" s="20">
        <v>10.0</v>
      </c>
      <c r="R35" s="20">
        <v>100.0</v>
      </c>
      <c r="S35" s="20">
        <v>0.0</v>
      </c>
      <c r="T35" s="2"/>
      <c r="U35" s="2">
        <v>1272550.0</v>
      </c>
      <c r="V35" s="40">
        <f t="shared" si="3"/>
        <v>114529500</v>
      </c>
      <c r="W35" s="40">
        <f t="shared" si="4"/>
        <v>190034133.3</v>
      </c>
      <c r="X35" s="2"/>
      <c r="Y35" s="2"/>
      <c r="Z35" s="2"/>
    </row>
    <row r="36" ht="12.75" customHeight="1">
      <c r="A36" s="2"/>
      <c r="B36" s="8" t="s">
        <v>50</v>
      </c>
      <c r="C36" s="8" t="s">
        <v>27</v>
      </c>
      <c r="D36" s="8">
        <v>14.0</v>
      </c>
      <c r="E36" s="20">
        <v>74.0</v>
      </c>
      <c r="F36" s="20">
        <v>259.0</v>
      </c>
      <c r="G36" s="20">
        <v>0.0</v>
      </c>
      <c r="H36" s="21">
        <v>0.0</v>
      </c>
      <c r="I36" s="20">
        <v>0.0</v>
      </c>
      <c r="J36" s="20">
        <v>108.0</v>
      </c>
      <c r="K36" s="20">
        <f t="shared" si="1"/>
        <v>108</v>
      </c>
      <c r="L36" s="20">
        <v>225.0</v>
      </c>
      <c r="M36" s="20">
        <v>148.857142857143</v>
      </c>
      <c r="N36" s="22">
        <v>24.0</v>
      </c>
      <c r="O36" s="20">
        <f t="shared" si="6"/>
        <v>33.07936508</v>
      </c>
      <c r="P36" s="39">
        <v>2.0833333333333335</v>
      </c>
      <c r="Q36" s="20">
        <v>4.0</v>
      </c>
      <c r="R36" s="20">
        <v>100.0</v>
      </c>
      <c r="S36" s="20">
        <v>0.0</v>
      </c>
      <c r="T36" s="2"/>
      <c r="U36" s="2">
        <v>1272550.0</v>
      </c>
      <c r="V36" s="40">
        <f t="shared" si="3"/>
        <v>137435400</v>
      </c>
      <c r="W36" s="40">
        <f t="shared" si="4"/>
        <v>189428157.1</v>
      </c>
      <c r="X36" s="2"/>
      <c r="Y36" s="2"/>
      <c r="Z36" s="2"/>
    </row>
    <row r="37" ht="12.75" customHeight="1">
      <c r="A37" s="2"/>
      <c r="B37" s="8" t="s">
        <v>51</v>
      </c>
      <c r="C37" s="8" t="s">
        <v>27</v>
      </c>
      <c r="D37" s="8">
        <v>14.0</v>
      </c>
      <c r="E37" s="20">
        <v>161.0</v>
      </c>
      <c r="F37" s="20">
        <v>251.0</v>
      </c>
      <c r="G37" s="20">
        <v>0.0</v>
      </c>
      <c r="H37" s="21">
        <v>0.0</v>
      </c>
      <c r="I37" s="20">
        <v>0.0</v>
      </c>
      <c r="J37" s="20">
        <v>223.0</v>
      </c>
      <c r="K37" s="20">
        <f t="shared" si="1"/>
        <v>223</v>
      </c>
      <c r="L37" s="20">
        <v>189.0</v>
      </c>
      <c r="M37" s="20">
        <v>106.57142857142901</v>
      </c>
      <c r="N37" s="22">
        <v>24.0</v>
      </c>
      <c r="O37" s="20">
        <f t="shared" si="6"/>
        <v>11.46957079</v>
      </c>
      <c r="P37" s="39">
        <v>0.8475336322869955</v>
      </c>
      <c r="Q37" s="20">
        <v>0.0</v>
      </c>
      <c r="R37" s="20">
        <v>300.0</v>
      </c>
      <c r="S37" s="20">
        <v>0.0</v>
      </c>
      <c r="T37" s="2"/>
      <c r="U37" s="2">
        <v>819485.0</v>
      </c>
      <c r="V37" s="40">
        <f t="shared" si="3"/>
        <v>182745155</v>
      </c>
      <c r="W37" s="40">
        <f t="shared" si="4"/>
        <v>87333687.14</v>
      </c>
      <c r="X37" s="2"/>
      <c r="Y37" s="2"/>
      <c r="Z37" s="2"/>
    </row>
    <row r="38" ht="12.75" customHeight="1">
      <c r="A38" s="2"/>
      <c r="B38" s="8" t="s">
        <v>147</v>
      </c>
      <c r="C38" s="8" t="s">
        <v>27</v>
      </c>
      <c r="D38" s="8">
        <v>14.0</v>
      </c>
      <c r="E38" s="20">
        <v>486.0</v>
      </c>
      <c r="F38" s="20">
        <v>711.0</v>
      </c>
      <c r="G38" s="20">
        <v>0.0</v>
      </c>
      <c r="H38" s="21">
        <v>0.0</v>
      </c>
      <c r="I38" s="20">
        <v>0.0</v>
      </c>
      <c r="J38" s="20">
        <v>765.0</v>
      </c>
      <c r="K38" s="20">
        <f t="shared" si="1"/>
        <v>765</v>
      </c>
      <c r="L38" s="20">
        <v>432.0</v>
      </c>
      <c r="M38" s="20">
        <v>493.4375</v>
      </c>
      <c r="N38" s="22">
        <v>24.0</v>
      </c>
      <c r="O38" s="20">
        <f t="shared" si="6"/>
        <v>15.48039216</v>
      </c>
      <c r="P38" s="39">
        <v>0.5647058823529412</v>
      </c>
      <c r="Q38" s="20">
        <v>0.0</v>
      </c>
      <c r="R38" s="20">
        <v>300.0</v>
      </c>
      <c r="S38" s="20">
        <v>0.0</v>
      </c>
      <c r="T38" s="2"/>
      <c r="U38" s="2">
        <v>819485.0</v>
      </c>
      <c r="V38" s="40">
        <f t="shared" si="3"/>
        <v>626906025</v>
      </c>
      <c r="W38" s="40">
        <f t="shared" si="4"/>
        <v>404364629.7</v>
      </c>
      <c r="X38" s="2"/>
      <c r="Y38" s="2"/>
      <c r="Z38" s="2"/>
    </row>
    <row r="39" ht="12.75" customHeight="1">
      <c r="A39" s="2"/>
      <c r="B39" s="8" t="s">
        <v>108</v>
      </c>
      <c r="C39" s="8" t="s">
        <v>27</v>
      </c>
      <c r="D39" s="8">
        <v>14.0</v>
      </c>
      <c r="E39" s="20">
        <v>66.0</v>
      </c>
      <c r="F39" s="20">
        <v>315.0</v>
      </c>
      <c r="G39" s="20">
        <v>0.0</v>
      </c>
      <c r="H39" s="21">
        <v>0.0</v>
      </c>
      <c r="I39" s="20">
        <v>0.0</v>
      </c>
      <c r="J39" s="20">
        <v>105.0</v>
      </c>
      <c r="K39" s="20">
        <f t="shared" si="1"/>
        <v>105</v>
      </c>
      <c r="L39" s="20">
        <v>276.0</v>
      </c>
      <c r="M39" s="20">
        <v>159.0</v>
      </c>
      <c r="N39" s="22">
        <v>24.0</v>
      </c>
      <c r="O39" s="20">
        <f t="shared" si="6"/>
        <v>36.34285714</v>
      </c>
      <c r="P39" s="39">
        <v>2.6285714285714286</v>
      </c>
      <c r="Q39" s="20">
        <v>0.0</v>
      </c>
      <c r="R39" s="20">
        <v>0.0</v>
      </c>
      <c r="S39" s="20">
        <v>0.0</v>
      </c>
      <c r="T39" s="2"/>
      <c r="U39" s="2">
        <v>1445220.0</v>
      </c>
      <c r="V39" s="40">
        <f t="shared" si="3"/>
        <v>151748100</v>
      </c>
      <c r="W39" s="40">
        <f t="shared" si="4"/>
        <v>229789980</v>
      </c>
      <c r="X39" s="2"/>
      <c r="Y39" s="2"/>
      <c r="Z39" s="2"/>
    </row>
    <row r="40" ht="12.75" customHeight="1">
      <c r="A40" s="2"/>
      <c r="B40" s="8" t="s">
        <v>128</v>
      </c>
      <c r="C40" s="8" t="s">
        <v>27</v>
      </c>
      <c r="D40" s="8">
        <v>14.0</v>
      </c>
      <c r="E40" s="20">
        <v>126.0</v>
      </c>
      <c r="F40" s="20">
        <v>150.0</v>
      </c>
      <c r="G40" s="20">
        <v>0.0</v>
      </c>
      <c r="H40" s="21">
        <v>0.0</v>
      </c>
      <c r="I40" s="20">
        <v>0.0</v>
      </c>
      <c r="J40" s="20">
        <v>150.0</v>
      </c>
      <c r="K40" s="20">
        <f t="shared" si="1"/>
        <v>150</v>
      </c>
      <c r="L40" s="20">
        <v>126.0</v>
      </c>
      <c r="M40" s="20">
        <v>103.5</v>
      </c>
      <c r="N40" s="22">
        <v>24.0</v>
      </c>
      <c r="O40" s="20">
        <f t="shared" si="6"/>
        <v>16.56</v>
      </c>
      <c r="P40" s="39">
        <v>0.84</v>
      </c>
      <c r="Q40" s="20">
        <v>0.0</v>
      </c>
      <c r="R40" s="20">
        <v>100.0</v>
      </c>
      <c r="S40" s="20">
        <v>0.0</v>
      </c>
      <c r="T40" s="2"/>
      <c r="U40" s="2">
        <v>1445220.0</v>
      </c>
      <c r="V40" s="40">
        <f t="shared" si="3"/>
        <v>216783000</v>
      </c>
      <c r="W40" s="40">
        <f t="shared" si="4"/>
        <v>149580270</v>
      </c>
      <c r="X40" s="2"/>
      <c r="Y40" s="2"/>
      <c r="Z40" s="2"/>
    </row>
    <row r="41" ht="12.75" customHeight="1">
      <c r="A41" s="2"/>
      <c r="B41" s="8" t="s">
        <v>54</v>
      </c>
      <c r="C41" s="8" t="s">
        <v>27</v>
      </c>
      <c r="D41" s="8">
        <v>14.0</v>
      </c>
      <c r="E41" s="20">
        <v>74.0</v>
      </c>
      <c r="F41" s="20">
        <v>381.0</v>
      </c>
      <c r="G41" s="20">
        <v>0.0</v>
      </c>
      <c r="H41" s="21">
        <v>0.0</v>
      </c>
      <c r="I41" s="20">
        <v>0.0</v>
      </c>
      <c r="J41" s="20">
        <v>127.0</v>
      </c>
      <c r="K41" s="20">
        <f t="shared" si="1"/>
        <v>127</v>
      </c>
      <c r="L41" s="20">
        <v>328.0</v>
      </c>
      <c r="M41" s="20">
        <v>287.75</v>
      </c>
      <c r="N41" s="22">
        <v>24.0</v>
      </c>
      <c r="O41" s="20">
        <f t="shared" si="6"/>
        <v>54.37795276</v>
      </c>
      <c r="P41" s="39">
        <v>2.5826771653543306</v>
      </c>
      <c r="Q41" s="20">
        <v>0.0</v>
      </c>
      <c r="R41" s="20">
        <v>0.0</v>
      </c>
      <c r="S41" s="20">
        <v>0.0</v>
      </c>
      <c r="T41" s="2"/>
      <c r="U41" s="2">
        <v>1445220.0</v>
      </c>
      <c r="V41" s="40">
        <f t="shared" si="3"/>
        <v>183542940</v>
      </c>
      <c r="W41" s="40">
        <f t="shared" si="4"/>
        <v>415862055</v>
      </c>
      <c r="X41" s="2"/>
      <c r="Y41" s="2"/>
      <c r="Z41" s="2"/>
    </row>
    <row r="42" ht="12.75" customHeight="1">
      <c r="A42" s="2"/>
      <c r="B42" s="8" t="s">
        <v>55</v>
      </c>
      <c r="C42" s="8" t="s">
        <v>27</v>
      </c>
      <c r="D42" s="8">
        <v>14.0</v>
      </c>
      <c r="E42" s="20">
        <v>112.0</v>
      </c>
      <c r="F42" s="20">
        <v>105.0</v>
      </c>
      <c r="G42" s="20">
        <v>0.0</v>
      </c>
      <c r="H42" s="21">
        <v>0.0</v>
      </c>
      <c r="I42" s="20">
        <v>0.0</v>
      </c>
      <c r="J42" s="20">
        <v>112.0</v>
      </c>
      <c r="K42" s="20">
        <f t="shared" si="1"/>
        <v>112</v>
      </c>
      <c r="L42" s="20">
        <v>105.0</v>
      </c>
      <c r="M42" s="20">
        <v>51.4</v>
      </c>
      <c r="N42" s="22">
        <v>24.0</v>
      </c>
      <c r="O42" s="20">
        <f t="shared" si="6"/>
        <v>11.01428571</v>
      </c>
      <c r="P42" s="39">
        <v>0.9375</v>
      </c>
      <c r="Q42" s="20">
        <v>0.0</v>
      </c>
      <c r="R42" s="20">
        <v>250.0</v>
      </c>
      <c r="S42" s="20">
        <v>0.0</v>
      </c>
      <c r="T42" s="2"/>
      <c r="U42" s="2">
        <v>1272550.0</v>
      </c>
      <c r="V42" s="40">
        <f t="shared" si="3"/>
        <v>142525600</v>
      </c>
      <c r="W42" s="40">
        <f t="shared" si="4"/>
        <v>65409070</v>
      </c>
      <c r="X42" s="2"/>
      <c r="Y42" s="2"/>
      <c r="Z42" s="2"/>
    </row>
    <row r="43" ht="12.75" customHeight="1">
      <c r="A43" s="2"/>
      <c r="B43" s="8" t="s">
        <v>157</v>
      </c>
      <c r="C43" s="8" t="s">
        <v>27</v>
      </c>
      <c r="D43" s="8">
        <v>14.0</v>
      </c>
      <c r="E43" s="20">
        <v>429.0</v>
      </c>
      <c r="F43" s="20">
        <v>1094.0</v>
      </c>
      <c r="G43" s="20">
        <v>0.0</v>
      </c>
      <c r="H43" s="21">
        <v>0.0</v>
      </c>
      <c r="I43" s="20">
        <v>0.0</v>
      </c>
      <c r="J43" s="20">
        <v>983.0</v>
      </c>
      <c r="K43" s="20">
        <f t="shared" si="1"/>
        <v>983</v>
      </c>
      <c r="L43" s="20">
        <v>540.0</v>
      </c>
      <c r="M43" s="20">
        <v>305.944444444444</v>
      </c>
      <c r="N43" s="22">
        <v>24.0</v>
      </c>
      <c r="O43" s="20">
        <f t="shared" si="6"/>
        <v>7.469650729</v>
      </c>
      <c r="P43" s="39">
        <v>0.5493387589013224</v>
      </c>
      <c r="Q43" s="20">
        <v>26.92</v>
      </c>
      <c r="R43" s="20">
        <v>621.0</v>
      </c>
      <c r="S43" s="20">
        <v>0.0</v>
      </c>
      <c r="T43" s="2"/>
      <c r="U43" s="2">
        <v>819485.0</v>
      </c>
      <c r="V43" s="40">
        <f t="shared" si="3"/>
        <v>805553755</v>
      </c>
      <c r="W43" s="40">
        <f t="shared" si="4"/>
        <v>250716883.1</v>
      </c>
      <c r="X43" s="2"/>
      <c r="Y43" s="2"/>
      <c r="Z43" s="2"/>
    </row>
    <row r="44" ht="12.75" customHeight="1">
      <c r="A44" s="2"/>
      <c r="B44" s="8" t="s">
        <v>58</v>
      </c>
      <c r="C44" s="8" t="s">
        <v>27</v>
      </c>
      <c r="D44" s="8">
        <v>14.0</v>
      </c>
      <c r="E44" s="20">
        <v>154.0</v>
      </c>
      <c r="F44" s="20">
        <v>300.0</v>
      </c>
      <c r="G44" s="20">
        <v>0.0</v>
      </c>
      <c r="H44" s="21">
        <v>0.0</v>
      </c>
      <c r="I44" s="20">
        <v>0.0</v>
      </c>
      <c r="J44" s="20">
        <v>234.0</v>
      </c>
      <c r="K44" s="20">
        <f t="shared" si="1"/>
        <v>234</v>
      </c>
      <c r="L44" s="20">
        <v>220.0</v>
      </c>
      <c r="M44" s="20">
        <v>105.428571428571</v>
      </c>
      <c r="N44" s="22">
        <v>24.0</v>
      </c>
      <c r="O44" s="20">
        <f t="shared" si="6"/>
        <v>10.81318681</v>
      </c>
      <c r="P44" s="39">
        <v>0.9401709401709402</v>
      </c>
      <c r="Q44" s="20">
        <v>0.0</v>
      </c>
      <c r="R44" s="20">
        <v>100.0</v>
      </c>
      <c r="S44" s="20">
        <v>0.0</v>
      </c>
      <c r="T44" s="2"/>
      <c r="U44" s="2">
        <v>819485.0</v>
      </c>
      <c r="V44" s="40">
        <f t="shared" si="3"/>
        <v>191759490</v>
      </c>
      <c r="W44" s="40">
        <f t="shared" si="4"/>
        <v>86397132.86</v>
      </c>
      <c r="X44" s="2"/>
      <c r="Y44" s="2"/>
      <c r="Z44" s="2"/>
    </row>
    <row r="45" ht="12.75" customHeight="1">
      <c r="A45" s="2"/>
      <c r="B45" s="8" t="s">
        <v>158</v>
      </c>
      <c r="C45" s="8" t="s">
        <v>27</v>
      </c>
      <c r="D45" s="8">
        <v>14.0</v>
      </c>
      <c r="E45" s="20">
        <v>0.0</v>
      </c>
      <c r="F45" s="20">
        <v>250.0</v>
      </c>
      <c r="G45" s="20">
        <v>0.0</v>
      </c>
      <c r="H45" s="21">
        <v>0.0</v>
      </c>
      <c r="I45" s="20">
        <v>0.0</v>
      </c>
      <c r="J45" s="20">
        <v>0.0</v>
      </c>
      <c r="K45" s="20">
        <f t="shared" si="1"/>
        <v>0</v>
      </c>
      <c r="L45" s="20">
        <v>250.0</v>
      </c>
      <c r="M45" s="20">
        <v>179.0</v>
      </c>
      <c r="N45" s="22">
        <v>24.0</v>
      </c>
      <c r="O45" s="20">
        <v>0.0</v>
      </c>
      <c r="P45" s="39">
        <v>0.0</v>
      </c>
      <c r="Q45" s="20">
        <v>0.0</v>
      </c>
      <c r="R45" s="20">
        <v>0.0</v>
      </c>
      <c r="S45" s="20">
        <v>0.0</v>
      </c>
      <c r="T45" s="2"/>
      <c r="U45" s="2">
        <v>819485.0</v>
      </c>
      <c r="V45" s="40">
        <f t="shared" si="3"/>
        <v>0</v>
      </c>
      <c r="W45" s="40">
        <f t="shared" si="4"/>
        <v>146687815</v>
      </c>
      <c r="X45" s="2"/>
      <c r="Y45" s="2"/>
      <c r="Z45" s="2"/>
    </row>
    <row r="46" ht="12.75" customHeight="1">
      <c r="A46" s="2"/>
      <c r="B46" s="43" t="s">
        <v>129</v>
      </c>
      <c r="C46" s="8" t="s">
        <v>27</v>
      </c>
      <c r="D46" s="8">
        <v>14.0</v>
      </c>
      <c r="E46" s="20">
        <v>163.98</v>
      </c>
      <c r="F46" s="20">
        <v>1292.0</v>
      </c>
      <c r="G46" s="20">
        <v>0.0</v>
      </c>
      <c r="H46" s="21">
        <v>0.0</v>
      </c>
      <c r="I46" s="20">
        <v>0.0</v>
      </c>
      <c r="J46" s="20">
        <v>876.0</v>
      </c>
      <c r="K46" s="20">
        <f t="shared" si="1"/>
        <v>876</v>
      </c>
      <c r="L46" s="20">
        <v>579.98</v>
      </c>
      <c r="M46" s="20">
        <v>654.605</v>
      </c>
      <c r="N46" s="22">
        <v>24.0</v>
      </c>
      <c r="O46" s="20">
        <f>(M46/(I46+J46))*N46</f>
        <v>17.93438356</v>
      </c>
      <c r="P46" s="39">
        <v>0.6620776255707763</v>
      </c>
      <c r="Q46" s="20">
        <v>0.0</v>
      </c>
      <c r="R46" s="20">
        <v>480.0</v>
      </c>
      <c r="S46" s="20">
        <v>120.0</v>
      </c>
      <c r="T46" s="2"/>
      <c r="U46" s="2">
        <v>819485.0</v>
      </c>
      <c r="V46" s="40">
        <f t="shared" si="3"/>
        <v>717868860</v>
      </c>
      <c r="W46" s="40">
        <f t="shared" si="4"/>
        <v>536438978.4</v>
      </c>
      <c r="X46" s="2"/>
      <c r="Y46" s="2"/>
      <c r="Z46" s="2"/>
    </row>
    <row r="47" ht="12.75" customHeight="1">
      <c r="A47" s="2"/>
      <c r="B47" s="8" t="s">
        <v>148</v>
      </c>
      <c r="C47" s="8" t="s">
        <v>27</v>
      </c>
      <c r="D47" s="8">
        <v>14.0</v>
      </c>
      <c r="E47" s="20">
        <v>23.0</v>
      </c>
      <c r="F47" s="20">
        <v>0.0</v>
      </c>
      <c r="G47" s="20">
        <v>0.0</v>
      </c>
      <c r="H47" s="21">
        <v>0.0</v>
      </c>
      <c r="I47" s="20">
        <v>0.0</v>
      </c>
      <c r="J47" s="20">
        <v>0.0</v>
      </c>
      <c r="K47" s="20">
        <f t="shared" si="1"/>
        <v>0</v>
      </c>
      <c r="L47" s="20">
        <v>23.0</v>
      </c>
      <c r="M47" s="20">
        <v>0.0</v>
      </c>
      <c r="N47" s="22">
        <v>24.0</v>
      </c>
      <c r="O47" s="20">
        <v>0.0</v>
      </c>
      <c r="P47" s="39">
        <v>0.0</v>
      </c>
      <c r="Q47" s="20">
        <v>0.0</v>
      </c>
      <c r="R47" s="20">
        <v>0.0</v>
      </c>
      <c r="S47" s="20">
        <v>0.0</v>
      </c>
      <c r="T47" s="2"/>
      <c r="U47" s="2">
        <v>1481800.0</v>
      </c>
      <c r="V47" s="40">
        <f t="shared" si="3"/>
        <v>0</v>
      </c>
      <c r="W47" s="40">
        <f t="shared" si="4"/>
        <v>0</v>
      </c>
      <c r="X47" s="2"/>
      <c r="Y47" s="2"/>
      <c r="Z47" s="2"/>
    </row>
    <row r="48" ht="12.75" customHeight="1">
      <c r="A48" s="2"/>
      <c r="B48" s="8" t="s">
        <v>60</v>
      </c>
      <c r="C48" s="8" t="s">
        <v>27</v>
      </c>
      <c r="D48" s="8">
        <v>14.0</v>
      </c>
      <c r="E48" s="20">
        <v>132.0</v>
      </c>
      <c r="F48" s="20">
        <v>0.0</v>
      </c>
      <c r="G48" s="20">
        <v>0.0</v>
      </c>
      <c r="H48" s="21">
        <v>0.0</v>
      </c>
      <c r="I48" s="20">
        <v>2.0</v>
      </c>
      <c r="J48" s="20">
        <v>0.0</v>
      </c>
      <c r="K48" s="20">
        <f t="shared" si="1"/>
        <v>2</v>
      </c>
      <c r="L48" s="20">
        <v>130.0</v>
      </c>
      <c r="M48" s="20">
        <v>130.0</v>
      </c>
      <c r="N48" s="22">
        <v>24.0</v>
      </c>
      <c r="O48" s="20">
        <f t="shared" ref="O48:O50" si="7">(M48/(I48+J48))*N48</f>
        <v>1560</v>
      </c>
      <c r="P48" s="39">
        <v>65.0</v>
      </c>
      <c r="Q48" s="20">
        <v>0.0</v>
      </c>
      <c r="R48" s="20">
        <v>0.0</v>
      </c>
      <c r="S48" s="20">
        <v>0.0</v>
      </c>
      <c r="T48" s="2"/>
      <c r="U48" s="2">
        <v>1481800.0</v>
      </c>
      <c r="V48" s="40">
        <f t="shared" si="3"/>
        <v>2963600</v>
      </c>
      <c r="W48" s="40">
        <f t="shared" si="4"/>
        <v>192634000</v>
      </c>
      <c r="X48" s="2"/>
      <c r="Y48" s="2"/>
      <c r="Z48" s="2"/>
    </row>
    <row r="49" ht="12.75" customHeight="1">
      <c r="A49" s="2"/>
      <c r="B49" s="8" t="s">
        <v>61</v>
      </c>
      <c r="C49" s="8" t="s">
        <v>27</v>
      </c>
      <c r="D49" s="8">
        <v>14.0</v>
      </c>
      <c r="E49" s="20">
        <v>8.0</v>
      </c>
      <c r="F49" s="20">
        <v>0.0</v>
      </c>
      <c r="G49" s="20">
        <v>0.0</v>
      </c>
      <c r="H49" s="21">
        <v>0.0</v>
      </c>
      <c r="I49" s="20">
        <v>7.0</v>
      </c>
      <c r="J49" s="20">
        <v>0.0</v>
      </c>
      <c r="K49" s="20">
        <f t="shared" si="1"/>
        <v>7</v>
      </c>
      <c r="L49" s="20">
        <v>1.0</v>
      </c>
      <c r="M49" s="20">
        <v>3.0</v>
      </c>
      <c r="N49" s="22">
        <v>24.0</v>
      </c>
      <c r="O49" s="20">
        <f t="shared" si="7"/>
        <v>10.28571429</v>
      </c>
      <c r="P49" s="39">
        <v>0.14285714285714285</v>
      </c>
      <c r="Q49" s="20">
        <v>0.0</v>
      </c>
      <c r="R49" s="20">
        <v>0.0</v>
      </c>
      <c r="S49" s="20">
        <v>0.0</v>
      </c>
      <c r="T49" s="2"/>
      <c r="U49" s="2">
        <v>1481800.0</v>
      </c>
      <c r="V49" s="40">
        <f t="shared" si="3"/>
        <v>10372600</v>
      </c>
      <c r="W49" s="40">
        <f t="shared" si="4"/>
        <v>4445400</v>
      </c>
      <c r="X49" s="2"/>
      <c r="Y49" s="2"/>
      <c r="Z49" s="2"/>
    </row>
    <row r="50" ht="12.75" customHeight="1">
      <c r="A50" s="2"/>
      <c r="B50" s="8" t="s">
        <v>159</v>
      </c>
      <c r="C50" s="8" t="s">
        <v>27</v>
      </c>
      <c r="D50" s="8">
        <v>14.0</v>
      </c>
      <c r="E50" s="20">
        <v>0.0</v>
      </c>
      <c r="F50" s="20">
        <v>36.0</v>
      </c>
      <c r="G50" s="20">
        <v>0.0</v>
      </c>
      <c r="H50" s="21">
        <v>0.0</v>
      </c>
      <c r="I50" s="20">
        <v>10.0</v>
      </c>
      <c r="J50" s="20">
        <v>0.0</v>
      </c>
      <c r="K50" s="20">
        <f t="shared" si="1"/>
        <v>10</v>
      </c>
      <c r="L50" s="20">
        <v>26.0</v>
      </c>
      <c r="M50" s="20">
        <v>23.3333333333333</v>
      </c>
      <c r="N50" s="22">
        <v>24.0</v>
      </c>
      <c r="O50" s="20">
        <f t="shared" si="7"/>
        <v>56</v>
      </c>
      <c r="P50" s="39">
        <v>2.6</v>
      </c>
      <c r="Q50" s="20">
        <v>0.0</v>
      </c>
      <c r="R50" s="20">
        <v>0.0</v>
      </c>
      <c r="S50" s="20">
        <v>0.0</v>
      </c>
      <c r="T50" s="2"/>
      <c r="U50" s="2">
        <v>1481800.0</v>
      </c>
      <c r="V50" s="40">
        <f t="shared" si="3"/>
        <v>14818000</v>
      </c>
      <c r="W50" s="40">
        <f t="shared" si="4"/>
        <v>34575333.33</v>
      </c>
      <c r="X50" s="2"/>
      <c r="Y50" s="2"/>
      <c r="Z50" s="2"/>
    </row>
    <row r="51" ht="12.75" customHeight="1">
      <c r="A51" s="2"/>
      <c r="B51" s="8" t="s">
        <v>63</v>
      </c>
      <c r="C51" s="8" t="s">
        <v>27</v>
      </c>
      <c r="D51" s="8">
        <v>14.0</v>
      </c>
      <c r="E51" s="20">
        <v>50.0</v>
      </c>
      <c r="F51" s="20">
        <v>0.0</v>
      </c>
      <c r="G51" s="20">
        <v>0.0</v>
      </c>
      <c r="H51" s="21">
        <v>0.0</v>
      </c>
      <c r="I51" s="20">
        <v>0.0</v>
      </c>
      <c r="J51" s="20">
        <v>0.0</v>
      </c>
      <c r="K51" s="20">
        <f t="shared" si="1"/>
        <v>0</v>
      </c>
      <c r="L51" s="20">
        <v>50.0</v>
      </c>
      <c r="M51" s="20">
        <v>0.0</v>
      </c>
      <c r="N51" s="22">
        <v>24.0</v>
      </c>
      <c r="O51" s="20">
        <v>0.0</v>
      </c>
      <c r="P51" s="39">
        <v>0.0</v>
      </c>
      <c r="Q51" s="20">
        <v>0.0</v>
      </c>
      <c r="R51" s="20">
        <v>0.0</v>
      </c>
      <c r="S51" s="20">
        <v>0.0</v>
      </c>
      <c r="T51" s="2"/>
      <c r="U51" s="2">
        <v>1481800.0</v>
      </c>
      <c r="V51" s="40">
        <f t="shared" si="3"/>
        <v>0</v>
      </c>
      <c r="W51" s="40">
        <f t="shared" si="4"/>
        <v>0</v>
      </c>
      <c r="X51" s="2"/>
      <c r="Y51" s="2"/>
      <c r="Z51" s="2"/>
    </row>
    <row r="52" ht="12.75" customHeight="1">
      <c r="A52" s="2"/>
      <c r="B52" s="8" t="s">
        <v>64</v>
      </c>
      <c r="C52" s="8" t="s">
        <v>27</v>
      </c>
      <c r="D52" s="8">
        <v>14.0</v>
      </c>
      <c r="E52" s="20">
        <v>57.0</v>
      </c>
      <c r="F52" s="20">
        <v>0.0</v>
      </c>
      <c r="G52" s="20">
        <v>0.0</v>
      </c>
      <c r="H52" s="21">
        <v>0.0</v>
      </c>
      <c r="I52" s="20">
        <v>3.0</v>
      </c>
      <c r="J52" s="20">
        <v>0.0</v>
      </c>
      <c r="K52" s="20">
        <f t="shared" si="1"/>
        <v>3</v>
      </c>
      <c r="L52" s="20">
        <v>54.0</v>
      </c>
      <c r="M52" s="20">
        <v>54.0</v>
      </c>
      <c r="N52" s="22">
        <v>24.0</v>
      </c>
      <c r="O52" s="20">
        <f>(M52/(I52+J52))*N52</f>
        <v>432</v>
      </c>
      <c r="P52" s="39">
        <v>18.0</v>
      </c>
      <c r="Q52" s="20">
        <v>0.0</v>
      </c>
      <c r="R52" s="20">
        <v>0.0</v>
      </c>
      <c r="S52" s="20">
        <v>0.0</v>
      </c>
      <c r="T52" s="2"/>
      <c r="U52" s="2">
        <v>1481800.0</v>
      </c>
      <c r="V52" s="40">
        <f t="shared" si="3"/>
        <v>4445400</v>
      </c>
      <c r="W52" s="40">
        <f t="shared" si="4"/>
        <v>80017200</v>
      </c>
      <c r="X52" s="2"/>
      <c r="Y52" s="2"/>
      <c r="Z52" s="2"/>
    </row>
    <row r="53" ht="12.75" customHeight="1">
      <c r="A53" s="2"/>
      <c r="B53" s="8" t="s">
        <v>65</v>
      </c>
      <c r="C53" s="8" t="s">
        <v>27</v>
      </c>
      <c r="D53" s="8">
        <v>14.0</v>
      </c>
      <c r="E53" s="20">
        <v>23.0</v>
      </c>
      <c r="F53" s="20">
        <v>0.0</v>
      </c>
      <c r="G53" s="20">
        <v>0.0</v>
      </c>
      <c r="H53" s="21">
        <v>0.0</v>
      </c>
      <c r="I53" s="20">
        <v>0.0</v>
      </c>
      <c r="J53" s="20">
        <v>0.0</v>
      </c>
      <c r="K53" s="20">
        <f t="shared" si="1"/>
        <v>0</v>
      </c>
      <c r="L53" s="20">
        <v>23.0</v>
      </c>
      <c r="M53" s="20">
        <v>0.0</v>
      </c>
      <c r="N53" s="22">
        <v>24.0</v>
      </c>
      <c r="O53" s="20">
        <v>0.0</v>
      </c>
      <c r="P53" s="39">
        <v>0.0</v>
      </c>
      <c r="Q53" s="20">
        <v>0.0</v>
      </c>
      <c r="R53" s="20">
        <v>0.0</v>
      </c>
      <c r="S53" s="20">
        <v>0.0</v>
      </c>
      <c r="T53" s="2"/>
      <c r="U53" s="2">
        <v>942555.0</v>
      </c>
      <c r="V53" s="40">
        <f t="shared" si="3"/>
        <v>0</v>
      </c>
      <c r="W53" s="40">
        <f t="shared" si="4"/>
        <v>0</v>
      </c>
      <c r="X53" s="2"/>
      <c r="Y53" s="2"/>
      <c r="Z53" s="2"/>
    </row>
    <row r="54" ht="12.75" customHeight="1">
      <c r="A54" s="2"/>
      <c r="B54" s="8" t="s">
        <v>66</v>
      </c>
      <c r="C54" s="8" t="s">
        <v>27</v>
      </c>
      <c r="D54" s="8">
        <v>14.0</v>
      </c>
      <c r="E54" s="20">
        <v>146.0</v>
      </c>
      <c r="F54" s="20">
        <v>187.0</v>
      </c>
      <c r="G54" s="20">
        <v>0.0</v>
      </c>
      <c r="H54" s="21">
        <v>0.0</v>
      </c>
      <c r="I54" s="20">
        <v>0.0</v>
      </c>
      <c r="J54" s="20">
        <v>84.0</v>
      </c>
      <c r="K54" s="20">
        <f t="shared" si="1"/>
        <v>84</v>
      </c>
      <c r="L54" s="20">
        <v>249.0</v>
      </c>
      <c r="M54" s="20">
        <v>155.5</v>
      </c>
      <c r="N54" s="22">
        <v>24.0</v>
      </c>
      <c r="O54" s="20">
        <f t="shared" ref="O54:O58" si="8">(M54/(I54+J54))*N54</f>
        <v>44.42857143</v>
      </c>
      <c r="P54" s="39">
        <v>2.9642857142857144</v>
      </c>
      <c r="Q54" s="20">
        <v>0.0</v>
      </c>
      <c r="R54" s="20">
        <v>10.0</v>
      </c>
      <c r="S54" s="20">
        <v>0.0</v>
      </c>
      <c r="T54" s="2"/>
      <c r="U54" s="2">
        <v>958675.0</v>
      </c>
      <c r="V54" s="40">
        <f t="shared" si="3"/>
        <v>80528700</v>
      </c>
      <c r="W54" s="40">
        <f t="shared" si="4"/>
        <v>149073962.5</v>
      </c>
      <c r="X54" s="2"/>
      <c r="Y54" s="2"/>
      <c r="Z54" s="2"/>
    </row>
    <row r="55" ht="12.75" customHeight="1">
      <c r="A55" s="2"/>
      <c r="B55" s="8" t="s">
        <v>109</v>
      </c>
      <c r="C55" s="8" t="s">
        <v>27</v>
      </c>
      <c r="D55" s="8">
        <v>14.0</v>
      </c>
      <c r="E55" s="20">
        <v>130.0</v>
      </c>
      <c r="F55" s="20">
        <v>504.0</v>
      </c>
      <c r="G55" s="20">
        <v>0.0</v>
      </c>
      <c r="H55" s="21">
        <v>0.0</v>
      </c>
      <c r="I55" s="20">
        <v>231.0</v>
      </c>
      <c r="J55" s="20">
        <v>0.0</v>
      </c>
      <c r="K55" s="20">
        <f t="shared" si="1"/>
        <v>231</v>
      </c>
      <c r="L55" s="20">
        <v>403.0</v>
      </c>
      <c r="M55" s="20">
        <v>237.0</v>
      </c>
      <c r="N55" s="22">
        <v>24.0</v>
      </c>
      <c r="O55" s="20">
        <f t="shared" si="8"/>
        <v>24.62337662</v>
      </c>
      <c r="P55" s="39">
        <v>1.7445887445887447</v>
      </c>
      <c r="Q55" s="20">
        <v>0.0</v>
      </c>
      <c r="R55" s="20">
        <v>200.0</v>
      </c>
      <c r="S55" s="20">
        <v>0.0</v>
      </c>
      <c r="T55" s="2"/>
      <c r="U55" s="2">
        <v>848935.0</v>
      </c>
      <c r="V55" s="40">
        <f t="shared" si="3"/>
        <v>196103985</v>
      </c>
      <c r="W55" s="40">
        <f t="shared" si="4"/>
        <v>201197595</v>
      </c>
      <c r="X55" s="2"/>
      <c r="Y55" s="2"/>
      <c r="Z55" s="2"/>
    </row>
    <row r="56" ht="12.75" customHeight="1">
      <c r="A56" s="2"/>
      <c r="B56" s="8" t="s">
        <v>110</v>
      </c>
      <c r="C56" s="8" t="s">
        <v>27</v>
      </c>
      <c r="D56" s="8">
        <v>14.0</v>
      </c>
      <c r="E56" s="20">
        <v>0.0</v>
      </c>
      <c r="F56" s="20">
        <v>269.0</v>
      </c>
      <c r="G56" s="20">
        <v>0.0</v>
      </c>
      <c r="H56" s="21">
        <v>0.0</v>
      </c>
      <c r="I56" s="20">
        <v>60.0</v>
      </c>
      <c r="J56" s="20">
        <v>0.0</v>
      </c>
      <c r="K56" s="20">
        <f t="shared" si="1"/>
        <v>60</v>
      </c>
      <c r="L56" s="20">
        <v>209.0</v>
      </c>
      <c r="M56" s="20">
        <v>159.666666666667</v>
      </c>
      <c r="N56" s="22">
        <v>24.0</v>
      </c>
      <c r="O56" s="20">
        <f t="shared" si="8"/>
        <v>63.86666667</v>
      </c>
      <c r="P56" s="39">
        <v>3.4833333333333334</v>
      </c>
      <c r="Q56" s="20">
        <v>36.54</v>
      </c>
      <c r="R56" s="20">
        <v>100.0</v>
      </c>
      <c r="S56" s="20">
        <v>0.0</v>
      </c>
      <c r="T56" s="2"/>
      <c r="U56" s="2">
        <v>1012770.0</v>
      </c>
      <c r="V56" s="40">
        <f t="shared" si="3"/>
        <v>60766200</v>
      </c>
      <c r="W56" s="40">
        <f t="shared" si="4"/>
        <v>161705610</v>
      </c>
      <c r="X56" s="2"/>
      <c r="Y56" s="2"/>
      <c r="Z56" s="2"/>
    </row>
    <row r="57" ht="12.75" customHeight="1">
      <c r="A57" s="2"/>
      <c r="B57" s="8" t="s">
        <v>130</v>
      </c>
      <c r="C57" s="8" t="s">
        <v>27</v>
      </c>
      <c r="D57" s="8">
        <v>14.0</v>
      </c>
      <c r="E57" s="20">
        <v>435.0</v>
      </c>
      <c r="F57" s="20">
        <v>40.0</v>
      </c>
      <c r="G57" s="20">
        <v>0.0</v>
      </c>
      <c r="H57" s="21">
        <v>0.0</v>
      </c>
      <c r="I57" s="20">
        <v>0.0</v>
      </c>
      <c r="J57" s="20">
        <v>220.0</v>
      </c>
      <c r="K57" s="20">
        <f t="shared" si="1"/>
        <v>220</v>
      </c>
      <c r="L57" s="20">
        <v>255.0</v>
      </c>
      <c r="M57" s="20">
        <v>321.666666666667</v>
      </c>
      <c r="N57" s="22">
        <v>24.0</v>
      </c>
      <c r="O57" s="20">
        <f t="shared" si="8"/>
        <v>35.09090909</v>
      </c>
      <c r="P57" s="39">
        <v>1.1590909090909092</v>
      </c>
      <c r="Q57" s="20">
        <v>0.0</v>
      </c>
      <c r="R57" s="20">
        <v>0.0</v>
      </c>
      <c r="S57" s="20">
        <v>0.0</v>
      </c>
      <c r="T57" s="2"/>
      <c r="U57" s="2">
        <v>1012770.0</v>
      </c>
      <c r="V57" s="40">
        <f t="shared" si="3"/>
        <v>222809400</v>
      </c>
      <c r="W57" s="40">
        <f t="shared" si="4"/>
        <v>325774350</v>
      </c>
      <c r="X57" s="2"/>
      <c r="Y57" s="2"/>
      <c r="Z57" s="2"/>
    </row>
    <row r="58" ht="12.75" customHeight="1">
      <c r="A58" s="2"/>
      <c r="B58" s="8" t="s">
        <v>111</v>
      </c>
      <c r="C58" s="8" t="s">
        <v>27</v>
      </c>
      <c r="D58" s="8">
        <v>14.0</v>
      </c>
      <c r="E58" s="20">
        <v>530.0</v>
      </c>
      <c r="F58" s="20">
        <v>62.0</v>
      </c>
      <c r="G58" s="20">
        <v>0.0</v>
      </c>
      <c r="H58" s="21">
        <v>0.0</v>
      </c>
      <c r="I58" s="20">
        <v>547.0</v>
      </c>
      <c r="J58" s="20">
        <v>0.0</v>
      </c>
      <c r="K58" s="20">
        <f t="shared" si="1"/>
        <v>547</v>
      </c>
      <c r="L58" s="20">
        <v>45.0</v>
      </c>
      <c r="M58" s="20">
        <v>251.69230769230802</v>
      </c>
      <c r="N58" s="22">
        <v>24.0</v>
      </c>
      <c r="O58" s="20">
        <f t="shared" si="8"/>
        <v>11.04317255</v>
      </c>
      <c r="P58" s="39">
        <v>0.08226691042047532</v>
      </c>
      <c r="Q58" s="20">
        <v>0.0</v>
      </c>
      <c r="R58" s="20">
        <v>0.0</v>
      </c>
      <c r="S58" s="20">
        <v>0.0</v>
      </c>
      <c r="T58" s="2"/>
      <c r="U58" s="2">
        <v>1012770.0</v>
      </c>
      <c r="V58" s="40">
        <f t="shared" si="3"/>
        <v>553985190</v>
      </c>
      <c r="W58" s="40">
        <f t="shared" si="4"/>
        <v>254906418.5</v>
      </c>
      <c r="X58" s="2"/>
      <c r="Y58" s="2"/>
      <c r="Z58" s="2"/>
    </row>
    <row r="59" ht="12.75" customHeight="1">
      <c r="A59" s="2"/>
      <c r="B59" s="43" t="s">
        <v>131</v>
      </c>
      <c r="C59" s="8" t="s">
        <v>27</v>
      </c>
      <c r="D59" s="8">
        <v>14.0</v>
      </c>
      <c r="E59" s="20">
        <v>60.0</v>
      </c>
      <c r="F59" s="20">
        <v>0.0</v>
      </c>
      <c r="G59" s="20">
        <v>0.0</v>
      </c>
      <c r="H59" s="21">
        <v>0.0</v>
      </c>
      <c r="I59" s="20">
        <v>0.0</v>
      </c>
      <c r="J59" s="20">
        <v>0.0</v>
      </c>
      <c r="K59" s="20">
        <f t="shared" si="1"/>
        <v>0</v>
      </c>
      <c r="L59" s="20">
        <v>60.0</v>
      </c>
      <c r="M59" s="20">
        <v>0.0</v>
      </c>
      <c r="N59" s="22">
        <v>24.0</v>
      </c>
      <c r="O59" s="20">
        <v>0.0</v>
      </c>
      <c r="P59" s="39">
        <v>0.0</v>
      </c>
      <c r="Q59" s="20">
        <v>5.14</v>
      </c>
      <c r="R59" s="20">
        <v>0.0</v>
      </c>
      <c r="S59" s="20">
        <v>0.0</v>
      </c>
      <c r="T59" s="2"/>
      <c r="U59" s="2">
        <v>1237210.0</v>
      </c>
      <c r="V59" s="40">
        <f t="shared" si="3"/>
        <v>0</v>
      </c>
      <c r="W59" s="40">
        <f t="shared" si="4"/>
        <v>0</v>
      </c>
      <c r="X59" s="2"/>
      <c r="Y59" s="2"/>
      <c r="Z59" s="2"/>
    </row>
    <row r="60" ht="12.75" customHeight="1">
      <c r="A60" s="2"/>
      <c r="B60" s="8" t="s">
        <v>71</v>
      </c>
      <c r="C60" s="8" t="s">
        <v>27</v>
      </c>
      <c r="D60" s="8">
        <v>14.0</v>
      </c>
      <c r="E60" s="20">
        <v>40.0</v>
      </c>
      <c r="F60" s="20">
        <v>0.0</v>
      </c>
      <c r="G60" s="20">
        <v>0.0</v>
      </c>
      <c r="H60" s="21">
        <v>0.0</v>
      </c>
      <c r="I60" s="20">
        <v>3.0</v>
      </c>
      <c r="J60" s="20">
        <v>0.0</v>
      </c>
      <c r="K60" s="20">
        <f t="shared" si="1"/>
        <v>3</v>
      </c>
      <c r="L60" s="20">
        <v>37.0</v>
      </c>
      <c r="M60" s="20">
        <v>37.0</v>
      </c>
      <c r="N60" s="22">
        <v>24.0</v>
      </c>
      <c r="O60" s="20">
        <f t="shared" ref="O60:O66" si="9">(M60/(I60+J60))*N60</f>
        <v>296</v>
      </c>
      <c r="P60" s="39">
        <v>12.333333333333334</v>
      </c>
      <c r="Q60" s="20">
        <v>0.0</v>
      </c>
      <c r="R60" s="20">
        <v>0.0</v>
      </c>
      <c r="S60" s="20">
        <v>0.0</v>
      </c>
      <c r="T60" s="2"/>
      <c r="U60" s="2">
        <v>1436695.0</v>
      </c>
      <c r="V60" s="40">
        <f t="shared" si="3"/>
        <v>4310085</v>
      </c>
      <c r="W60" s="40">
        <f t="shared" si="4"/>
        <v>53157715</v>
      </c>
      <c r="X60" s="2"/>
      <c r="Y60" s="2"/>
      <c r="Z60" s="2"/>
    </row>
    <row r="61" ht="12.75" customHeight="1">
      <c r="A61" s="2"/>
      <c r="B61" s="8" t="s">
        <v>72</v>
      </c>
      <c r="C61" s="8" t="s">
        <v>27</v>
      </c>
      <c r="D61" s="8">
        <v>14.0</v>
      </c>
      <c r="E61" s="20">
        <v>284.0</v>
      </c>
      <c r="F61" s="20">
        <v>1353.0</v>
      </c>
      <c r="G61" s="20">
        <v>0.0</v>
      </c>
      <c r="H61" s="21">
        <v>0.0</v>
      </c>
      <c r="I61" s="20">
        <v>916.0</v>
      </c>
      <c r="J61" s="20">
        <v>0.0</v>
      </c>
      <c r="K61" s="20">
        <f t="shared" si="1"/>
        <v>916</v>
      </c>
      <c r="L61" s="20">
        <v>721.0</v>
      </c>
      <c r="M61" s="20">
        <v>402.6153846153851</v>
      </c>
      <c r="N61" s="22">
        <v>24.0</v>
      </c>
      <c r="O61" s="20">
        <f t="shared" si="9"/>
        <v>10.54887471</v>
      </c>
      <c r="P61" s="39">
        <v>0.787117903930131</v>
      </c>
      <c r="Q61" s="20">
        <v>250.0</v>
      </c>
      <c r="R61" s="20">
        <v>500.0</v>
      </c>
      <c r="S61" s="20">
        <v>0.0</v>
      </c>
      <c r="T61" s="2"/>
      <c r="U61" s="2">
        <v>848935.0</v>
      </c>
      <c r="V61" s="40">
        <f t="shared" si="3"/>
        <v>777624460</v>
      </c>
      <c r="W61" s="40">
        <f t="shared" si="4"/>
        <v>341794291.5</v>
      </c>
      <c r="X61" s="2"/>
      <c r="Y61" s="2"/>
      <c r="Z61" s="2"/>
    </row>
    <row r="62" ht="12.75" customHeight="1">
      <c r="A62" s="2"/>
      <c r="B62" s="8" t="s">
        <v>73</v>
      </c>
      <c r="C62" s="8" t="s">
        <v>27</v>
      </c>
      <c r="D62" s="8">
        <v>14.0</v>
      </c>
      <c r="E62" s="20">
        <v>29.0</v>
      </c>
      <c r="F62" s="20">
        <v>52.0</v>
      </c>
      <c r="G62" s="20">
        <v>0.0</v>
      </c>
      <c r="H62" s="21">
        <v>0.0</v>
      </c>
      <c r="I62" s="20">
        <v>0.0</v>
      </c>
      <c r="J62" s="20">
        <v>8.0</v>
      </c>
      <c r="K62" s="20">
        <f t="shared" si="1"/>
        <v>8</v>
      </c>
      <c r="L62" s="20">
        <v>73.0</v>
      </c>
      <c r="M62" s="20">
        <v>39.6666666666667</v>
      </c>
      <c r="N62" s="22">
        <v>24.0</v>
      </c>
      <c r="O62" s="20">
        <f t="shared" si="9"/>
        <v>119</v>
      </c>
      <c r="P62" s="39">
        <v>9.125</v>
      </c>
      <c r="Q62" s="20">
        <v>48.0</v>
      </c>
      <c r="R62" s="20">
        <v>0.0</v>
      </c>
      <c r="S62" s="20">
        <v>0.0</v>
      </c>
      <c r="T62" s="2"/>
      <c r="U62" s="2">
        <v>1497718.5</v>
      </c>
      <c r="V62" s="40">
        <f t="shared" si="3"/>
        <v>11981748</v>
      </c>
      <c r="W62" s="40">
        <f t="shared" si="4"/>
        <v>59409500.5</v>
      </c>
      <c r="X62" s="2"/>
      <c r="Y62" s="2"/>
      <c r="Z62" s="2"/>
    </row>
    <row r="63" ht="12.75" customHeight="1">
      <c r="A63" s="2"/>
      <c r="B63" s="8" t="s">
        <v>149</v>
      </c>
      <c r="C63" s="8" t="s">
        <v>27</v>
      </c>
      <c r="D63" s="8">
        <v>14.0</v>
      </c>
      <c r="E63" s="20">
        <v>262.0</v>
      </c>
      <c r="F63" s="20">
        <v>1199.0</v>
      </c>
      <c r="G63" s="20">
        <v>0.0</v>
      </c>
      <c r="H63" s="21">
        <v>0.0</v>
      </c>
      <c r="I63" s="20">
        <v>0.0</v>
      </c>
      <c r="J63" s="20">
        <v>1038.0</v>
      </c>
      <c r="K63" s="20">
        <f t="shared" si="1"/>
        <v>1038</v>
      </c>
      <c r="L63" s="20">
        <v>423.0</v>
      </c>
      <c r="M63" s="20">
        <v>517.125</v>
      </c>
      <c r="N63" s="22">
        <v>24.0</v>
      </c>
      <c r="O63" s="20">
        <f t="shared" si="9"/>
        <v>11.9566474</v>
      </c>
      <c r="P63" s="39">
        <v>0.407514450867052</v>
      </c>
      <c r="Q63" s="20">
        <v>685.32</v>
      </c>
      <c r="R63" s="20">
        <v>0.0</v>
      </c>
      <c r="S63" s="20">
        <v>0.0</v>
      </c>
      <c r="T63" s="2"/>
      <c r="U63" s="2">
        <v>1372215.0</v>
      </c>
      <c r="V63" s="40">
        <f t="shared" si="3"/>
        <v>1424359170</v>
      </c>
      <c r="W63" s="40">
        <f t="shared" si="4"/>
        <v>709606681.9</v>
      </c>
      <c r="X63" s="2"/>
      <c r="Y63" s="2"/>
      <c r="Z63" s="2"/>
    </row>
    <row r="64" ht="12.75" customHeight="1">
      <c r="A64" s="2"/>
      <c r="B64" s="8" t="s">
        <v>74</v>
      </c>
      <c r="C64" s="8" t="s">
        <v>27</v>
      </c>
      <c r="D64" s="8">
        <v>14.0</v>
      </c>
      <c r="E64" s="20">
        <v>245.0</v>
      </c>
      <c r="F64" s="20">
        <v>900.0</v>
      </c>
      <c r="G64" s="20">
        <v>0.0</v>
      </c>
      <c r="H64" s="21">
        <v>0.0</v>
      </c>
      <c r="I64" s="20">
        <v>566.0</v>
      </c>
      <c r="J64" s="20">
        <v>0.0</v>
      </c>
      <c r="K64" s="20">
        <f t="shared" si="1"/>
        <v>566</v>
      </c>
      <c r="L64" s="20">
        <v>579.0</v>
      </c>
      <c r="M64" s="20">
        <v>554.888888888889</v>
      </c>
      <c r="N64" s="22">
        <v>24.0</v>
      </c>
      <c r="O64" s="20">
        <f t="shared" si="9"/>
        <v>23.52885748</v>
      </c>
      <c r="P64" s="39">
        <v>1.0229681978798586</v>
      </c>
      <c r="Q64" s="20">
        <v>0.0</v>
      </c>
      <c r="R64" s="20">
        <v>296.0</v>
      </c>
      <c r="S64" s="20">
        <v>0.0</v>
      </c>
      <c r="T64" s="2"/>
      <c r="U64" s="2">
        <v>1396550.0</v>
      </c>
      <c r="V64" s="40">
        <f t="shared" si="3"/>
        <v>790447300</v>
      </c>
      <c r="W64" s="40">
        <f t="shared" si="4"/>
        <v>774930077.8</v>
      </c>
      <c r="X64" s="2"/>
      <c r="Y64" s="2"/>
      <c r="Z64" s="2"/>
    </row>
    <row r="65" ht="12.75" customHeight="1">
      <c r="A65" s="2"/>
      <c r="B65" s="8" t="s">
        <v>132</v>
      </c>
      <c r="C65" s="8" t="s">
        <v>27</v>
      </c>
      <c r="D65" s="8">
        <v>14.0</v>
      </c>
      <c r="E65" s="20">
        <v>99.0</v>
      </c>
      <c r="F65" s="20">
        <v>0.0</v>
      </c>
      <c r="G65" s="20">
        <v>0.0</v>
      </c>
      <c r="H65" s="21">
        <v>0.0</v>
      </c>
      <c r="I65" s="20">
        <v>99.0</v>
      </c>
      <c r="J65" s="20">
        <v>0.0</v>
      </c>
      <c r="K65" s="20">
        <f t="shared" si="1"/>
        <v>99</v>
      </c>
      <c r="L65" s="20">
        <v>0.0</v>
      </c>
      <c r="M65" s="20">
        <v>37.5</v>
      </c>
      <c r="N65" s="22">
        <v>24.0</v>
      </c>
      <c r="O65" s="20">
        <f t="shared" si="9"/>
        <v>9.090909091</v>
      </c>
      <c r="P65" s="39">
        <v>0.0</v>
      </c>
      <c r="Q65" s="20">
        <v>0.0</v>
      </c>
      <c r="R65" s="20">
        <v>0.0</v>
      </c>
      <c r="S65" s="20">
        <v>0.0</v>
      </c>
      <c r="T65" s="2"/>
      <c r="U65" s="2">
        <v>1396550.0</v>
      </c>
      <c r="V65" s="40">
        <f t="shared" si="3"/>
        <v>138258450</v>
      </c>
      <c r="W65" s="40">
        <f t="shared" si="4"/>
        <v>52370625</v>
      </c>
      <c r="X65" s="2"/>
      <c r="Y65" s="2"/>
      <c r="Z65" s="2"/>
    </row>
    <row r="66" ht="12.75" customHeight="1">
      <c r="A66" s="2"/>
      <c r="B66" s="8" t="s">
        <v>75</v>
      </c>
      <c r="C66" s="8" t="s">
        <v>27</v>
      </c>
      <c r="D66" s="8">
        <v>14.0</v>
      </c>
      <c r="E66" s="20">
        <v>39.0</v>
      </c>
      <c r="F66" s="20">
        <v>84.0</v>
      </c>
      <c r="G66" s="20">
        <v>0.0</v>
      </c>
      <c r="H66" s="21">
        <v>0.0</v>
      </c>
      <c r="I66" s="20">
        <v>80.0</v>
      </c>
      <c r="J66" s="20">
        <v>0.0</v>
      </c>
      <c r="K66" s="20">
        <f t="shared" si="1"/>
        <v>80</v>
      </c>
      <c r="L66" s="20">
        <v>43.0</v>
      </c>
      <c r="M66" s="20">
        <v>31.3333333333333</v>
      </c>
      <c r="N66" s="22">
        <v>24.0</v>
      </c>
      <c r="O66" s="20">
        <f t="shared" si="9"/>
        <v>9.4</v>
      </c>
      <c r="P66" s="39">
        <v>0.5375</v>
      </c>
      <c r="Q66" s="20">
        <v>50.0</v>
      </c>
      <c r="R66" s="20">
        <v>50.0</v>
      </c>
      <c r="S66" s="20">
        <v>0.0</v>
      </c>
      <c r="T66" s="2"/>
      <c r="U66" s="2">
        <v>1143590.0</v>
      </c>
      <c r="V66" s="40">
        <f t="shared" si="3"/>
        <v>91487200</v>
      </c>
      <c r="W66" s="40">
        <f t="shared" si="4"/>
        <v>35832486.67</v>
      </c>
      <c r="X66" s="2"/>
      <c r="Y66" s="2"/>
      <c r="Z66" s="2"/>
    </row>
    <row r="67" ht="12.75" customHeight="1">
      <c r="A67" s="2"/>
      <c r="B67" s="8" t="s">
        <v>76</v>
      </c>
      <c r="C67" s="8" t="s">
        <v>27</v>
      </c>
      <c r="D67" s="8">
        <v>14.0</v>
      </c>
      <c r="E67" s="20">
        <v>6.0</v>
      </c>
      <c r="F67" s="20">
        <v>0.0</v>
      </c>
      <c r="G67" s="20">
        <v>0.0</v>
      </c>
      <c r="H67" s="21">
        <v>0.0</v>
      </c>
      <c r="I67" s="20">
        <v>0.0</v>
      </c>
      <c r="J67" s="20">
        <v>0.0</v>
      </c>
      <c r="K67" s="20">
        <f t="shared" si="1"/>
        <v>0</v>
      </c>
      <c r="L67" s="20">
        <v>6.0</v>
      </c>
      <c r="M67" s="20">
        <v>0.0</v>
      </c>
      <c r="N67" s="22">
        <v>24.0</v>
      </c>
      <c r="O67" s="20">
        <v>0.0</v>
      </c>
      <c r="P67" s="39">
        <v>0.0</v>
      </c>
      <c r="Q67" s="20">
        <v>0.0</v>
      </c>
      <c r="R67" s="20">
        <v>0.0</v>
      </c>
      <c r="S67" s="20">
        <v>0.0</v>
      </c>
      <c r="T67" s="2"/>
      <c r="U67" s="2">
        <v>954645.0</v>
      </c>
      <c r="V67" s="40">
        <f t="shared" si="3"/>
        <v>0</v>
      </c>
      <c r="W67" s="40">
        <f t="shared" si="4"/>
        <v>0</v>
      </c>
      <c r="X67" s="2"/>
      <c r="Y67" s="2"/>
      <c r="Z67" s="2"/>
    </row>
    <row r="68" ht="12.75" customHeight="1">
      <c r="A68" s="2"/>
      <c r="B68" s="8" t="s">
        <v>133</v>
      </c>
      <c r="C68" s="8" t="s">
        <v>27</v>
      </c>
      <c r="D68" s="8">
        <v>14.0</v>
      </c>
      <c r="E68" s="20">
        <v>70.0</v>
      </c>
      <c r="F68" s="20">
        <v>179.0</v>
      </c>
      <c r="G68" s="20">
        <v>0.0</v>
      </c>
      <c r="H68" s="21">
        <v>0.0</v>
      </c>
      <c r="I68" s="20">
        <v>60.0</v>
      </c>
      <c r="J68" s="20">
        <v>0.0</v>
      </c>
      <c r="K68" s="20">
        <f t="shared" si="1"/>
        <v>60</v>
      </c>
      <c r="L68" s="20">
        <v>189.0</v>
      </c>
      <c r="M68" s="20">
        <v>195.75</v>
      </c>
      <c r="N68" s="22">
        <v>24.0</v>
      </c>
      <c r="O68" s="20">
        <f t="shared" ref="O68:O92" si="10">(M68/(I68+J68))*N68</f>
        <v>78.3</v>
      </c>
      <c r="P68" s="39">
        <v>3.15</v>
      </c>
      <c r="Q68" s="20">
        <v>21.0</v>
      </c>
      <c r="R68" s="20">
        <v>0.0</v>
      </c>
      <c r="S68" s="20">
        <v>0.0</v>
      </c>
      <c r="T68" s="2"/>
      <c r="U68" s="2">
        <v>954645.0</v>
      </c>
      <c r="V68" s="40">
        <f t="shared" si="3"/>
        <v>57278700</v>
      </c>
      <c r="W68" s="40">
        <f t="shared" si="4"/>
        <v>186871758.8</v>
      </c>
      <c r="X68" s="2"/>
      <c r="Y68" s="2"/>
      <c r="Z68" s="2"/>
    </row>
    <row r="69" ht="12.75" customHeight="1">
      <c r="A69" s="2"/>
      <c r="B69" s="8" t="s">
        <v>77</v>
      </c>
      <c r="C69" s="8" t="s">
        <v>27</v>
      </c>
      <c r="D69" s="8">
        <v>14.0</v>
      </c>
      <c r="E69" s="20">
        <v>56.0</v>
      </c>
      <c r="F69" s="20">
        <v>3.0</v>
      </c>
      <c r="G69" s="20">
        <v>0.0</v>
      </c>
      <c r="H69" s="21">
        <v>0.0</v>
      </c>
      <c r="I69" s="20">
        <v>38.0</v>
      </c>
      <c r="J69" s="20">
        <v>0.0</v>
      </c>
      <c r="K69" s="20">
        <f t="shared" si="1"/>
        <v>38</v>
      </c>
      <c r="L69" s="20">
        <v>21.0</v>
      </c>
      <c r="M69" s="20">
        <v>28.6</v>
      </c>
      <c r="N69" s="22">
        <v>24.0</v>
      </c>
      <c r="O69" s="20">
        <f t="shared" si="10"/>
        <v>18.06315789</v>
      </c>
      <c r="P69" s="39">
        <v>0.5526315789473685</v>
      </c>
      <c r="Q69" s="20">
        <v>4.0</v>
      </c>
      <c r="R69" s="20">
        <v>0.0</v>
      </c>
      <c r="S69" s="20">
        <v>0.0</v>
      </c>
      <c r="T69" s="2"/>
      <c r="U69" s="2">
        <v>771202.5</v>
      </c>
      <c r="V69" s="40">
        <f t="shared" si="3"/>
        <v>29305695</v>
      </c>
      <c r="W69" s="40">
        <f t="shared" si="4"/>
        <v>22056391.5</v>
      </c>
      <c r="X69" s="2"/>
      <c r="Y69" s="2"/>
      <c r="Z69" s="2"/>
    </row>
    <row r="70" ht="12.75" customHeight="1">
      <c r="A70" s="2"/>
      <c r="B70" s="43" t="s">
        <v>134</v>
      </c>
      <c r="C70" s="8" t="s">
        <v>27</v>
      </c>
      <c r="D70" s="8">
        <v>14.0</v>
      </c>
      <c r="E70" s="20">
        <v>96.0</v>
      </c>
      <c r="F70" s="20">
        <v>0.0</v>
      </c>
      <c r="G70" s="20">
        <v>0.0</v>
      </c>
      <c r="H70" s="21">
        <v>0.0</v>
      </c>
      <c r="I70" s="20">
        <v>24.0</v>
      </c>
      <c r="J70" s="20">
        <v>0.0</v>
      </c>
      <c r="K70" s="20">
        <f t="shared" si="1"/>
        <v>24</v>
      </c>
      <c r="L70" s="20">
        <v>72.0</v>
      </c>
      <c r="M70" s="20">
        <v>81.6666666666667</v>
      </c>
      <c r="N70" s="22">
        <v>24.0</v>
      </c>
      <c r="O70" s="20">
        <f t="shared" si="10"/>
        <v>81.66666667</v>
      </c>
      <c r="P70" s="39">
        <v>3.0</v>
      </c>
      <c r="Q70" s="20">
        <v>0.0</v>
      </c>
      <c r="R70" s="20">
        <v>0.0</v>
      </c>
      <c r="S70" s="20">
        <v>0.0</v>
      </c>
      <c r="T70" s="2"/>
      <c r="U70" s="2">
        <v>1497718.5</v>
      </c>
      <c r="V70" s="40">
        <f t="shared" si="3"/>
        <v>35945244</v>
      </c>
      <c r="W70" s="40">
        <f t="shared" si="4"/>
        <v>122313677.5</v>
      </c>
      <c r="X70" s="2"/>
      <c r="Y70" s="2"/>
      <c r="Z70" s="2"/>
    </row>
    <row r="71" ht="12.75" customHeight="1">
      <c r="A71" s="2"/>
      <c r="B71" s="8" t="s">
        <v>79</v>
      </c>
      <c r="C71" s="8" t="s">
        <v>27</v>
      </c>
      <c r="D71" s="8">
        <v>14.0</v>
      </c>
      <c r="E71" s="20">
        <v>243.0</v>
      </c>
      <c r="F71" s="20">
        <v>94.0</v>
      </c>
      <c r="G71" s="20">
        <v>0.0</v>
      </c>
      <c r="H71" s="21">
        <v>0.0</v>
      </c>
      <c r="I71" s="20">
        <v>140.0</v>
      </c>
      <c r="J71" s="20">
        <v>0.0</v>
      </c>
      <c r="K71" s="20">
        <f t="shared" si="1"/>
        <v>140</v>
      </c>
      <c r="L71" s="20">
        <v>197.0</v>
      </c>
      <c r="M71" s="20">
        <v>195.666666666667</v>
      </c>
      <c r="N71" s="22">
        <v>24.0</v>
      </c>
      <c r="O71" s="20">
        <f t="shared" si="10"/>
        <v>33.54285714</v>
      </c>
      <c r="P71" s="39">
        <v>1.4071428571428573</v>
      </c>
      <c r="Q71" s="20">
        <v>15.0</v>
      </c>
      <c r="R71" s="20">
        <v>150.0</v>
      </c>
      <c r="S71" s="20">
        <v>0.0</v>
      </c>
      <c r="T71" s="2"/>
      <c r="U71" s="2">
        <v>907060.0</v>
      </c>
      <c r="V71" s="40">
        <f t="shared" si="3"/>
        <v>126988400</v>
      </c>
      <c r="W71" s="40">
        <f t="shared" si="4"/>
        <v>177481406.7</v>
      </c>
      <c r="X71" s="2"/>
      <c r="Y71" s="2"/>
      <c r="Z71" s="2"/>
    </row>
    <row r="72" ht="12.75" customHeight="1">
      <c r="A72" s="2"/>
      <c r="B72" s="8" t="s">
        <v>80</v>
      </c>
      <c r="C72" s="8" t="s">
        <v>27</v>
      </c>
      <c r="D72" s="8">
        <v>14.0</v>
      </c>
      <c r="E72" s="20">
        <v>210.0</v>
      </c>
      <c r="F72" s="20">
        <v>0.0</v>
      </c>
      <c r="G72" s="20">
        <v>0.0</v>
      </c>
      <c r="H72" s="21">
        <v>0.0</v>
      </c>
      <c r="I72" s="20">
        <v>0.0</v>
      </c>
      <c r="J72" s="20">
        <v>202.0</v>
      </c>
      <c r="K72" s="20">
        <f t="shared" si="1"/>
        <v>202</v>
      </c>
      <c r="L72" s="20">
        <v>8.0</v>
      </c>
      <c r="M72" s="20">
        <v>78.5</v>
      </c>
      <c r="N72" s="22">
        <v>24.0</v>
      </c>
      <c r="O72" s="20">
        <f t="shared" si="10"/>
        <v>9.326732673</v>
      </c>
      <c r="P72" s="39">
        <v>0.039603960396039604</v>
      </c>
      <c r="Q72" s="20">
        <v>0.0</v>
      </c>
      <c r="R72" s="20">
        <v>0.0</v>
      </c>
      <c r="S72" s="20">
        <v>0.0</v>
      </c>
      <c r="T72" s="2"/>
      <c r="U72" s="2">
        <v>823515.0</v>
      </c>
      <c r="V72" s="40">
        <f t="shared" si="3"/>
        <v>166350030</v>
      </c>
      <c r="W72" s="40">
        <f t="shared" si="4"/>
        <v>64645927.5</v>
      </c>
      <c r="X72" s="2"/>
      <c r="Y72" s="2"/>
      <c r="Z72" s="2"/>
    </row>
    <row r="73" ht="12.75" customHeight="1">
      <c r="A73" s="2"/>
      <c r="B73" s="8" t="s">
        <v>160</v>
      </c>
      <c r="C73" s="8" t="s">
        <v>27</v>
      </c>
      <c r="D73" s="8">
        <v>14.0</v>
      </c>
      <c r="E73" s="20">
        <v>0.0</v>
      </c>
      <c r="F73" s="20">
        <v>455.0</v>
      </c>
      <c r="G73" s="20">
        <v>0.0</v>
      </c>
      <c r="H73" s="21">
        <v>0.0</v>
      </c>
      <c r="I73" s="20">
        <v>0.0</v>
      </c>
      <c r="J73" s="20">
        <v>239.0</v>
      </c>
      <c r="K73" s="20">
        <f t="shared" si="1"/>
        <v>239</v>
      </c>
      <c r="L73" s="20">
        <v>216.0</v>
      </c>
      <c r="M73" s="20">
        <v>245.0</v>
      </c>
      <c r="N73" s="22">
        <v>24.0</v>
      </c>
      <c r="O73" s="20">
        <f t="shared" si="10"/>
        <v>24.60251046</v>
      </c>
      <c r="P73" s="39">
        <v>0.9037656903765691</v>
      </c>
      <c r="Q73" s="20">
        <v>0.0</v>
      </c>
      <c r="R73" s="20">
        <v>406.0</v>
      </c>
      <c r="S73" s="20">
        <v>0.0</v>
      </c>
      <c r="T73" s="2"/>
      <c r="U73" s="2">
        <v>823515.0</v>
      </c>
      <c r="V73" s="40">
        <f t="shared" si="3"/>
        <v>196820085</v>
      </c>
      <c r="W73" s="40">
        <f t="shared" si="4"/>
        <v>201761175</v>
      </c>
      <c r="X73" s="2"/>
      <c r="Y73" s="2"/>
      <c r="Z73" s="2"/>
    </row>
    <row r="74" ht="12.75" customHeight="1">
      <c r="A74" s="2"/>
      <c r="B74" s="8" t="s">
        <v>135</v>
      </c>
      <c r="C74" s="8" t="s">
        <v>27</v>
      </c>
      <c r="D74" s="8">
        <v>14.0</v>
      </c>
      <c r="E74" s="20">
        <v>295.0</v>
      </c>
      <c r="F74" s="20">
        <v>297.0</v>
      </c>
      <c r="G74" s="20">
        <v>0.0</v>
      </c>
      <c r="H74" s="21">
        <v>0.0</v>
      </c>
      <c r="I74" s="20">
        <v>0.0</v>
      </c>
      <c r="J74" s="20">
        <v>90.0</v>
      </c>
      <c r="K74" s="20">
        <f t="shared" si="1"/>
        <v>90</v>
      </c>
      <c r="L74" s="20">
        <v>502.0</v>
      </c>
      <c r="M74" s="20">
        <v>375.75</v>
      </c>
      <c r="N74" s="22">
        <v>24.0</v>
      </c>
      <c r="O74" s="20">
        <f t="shared" si="10"/>
        <v>100.2</v>
      </c>
      <c r="P74" s="39">
        <v>5.5777777777777775</v>
      </c>
      <c r="Q74" s="20">
        <v>9.0</v>
      </c>
      <c r="R74" s="20">
        <v>0.0</v>
      </c>
      <c r="S74" s="20">
        <v>0.0</v>
      </c>
      <c r="T74" s="2"/>
      <c r="U74" s="2">
        <v>823515.0</v>
      </c>
      <c r="V74" s="40">
        <f t="shared" si="3"/>
        <v>74116350</v>
      </c>
      <c r="W74" s="40">
        <f t="shared" si="4"/>
        <v>309435761.3</v>
      </c>
      <c r="X74" s="2"/>
      <c r="Y74" s="2"/>
      <c r="Z74" s="2"/>
    </row>
    <row r="75" ht="12.75" customHeight="1">
      <c r="A75" s="2"/>
      <c r="B75" s="8" t="s">
        <v>136</v>
      </c>
      <c r="C75" s="8" t="s">
        <v>27</v>
      </c>
      <c r="D75" s="8">
        <v>14.0</v>
      </c>
      <c r="E75" s="20">
        <v>100.0</v>
      </c>
      <c r="F75" s="20">
        <v>0.0</v>
      </c>
      <c r="G75" s="20">
        <v>0.0</v>
      </c>
      <c r="H75" s="21">
        <v>0.0</v>
      </c>
      <c r="I75" s="20">
        <v>0.0</v>
      </c>
      <c r="J75" s="20">
        <v>43.0</v>
      </c>
      <c r="K75" s="20">
        <f t="shared" si="1"/>
        <v>43</v>
      </c>
      <c r="L75" s="20">
        <v>57.0</v>
      </c>
      <c r="M75" s="20">
        <v>57.0</v>
      </c>
      <c r="N75" s="22">
        <v>24.0</v>
      </c>
      <c r="O75" s="20">
        <f t="shared" si="10"/>
        <v>31.81395349</v>
      </c>
      <c r="P75" s="39">
        <v>1.3255813953488371</v>
      </c>
      <c r="Q75" s="20">
        <v>0.0</v>
      </c>
      <c r="R75" s="20">
        <v>0.0</v>
      </c>
      <c r="S75" s="20">
        <v>0.0</v>
      </c>
      <c r="T75" s="2"/>
      <c r="U75" s="2">
        <v>823515.0</v>
      </c>
      <c r="V75" s="40">
        <f t="shared" si="3"/>
        <v>35411145</v>
      </c>
      <c r="W75" s="40">
        <f t="shared" si="4"/>
        <v>46940355</v>
      </c>
      <c r="X75" s="2"/>
      <c r="Y75" s="2"/>
      <c r="Z75" s="2"/>
    </row>
    <row r="76" ht="12.75" customHeight="1">
      <c r="A76" s="2"/>
      <c r="B76" s="8" t="s">
        <v>82</v>
      </c>
      <c r="C76" s="8" t="s">
        <v>27</v>
      </c>
      <c r="D76" s="8">
        <v>14.0</v>
      </c>
      <c r="E76" s="20">
        <v>263.0</v>
      </c>
      <c r="F76" s="20">
        <v>193.0</v>
      </c>
      <c r="G76" s="20">
        <v>0.0</v>
      </c>
      <c r="H76" s="21">
        <v>0.0</v>
      </c>
      <c r="I76" s="20">
        <v>0.0</v>
      </c>
      <c r="J76" s="20">
        <v>263.0</v>
      </c>
      <c r="K76" s="20">
        <f t="shared" si="1"/>
        <v>263</v>
      </c>
      <c r="L76" s="20">
        <v>193.0</v>
      </c>
      <c r="M76" s="20">
        <v>118.0</v>
      </c>
      <c r="N76" s="22">
        <v>24.0</v>
      </c>
      <c r="O76" s="20">
        <f t="shared" si="10"/>
        <v>10.76806084</v>
      </c>
      <c r="P76" s="39">
        <v>0.7338403041825095</v>
      </c>
      <c r="Q76" s="20">
        <v>7.0</v>
      </c>
      <c r="R76" s="20">
        <v>0.0</v>
      </c>
      <c r="S76" s="20">
        <v>0.0</v>
      </c>
      <c r="T76" s="2"/>
      <c r="U76" s="2">
        <v>823515.0</v>
      </c>
      <c r="V76" s="40">
        <f t="shared" si="3"/>
        <v>216584445</v>
      </c>
      <c r="W76" s="40">
        <f t="shared" si="4"/>
        <v>97174770</v>
      </c>
      <c r="X76" s="2"/>
      <c r="Y76" s="2"/>
      <c r="Z76" s="2"/>
    </row>
    <row r="77" ht="12.75" customHeight="1">
      <c r="A77" s="2"/>
      <c r="B77" s="8" t="s">
        <v>84</v>
      </c>
      <c r="C77" s="8" t="s">
        <v>27</v>
      </c>
      <c r="D77" s="8">
        <v>14.0</v>
      </c>
      <c r="E77" s="20">
        <v>27.0</v>
      </c>
      <c r="F77" s="20">
        <v>0.0</v>
      </c>
      <c r="G77" s="20">
        <v>0.0</v>
      </c>
      <c r="H77" s="21">
        <v>0.0</v>
      </c>
      <c r="I77" s="20">
        <v>9.0</v>
      </c>
      <c r="J77" s="20">
        <v>0.0</v>
      </c>
      <c r="K77" s="20">
        <f t="shared" si="1"/>
        <v>9</v>
      </c>
      <c r="L77" s="20">
        <v>18.0</v>
      </c>
      <c r="M77" s="20">
        <v>21.3333333333333</v>
      </c>
      <c r="N77" s="22">
        <v>24.0</v>
      </c>
      <c r="O77" s="20">
        <f t="shared" si="10"/>
        <v>56.88888889</v>
      </c>
      <c r="P77" s="39">
        <v>2.0</v>
      </c>
      <c r="Q77" s="20">
        <v>15.0</v>
      </c>
      <c r="R77" s="20">
        <v>15.0</v>
      </c>
      <c r="S77" s="20">
        <v>0.0</v>
      </c>
      <c r="T77" s="2"/>
      <c r="U77" s="2">
        <v>604345.0</v>
      </c>
      <c r="V77" s="40">
        <f t="shared" si="3"/>
        <v>5439105</v>
      </c>
      <c r="W77" s="40">
        <f t="shared" si="4"/>
        <v>12892693.33</v>
      </c>
      <c r="X77" s="2"/>
      <c r="Y77" s="2"/>
      <c r="Z77" s="2"/>
    </row>
    <row r="78" ht="12.75" customHeight="1">
      <c r="A78" s="2"/>
      <c r="B78" s="43" t="s">
        <v>137</v>
      </c>
      <c r="C78" s="8" t="s">
        <v>27</v>
      </c>
      <c r="D78" s="8">
        <v>14.0</v>
      </c>
      <c r="E78" s="20">
        <v>81.0</v>
      </c>
      <c r="F78" s="20">
        <v>0.0</v>
      </c>
      <c r="G78" s="20">
        <v>0.0</v>
      </c>
      <c r="H78" s="21">
        <v>0.0</v>
      </c>
      <c r="I78" s="20">
        <v>42.0</v>
      </c>
      <c r="J78" s="20">
        <v>0.0</v>
      </c>
      <c r="K78" s="20">
        <f t="shared" si="1"/>
        <v>42</v>
      </c>
      <c r="L78" s="20">
        <v>39.0</v>
      </c>
      <c r="M78" s="20">
        <v>63.0</v>
      </c>
      <c r="N78" s="22">
        <v>24.0</v>
      </c>
      <c r="O78" s="20">
        <f t="shared" si="10"/>
        <v>36</v>
      </c>
      <c r="P78" s="39">
        <v>0.9285714285714286</v>
      </c>
      <c r="Q78" s="20">
        <v>7.0</v>
      </c>
      <c r="R78" s="20">
        <v>0.0</v>
      </c>
      <c r="S78" s="20">
        <v>0.0</v>
      </c>
      <c r="T78" s="2"/>
      <c r="U78" s="2">
        <v>597835.0</v>
      </c>
      <c r="V78" s="40">
        <f t="shared" si="3"/>
        <v>25109070</v>
      </c>
      <c r="W78" s="40">
        <f t="shared" si="4"/>
        <v>37663605</v>
      </c>
      <c r="X78" s="2"/>
      <c r="Y78" s="2"/>
      <c r="Z78" s="2"/>
    </row>
    <row r="79" ht="12.75" customHeight="1">
      <c r="A79" s="2"/>
      <c r="B79" s="8" t="s">
        <v>85</v>
      </c>
      <c r="C79" s="8" t="s">
        <v>27</v>
      </c>
      <c r="D79" s="8">
        <v>14.0</v>
      </c>
      <c r="E79" s="20">
        <v>0.0</v>
      </c>
      <c r="F79" s="20">
        <v>1027.49</v>
      </c>
      <c r="G79" s="20">
        <v>0.0</v>
      </c>
      <c r="H79" s="21">
        <v>0.0</v>
      </c>
      <c r="I79" s="20">
        <v>576.0</v>
      </c>
      <c r="J79" s="20">
        <v>0.0</v>
      </c>
      <c r="K79" s="20">
        <f t="shared" si="1"/>
        <v>576</v>
      </c>
      <c r="L79" s="20">
        <v>451.49</v>
      </c>
      <c r="M79" s="20">
        <v>638.2483333333331</v>
      </c>
      <c r="N79" s="22">
        <v>24.0</v>
      </c>
      <c r="O79" s="20">
        <f t="shared" si="10"/>
        <v>26.59368056</v>
      </c>
      <c r="P79" s="39">
        <v>0.7838368055555556</v>
      </c>
      <c r="Q79" s="20">
        <v>71.0</v>
      </c>
      <c r="R79" s="20">
        <v>0.0</v>
      </c>
      <c r="S79" s="20">
        <v>0.0</v>
      </c>
      <c r="T79" s="2"/>
      <c r="U79" s="2">
        <v>597835.0</v>
      </c>
      <c r="V79" s="40">
        <f t="shared" si="3"/>
        <v>344352960</v>
      </c>
      <c r="W79" s="40">
        <f t="shared" si="4"/>
        <v>381567192.4</v>
      </c>
      <c r="X79" s="2"/>
      <c r="Y79" s="2"/>
      <c r="Z79" s="2"/>
    </row>
    <row r="80" ht="12.75" customHeight="1">
      <c r="A80" s="2"/>
      <c r="B80" s="8" t="s">
        <v>114</v>
      </c>
      <c r="C80" s="8" t="s">
        <v>27</v>
      </c>
      <c r="D80" s="8">
        <v>14.0</v>
      </c>
      <c r="E80" s="20">
        <v>494.0</v>
      </c>
      <c r="F80" s="20">
        <v>616.0</v>
      </c>
      <c r="G80" s="20">
        <v>0.0</v>
      </c>
      <c r="H80" s="21">
        <v>0.0</v>
      </c>
      <c r="I80" s="20">
        <v>499.0</v>
      </c>
      <c r="J80" s="20">
        <v>0.0</v>
      </c>
      <c r="K80" s="20">
        <f t="shared" si="1"/>
        <v>499</v>
      </c>
      <c r="L80" s="20">
        <v>611.0</v>
      </c>
      <c r="M80" s="20">
        <v>525.2</v>
      </c>
      <c r="N80" s="22">
        <v>24.0</v>
      </c>
      <c r="O80" s="20">
        <f t="shared" si="10"/>
        <v>25.26012024</v>
      </c>
      <c r="P80" s="39">
        <v>1.2244488977955912</v>
      </c>
      <c r="Q80" s="20">
        <v>17.27</v>
      </c>
      <c r="R80" s="20">
        <v>1200.0</v>
      </c>
      <c r="S80" s="20">
        <v>0.0</v>
      </c>
      <c r="T80" s="2"/>
      <c r="U80" s="2">
        <v>597835.0</v>
      </c>
      <c r="V80" s="40">
        <f t="shared" si="3"/>
        <v>298319665</v>
      </c>
      <c r="W80" s="40">
        <f t="shared" si="4"/>
        <v>313982942</v>
      </c>
      <c r="X80" s="2"/>
      <c r="Y80" s="2"/>
      <c r="Z80" s="2"/>
    </row>
    <row r="81" ht="12.75" customHeight="1">
      <c r="A81" s="2"/>
      <c r="B81" s="8" t="s">
        <v>86</v>
      </c>
      <c r="C81" s="8" t="s">
        <v>27</v>
      </c>
      <c r="D81" s="8">
        <v>14.0</v>
      </c>
      <c r="E81" s="20">
        <v>287.0</v>
      </c>
      <c r="F81" s="20">
        <v>400.0</v>
      </c>
      <c r="G81" s="20">
        <v>0.0</v>
      </c>
      <c r="H81" s="21">
        <v>0.0</v>
      </c>
      <c r="I81" s="20">
        <v>489.0</v>
      </c>
      <c r="J81" s="20">
        <v>0.0</v>
      </c>
      <c r="K81" s="20">
        <f t="shared" si="1"/>
        <v>489</v>
      </c>
      <c r="L81" s="20">
        <v>198.0</v>
      </c>
      <c r="M81" s="20">
        <v>391.61538461538504</v>
      </c>
      <c r="N81" s="22">
        <v>24.0</v>
      </c>
      <c r="O81" s="20">
        <f t="shared" si="10"/>
        <v>19.22038697</v>
      </c>
      <c r="P81" s="39">
        <v>0.4049079754601227</v>
      </c>
      <c r="Q81" s="20">
        <v>106.0</v>
      </c>
      <c r="R81" s="20">
        <v>450.0</v>
      </c>
      <c r="S81" s="20">
        <v>0.0</v>
      </c>
      <c r="T81" s="2"/>
      <c r="U81" s="2">
        <v>937285.0</v>
      </c>
      <c r="V81" s="40">
        <f t="shared" si="3"/>
        <v>458332365</v>
      </c>
      <c r="W81" s="40">
        <f t="shared" si="4"/>
        <v>367055225.8</v>
      </c>
      <c r="X81" s="2"/>
      <c r="Y81" s="2"/>
      <c r="Z81" s="2"/>
    </row>
    <row r="82" ht="12.75" customHeight="1">
      <c r="A82" s="2"/>
      <c r="B82" s="8" t="s">
        <v>150</v>
      </c>
      <c r="C82" s="8" t="s">
        <v>27</v>
      </c>
      <c r="D82" s="8">
        <v>14.0</v>
      </c>
      <c r="E82" s="20">
        <v>240.0</v>
      </c>
      <c r="F82" s="20">
        <v>573.0</v>
      </c>
      <c r="G82" s="20">
        <v>0.0</v>
      </c>
      <c r="H82" s="21">
        <v>0.0</v>
      </c>
      <c r="I82" s="20">
        <v>347.0</v>
      </c>
      <c r="J82" s="20">
        <v>186.0</v>
      </c>
      <c r="K82" s="20">
        <f t="shared" si="1"/>
        <v>533</v>
      </c>
      <c r="L82" s="20">
        <v>280.0</v>
      </c>
      <c r="M82" s="20">
        <v>338.83333333333303</v>
      </c>
      <c r="N82" s="22">
        <v>24.0</v>
      </c>
      <c r="O82" s="20">
        <f t="shared" si="10"/>
        <v>15.25703565</v>
      </c>
      <c r="P82" s="39">
        <v>0.525328330206379</v>
      </c>
      <c r="Q82" s="20">
        <v>23.06</v>
      </c>
      <c r="R82" s="20">
        <v>202.0</v>
      </c>
      <c r="S82" s="20">
        <v>0.0</v>
      </c>
      <c r="T82" s="2"/>
      <c r="U82" s="2">
        <v>1402595.0</v>
      </c>
      <c r="V82" s="40">
        <f t="shared" si="3"/>
        <v>747583135</v>
      </c>
      <c r="W82" s="40">
        <f t="shared" si="4"/>
        <v>475245939.2</v>
      </c>
      <c r="X82" s="2"/>
      <c r="Y82" s="2"/>
      <c r="Z82" s="2"/>
    </row>
    <row r="83" ht="12.75" customHeight="1">
      <c r="A83" s="2"/>
      <c r="B83" s="8" t="s">
        <v>161</v>
      </c>
      <c r="C83" s="8" t="s">
        <v>27</v>
      </c>
      <c r="D83" s="8">
        <v>14.0</v>
      </c>
      <c r="E83" s="20">
        <v>127.0</v>
      </c>
      <c r="F83" s="20">
        <v>0.0</v>
      </c>
      <c r="G83" s="20">
        <v>0.0</v>
      </c>
      <c r="H83" s="21">
        <v>0.0</v>
      </c>
      <c r="I83" s="20">
        <v>0.0</v>
      </c>
      <c r="J83" s="20">
        <v>66.0</v>
      </c>
      <c r="K83" s="20">
        <f t="shared" si="1"/>
        <v>66</v>
      </c>
      <c r="L83" s="20">
        <v>61.0</v>
      </c>
      <c r="M83" s="20">
        <v>76.0</v>
      </c>
      <c r="N83" s="22">
        <v>24.0</v>
      </c>
      <c r="O83" s="20">
        <f t="shared" si="10"/>
        <v>27.63636364</v>
      </c>
      <c r="P83" s="39">
        <v>0.9242424242424242</v>
      </c>
      <c r="Q83" s="20">
        <v>253.0</v>
      </c>
      <c r="R83" s="20">
        <v>0.0</v>
      </c>
      <c r="S83" s="20">
        <v>0.0</v>
      </c>
      <c r="T83" s="2"/>
      <c r="U83" s="2">
        <v>1402595.0</v>
      </c>
      <c r="V83" s="40">
        <f t="shared" si="3"/>
        <v>92571270</v>
      </c>
      <c r="W83" s="40">
        <f t="shared" si="4"/>
        <v>106597220</v>
      </c>
      <c r="X83" s="2"/>
      <c r="Y83" s="2"/>
      <c r="Z83" s="2"/>
    </row>
    <row r="84" ht="12.75" customHeight="1">
      <c r="A84" s="2"/>
      <c r="B84" s="8" t="s">
        <v>138</v>
      </c>
      <c r="C84" s="8" t="s">
        <v>27</v>
      </c>
      <c r="D84" s="8">
        <v>14.0</v>
      </c>
      <c r="E84" s="20">
        <v>18.0</v>
      </c>
      <c r="F84" s="20">
        <v>51.0</v>
      </c>
      <c r="G84" s="20">
        <v>0.0</v>
      </c>
      <c r="H84" s="21">
        <v>0.0</v>
      </c>
      <c r="I84" s="20">
        <v>27.0</v>
      </c>
      <c r="J84" s="20">
        <v>0.0</v>
      </c>
      <c r="K84" s="20">
        <f t="shared" si="1"/>
        <v>27</v>
      </c>
      <c r="L84" s="20">
        <v>42.0</v>
      </c>
      <c r="M84" s="20">
        <v>26.8125</v>
      </c>
      <c r="N84" s="22">
        <v>24.0</v>
      </c>
      <c r="O84" s="20">
        <f t="shared" si="10"/>
        <v>23.83333333</v>
      </c>
      <c r="P84" s="39">
        <v>1.5555555555555556</v>
      </c>
      <c r="Q84" s="20">
        <v>0.0</v>
      </c>
      <c r="R84" s="20">
        <v>0.0</v>
      </c>
      <c r="S84" s="20">
        <v>0.0</v>
      </c>
      <c r="T84" s="2"/>
      <c r="U84" s="2">
        <v>1.0957105E7</v>
      </c>
      <c r="V84" s="40">
        <f t="shared" si="3"/>
        <v>295841835</v>
      </c>
      <c r="W84" s="40">
        <f t="shared" si="4"/>
        <v>293787377.8</v>
      </c>
      <c r="X84" s="2"/>
      <c r="Y84" s="2"/>
      <c r="Z84" s="2"/>
    </row>
    <row r="85" ht="12.75" customHeight="1">
      <c r="A85" s="2"/>
      <c r="B85" s="8" t="s">
        <v>151</v>
      </c>
      <c r="C85" s="8" t="s">
        <v>27</v>
      </c>
      <c r="D85" s="8">
        <v>14.0</v>
      </c>
      <c r="E85" s="20">
        <v>42.0</v>
      </c>
      <c r="F85" s="20">
        <v>210.0</v>
      </c>
      <c r="G85" s="20">
        <v>0.0</v>
      </c>
      <c r="H85" s="21">
        <v>0.0</v>
      </c>
      <c r="I85" s="20">
        <v>65.0</v>
      </c>
      <c r="J85" s="20">
        <v>0.0</v>
      </c>
      <c r="K85" s="20">
        <f t="shared" si="1"/>
        <v>65</v>
      </c>
      <c r="L85" s="20">
        <v>187.0</v>
      </c>
      <c r="M85" s="20">
        <v>65.8</v>
      </c>
      <c r="N85" s="22">
        <v>24.0</v>
      </c>
      <c r="O85" s="20">
        <f t="shared" si="10"/>
        <v>24.29538462</v>
      </c>
      <c r="P85" s="39">
        <v>2.876923076923077</v>
      </c>
      <c r="Q85" s="20">
        <v>0.0</v>
      </c>
      <c r="R85" s="20">
        <v>0.0</v>
      </c>
      <c r="S85" s="20">
        <v>0.0</v>
      </c>
      <c r="T85" s="2"/>
      <c r="U85" s="2">
        <v>1372215.0</v>
      </c>
      <c r="V85" s="40">
        <f t="shared" si="3"/>
        <v>89193975</v>
      </c>
      <c r="W85" s="40">
        <f t="shared" si="4"/>
        <v>90291747</v>
      </c>
      <c r="X85" s="2"/>
      <c r="Y85" s="2"/>
      <c r="Z85" s="2"/>
    </row>
    <row r="86" ht="12.75" customHeight="1">
      <c r="A86" s="2"/>
      <c r="B86" s="8" t="s">
        <v>88</v>
      </c>
      <c r="C86" s="8" t="s">
        <v>27</v>
      </c>
      <c r="D86" s="8">
        <v>14.0</v>
      </c>
      <c r="E86" s="20">
        <v>101.0</v>
      </c>
      <c r="F86" s="20">
        <v>0.0</v>
      </c>
      <c r="G86" s="20">
        <v>0.0</v>
      </c>
      <c r="H86" s="21">
        <v>0.0</v>
      </c>
      <c r="I86" s="20">
        <v>19.0</v>
      </c>
      <c r="J86" s="20">
        <v>0.0</v>
      </c>
      <c r="K86" s="20">
        <f t="shared" si="1"/>
        <v>19</v>
      </c>
      <c r="L86" s="20">
        <v>82.0</v>
      </c>
      <c r="M86" s="20">
        <v>82.0</v>
      </c>
      <c r="N86" s="22">
        <v>24.0</v>
      </c>
      <c r="O86" s="20">
        <f t="shared" si="10"/>
        <v>103.5789474</v>
      </c>
      <c r="P86" s="39">
        <v>4.315789473684211</v>
      </c>
      <c r="Q86" s="20">
        <v>0.0</v>
      </c>
      <c r="R86" s="20">
        <v>0.0</v>
      </c>
      <c r="S86" s="20">
        <v>0.0</v>
      </c>
      <c r="T86" s="2"/>
      <c r="U86" s="2">
        <v>1027805.0</v>
      </c>
      <c r="V86" s="40">
        <f t="shared" si="3"/>
        <v>19528295</v>
      </c>
      <c r="W86" s="40">
        <f t="shared" si="4"/>
        <v>84280010</v>
      </c>
      <c r="X86" s="2"/>
      <c r="Y86" s="2"/>
      <c r="Z86" s="2"/>
    </row>
    <row r="87" ht="12.75" customHeight="1">
      <c r="A87" s="2"/>
      <c r="B87" s="8" t="s">
        <v>115</v>
      </c>
      <c r="C87" s="8" t="s">
        <v>27</v>
      </c>
      <c r="D87" s="8">
        <v>14.0</v>
      </c>
      <c r="E87" s="20">
        <v>61.0</v>
      </c>
      <c r="F87" s="20">
        <v>0.0</v>
      </c>
      <c r="G87" s="20">
        <v>0.0</v>
      </c>
      <c r="H87" s="21">
        <v>0.0</v>
      </c>
      <c r="I87" s="20">
        <v>0.0</v>
      </c>
      <c r="J87" s="20">
        <v>8.0</v>
      </c>
      <c r="K87" s="20">
        <f t="shared" si="1"/>
        <v>8</v>
      </c>
      <c r="L87" s="20">
        <v>53.0</v>
      </c>
      <c r="M87" s="20">
        <v>55.0</v>
      </c>
      <c r="N87" s="22">
        <v>24.0</v>
      </c>
      <c r="O87" s="20">
        <f t="shared" si="10"/>
        <v>165</v>
      </c>
      <c r="P87" s="39">
        <v>6.625</v>
      </c>
      <c r="Q87" s="20">
        <v>0.0</v>
      </c>
      <c r="R87" s="20">
        <v>0.0</v>
      </c>
      <c r="S87" s="20">
        <v>0.0</v>
      </c>
      <c r="T87" s="2"/>
      <c r="U87" s="2">
        <v>746480.0</v>
      </c>
      <c r="V87" s="40">
        <f t="shared" si="3"/>
        <v>5971840</v>
      </c>
      <c r="W87" s="40">
        <f t="shared" si="4"/>
        <v>41056400</v>
      </c>
      <c r="X87" s="2"/>
      <c r="Y87" s="2"/>
      <c r="Z87" s="2"/>
    </row>
    <row r="88" ht="12.75" customHeight="1">
      <c r="A88" s="2"/>
      <c r="B88" s="8" t="s">
        <v>90</v>
      </c>
      <c r="C88" s="8" t="s">
        <v>27</v>
      </c>
      <c r="D88" s="8">
        <v>14.0</v>
      </c>
      <c r="E88" s="20">
        <v>216.0</v>
      </c>
      <c r="F88" s="20">
        <v>403.0</v>
      </c>
      <c r="G88" s="20">
        <v>0.0</v>
      </c>
      <c r="H88" s="21">
        <v>0.0</v>
      </c>
      <c r="I88" s="20">
        <v>352.0</v>
      </c>
      <c r="J88" s="20">
        <v>206.0</v>
      </c>
      <c r="K88" s="20">
        <f t="shared" si="1"/>
        <v>558</v>
      </c>
      <c r="L88" s="20">
        <v>61.0</v>
      </c>
      <c r="M88" s="20">
        <v>239.076923076923</v>
      </c>
      <c r="N88" s="22">
        <v>24.0</v>
      </c>
      <c r="O88" s="20">
        <f t="shared" si="10"/>
        <v>10.28287841</v>
      </c>
      <c r="P88" s="39">
        <v>0.10931899641577061</v>
      </c>
      <c r="Q88" s="20">
        <v>305.0</v>
      </c>
      <c r="R88" s="20">
        <v>595.0</v>
      </c>
      <c r="S88" s="20">
        <v>0.0</v>
      </c>
      <c r="T88" s="2"/>
      <c r="U88" s="2">
        <v>1372215.0</v>
      </c>
      <c r="V88" s="40">
        <f t="shared" si="3"/>
        <v>765695970</v>
      </c>
      <c r="W88" s="40">
        <f t="shared" si="4"/>
        <v>328064940</v>
      </c>
      <c r="X88" s="2"/>
      <c r="Y88" s="2"/>
      <c r="Z88" s="2"/>
    </row>
    <row r="89" ht="12.75" customHeight="1">
      <c r="A89" s="2"/>
      <c r="B89" s="8" t="s">
        <v>91</v>
      </c>
      <c r="C89" s="8" t="s">
        <v>27</v>
      </c>
      <c r="D89" s="8">
        <v>14.0</v>
      </c>
      <c r="E89" s="20">
        <v>54.0</v>
      </c>
      <c r="F89" s="20">
        <v>16.0</v>
      </c>
      <c r="G89" s="20">
        <v>0.0</v>
      </c>
      <c r="H89" s="21">
        <v>0.0</v>
      </c>
      <c r="I89" s="20">
        <v>22.0</v>
      </c>
      <c r="J89" s="20">
        <v>0.0</v>
      </c>
      <c r="K89" s="20">
        <f t="shared" si="1"/>
        <v>22</v>
      </c>
      <c r="L89" s="20">
        <v>48.0</v>
      </c>
      <c r="M89" s="20">
        <v>50.6666666666667</v>
      </c>
      <c r="N89" s="22">
        <v>24.0</v>
      </c>
      <c r="O89" s="20">
        <f t="shared" si="10"/>
        <v>55.27272727</v>
      </c>
      <c r="P89" s="39">
        <v>2.1818181818181817</v>
      </c>
      <c r="Q89" s="20">
        <v>0.0</v>
      </c>
      <c r="R89" s="20">
        <v>0.0</v>
      </c>
      <c r="S89" s="20">
        <v>0.0</v>
      </c>
      <c r="T89" s="2"/>
      <c r="U89" s="2">
        <v>6276182.5</v>
      </c>
      <c r="V89" s="40">
        <f t="shared" si="3"/>
        <v>138076015</v>
      </c>
      <c r="W89" s="40">
        <f t="shared" si="4"/>
        <v>317993246.7</v>
      </c>
      <c r="X89" s="2"/>
      <c r="Y89" s="2"/>
      <c r="Z89" s="2"/>
    </row>
    <row r="90" ht="12.75" customHeight="1">
      <c r="A90" s="2"/>
      <c r="B90" s="43" t="s">
        <v>140</v>
      </c>
      <c r="C90" s="8" t="s">
        <v>27</v>
      </c>
      <c r="D90" s="8">
        <v>14.0</v>
      </c>
      <c r="E90" s="20">
        <v>69.0</v>
      </c>
      <c r="F90" s="20">
        <v>0.0</v>
      </c>
      <c r="G90" s="20">
        <v>0.0</v>
      </c>
      <c r="H90" s="21">
        <v>0.0</v>
      </c>
      <c r="I90" s="20">
        <v>27.0</v>
      </c>
      <c r="J90" s="20">
        <v>42.0</v>
      </c>
      <c r="K90" s="20">
        <f t="shared" si="1"/>
        <v>69</v>
      </c>
      <c r="L90" s="20">
        <v>0.0</v>
      </c>
      <c r="M90" s="20">
        <v>47.2857142857143</v>
      </c>
      <c r="N90" s="22">
        <v>24.0</v>
      </c>
      <c r="O90" s="20">
        <f t="shared" si="10"/>
        <v>16.44720497</v>
      </c>
      <c r="P90" s="39">
        <v>0.0</v>
      </c>
      <c r="Q90" s="20">
        <v>0.0</v>
      </c>
      <c r="R90" s="20">
        <v>0.0</v>
      </c>
      <c r="S90" s="20">
        <v>0.0</v>
      </c>
      <c r="T90" s="2"/>
      <c r="U90" s="2">
        <v>6276182.5</v>
      </c>
      <c r="V90" s="40">
        <f t="shared" si="3"/>
        <v>433056592.5</v>
      </c>
      <c r="W90" s="40">
        <f t="shared" si="4"/>
        <v>296773772.5</v>
      </c>
      <c r="X90" s="2"/>
      <c r="Y90" s="2"/>
      <c r="Z90" s="2"/>
    </row>
    <row r="91" ht="12.75" customHeight="1">
      <c r="A91" s="2"/>
      <c r="B91" s="8" t="s">
        <v>92</v>
      </c>
      <c r="C91" s="8" t="s">
        <v>27</v>
      </c>
      <c r="D91" s="8">
        <v>14.0</v>
      </c>
      <c r="E91" s="20">
        <v>0.0</v>
      </c>
      <c r="F91" s="20">
        <v>150.0</v>
      </c>
      <c r="G91" s="20">
        <v>0.0</v>
      </c>
      <c r="H91" s="21">
        <v>0.0</v>
      </c>
      <c r="I91" s="20">
        <v>94.0</v>
      </c>
      <c r="J91" s="20">
        <v>0.0</v>
      </c>
      <c r="K91" s="20">
        <f t="shared" si="1"/>
        <v>94</v>
      </c>
      <c r="L91" s="20">
        <v>56.0</v>
      </c>
      <c r="M91" s="20">
        <v>106.0</v>
      </c>
      <c r="N91" s="22">
        <v>24.0</v>
      </c>
      <c r="O91" s="20">
        <f t="shared" si="10"/>
        <v>27.06382979</v>
      </c>
      <c r="P91" s="39">
        <v>0.5957446808510638</v>
      </c>
      <c r="Q91" s="20">
        <v>0.0</v>
      </c>
      <c r="R91" s="20">
        <v>100.0</v>
      </c>
      <c r="S91" s="20">
        <v>0.0</v>
      </c>
      <c r="T91" s="2"/>
      <c r="U91" s="2">
        <v>848935.0</v>
      </c>
      <c r="V91" s="40">
        <f t="shared" si="3"/>
        <v>79799890</v>
      </c>
      <c r="W91" s="40">
        <f t="shared" si="4"/>
        <v>89987110</v>
      </c>
      <c r="X91" s="2"/>
      <c r="Y91" s="2"/>
      <c r="Z91" s="2"/>
    </row>
    <row r="92" ht="12.75" customHeight="1">
      <c r="A92" s="2"/>
      <c r="B92" s="8" t="s">
        <v>139</v>
      </c>
      <c r="C92" s="8" t="s">
        <v>27</v>
      </c>
      <c r="D92" s="8">
        <v>14.0</v>
      </c>
      <c r="E92" s="20">
        <v>225.0</v>
      </c>
      <c r="F92" s="20">
        <v>357.0</v>
      </c>
      <c r="G92" s="20">
        <v>0.0</v>
      </c>
      <c r="H92" s="21">
        <v>0.0</v>
      </c>
      <c r="I92" s="20">
        <v>72.0</v>
      </c>
      <c r="J92" s="20">
        <v>413.0</v>
      </c>
      <c r="K92" s="20">
        <f t="shared" si="1"/>
        <v>485</v>
      </c>
      <c r="L92" s="20">
        <v>97.0</v>
      </c>
      <c r="M92" s="20">
        <v>103.666666666667</v>
      </c>
      <c r="N92" s="22">
        <v>24.0</v>
      </c>
      <c r="O92" s="20">
        <f t="shared" si="10"/>
        <v>5.129896907</v>
      </c>
      <c r="P92" s="39">
        <v>0.2</v>
      </c>
      <c r="Q92" s="20">
        <v>0.0</v>
      </c>
      <c r="R92" s="20">
        <v>152.0</v>
      </c>
      <c r="S92" s="20">
        <v>0.0</v>
      </c>
      <c r="T92" s="2"/>
      <c r="U92" s="2">
        <v>923955.0</v>
      </c>
      <c r="V92" s="40">
        <f t="shared" si="3"/>
        <v>448118175</v>
      </c>
      <c r="W92" s="40">
        <f t="shared" si="4"/>
        <v>95783335</v>
      </c>
      <c r="X92" s="2"/>
      <c r="Y92" s="2"/>
      <c r="Z92" s="2"/>
    </row>
    <row r="93" ht="12.75" customHeight="1">
      <c r="A93" s="2"/>
      <c r="B93" s="44" t="s">
        <v>162</v>
      </c>
      <c r="C93" s="8" t="s">
        <v>27</v>
      </c>
      <c r="D93" s="8">
        <v>14.0</v>
      </c>
      <c r="E93" s="20">
        <v>0.0</v>
      </c>
      <c r="F93" s="20">
        <v>105.0</v>
      </c>
      <c r="G93" s="20">
        <v>0.0</v>
      </c>
      <c r="H93" s="21">
        <v>0.0</v>
      </c>
      <c r="I93" s="20">
        <v>0.0</v>
      </c>
      <c r="J93" s="20">
        <v>0.0</v>
      </c>
      <c r="K93" s="20">
        <f t="shared" si="1"/>
        <v>0</v>
      </c>
      <c r="L93" s="20">
        <v>105.0</v>
      </c>
      <c r="M93" s="20">
        <v>105.0</v>
      </c>
      <c r="N93" s="22">
        <v>24.0</v>
      </c>
      <c r="O93" s="20">
        <v>0.0</v>
      </c>
      <c r="P93" s="39">
        <v>0.0</v>
      </c>
      <c r="Q93" s="20">
        <v>0.0</v>
      </c>
      <c r="R93" s="20">
        <v>100.0</v>
      </c>
      <c r="S93" s="20">
        <v>0.0</v>
      </c>
      <c r="T93" s="2"/>
      <c r="U93" s="2">
        <v>923955.0</v>
      </c>
      <c r="V93" s="40">
        <f t="shared" si="3"/>
        <v>0</v>
      </c>
      <c r="W93" s="40">
        <f t="shared" si="4"/>
        <v>97015275</v>
      </c>
      <c r="X93" s="2"/>
      <c r="Y93" s="2"/>
      <c r="Z93" s="2"/>
    </row>
    <row r="94" ht="12.75" customHeight="1">
      <c r="A94" s="2"/>
      <c r="B94" s="8" t="s">
        <v>117</v>
      </c>
      <c r="C94" s="8" t="s">
        <v>27</v>
      </c>
      <c r="D94" s="8">
        <v>14.0</v>
      </c>
      <c r="E94" s="20">
        <v>78.0</v>
      </c>
      <c r="F94" s="20">
        <v>0.0</v>
      </c>
      <c r="G94" s="20">
        <v>0.0</v>
      </c>
      <c r="H94" s="21">
        <v>0.0</v>
      </c>
      <c r="I94" s="20">
        <v>78.0</v>
      </c>
      <c r="J94" s="20">
        <v>0.0</v>
      </c>
      <c r="K94" s="20">
        <f t="shared" si="1"/>
        <v>78</v>
      </c>
      <c r="L94" s="20">
        <v>0.0</v>
      </c>
      <c r="M94" s="20">
        <v>24.0</v>
      </c>
      <c r="N94" s="22">
        <v>24.0</v>
      </c>
      <c r="O94" s="20">
        <f t="shared" ref="O94:O100" si="11">(M94/(I94+J94))*N94</f>
        <v>7.384615385</v>
      </c>
      <c r="P94" s="39">
        <v>0.0</v>
      </c>
      <c r="Q94" s="20">
        <v>0.0</v>
      </c>
      <c r="R94" s="20">
        <v>0.0</v>
      </c>
      <c r="S94" s="20">
        <v>0.0</v>
      </c>
      <c r="T94" s="2"/>
      <c r="U94" s="2">
        <v>1345865.0</v>
      </c>
      <c r="V94" s="40">
        <f t="shared" si="3"/>
        <v>104977470</v>
      </c>
      <c r="W94" s="40">
        <f t="shared" si="4"/>
        <v>32300760</v>
      </c>
      <c r="X94" s="2"/>
      <c r="Y94" s="2"/>
      <c r="Z94" s="2"/>
    </row>
    <row r="95" ht="12.75" customHeight="1">
      <c r="A95" s="2"/>
      <c r="B95" s="8" t="s">
        <v>163</v>
      </c>
      <c r="C95" s="8" t="s">
        <v>27</v>
      </c>
      <c r="D95" s="8">
        <v>14.0</v>
      </c>
      <c r="E95" s="20">
        <v>0.0</v>
      </c>
      <c r="F95" s="20">
        <v>84.0</v>
      </c>
      <c r="G95" s="20">
        <v>0.0</v>
      </c>
      <c r="H95" s="21">
        <v>0.0</v>
      </c>
      <c r="I95" s="20">
        <v>48.0</v>
      </c>
      <c r="J95" s="20">
        <v>0.0</v>
      </c>
      <c r="K95" s="20">
        <f t="shared" si="1"/>
        <v>48</v>
      </c>
      <c r="L95" s="20">
        <v>36.0</v>
      </c>
      <c r="M95" s="20">
        <v>60.0</v>
      </c>
      <c r="N95" s="22">
        <v>24.0</v>
      </c>
      <c r="O95" s="20">
        <f t="shared" si="11"/>
        <v>30</v>
      </c>
      <c r="P95" s="39">
        <v>0.75</v>
      </c>
      <c r="Q95" s="20">
        <v>50.0</v>
      </c>
      <c r="R95" s="20">
        <v>50.0</v>
      </c>
      <c r="S95" s="20">
        <v>0.0</v>
      </c>
      <c r="T95" s="2"/>
      <c r="U95" s="2">
        <v>1345865.0</v>
      </c>
      <c r="V95" s="40">
        <f t="shared" si="3"/>
        <v>64601520</v>
      </c>
      <c r="W95" s="40">
        <f t="shared" si="4"/>
        <v>80751900</v>
      </c>
      <c r="X95" s="2"/>
      <c r="Y95" s="2"/>
      <c r="Z95" s="2"/>
    </row>
    <row r="96" ht="12.75" customHeight="1">
      <c r="A96" s="2"/>
      <c r="B96" s="8" t="s">
        <v>94</v>
      </c>
      <c r="C96" s="8" t="s">
        <v>27</v>
      </c>
      <c r="D96" s="8">
        <v>14.0</v>
      </c>
      <c r="E96" s="20">
        <v>145.0</v>
      </c>
      <c r="F96" s="20">
        <v>1156.0</v>
      </c>
      <c r="G96" s="20">
        <v>0.0</v>
      </c>
      <c r="H96" s="21">
        <v>0.0</v>
      </c>
      <c r="I96" s="20">
        <v>72.0</v>
      </c>
      <c r="J96" s="20">
        <v>978.0</v>
      </c>
      <c r="K96" s="20">
        <f t="shared" si="1"/>
        <v>1050</v>
      </c>
      <c r="L96" s="20">
        <v>251.0</v>
      </c>
      <c r="M96" s="20">
        <v>385.666666666667</v>
      </c>
      <c r="N96" s="22">
        <v>24.0</v>
      </c>
      <c r="O96" s="20">
        <f t="shared" si="11"/>
        <v>8.815238095</v>
      </c>
      <c r="P96" s="39">
        <v>0.23904761904761904</v>
      </c>
      <c r="Q96" s="20">
        <v>65.0</v>
      </c>
      <c r="R96" s="20">
        <v>700.0</v>
      </c>
      <c r="S96" s="20">
        <v>0.0</v>
      </c>
      <c r="T96" s="2"/>
      <c r="U96" s="2">
        <v>923955.0</v>
      </c>
      <c r="V96" s="40">
        <f t="shared" si="3"/>
        <v>970152750</v>
      </c>
      <c r="W96" s="40">
        <f t="shared" si="4"/>
        <v>356338645</v>
      </c>
      <c r="X96" s="2"/>
      <c r="Y96" s="2"/>
      <c r="Z96" s="2"/>
    </row>
    <row r="97" ht="12.75" customHeight="1">
      <c r="A97" s="2"/>
      <c r="B97" s="8" t="s">
        <v>141</v>
      </c>
      <c r="C97" s="8" t="s">
        <v>27</v>
      </c>
      <c r="D97" s="8">
        <v>14.0</v>
      </c>
      <c r="E97" s="20">
        <v>102.0</v>
      </c>
      <c r="F97" s="20">
        <v>0.0</v>
      </c>
      <c r="G97" s="20">
        <v>0.0</v>
      </c>
      <c r="H97" s="21">
        <v>0.0</v>
      </c>
      <c r="I97" s="20">
        <v>0.0</v>
      </c>
      <c r="J97" s="20">
        <v>102.0</v>
      </c>
      <c r="K97" s="20">
        <f t="shared" si="1"/>
        <v>102</v>
      </c>
      <c r="L97" s="20">
        <v>0.0</v>
      </c>
      <c r="M97" s="20">
        <v>0.0</v>
      </c>
      <c r="N97" s="22">
        <v>24.0</v>
      </c>
      <c r="O97" s="20">
        <f t="shared" si="11"/>
        <v>0</v>
      </c>
      <c r="P97" s="39">
        <v>0.0</v>
      </c>
      <c r="Q97" s="20">
        <v>0.0</v>
      </c>
      <c r="R97" s="20">
        <v>0.0</v>
      </c>
      <c r="S97" s="20">
        <v>0.0</v>
      </c>
      <c r="T97" s="2"/>
      <c r="U97" s="2">
        <v>923955.0</v>
      </c>
      <c r="V97" s="40">
        <f t="shared" si="3"/>
        <v>94243410</v>
      </c>
      <c r="W97" s="40">
        <f t="shared" si="4"/>
        <v>0</v>
      </c>
      <c r="X97" s="2"/>
      <c r="Y97" s="2"/>
      <c r="Z97" s="2"/>
    </row>
    <row r="98" ht="12.75" customHeight="1">
      <c r="A98" s="2"/>
      <c r="B98" s="8" t="s">
        <v>95</v>
      </c>
      <c r="C98" s="8" t="s">
        <v>27</v>
      </c>
      <c r="D98" s="8">
        <v>14.0</v>
      </c>
      <c r="E98" s="20">
        <v>15.0</v>
      </c>
      <c r="F98" s="20">
        <v>0.0</v>
      </c>
      <c r="G98" s="20">
        <v>0.0</v>
      </c>
      <c r="H98" s="21">
        <v>0.0</v>
      </c>
      <c r="I98" s="20">
        <v>15.0</v>
      </c>
      <c r="J98" s="20">
        <v>0.0</v>
      </c>
      <c r="K98" s="20">
        <f t="shared" si="1"/>
        <v>15</v>
      </c>
      <c r="L98" s="20">
        <v>0.0</v>
      </c>
      <c r="M98" s="20">
        <v>4.5</v>
      </c>
      <c r="N98" s="22">
        <v>24.0</v>
      </c>
      <c r="O98" s="20">
        <f t="shared" si="11"/>
        <v>7.2</v>
      </c>
      <c r="P98" s="39">
        <v>0.0</v>
      </c>
      <c r="Q98" s="20">
        <v>0.0</v>
      </c>
      <c r="R98" s="20">
        <v>0.0</v>
      </c>
      <c r="S98" s="20">
        <v>0.0</v>
      </c>
      <c r="T98" s="2"/>
      <c r="U98" s="2">
        <v>504524.99999999994</v>
      </c>
      <c r="V98" s="40">
        <f t="shared" si="3"/>
        <v>7567875</v>
      </c>
      <c r="W98" s="40">
        <f t="shared" si="4"/>
        <v>2270362.5</v>
      </c>
      <c r="X98" s="2"/>
      <c r="Y98" s="2"/>
      <c r="Z98" s="2"/>
    </row>
    <row r="99" ht="12.75" customHeight="1">
      <c r="A99" s="2"/>
      <c r="B99" s="8" t="s">
        <v>142</v>
      </c>
      <c r="C99" s="8" t="s">
        <v>27</v>
      </c>
      <c r="D99" s="8">
        <v>14.0</v>
      </c>
      <c r="E99" s="20">
        <v>77.0</v>
      </c>
      <c r="F99" s="20">
        <v>610.0</v>
      </c>
      <c r="G99" s="20">
        <v>0.0</v>
      </c>
      <c r="H99" s="21">
        <v>0.0</v>
      </c>
      <c r="I99" s="20">
        <v>582.0</v>
      </c>
      <c r="J99" s="20">
        <v>0.0</v>
      </c>
      <c r="K99" s="20">
        <f t="shared" si="1"/>
        <v>582</v>
      </c>
      <c r="L99" s="20">
        <v>105.0</v>
      </c>
      <c r="M99" s="20">
        <v>257.75</v>
      </c>
      <c r="N99" s="22">
        <v>24.0</v>
      </c>
      <c r="O99" s="20">
        <f t="shared" si="11"/>
        <v>10.62886598</v>
      </c>
      <c r="P99" s="39">
        <v>0.18041237113402062</v>
      </c>
      <c r="Q99" s="20">
        <v>0.0</v>
      </c>
      <c r="R99" s="20">
        <v>1200.0</v>
      </c>
      <c r="S99" s="20">
        <v>0.0</v>
      </c>
      <c r="T99" s="2"/>
      <c r="U99" s="2">
        <v>848935.0</v>
      </c>
      <c r="V99" s="40">
        <f t="shared" si="3"/>
        <v>494080170</v>
      </c>
      <c r="W99" s="40">
        <f t="shared" si="4"/>
        <v>218812996.3</v>
      </c>
      <c r="X99" s="4" t="s">
        <v>164</v>
      </c>
      <c r="Y99" s="2"/>
      <c r="Z99" s="2"/>
    </row>
    <row r="100" ht="18.75" customHeight="1">
      <c r="A100" s="31"/>
      <c r="B100" s="25" t="s">
        <v>98</v>
      </c>
      <c r="C100" s="26"/>
      <c r="D100" s="26"/>
      <c r="E100" s="27">
        <f t="shared" ref="E100:M100" si="12">SUM(E4:E99)</f>
        <v>17513.23</v>
      </c>
      <c r="F100" s="27">
        <f t="shared" si="12"/>
        <v>22857.49</v>
      </c>
      <c r="G100" s="27">
        <f t="shared" si="12"/>
        <v>0</v>
      </c>
      <c r="H100" s="27">
        <f t="shared" si="12"/>
        <v>0</v>
      </c>
      <c r="I100" s="42">
        <f t="shared" si="12"/>
        <v>8220</v>
      </c>
      <c r="J100" s="42">
        <f t="shared" si="12"/>
        <v>12667</v>
      </c>
      <c r="K100" s="42">
        <f t="shared" si="12"/>
        <v>20887</v>
      </c>
      <c r="L100" s="42">
        <f t="shared" si="12"/>
        <v>19483.72</v>
      </c>
      <c r="M100" s="42">
        <f t="shared" si="12"/>
        <v>19781.81026</v>
      </c>
      <c r="N100" s="28">
        <v>24.0</v>
      </c>
      <c r="O100" s="28">
        <f t="shared" si="11"/>
        <v>22.7300927</v>
      </c>
      <c r="P100" s="41">
        <f>+L100/($I100+$J100)*$N$4</f>
        <v>22.38757505</v>
      </c>
      <c r="Q100" s="27">
        <f t="shared" ref="Q100:S100" si="13">SUM(Q4:Q99)</f>
        <v>2532.56</v>
      </c>
      <c r="R100" s="27">
        <f t="shared" si="13"/>
        <v>11735</v>
      </c>
      <c r="S100" s="27">
        <f t="shared" si="13"/>
        <v>320</v>
      </c>
      <c r="T100" s="31"/>
      <c r="U100" s="2"/>
      <c r="V100" s="42">
        <f t="shared" ref="V100:W100" si="14">SUM(V4:V99)</f>
        <v>19789186639</v>
      </c>
      <c r="W100" s="42">
        <f t="shared" si="14"/>
        <v>15799223178</v>
      </c>
      <c r="X100" s="27">
        <f>(W100/V100)*N99</f>
        <v>19.16103795</v>
      </c>
      <c r="Y100" s="31"/>
      <c r="Z100" s="31"/>
    </row>
    <row r="101" ht="18.75" customHeight="1">
      <c r="A101" s="2"/>
      <c r="B101" s="1"/>
      <c r="C101" s="2"/>
      <c r="D101" s="2"/>
      <c r="E101" s="33"/>
      <c r="F101" s="33"/>
      <c r="G101" s="33"/>
      <c r="H101" s="33"/>
      <c r="I101" s="33">
        <f>I100+J100</f>
        <v>20887</v>
      </c>
      <c r="J101" s="33"/>
      <c r="K101" s="20"/>
      <c r="L101" s="33"/>
      <c r="M101" s="33"/>
      <c r="N101" s="3"/>
      <c r="O101" s="33"/>
      <c r="P101" s="33"/>
      <c r="Q101" s="34"/>
      <c r="R101" s="33"/>
      <c r="S101" s="33"/>
      <c r="T101" s="33"/>
      <c r="U101" s="2"/>
      <c r="V101" s="2"/>
      <c r="W101" s="2"/>
      <c r="X101" s="2"/>
      <c r="Y101" s="2"/>
      <c r="Z101" s="2"/>
    </row>
    <row r="102" ht="12.75" customHeight="1">
      <c r="A102" s="2"/>
      <c r="B102" s="2" t="s">
        <v>99</v>
      </c>
      <c r="C102" s="35">
        <v>24.9</v>
      </c>
      <c r="D102" s="2" t="s">
        <v>100</v>
      </c>
      <c r="E102" s="2"/>
      <c r="F102" s="2"/>
      <c r="G102" s="2"/>
      <c r="H102" s="2"/>
      <c r="I102" s="2"/>
      <c r="J102" s="2"/>
      <c r="K102" s="20"/>
      <c r="L102" s="2"/>
      <c r="M102" s="2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1"/>
      <c r="C105" s="36"/>
      <c r="D105" s="36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57"/>
    <col customWidth="1" min="2" max="2" width="17.86"/>
    <col customWidth="1" min="3" max="4" width="15.0"/>
    <col customWidth="1" min="5" max="5" width="16.14"/>
    <col customWidth="1" min="6" max="6" width="13.29"/>
    <col customWidth="1" min="7" max="7" width="11.57"/>
    <col customWidth="1" min="8" max="8" width="9.57"/>
    <col customWidth="1" min="9" max="9" width="13.29"/>
    <col customWidth="1" min="10" max="11" width="10.29"/>
    <col customWidth="1" min="12" max="12" width="12.71"/>
    <col customWidth="1" min="13" max="13" width="11.57"/>
    <col customWidth="1" min="14" max="14" width="11.43"/>
    <col customWidth="1" min="15" max="15" width="10.29"/>
    <col customWidth="1" min="16" max="16" width="8.86"/>
    <col customWidth="1" min="17" max="18" width="13.29"/>
    <col customWidth="1" min="19" max="19" width="7.86"/>
    <col customWidth="1" min="20" max="20" width="13.71"/>
    <col customWidth="1" min="21" max="21" width="13.0"/>
    <col customWidth="1" min="22" max="23" width="15.43"/>
    <col customWidth="1" min="24" max="24" width="17.57"/>
    <col customWidth="1" min="25" max="26" width="8.71"/>
  </cols>
  <sheetData>
    <row r="1" ht="12.75" customHeight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4" t="s">
        <v>0</v>
      </c>
      <c r="U1" s="5">
        <v>0.0052</v>
      </c>
      <c r="V1" s="4" t="s">
        <v>1</v>
      </c>
      <c r="W1" s="45">
        <f>(W87*$U$1)/V87</f>
        <v>0.005178247928</v>
      </c>
      <c r="X1" s="2"/>
      <c r="Y1" s="2"/>
      <c r="Z1" s="2"/>
    </row>
    <row r="2" ht="12.75" customHeight="1">
      <c r="A2" s="2"/>
      <c r="B2" s="7"/>
      <c r="C2" s="8" t="s">
        <v>2</v>
      </c>
      <c r="D2" s="8"/>
      <c r="E2" s="9" t="s">
        <v>165</v>
      </c>
      <c r="F2" s="10"/>
      <c r="G2" s="11" t="s">
        <v>4</v>
      </c>
      <c r="H2" s="10"/>
      <c r="I2" s="10"/>
      <c r="J2" s="12"/>
      <c r="K2" s="12"/>
      <c r="L2" s="10"/>
      <c r="M2" s="10"/>
      <c r="N2" s="13"/>
      <c r="O2" s="8"/>
      <c r="P2" s="14"/>
      <c r="Q2" s="14"/>
      <c r="R2" s="10"/>
      <c r="S2" s="10"/>
      <c r="T2" s="10"/>
      <c r="U2" s="2"/>
      <c r="V2" s="2"/>
      <c r="W2" s="2"/>
      <c r="X2" s="2"/>
      <c r="Y2" s="2"/>
      <c r="Z2" s="2"/>
    </row>
    <row r="3" ht="12.75" customHeight="1">
      <c r="A3" s="2"/>
      <c r="B3" s="15" t="s">
        <v>5</v>
      </c>
      <c r="C3" s="15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7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38" t="s">
        <v>17</v>
      </c>
      <c r="O3" s="46" t="s">
        <v>18</v>
      </c>
      <c r="P3" s="46" t="s">
        <v>19</v>
      </c>
      <c r="Q3" s="18" t="s">
        <v>20</v>
      </c>
      <c r="R3" s="18" t="s">
        <v>21</v>
      </c>
      <c r="S3" s="18" t="s">
        <v>22</v>
      </c>
      <c r="T3" s="2"/>
      <c r="U3" s="18" t="s">
        <v>23</v>
      </c>
      <c r="V3" s="18" t="s">
        <v>102</v>
      </c>
      <c r="W3" s="18" t="s">
        <v>103</v>
      </c>
      <c r="X3" s="2"/>
      <c r="Y3" s="2"/>
      <c r="Z3" s="2"/>
    </row>
    <row r="4" ht="12.75" customHeight="1">
      <c r="A4" s="2"/>
      <c r="B4" s="8" t="s">
        <v>104</v>
      </c>
      <c r="C4" s="8" t="s">
        <v>27</v>
      </c>
      <c r="D4" s="8">
        <v>14.0</v>
      </c>
      <c r="E4" s="20">
        <v>125.0</v>
      </c>
      <c r="F4" s="20">
        <v>0.0</v>
      </c>
      <c r="G4" s="20">
        <v>0.0</v>
      </c>
      <c r="H4" s="21">
        <v>0.0</v>
      </c>
      <c r="I4" s="20">
        <v>30.0</v>
      </c>
      <c r="J4" s="20">
        <v>0.0</v>
      </c>
      <c r="K4" s="20">
        <f t="shared" ref="K4:K86" si="1">I4+J4</f>
        <v>30</v>
      </c>
      <c r="L4" s="20">
        <v>95.0</v>
      </c>
      <c r="M4" s="20">
        <v>95.0</v>
      </c>
      <c r="N4" s="22">
        <v>24.0</v>
      </c>
      <c r="O4" s="20">
        <f t="shared" ref="O4:O11" si="2">(M4/(I4+J4))*N4</f>
        <v>76</v>
      </c>
      <c r="P4" s="39">
        <v>3.1666666666666665</v>
      </c>
      <c r="Q4" s="20">
        <v>0.0</v>
      </c>
      <c r="R4" s="20">
        <v>0.0</v>
      </c>
      <c r="S4" s="20">
        <v>0.0</v>
      </c>
      <c r="T4" s="2"/>
      <c r="U4" s="2">
        <v>1631375.0</v>
      </c>
      <c r="V4" s="40">
        <f t="shared" ref="V4:V86" si="3">U4*(I4+J4)</f>
        <v>48941250</v>
      </c>
      <c r="W4" s="40">
        <f t="shared" ref="W4:W86" si="4">U4*M4</f>
        <v>154980625</v>
      </c>
      <c r="X4" s="2"/>
      <c r="Y4" s="2"/>
      <c r="Z4" s="2"/>
    </row>
    <row r="5" ht="12.75" customHeight="1">
      <c r="A5" s="2"/>
      <c r="B5" s="8" t="s">
        <v>28</v>
      </c>
      <c r="C5" s="8" t="s">
        <v>27</v>
      </c>
      <c r="D5" s="8">
        <v>14.0</v>
      </c>
      <c r="E5" s="20">
        <v>146.0</v>
      </c>
      <c r="F5" s="20">
        <v>0.0</v>
      </c>
      <c r="G5" s="20">
        <v>0.0</v>
      </c>
      <c r="H5" s="21">
        <v>0.0</v>
      </c>
      <c r="I5" s="20">
        <v>64.0</v>
      </c>
      <c r="J5" s="20">
        <v>0.0</v>
      </c>
      <c r="K5" s="20">
        <f t="shared" si="1"/>
        <v>64</v>
      </c>
      <c r="L5" s="20">
        <v>82.0</v>
      </c>
      <c r="M5" s="20">
        <v>101.60000000000001</v>
      </c>
      <c r="N5" s="22">
        <v>24.0</v>
      </c>
      <c r="O5" s="20">
        <f t="shared" si="2"/>
        <v>38.1</v>
      </c>
      <c r="P5" s="39">
        <v>1.28125</v>
      </c>
      <c r="Q5" s="20">
        <v>0.0</v>
      </c>
      <c r="R5" s="20">
        <v>0.0</v>
      </c>
      <c r="S5" s="20">
        <v>0.0</v>
      </c>
      <c r="T5" s="2"/>
      <c r="U5" s="2">
        <v>844750.0</v>
      </c>
      <c r="V5" s="40">
        <f t="shared" si="3"/>
        <v>54064000</v>
      </c>
      <c r="W5" s="40">
        <f t="shared" si="4"/>
        <v>85826600</v>
      </c>
      <c r="X5" s="2"/>
      <c r="Y5" s="2"/>
      <c r="Z5" s="2"/>
    </row>
    <row r="6" ht="12.75" customHeight="1">
      <c r="A6" s="2"/>
      <c r="B6" s="8" t="s">
        <v>29</v>
      </c>
      <c r="C6" s="8" t="s">
        <v>27</v>
      </c>
      <c r="D6" s="8">
        <v>14.0</v>
      </c>
      <c r="E6" s="20">
        <v>81.0</v>
      </c>
      <c r="F6" s="20">
        <v>101.0</v>
      </c>
      <c r="G6" s="20">
        <v>0.0</v>
      </c>
      <c r="H6" s="21">
        <v>0.0</v>
      </c>
      <c r="I6" s="20">
        <v>20.0</v>
      </c>
      <c r="J6" s="20">
        <v>0.0</v>
      </c>
      <c r="K6" s="20">
        <f t="shared" si="1"/>
        <v>20</v>
      </c>
      <c r="L6" s="20">
        <v>162.0</v>
      </c>
      <c r="M6" s="20">
        <v>167.0</v>
      </c>
      <c r="N6" s="22">
        <v>24.0</v>
      </c>
      <c r="O6" s="20">
        <f t="shared" si="2"/>
        <v>200.4</v>
      </c>
      <c r="P6" s="39">
        <v>8.1</v>
      </c>
      <c r="Q6" s="20">
        <v>0.0</v>
      </c>
      <c r="R6" s="20">
        <v>0.0</v>
      </c>
      <c r="S6" s="20">
        <v>0.0</v>
      </c>
      <c r="T6" s="2"/>
      <c r="U6" s="2">
        <v>928605.0</v>
      </c>
      <c r="V6" s="40">
        <f t="shared" si="3"/>
        <v>18572100</v>
      </c>
      <c r="W6" s="40">
        <f t="shared" si="4"/>
        <v>155077035</v>
      </c>
      <c r="X6" s="2"/>
      <c r="Y6" s="2"/>
      <c r="Z6" s="2"/>
    </row>
    <row r="7" ht="12.75" customHeight="1">
      <c r="A7" s="2"/>
      <c r="B7" s="8" t="s">
        <v>30</v>
      </c>
      <c r="C7" s="8" t="s">
        <v>27</v>
      </c>
      <c r="D7" s="8">
        <v>14.0</v>
      </c>
      <c r="E7" s="20">
        <v>186.0</v>
      </c>
      <c r="F7" s="20">
        <v>283.0</v>
      </c>
      <c r="G7" s="20">
        <v>0.0</v>
      </c>
      <c r="H7" s="21">
        <v>0.0</v>
      </c>
      <c r="I7" s="20">
        <v>0.0</v>
      </c>
      <c r="J7" s="20">
        <v>190.0</v>
      </c>
      <c r="K7" s="20">
        <f t="shared" si="1"/>
        <v>190</v>
      </c>
      <c r="L7" s="20">
        <v>279.0</v>
      </c>
      <c r="M7" s="20">
        <v>117.3</v>
      </c>
      <c r="N7" s="22">
        <v>24.0</v>
      </c>
      <c r="O7" s="20">
        <f t="shared" si="2"/>
        <v>14.81684211</v>
      </c>
      <c r="P7" s="39">
        <v>1.4684210526315788</v>
      </c>
      <c r="Q7" s="20">
        <v>0.0</v>
      </c>
      <c r="R7" s="20">
        <v>170.0</v>
      </c>
      <c r="S7" s="20">
        <v>0.0</v>
      </c>
      <c r="T7" s="2"/>
      <c r="U7" s="2">
        <v>1329900.0</v>
      </c>
      <c r="V7" s="40">
        <f t="shared" si="3"/>
        <v>252681000</v>
      </c>
      <c r="W7" s="40">
        <f t="shared" si="4"/>
        <v>155997270</v>
      </c>
      <c r="X7" s="2"/>
      <c r="Y7" s="2"/>
      <c r="Z7" s="2"/>
    </row>
    <row r="8" ht="12.75" customHeight="1">
      <c r="A8" s="2"/>
      <c r="B8" s="8" t="s">
        <v>120</v>
      </c>
      <c r="C8" s="8" t="s">
        <v>27</v>
      </c>
      <c r="D8" s="8">
        <v>14.0</v>
      </c>
      <c r="E8" s="20">
        <v>186.0</v>
      </c>
      <c r="F8" s="20">
        <v>145.0</v>
      </c>
      <c r="G8" s="20">
        <v>0.0</v>
      </c>
      <c r="H8" s="21">
        <v>0.0</v>
      </c>
      <c r="I8" s="20">
        <v>224.0</v>
      </c>
      <c r="J8" s="20">
        <v>0.0</v>
      </c>
      <c r="K8" s="20">
        <f t="shared" si="1"/>
        <v>224</v>
      </c>
      <c r="L8" s="20">
        <v>107.0</v>
      </c>
      <c r="M8" s="20">
        <v>109.0</v>
      </c>
      <c r="N8" s="22">
        <v>24.0</v>
      </c>
      <c r="O8" s="20">
        <f t="shared" si="2"/>
        <v>11.67857143</v>
      </c>
      <c r="P8" s="39">
        <v>0.47767857142857145</v>
      </c>
      <c r="Q8" s="20">
        <v>141.67000000000002</v>
      </c>
      <c r="R8" s="20">
        <v>0.0</v>
      </c>
      <c r="S8" s="20">
        <v>0.0</v>
      </c>
      <c r="T8" s="2"/>
      <c r="U8" s="2">
        <v>865210.0</v>
      </c>
      <c r="V8" s="40">
        <f t="shared" si="3"/>
        <v>193807040</v>
      </c>
      <c r="W8" s="40">
        <f t="shared" si="4"/>
        <v>94307890</v>
      </c>
      <c r="X8" s="2"/>
      <c r="Y8" s="2"/>
      <c r="Z8" s="2"/>
    </row>
    <row r="9" ht="12.75" customHeight="1">
      <c r="A9" s="2"/>
      <c r="B9" s="8" t="s">
        <v>121</v>
      </c>
      <c r="C9" s="8" t="s">
        <v>27</v>
      </c>
      <c r="D9" s="8">
        <v>14.0</v>
      </c>
      <c r="E9" s="20">
        <v>136.0</v>
      </c>
      <c r="F9" s="20">
        <v>527.0</v>
      </c>
      <c r="G9" s="20">
        <v>0.0</v>
      </c>
      <c r="H9" s="21">
        <v>0.0</v>
      </c>
      <c r="I9" s="20">
        <v>499.0</v>
      </c>
      <c r="J9" s="20">
        <v>0.0</v>
      </c>
      <c r="K9" s="20">
        <f t="shared" si="1"/>
        <v>499</v>
      </c>
      <c r="L9" s="20">
        <v>164.0</v>
      </c>
      <c r="M9" s="20">
        <v>244.615384615385</v>
      </c>
      <c r="N9" s="22">
        <v>24.0</v>
      </c>
      <c r="O9" s="20">
        <f t="shared" si="2"/>
        <v>11.7650686</v>
      </c>
      <c r="P9" s="39">
        <v>0.3286573146292585</v>
      </c>
      <c r="Q9" s="20">
        <v>0.0</v>
      </c>
      <c r="R9" s="20">
        <v>0.0</v>
      </c>
      <c r="S9" s="20">
        <v>0.0</v>
      </c>
      <c r="T9" s="2"/>
      <c r="U9" s="2">
        <v>865210.0</v>
      </c>
      <c r="V9" s="40">
        <f t="shared" si="3"/>
        <v>431739790</v>
      </c>
      <c r="W9" s="40">
        <f t="shared" si="4"/>
        <v>211643676.9</v>
      </c>
      <c r="X9" s="2"/>
      <c r="Y9" s="2"/>
      <c r="Z9" s="2"/>
    </row>
    <row r="10" ht="12.75" customHeight="1">
      <c r="A10" s="2"/>
      <c r="B10" s="8" t="s">
        <v>31</v>
      </c>
      <c r="C10" s="8" t="s">
        <v>27</v>
      </c>
      <c r="D10" s="8">
        <v>14.0</v>
      </c>
      <c r="E10" s="20">
        <v>185.0</v>
      </c>
      <c r="F10" s="20">
        <v>200.0</v>
      </c>
      <c r="G10" s="20">
        <v>0.0</v>
      </c>
      <c r="H10" s="21">
        <v>0.0</v>
      </c>
      <c r="I10" s="20">
        <v>185.0</v>
      </c>
      <c r="J10" s="20">
        <v>0.0</v>
      </c>
      <c r="K10" s="20">
        <f t="shared" si="1"/>
        <v>185</v>
      </c>
      <c r="L10" s="20">
        <v>200.0</v>
      </c>
      <c r="M10" s="20">
        <v>124.5</v>
      </c>
      <c r="N10" s="22">
        <v>24.0</v>
      </c>
      <c r="O10" s="20">
        <f t="shared" si="2"/>
        <v>16.15135135</v>
      </c>
      <c r="P10" s="39">
        <v>1.0810810810810811</v>
      </c>
      <c r="Q10" s="20">
        <v>0.0</v>
      </c>
      <c r="R10" s="20">
        <v>100.0</v>
      </c>
      <c r="S10" s="20">
        <v>0.0</v>
      </c>
      <c r="T10" s="2"/>
      <c r="U10" s="2">
        <v>841116.0</v>
      </c>
      <c r="V10" s="40">
        <f t="shared" si="3"/>
        <v>155606460</v>
      </c>
      <c r="W10" s="40">
        <f t="shared" si="4"/>
        <v>104718942</v>
      </c>
      <c r="X10" s="2"/>
      <c r="Y10" s="2"/>
      <c r="Z10" s="2"/>
    </row>
    <row r="11" ht="12.75" customHeight="1">
      <c r="A11" s="2"/>
      <c r="B11" s="8" t="s">
        <v>32</v>
      </c>
      <c r="C11" s="8" t="s">
        <v>27</v>
      </c>
      <c r="D11" s="8">
        <v>14.0</v>
      </c>
      <c r="E11" s="20">
        <v>26.0</v>
      </c>
      <c r="F11" s="20">
        <v>98.0</v>
      </c>
      <c r="G11" s="20">
        <v>0.0</v>
      </c>
      <c r="H11" s="21">
        <v>0.0</v>
      </c>
      <c r="I11" s="20">
        <v>8.0</v>
      </c>
      <c r="J11" s="20">
        <v>0.0</v>
      </c>
      <c r="K11" s="20">
        <f t="shared" si="1"/>
        <v>8</v>
      </c>
      <c r="L11" s="20">
        <v>116.0</v>
      </c>
      <c r="M11" s="20">
        <v>59.5</v>
      </c>
      <c r="N11" s="22">
        <v>24.0</v>
      </c>
      <c r="O11" s="20">
        <f t="shared" si="2"/>
        <v>178.5</v>
      </c>
      <c r="P11" s="39">
        <v>14.5</v>
      </c>
      <c r="Q11" s="20">
        <v>0.0</v>
      </c>
      <c r="R11" s="20">
        <v>2.0</v>
      </c>
      <c r="S11" s="20">
        <v>0.0</v>
      </c>
      <c r="T11" s="2"/>
      <c r="U11" s="2">
        <v>928605.0</v>
      </c>
      <c r="V11" s="40">
        <f t="shared" si="3"/>
        <v>7428840</v>
      </c>
      <c r="W11" s="40">
        <f t="shared" si="4"/>
        <v>55251997.5</v>
      </c>
      <c r="X11" s="2"/>
      <c r="Y11" s="2"/>
      <c r="Z11" s="2"/>
    </row>
    <row r="12" ht="12.75" customHeight="1">
      <c r="A12" s="2"/>
      <c r="B12" s="8" t="s">
        <v>122</v>
      </c>
      <c r="C12" s="8" t="s">
        <v>27</v>
      </c>
      <c r="D12" s="8">
        <v>14.0</v>
      </c>
      <c r="E12" s="20">
        <v>489.0</v>
      </c>
      <c r="F12" s="20">
        <v>0.0</v>
      </c>
      <c r="G12" s="20">
        <v>0.0</v>
      </c>
      <c r="H12" s="21">
        <v>0.0</v>
      </c>
      <c r="I12" s="20">
        <v>0.0</v>
      </c>
      <c r="J12" s="20">
        <v>0.0</v>
      </c>
      <c r="K12" s="20">
        <f t="shared" si="1"/>
        <v>0</v>
      </c>
      <c r="L12" s="20">
        <v>489.0</v>
      </c>
      <c r="M12" s="20">
        <v>0.0</v>
      </c>
      <c r="N12" s="22">
        <v>24.0</v>
      </c>
      <c r="O12" s="20">
        <v>0.0</v>
      </c>
      <c r="P12" s="39">
        <v>0.0</v>
      </c>
      <c r="Q12" s="20">
        <v>0.0</v>
      </c>
      <c r="R12" s="20">
        <v>0.0</v>
      </c>
      <c r="S12" s="20">
        <v>0.0</v>
      </c>
      <c r="T12" s="2"/>
      <c r="U12" s="2">
        <v>139965.0</v>
      </c>
      <c r="V12" s="40">
        <f t="shared" si="3"/>
        <v>0</v>
      </c>
      <c r="W12" s="40">
        <f t="shared" si="4"/>
        <v>0</v>
      </c>
      <c r="X12" s="2"/>
      <c r="Y12" s="2"/>
      <c r="Z12" s="2"/>
    </row>
    <row r="13" ht="12.75" customHeight="1">
      <c r="A13" s="2"/>
      <c r="B13" s="8" t="s">
        <v>105</v>
      </c>
      <c r="C13" s="8" t="s">
        <v>27</v>
      </c>
      <c r="D13" s="8">
        <v>14.0</v>
      </c>
      <c r="E13" s="20">
        <v>160.0</v>
      </c>
      <c r="F13" s="20">
        <v>0.0</v>
      </c>
      <c r="G13" s="20">
        <v>0.0</v>
      </c>
      <c r="H13" s="21">
        <v>0.0</v>
      </c>
      <c r="I13" s="20">
        <v>0.0</v>
      </c>
      <c r="J13" s="20">
        <v>160.0</v>
      </c>
      <c r="K13" s="20">
        <f t="shared" si="1"/>
        <v>160</v>
      </c>
      <c r="L13" s="20">
        <v>0.0</v>
      </c>
      <c r="M13" s="20">
        <v>0.0</v>
      </c>
      <c r="N13" s="22">
        <v>24.0</v>
      </c>
      <c r="O13" s="20">
        <f t="shared" ref="O13:O19" si="5">(M13/(I13+J13))*N13</f>
        <v>0</v>
      </c>
      <c r="P13" s="39">
        <v>0.0</v>
      </c>
      <c r="Q13" s="20">
        <v>0.0</v>
      </c>
      <c r="R13" s="20">
        <v>0.0</v>
      </c>
      <c r="S13" s="20">
        <v>0.0</v>
      </c>
      <c r="T13" s="2"/>
      <c r="U13" s="2">
        <v>165230.0</v>
      </c>
      <c r="V13" s="40">
        <f t="shared" si="3"/>
        <v>26436800</v>
      </c>
      <c r="W13" s="40">
        <f t="shared" si="4"/>
        <v>0</v>
      </c>
      <c r="X13" s="2"/>
      <c r="Y13" s="2"/>
      <c r="Z13" s="2"/>
    </row>
    <row r="14" ht="12.75" customHeight="1">
      <c r="A14" s="2"/>
      <c r="B14" s="8" t="s">
        <v>106</v>
      </c>
      <c r="C14" s="8" t="s">
        <v>27</v>
      </c>
      <c r="D14" s="8">
        <v>14.0</v>
      </c>
      <c r="E14" s="20">
        <v>3917.0</v>
      </c>
      <c r="F14" s="20">
        <v>0.0</v>
      </c>
      <c r="G14" s="20">
        <v>0.0</v>
      </c>
      <c r="H14" s="21">
        <v>0.0</v>
      </c>
      <c r="I14" s="20">
        <v>0.0</v>
      </c>
      <c r="J14" s="20">
        <v>1067.0</v>
      </c>
      <c r="K14" s="20">
        <f t="shared" si="1"/>
        <v>1067</v>
      </c>
      <c r="L14" s="20">
        <v>2850.0</v>
      </c>
      <c r="M14" s="20">
        <v>3282.4</v>
      </c>
      <c r="N14" s="22">
        <v>24.0</v>
      </c>
      <c r="O14" s="20">
        <f t="shared" si="5"/>
        <v>73.83092784</v>
      </c>
      <c r="P14" s="39">
        <v>2.6710402999062794</v>
      </c>
      <c r="Q14" s="20">
        <v>330.0</v>
      </c>
      <c r="R14" s="20">
        <v>0.0</v>
      </c>
      <c r="S14" s="20">
        <v>0.0</v>
      </c>
      <c r="T14" s="2"/>
      <c r="U14" s="2">
        <v>139965.0</v>
      </c>
      <c r="V14" s="40">
        <f t="shared" si="3"/>
        <v>149342655</v>
      </c>
      <c r="W14" s="40">
        <f t="shared" si="4"/>
        <v>459421116</v>
      </c>
      <c r="X14" s="2"/>
      <c r="Y14" s="2"/>
      <c r="Z14" s="2"/>
    </row>
    <row r="15" ht="12.75" customHeight="1">
      <c r="A15" s="2"/>
      <c r="B15" s="8" t="s">
        <v>107</v>
      </c>
      <c r="C15" s="8" t="s">
        <v>27</v>
      </c>
      <c r="D15" s="8">
        <v>14.0</v>
      </c>
      <c r="E15" s="20">
        <v>173.25</v>
      </c>
      <c r="F15" s="20">
        <v>0.0</v>
      </c>
      <c r="G15" s="20">
        <v>0.0</v>
      </c>
      <c r="H15" s="21">
        <v>0.0</v>
      </c>
      <c r="I15" s="20">
        <v>0.0</v>
      </c>
      <c r="J15" s="20">
        <v>173.0</v>
      </c>
      <c r="K15" s="20">
        <f t="shared" si="1"/>
        <v>173</v>
      </c>
      <c r="L15" s="20">
        <v>0.25</v>
      </c>
      <c r="M15" s="20">
        <v>0.25</v>
      </c>
      <c r="N15" s="22">
        <v>24.0</v>
      </c>
      <c r="O15" s="20">
        <f t="shared" si="5"/>
        <v>0.03468208092</v>
      </c>
      <c r="P15" s="39">
        <v>0.001445086705202312</v>
      </c>
      <c r="Q15" s="20">
        <v>0.0</v>
      </c>
      <c r="R15" s="20">
        <v>0.0</v>
      </c>
      <c r="S15" s="20">
        <v>0.0</v>
      </c>
      <c r="T15" s="2"/>
      <c r="U15" s="2">
        <v>139965.0</v>
      </c>
      <c r="V15" s="40">
        <f t="shared" si="3"/>
        <v>24213945</v>
      </c>
      <c r="W15" s="40">
        <f t="shared" si="4"/>
        <v>34991.25</v>
      </c>
      <c r="X15" s="2"/>
      <c r="Y15" s="2"/>
      <c r="Z15" s="2"/>
    </row>
    <row r="16" ht="12.75" customHeight="1">
      <c r="A16" s="2"/>
      <c r="B16" s="8" t="s">
        <v>34</v>
      </c>
      <c r="C16" s="8" t="s">
        <v>27</v>
      </c>
      <c r="D16" s="8">
        <v>14.0</v>
      </c>
      <c r="E16" s="20">
        <v>53.0</v>
      </c>
      <c r="F16" s="20">
        <v>87.0</v>
      </c>
      <c r="G16" s="20">
        <v>0.0</v>
      </c>
      <c r="H16" s="21">
        <v>0.0</v>
      </c>
      <c r="I16" s="20">
        <v>0.0</v>
      </c>
      <c r="J16" s="20">
        <v>80.0</v>
      </c>
      <c r="K16" s="20">
        <f t="shared" si="1"/>
        <v>80</v>
      </c>
      <c r="L16" s="20">
        <v>60.0</v>
      </c>
      <c r="M16" s="20">
        <v>39.8461538461538</v>
      </c>
      <c r="N16" s="22">
        <v>24.0</v>
      </c>
      <c r="O16" s="20">
        <f t="shared" si="5"/>
        <v>11.95384615</v>
      </c>
      <c r="P16" s="39">
        <v>0.75</v>
      </c>
      <c r="Q16" s="20">
        <v>0.0</v>
      </c>
      <c r="R16" s="20">
        <v>95.0</v>
      </c>
      <c r="S16" s="20">
        <v>0.0</v>
      </c>
      <c r="T16" s="2"/>
      <c r="U16" s="2">
        <v>3438210.0</v>
      </c>
      <c r="V16" s="40">
        <f t="shared" si="3"/>
        <v>275056800</v>
      </c>
      <c r="W16" s="40">
        <f t="shared" si="4"/>
        <v>136999444.6</v>
      </c>
      <c r="X16" s="2"/>
      <c r="Y16" s="2"/>
      <c r="Z16" s="2"/>
    </row>
    <row r="17" ht="12.75" customHeight="1">
      <c r="A17" s="2"/>
      <c r="B17" s="8" t="s">
        <v>35</v>
      </c>
      <c r="C17" s="8" t="s">
        <v>27</v>
      </c>
      <c r="D17" s="8">
        <v>14.0</v>
      </c>
      <c r="E17" s="20">
        <v>658.0</v>
      </c>
      <c r="F17" s="20">
        <v>619.0</v>
      </c>
      <c r="G17" s="20">
        <v>0.0</v>
      </c>
      <c r="H17" s="21">
        <v>0.0</v>
      </c>
      <c r="I17" s="20">
        <v>0.0</v>
      </c>
      <c r="J17" s="20">
        <v>551.0</v>
      </c>
      <c r="K17" s="20">
        <f t="shared" si="1"/>
        <v>551</v>
      </c>
      <c r="L17" s="20">
        <v>726.0</v>
      </c>
      <c r="M17" s="20">
        <v>577.571428571429</v>
      </c>
      <c r="N17" s="22">
        <v>24.0</v>
      </c>
      <c r="O17" s="20">
        <f t="shared" si="5"/>
        <v>25.1573762</v>
      </c>
      <c r="P17" s="39">
        <v>1.3176043557168784</v>
      </c>
      <c r="Q17" s="20">
        <v>0.0</v>
      </c>
      <c r="R17" s="20">
        <v>600.0</v>
      </c>
      <c r="S17" s="20">
        <v>0.0</v>
      </c>
      <c r="T17" s="2"/>
      <c r="U17" s="2">
        <v>165230.0</v>
      </c>
      <c r="V17" s="40">
        <f t="shared" si="3"/>
        <v>91041730</v>
      </c>
      <c r="W17" s="40">
        <f t="shared" si="4"/>
        <v>95432127.14</v>
      </c>
      <c r="X17" s="2"/>
      <c r="Y17" s="2"/>
      <c r="Z17" s="2"/>
    </row>
    <row r="18" ht="12.75" customHeight="1">
      <c r="A18" s="2"/>
      <c r="B18" s="8" t="s">
        <v>36</v>
      </c>
      <c r="C18" s="8" t="s">
        <v>27</v>
      </c>
      <c r="D18" s="8">
        <v>14.0</v>
      </c>
      <c r="E18" s="20">
        <v>222.0</v>
      </c>
      <c r="F18" s="20">
        <v>0.0</v>
      </c>
      <c r="G18" s="20">
        <v>0.0</v>
      </c>
      <c r="H18" s="21">
        <v>0.0</v>
      </c>
      <c r="I18" s="20">
        <v>14.0</v>
      </c>
      <c r="J18" s="20">
        <v>0.0</v>
      </c>
      <c r="K18" s="20">
        <f t="shared" si="1"/>
        <v>14</v>
      </c>
      <c r="L18" s="20">
        <v>208.0</v>
      </c>
      <c r="M18" s="20">
        <v>214.0</v>
      </c>
      <c r="N18" s="22">
        <v>24.0</v>
      </c>
      <c r="O18" s="20">
        <f t="shared" si="5"/>
        <v>366.8571429</v>
      </c>
      <c r="P18" s="39">
        <v>14.857142857142858</v>
      </c>
      <c r="Q18" s="20">
        <v>0.0</v>
      </c>
      <c r="R18" s="20">
        <v>0.0</v>
      </c>
      <c r="S18" s="20">
        <v>0.0</v>
      </c>
      <c r="T18" s="2"/>
      <c r="U18" s="2">
        <v>1516675.0</v>
      </c>
      <c r="V18" s="40">
        <f t="shared" si="3"/>
        <v>21233450</v>
      </c>
      <c r="W18" s="40">
        <f t="shared" si="4"/>
        <v>324568450</v>
      </c>
      <c r="X18" s="2"/>
      <c r="Y18" s="2"/>
      <c r="Z18" s="2"/>
    </row>
    <row r="19" ht="12.75" customHeight="1">
      <c r="A19" s="2"/>
      <c r="B19" s="8" t="s">
        <v>123</v>
      </c>
      <c r="C19" s="8" t="s">
        <v>27</v>
      </c>
      <c r="D19" s="8">
        <v>14.0</v>
      </c>
      <c r="E19" s="20">
        <v>22.0</v>
      </c>
      <c r="F19" s="20">
        <v>0.0</v>
      </c>
      <c r="G19" s="20">
        <v>0.0</v>
      </c>
      <c r="H19" s="21">
        <v>0.0</v>
      </c>
      <c r="I19" s="20">
        <v>7.0</v>
      </c>
      <c r="J19" s="20">
        <v>0.0</v>
      </c>
      <c r="K19" s="20">
        <f t="shared" si="1"/>
        <v>7</v>
      </c>
      <c r="L19" s="20">
        <v>15.0</v>
      </c>
      <c r="M19" s="20">
        <v>17.5</v>
      </c>
      <c r="N19" s="22">
        <v>24.0</v>
      </c>
      <c r="O19" s="20">
        <f t="shared" si="5"/>
        <v>60</v>
      </c>
      <c r="P19" s="39">
        <v>2.142857142857143</v>
      </c>
      <c r="Q19" s="20">
        <v>0.0</v>
      </c>
      <c r="R19" s="20">
        <v>0.0</v>
      </c>
      <c r="S19" s="20">
        <v>15.0</v>
      </c>
      <c r="T19" s="2"/>
      <c r="U19" s="2">
        <v>1516675.0</v>
      </c>
      <c r="V19" s="40">
        <f t="shared" si="3"/>
        <v>10616725</v>
      </c>
      <c r="W19" s="40">
        <f t="shared" si="4"/>
        <v>26541812.5</v>
      </c>
      <c r="X19" s="2"/>
      <c r="Y19" s="2"/>
      <c r="Z19" s="2"/>
    </row>
    <row r="20" ht="12.75" customHeight="1">
      <c r="A20" s="2"/>
      <c r="B20" s="8" t="s">
        <v>37</v>
      </c>
      <c r="C20" s="8" t="s">
        <v>27</v>
      </c>
      <c r="D20" s="8">
        <v>14.0</v>
      </c>
      <c r="E20" s="20">
        <v>57.0</v>
      </c>
      <c r="F20" s="20">
        <v>0.0</v>
      </c>
      <c r="G20" s="20">
        <v>0.0</v>
      </c>
      <c r="H20" s="21">
        <v>0.0</v>
      </c>
      <c r="I20" s="20">
        <v>0.0</v>
      </c>
      <c r="J20" s="20">
        <v>0.0</v>
      </c>
      <c r="K20" s="20">
        <f t="shared" si="1"/>
        <v>0</v>
      </c>
      <c r="L20" s="20">
        <v>57.0</v>
      </c>
      <c r="M20" s="20">
        <v>0.0</v>
      </c>
      <c r="N20" s="22">
        <v>24.0</v>
      </c>
      <c r="O20" s="20">
        <v>0.0</v>
      </c>
      <c r="P20" s="39">
        <v>0.0</v>
      </c>
      <c r="Q20" s="20">
        <v>0.0</v>
      </c>
      <c r="R20" s="20">
        <v>0.0</v>
      </c>
      <c r="S20" s="20">
        <v>0.0</v>
      </c>
      <c r="T20" s="2"/>
      <c r="U20" s="2">
        <v>1516675.0</v>
      </c>
      <c r="V20" s="40">
        <f t="shared" si="3"/>
        <v>0</v>
      </c>
      <c r="W20" s="40">
        <f t="shared" si="4"/>
        <v>0</v>
      </c>
      <c r="X20" s="2"/>
      <c r="Y20" s="2"/>
      <c r="Z20" s="2"/>
    </row>
    <row r="21" ht="12.75" customHeight="1">
      <c r="A21" s="2"/>
      <c r="B21" s="8" t="s">
        <v>38</v>
      </c>
      <c r="C21" s="8" t="s">
        <v>27</v>
      </c>
      <c r="D21" s="8">
        <v>14.0</v>
      </c>
      <c r="E21" s="20">
        <v>29.0</v>
      </c>
      <c r="F21" s="20">
        <v>0.0</v>
      </c>
      <c r="G21" s="20">
        <v>0.0</v>
      </c>
      <c r="H21" s="21">
        <v>0.0</v>
      </c>
      <c r="I21" s="20">
        <v>4.0</v>
      </c>
      <c r="J21" s="20">
        <v>0.0</v>
      </c>
      <c r="K21" s="20">
        <f t="shared" si="1"/>
        <v>4</v>
      </c>
      <c r="L21" s="20">
        <v>25.0</v>
      </c>
      <c r="M21" s="20">
        <v>25.0</v>
      </c>
      <c r="N21" s="22">
        <v>24.0</v>
      </c>
      <c r="O21" s="20">
        <f t="shared" ref="O21:O23" si="6">(M21/(I21+J21))*N21</f>
        <v>150</v>
      </c>
      <c r="P21" s="39">
        <v>6.25</v>
      </c>
      <c r="Q21" s="20">
        <v>0.0</v>
      </c>
      <c r="R21" s="20">
        <v>0.0</v>
      </c>
      <c r="S21" s="20">
        <v>0.0</v>
      </c>
      <c r="T21" s="2"/>
      <c r="U21" s="2">
        <v>1516675.0</v>
      </c>
      <c r="V21" s="40">
        <f t="shared" si="3"/>
        <v>6066700</v>
      </c>
      <c r="W21" s="40">
        <f t="shared" si="4"/>
        <v>37916875</v>
      </c>
      <c r="X21" s="2"/>
      <c r="Y21" s="2"/>
      <c r="Z21" s="2"/>
    </row>
    <row r="22" ht="12.75" customHeight="1">
      <c r="A22" s="2"/>
      <c r="B22" s="8" t="s">
        <v>39</v>
      </c>
      <c r="C22" s="8" t="s">
        <v>27</v>
      </c>
      <c r="D22" s="8">
        <v>14.0</v>
      </c>
      <c r="E22" s="20">
        <v>29.0</v>
      </c>
      <c r="F22" s="20">
        <v>0.0</v>
      </c>
      <c r="G22" s="20">
        <v>0.0</v>
      </c>
      <c r="H22" s="21">
        <v>0.0</v>
      </c>
      <c r="I22" s="20">
        <v>2.0</v>
      </c>
      <c r="J22" s="20">
        <v>0.0</v>
      </c>
      <c r="K22" s="20">
        <f t="shared" si="1"/>
        <v>2</v>
      </c>
      <c r="L22" s="20">
        <v>27.0</v>
      </c>
      <c r="M22" s="20">
        <v>27.0</v>
      </c>
      <c r="N22" s="22">
        <v>24.0</v>
      </c>
      <c r="O22" s="20">
        <f t="shared" si="6"/>
        <v>324</v>
      </c>
      <c r="P22" s="39">
        <v>13.5</v>
      </c>
      <c r="Q22" s="20">
        <v>0.0</v>
      </c>
      <c r="R22" s="20">
        <v>0.0</v>
      </c>
      <c r="S22" s="20">
        <v>0.0</v>
      </c>
      <c r="T22" s="2"/>
      <c r="U22" s="2">
        <v>1516675.0</v>
      </c>
      <c r="V22" s="40">
        <f t="shared" si="3"/>
        <v>3033350</v>
      </c>
      <c r="W22" s="40">
        <f t="shared" si="4"/>
        <v>40950225</v>
      </c>
      <c r="X22" s="2"/>
      <c r="Y22" s="2"/>
      <c r="Z22" s="2"/>
    </row>
    <row r="23" ht="12.75" customHeight="1">
      <c r="A23" s="2"/>
      <c r="B23" s="8" t="s">
        <v>145</v>
      </c>
      <c r="C23" s="8" t="s">
        <v>27</v>
      </c>
      <c r="D23" s="8">
        <v>14.0</v>
      </c>
      <c r="E23" s="20">
        <v>75.0</v>
      </c>
      <c r="F23" s="20">
        <v>0.0</v>
      </c>
      <c r="G23" s="20">
        <v>0.0</v>
      </c>
      <c r="H23" s="21">
        <v>0.0</v>
      </c>
      <c r="I23" s="20">
        <v>17.0</v>
      </c>
      <c r="J23" s="20">
        <v>0.0</v>
      </c>
      <c r="K23" s="20">
        <f t="shared" si="1"/>
        <v>17</v>
      </c>
      <c r="L23" s="20">
        <v>58.0</v>
      </c>
      <c r="M23" s="20">
        <v>67.25</v>
      </c>
      <c r="N23" s="22">
        <v>24.0</v>
      </c>
      <c r="O23" s="20">
        <f t="shared" si="6"/>
        <v>94.94117647</v>
      </c>
      <c r="P23" s="39">
        <v>3.411764705882353</v>
      </c>
      <c r="Q23" s="20">
        <v>0.0</v>
      </c>
      <c r="R23" s="20">
        <v>0.0</v>
      </c>
      <c r="S23" s="20">
        <v>75.0</v>
      </c>
      <c r="T23" s="2"/>
      <c r="U23" s="2">
        <v>1516675.0</v>
      </c>
      <c r="V23" s="40">
        <f t="shared" si="3"/>
        <v>25783475</v>
      </c>
      <c r="W23" s="40">
        <f t="shared" si="4"/>
        <v>101996393.8</v>
      </c>
      <c r="X23" s="2"/>
      <c r="Y23" s="2"/>
      <c r="Z23" s="2"/>
    </row>
    <row r="24" ht="12.75" customHeight="1">
      <c r="A24" s="2"/>
      <c r="B24" s="8" t="s">
        <v>41</v>
      </c>
      <c r="C24" s="8" t="s">
        <v>27</v>
      </c>
      <c r="D24" s="8">
        <v>14.0</v>
      </c>
      <c r="E24" s="20">
        <v>41.0</v>
      </c>
      <c r="F24" s="20">
        <v>37.0</v>
      </c>
      <c r="G24" s="20">
        <v>0.0</v>
      </c>
      <c r="H24" s="21">
        <v>0.0</v>
      </c>
      <c r="I24" s="20">
        <v>0.0</v>
      </c>
      <c r="J24" s="20">
        <v>0.0</v>
      </c>
      <c r="K24" s="20">
        <f t="shared" si="1"/>
        <v>0</v>
      </c>
      <c r="L24" s="20">
        <v>78.0</v>
      </c>
      <c r="M24" s="20">
        <v>78.0</v>
      </c>
      <c r="N24" s="22">
        <v>24.0</v>
      </c>
      <c r="O24" s="20">
        <v>0.0</v>
      </c>
      <c r="P24" s="39">
        <v>0.0</v>
      </c>
      <c r="Q24" s="20">
        <v>0.0</v>
      </c>
      <c r="R24" s="20">
        <v>0.0</v>
      </c>
      <c r="S24" s="20">
        <v>0.0</v>
      </c>
      <c r="T24" s="2"/>
      <c r="U24" s="2">
        <v>1516675.0</v>
      </c>
      <c r="V24" s="40">
        <f t="shared" si="3"/>
        <v>0</v>
      </c>
      <c r="W24" s="40">
        <f t="shared" si="4"/>
        <v>118300650</v>
      </c>
      <c r="X24" s="2"/>
      <c r="Y24" s="2"/>
      <c r="Z24" s="2"/>
    </row>
    <row r="25" ht="12.75" customHeight="1">
      <c r="A25" s="2"/>
      <c r="B25" s="8" t="s">
        <v>42</v>
      </c>
      <c r="C25" s="8" t="s">
        <v>27</v>
      </c>
      <c r="D25" s="8">
        <v>14.0</v>
      </c>
      <c r="E25" s="20">
        <v>38.0</v>
      </c>
      <c r="F25" s="20">
        <v>0.0</v>
      </c>
      <c r="G25" s="20">
        <v>0.0</v>
      </c>
      <c r="H25" s="21">
        <v>0.0</v>
      </c>
      <c r="I25" s="20">
        <v>38.0</v>
      </c>
      <c r="J25" s="20">
        <v>0.0</v>
      </c>
      <c r="K25" s="20">
        <f t="shared" si="1"/>
        <v>38</v>
      </c>
      <c r="L25" s="20">
        <v>0.0</v>
      </c>
      <c r="M25" s="20">
        <v>1.0</v>
      </c>
      <c r="N25" s="22">
        <v>24.0</v>
      </c>
      <c r="O25" s="20">
        <f t="shared" ref="O25:O32" si="7">(M25/(I25+J25))*N25</f>
        <v>0.6315789474</v>
      </c>
      <c r="P25" s="39">
        <v>0.0</v>
      </c>
      <c r="Q25" s="20">
        <v>0.0</v>
      </c>
      <c r="R25" s="20">
        <v>0.0</v>
      </c>
      <c r="S25" s="20">
        <v>0.0</v>
      </c>
      <c r="T25" s="2"/>
      <c r="U25" s="2">
        <v>1345865.0</v>
      </c>
      <c r="V25" s="40">
        <f t="shared" si="3"/>
        <v>51142870</v>
      </c>
      <c r="W25" s="40">
        <f t="shared" si="4"/>
        <v>1345865</v>
      </c>
      <c r="X25" s="2"/>
      <c r="Y25" s="2"/>
      <c r="Z25" s="2"/>
    </row>
    <row r="26" ht="12.75" customHeight="1">
      <c r="A26" s="2"/>
      <c r="B26" s="8" t="s">
        <v>166</v>
      </c>
      <c r="C26" s="8" t="s">
        <v>27</v>
      </c>
      <c r="D26" s="8">
        <v>14.0</v>
      </c>
      <c r="E26" s="20">
        <v>0.0</v>
      </c>
      <c r="F26" s="20">
        <v>85.0</v>
      </c>
      <c r="G26" s="20">
        <v>0.0</v>
      </c>
      <c r="H26" s="21">
        <v>0.0</v>
      </c>
      <c r="I26" s="20">
        <v>48.0</v>
      </c>
      <c r="J26" s="20">
        <v>0.0</v>
      </c>
      <c r="K26" s="20">
        <f t="shared" si="1"/>
        <v>48</v>
      </c>
      <c r="L26" s="20">
        <v>37.0</v>
      </c>
      <c r="M26" s="20">
        <v>44.3333333333333</v>
      </c>
      <c r="N26" s="22">
        <v>24.0</v>
      </c>
      <c r="O26" s="20">
        <f t="shared" si="7"/>
        <v>22.16666667</v>
      </c>
      <c r="P26" s="39">
        <v>0.7708333333333334</v>
      </c>
      <c r="Q26" s="20">
        <v>15.0</v>
      </c>
      <c r="R26" s="20">
        <v>100.0</v>
      </c>
      <c r="S26" s="20">
        <v>0.0</v>
      </c>
      <c r="T26" s="2"/>
      <c r="U26" s="2">
        <v>1345865.0</v>
      </c>
      <c r="V26" s="40">
        <f t="shared" si="3"/>
        <v>64601520</v>
      </c>
      <c r="W26" s="40">
        <f t="shared" si="4"/>
        <v>59666681.67</v>
      </c>
      <c r="X26" s="2"/>
      <c r="Y26" s="2"/>
      <c r="Z26" s="2"/>
    </row>
    <row r="27" ht="12.75" customHeight="1">
      <c r="A27" s="2"/>
      <c r="B27" s="8" t="s">
        <v>124</v>
      </c>
      <c r="C27" s="8" t="s">
        <v>27</v>
      </c>
      <c r="D27" s="8">
        <v>14.0</v>
      </c>
      <c r="E27" s="20">
        <v>78.0</v>
      </c>
      <c r="F27" s="20">
        <v>0.0</v>
      </c>
      <c r="G27" s="20">
        <v>0.0</v>
      </c>
      <c r="H27" s="21">
        <v>0.0</v>
      </c>
      <c r="I27" s="20">
        <v>2.0</v>
      </c>
      <c r="J27" s="20">
        <v>0.0</v>
      </c>
      <c r="K27" s="20">
        <f t="shared" si="1"/>
        <v>2</v>
      </c>
      <c r="L27" s="20">
        <v>76.0</v>
      </c>
      <c r="M27" s="20">
        <v>76.0</v>
      </c>
      <c r="N27" s="22">
        <v>24.0</v>
      </c>
      <c r="O27" s="20">
        <f t="shared" si="7"/>
        <v>912</v>
      </c>
      <c r="P27" s="39">
        <v>38.0</v>
      </c>
      <c r="Q27" s="20">
        <v>0.0</v>
      </c>
      <c r="R27" s="20">
        <v>0.0</v>
      </c>
      <c r="S27" s="20">
        <v>0.0</v>
      </c>
      <c r="T27" s="2"/>
      <c r="U27" s="2">
        <v>1326180.0</v>
      </c>
      <c r="V27" s="40">
        <f t="shared" si="3"/>
        <v>2652360</v>
      </c>
      <c r="W27" s="40">
        <f t="shared" si="4"/>
        <v>100789680</v>
      </c>
      <c r="X27" s="2"/>
      <c r="Y27" s="2"/>
      <c r="Z27" s="2"/>
    </row>
    <row r="28" ht="12.75" customHeight="1">
      <c r="A28" s="2"/>
      <c r="B28" s="8" t="s">
        <v>44</v>
      </c>
      <c r="C28" s="8" t="s">
        <v>27</v>
      </c>
      <c r="D28" s="8">
        <v>14.0</v>
      </c>
      <c r="E28" s="20">
        <v>76.0</v>
      </c>
      <c r="F28" s="20">
        <v>0.0</v>
      </c>
      <c r="G28" s="20">
        <v>0.0</v>
      </c>
      <c r="H28" s="21">
        <v>0.0</v>
      </c>
      <c r="I28" s="20">
        <v>76.0</v>
      </c>
      <c r="J28" s="20">
        <v>0.0</v>
      </c>
      <c r="K28" s="20">
        <f t="shared" si="1"/>
        <v>76</v>
      </c>
      <c r="L28" s="20">
        <v>0.0</v>
      </c>
      <c r="M28" s="20">
        <v>29.0</v>
      </c>
      <c r="N28" s="22">
        <v>24.0</v>
      </c>
      <c r="O28" s="20">
        <f t="shared" si="7"/>
        <v>9.157894737</v>
      </c>
      <c r="P28" s="39">
        <v>0.0</v>
      </c>
      <c r="Q28" s="20">
        <v>0.0</v>
      </c>
      <c r="R28" s="20">
        <v>0.0</v>
      </c>
      <c r="S28" s="20">
        <v>0.0</v>
      </c>
      <c r="T28" s="2"/>
      <c r="U28" s="2">
        <v>542345.0</v>
      </c>
      <c r="V28" s="40">
        <f t="shared" si="3"/>
        <v>41218220</v>
      </c>
      <c r="W28" s="40">
        <f t="shared" si="4"/>
        <v>15728005</v>
      </c>
      <c r="X28" s="2"/>
      <c r="Y28" s="2"/>
      <c r="Z28" s="2"/>
    </row>
    <row r="29" ht="12.75" customHeight="1">
      <c r="A29" s="2"/>
      <c r="B29" s="8" t="s">
        <v>155</v>
      </c>
      <c r="C29" s="8" t="s">
        <v>27</v>
      </c>
      <c r="D29" s="8">
        <v>14.0</v>
      </c>
      <c r="E29" s="20">
        <v>0.0</v>
      </c>
      <c r="F29" s="20">
        <v>483.0</v>
      </c>
      <c r="G29" s="20">
        <v>0.0</v>
      </c>
      <c r="H29" s="21">
        <v>0.0</v>
      </c>
      <c r="I29" s="20">
        <v>216.0</v>
      </c>
      <c r="J29" s="20">
        <v>0.0</v>
      </c>
      <c r="K29" s="20">
        <f t="shared" si="1"/>
        <v>216</v>
      </c>
      <c r="L29" s="20">
        <v>267.0</v>
      </c>
      <c r="M29" s="20">
        <v>139.8</v>
      </c>
      <c r="N29" s="22">
        <v>24.0</v>
      </c>
      <c r="O29" s="20">
        <f t="shared" si="7"/>
        <v>15.53333333</v>
      </c>
      <c r="P29" s="39">
        <v>1.2361111111111112</v>
      </c>
      <c r="Q29" s="20">
        <v>0.0</v>
      </c>
      <c r="R29" s="20">
        <v>110.0</v>
      </c>
      <c r="S29" s="20">
        <v>0.0</v>
      </c>
      <c r="T29" s="2"/>
      <c r="U29" s="2">
        <v>848935.0</v>
      </c>
      <c r="V29" s="40">
        <f t="shared" si="3"/>
        <v>183369960</v>
      </c>
      <c r="W29" s="40">
        <f t="shared" si="4"/>
        <v>118681113</v>
      </c>
      <c r="X29" s="2"/>
      <c r="Y29" s="2"/>
      <c r="Z29" s="2"/>
    </row>
    <row r="30" ht="12.75" customHeight="1">
      <c r="A30" s="2"/>
      <c r="B30" s="8" t="s">
        <v>156</v>
      </c>
      <c r="C30" s="8" t="s">
        <v>27</v>
      </c>
      <c r="D30" s="8">
        <v>14.0</v>
      </c>
      <c r="E30" s="20">
        <v>540.0</v>
      </c>
      <c r="F30" s="20">
        <v>1549.0</v>
      </c>
      <c r="G30" s="20">
        <v>0.0</v>
      </c>
      <c r="H30" s="21">
        <v>0.0</v>
      </c>
      <c r="I30" s="20">
        <v>0.0</v>
      </c>
      <c r="J30" s="20">
        <v>1306.0</v>
      </c>
      <c r="K30" s="20">
        <f t="shared" si="1"/>
        <v>1306</v>
      </c>
      <c r="L30" s="20">
        <v>783.0</v>
      </c>
      <c r="M30" s="20">
        <v>576.777777777778</v>
      </c>
      <c r="N30" s="22">
        <v>24.0</v>
      </c>
      <c r="O30" s="20">
        <f t="shared" si="7"/>
        <v>10.59928535</v>
      </c>
      <c r="P30" s="39">
        <v>0.599540581929556</v>
      </c>
      <c r="Q30" s="20">
        <v>0.0</v>
      </c>
      <c r="R30" s="20">
        <v>846.0</v>
      </c>
      <c r="S30" s="20">
        <v>0.0</v>
      </c>
      <c r="T30" s="2"/>
      <c r="U30" s="2">
        <v>1040049.9999999999</v>
      </c>
      <c r="V30" s="40">
        <f t="shared" si="3"/>
        <v>1358305300</v>
      </c>
      <c r="W30" s="40">
        <f t="shared" si="4"/>
        <v>599877727.8</v>
      </c>
      <c r="X30" s="2"/>
      <c r="Y30" s="2"/>
      <c r="Z30" s="2"/>
    </row>
    <row r="31" ht="12.75" customHeight="1">
      <c r="A31" s="2"/>
      <c r="B31" s="8" t="s">
        <v>126</v>
      </c>
      <c r="C31" s="8" t="s">
        <v>27</v>
      </c>
      <c r="D31" s="8">
        <v>14.0</v>
      </c>
      <c r="E31" s="20">
        <v>47.0</v>
      </c>
      <c r="F31" s="20">
        <v>104.0</v>
      </c>
      <c r="G31" s="20">
        <v>0.0</v>
      </c>
      <c r="H31" s="21">
        <v>0.0</v>
      </c>
      <c r="I31" s="20">
        <v>0.0</v>
      </c>
      <c r="J31" s="20">
        <v>47.0</v>
      </c>
      <c r="K31" s="20">
        <f t="shared" si="1"/>
        <v>47</v>
      </c>
      <c r="L31" s="20">
        <v>104.0</v>
      </c>
      <c r="M31" s="20">
        <v>122.75</v>
      </c>
      <c r="N31" s="22">
        <v>24.0</v>
      </c>
      <c r="O31" s="20">
        <f t="shared" si="7"/>
        <v>62.68085106</v>
      </c>
      <c r="P31" s="39">
        <v>2.2127659574468086</v>
      </c>
      <c r="Q31" s="20">
        <v>0.0</v>
      </c>
      <c r="R31" s="20">
        <v>0.0</v>
      </c>
      <c r="S31" s="20">
        <v>0.0</v>
      </c>
      <c r="T31" s="2"/>
      <c r="U31" s="2">
        <v>819485.0</v>
      </c>
      <c r="V31" s="40">
        <f t="shared" si="3"/>
        <v>38515795</v>
      </c>
      <c r="W31" s="40">
        <f t="shared" si="4"/>
        <v>100591783.8</v>
      </c>
      <c r="X31" s="2"/>
      <c r="Y31" s="2"/>
      <c r="Z31" s="2"/>
    </row>
    <row r="32" ht="12.75" customHeight="1">
      <c r="A32" s="2"/>
      <c r="B32" s="8" t="s">
        <v>48</v>
      </c>
      <c r="C32" s="8" t="s">
        <v>27</v>
      </c>
      <c r="D32" s="8">
        <v>14.0</v>
      </c>
      <c r="E32" s="20">
        <v>630.0</v>
      </c>
      <c r="F32" s="20">
        <v>528.0</v>
      </c>
      <c r="G32" s="20">
        <v>0.0</v>
      </c>
      <c r="H32" s="21">
        <v>0.0</v>
      </c>
      <c r="I32" s="20">
        <v>0.0</v>
      </c>
      <c r="J32" s="20">
        <v>1104.0</v>
      </c>
      <c r="K32" s="20">
        <f t="shared" si="1"/>
        <v>1104</v>
      </c>
      <c r="L32" s="20">
        <v>54.0</v>
      </c>
      <c r="M32" s="20">
        <v>375.272727272727</v>
      </c>
      <c r="N32" s="22">
        <v>24.0</v>
      </c>
      <c r="O32" s="20">
        <f t="shared" si="7"/>
        <v>8.158102767</v>
      </c>
      <c r="P32" s="39">
        <v>0.04891304347826087</v>
      </c>
      <c r="Q32" s="20">
        <v>0.0</v>
      </c>
      <c r="R32" s="20">
        <v>430.0</v>
      </c>
      <c r="S32" s="20">
        <v>0.0</v>
      </c>
      <c r="T32" s="2"/>
      <c r="U32" s="2">
        <v>819485.0</v>
      </c>
      <c r="V32" s="40">
        <f t="shared" si="3"/>
        <v>904711440</v>
      </c>
      <c r="W32" s="40">
        <f t="shared" si="4"/>
        <v>307530370.9</v>
      </c>
      <c r="X32" s="2"/>
      <c r="Y32" s="2"/>
      <c r="Z32" s="2"/>
    </row>
    <row r="33" ht="12.75" customHeight="1">
      <c r="A33" s="2"/>
      <c r="B33" s="8" t="s">
        <v>127</v>
      </c>
      <c r="C33" s="8" t="s">
        <v>27</v>
      </c>
      <c r="D33" s="8">
        <v>14.0</v>
      </c>
      <c r="E33" s="20">
        <v>63.0</v>
      </c>
      <c r="F33" s="20">
        <v>0.0</v>
      </c>
      <c r="G33" s="20">
        <v>0.0</v>
      </c>
      <c r="H33" s="21">
        <v>0.0</v>
      </c>
      <c r="I33" s="20">
        <v>0.0</v>
      </c>
      <c r="J33" s="20">
        <v>0.0</v>
      </c>
      <c r="K33" s="20">
        <f t="shared" si="1"/>
        <v>0</v>
      </c>
      <c r="L33" s="20">
        <v>63.0</v>
      </c>
      <c r="M33" s="20">
        <v>0.0</v>
      </c>
      <c r="N33" s="22">
        <v>24.0</v>
      </c>
      <c r="O33" s="20">
        <v>0.0</v>
      </c>
      <c r="P33" s="39">
        <v>0.0</v>
      </c>
      <c r="Q33" s="20">
        <v>0.0</v>
      </c>
      <c r="R33" s="20">
        <v>0.0</v>
      </c>
      <c r="S33" s="20">
        <v>0.0</v>
      </c>
      <c r="T33" s="2"/>
      <c r="U33" s="2">
        <v>1272550.0</v>
      </c>
      <c r="V33" s="40">
        <f t="shared" si="3"/>
        <v>0</v>
      </c>
      <c r="W33" s="40">
        <f t="shared" si="4"/>
        <v>0</v>
      </c>
      <c r="X33" s="2"/>
      <c r="Y33" s="2"/>
      <c r="Z33" s="2"/>
    </row>
    <row r="34" ht="12.75" customHeight="1">
      <c r="A34" s="2"/>
      <c r="B34" s="8" t="s">
        <v>49</v>
      </c>
      <c r="C34" s="8" t="s">
        <v>27</v>
      </c>
      <c r="D34" s="8">
        <v>14.0</v>
      </c>
      <c r="E34" s="20">
        <v>106.0</v>
      </c>
      <c r="F34" s="20">
        <v>110.0</v>
      </c>
      <c r="G34" s="20">
        <v>0.0</v>
      </c>
      <c r="H34" s="21">
        <v>0.0</v>
      </c>
      <c r="I34" s="20">
        <v>0.0</v>
      </c>
      <c r="J34" s="20">
        <v>90.0</v>
      </c>
      <c r="K34" s="20">
        <f t="shared" si="1"/>
        <v>90</v>
      </c>
      <c r="L34" s="20">
        <v>126.0</v>
      </c>
      <c r="M34" s="20">
        <v>171.0</v>
      </c>
      <c r="N34" s="22">
        <v>24.0</v>
      </c>
      <c r="O34" s="20">
        <f t="shared" ref="O34:O39" si="8">(M34/(I34+J34))*N34</f>
        <v>45.6</v>
      </c>
      <c r="P34" s="39">
        <v>1.4</v>
      </c>
      <c r="Q34" s="20">
        <v>0.0</v>
      </c>
      <c r="R34" s="20">
        <v>0.0</v>
      </c>
      <c r="S34" s="20">
        <v>0.0</v>
      </c>
      <c r="T34" s="2"/>
      <c r="U34" s="2">
        <v>1272550.0</v>
      </c>
      <c r="V34" s="40">
        <f t="shared" si="3"/>
        <v>114529500</v>
      </c>
      <c r="W34" s="40">
        <f t="shared" si="4"/>
        <v>217606050</v>
      </c>
      <c r="X34" s="2"/>
      <c r="Y34" s="2"/>
      <c r="Z34" s="2"/>
    </row>
    <row r="35" ht="12.75" customHeight="1">
      <c r="A35" s="2"/>
      <c r="B35" s="8" t="s">
        <v>50</v>
      </c>
      <c r="C35" s="8" t="s">
        <v>27</v>
      </c>
      <c r="D35" s="8">
        <v>14.0</v>
      </c>
      <c r="E35" s="20">
        <v>225.0</v>
      </c>
      <c r="F35" s="20">
        <v>98.0</v>
      </c>
      <c r="G35" s="20">
        <v>0.0</v>
      </c>
      <c r="H35" s="21">
        <v>0.0</v>
      </c>
      <c r="I35" s="20">
        <v>0.0</v>
      </c>
      <c r="J35" s="20">
        <v>157.0</v>
      </c>
      <c r="K35" s="20">
        <f t="shared" si="1"/>
        <v>157</v>
      </c>
      <c r="L35" s="20">
        <v>166.0</v>
      </c>
      <c r="M35" s="20">
        <v>172.0</v>
      </c>
      <c r="N35" s="22">
        <v>24.0</v>
      </c>
      <c r="O35" s="20">
        <f t="shared" si="8"/>
        <v>26.29299363</v>
      </c>
      <c r="P35" s="39">
        <v>1.0573248407643312</v>
      </c>
      <c r="Q35" s="20">
        <v>6.0</v>
      </c>
      <c r="R35" s="20">
        <v>0.0</v>
      </c>
      <c r="S35" s="20">
        <v>0.0</v>
      </c>
      <c r="T35" s="2"/>
      <c r="U35" s="2">
        <v>1272550.0</v>
      </c>
      <c r="V35" s="40">
        <f t="shared" si="3"/>
        <v>199790350</v>
      </c>
      <c r="W35" s="40">
        <f t="shared" si="4"/>
        <v>218878600</v>
      </c>
      <c r="X35" s="2"/>
      <c r="Y35" s="2"/>
      <c r="Z35" s="2"/>
    </row>
    <row r="36" ht="12.75" customHeight="1">
      <c r="A36" s="2"/>
      <c r="B36" s="8" t="s">
        <v>51</v>
      </c>
      <c r="C36" s="8" t="s">
        <v>27</v>
      </c>
      <c r="D36" s="8">
        <v>14.0</v>
      </c>
      <c r="E36" s="20">
        <v>189.0</v>
      </c>
      <c r="F36" s="20">
        <v>315.0</v>
      </c>
      <c r="G36" s="20">
        <v>0.0</v>
      </c>
      <c r="H36" s="21">
        <v>0.0</v>
      </c>
      <c r="I36" s="20">
        <v>0.0</v>
      </c>
      <c r="J36" s="20">
        <v>51.0</v>
      </c>
      <c r="K36" s="20">
        <f t="shared" si="1"/>
        <v>51</v>
      </c>
      <c r="L36" s="20">
        <v>453.0</v>
      </c>
      <c r="M36" s="20">
        <v>474.0</v>
      </c>
      <c r="N36" s="22">
        <v>24.0</v>
      </c>
      <c r="O36" s="20">
        <f t="shared" si="8"/>
        <v>223.0588235</v>
      </c>
      <c r="P36" s="39">
        <v>8.882352941176471</v>
      </c>
      <c r="Q36" s="20">
        <v>0.0</v>
      </c>
      <c r="R36" s="20">
        <v>0.0</v>
      </c>
      <c r="S36" s="20">
        <v>0.0</v>
      </c>
      <c r="T36" s="2"/>
      <c r="U36" s="2">
        <v>819485.0</v>
      </c>
      <c r="V36" s="40">
        <f t="shared" si="3"/>
        <v>41793735</v>
      </c>
      <c r="W36" s="40">
        <f t="shared" si="4"/>
        <v>388435890</v>
      </c>
      <c r="X36" s="2"/>
      <c r="Y36" s="2"/>
      <c r="Z36" s="2"/>
    </row>
    <row r="37" ht="12.75" customHeight="1">
      <c r="A37" s="2"/>
      <c r="B37" s="8" t="s">
        <v>147</v>
      </c>
      <c r="C37" s="8" t="s">
        <v>27</v>
      </c>
      <c r="D37" s="8">
        <v>14.0</v>
      </c>
      <c r="E37" s="20">
        <v>432.0</v>
      </c>
      <c r="F37" s="20">
        <v>450.0</v>
      </c>
      <c r="G37" s="20">
        <v>0.0</v>
      </c>
      <c r="H37" s="21">
        <v>0.0</v>
      </c>
      <c r="I37" s="20">
        <v>0.0</v>
      </c>
      <c r="J37" s="20">
        <v>720.0</v>
      </c>
      <c r="K37" s="20">
        <f t="shared" si="1"/>
        <v>720</v>
      </c>
      <c r="L37" s="20">
        <v>162.0</v>
      </c>
      <c r="M37" s="20">
        <v>247.42857142857102</v>
      </c>
      <c r="N37" s="22">
        <v>24.0</v>
      </c>
      <c r="O37" s="20">
        <f t="shared" si="8"/>
        <v>8.247619048</v>
      </c>
      <c r="P37" s="39">
        <v>0.225</v>
      </c>
      <c r="Q37" s="20">
        <v>0.0</v>
      </c>
      <c r="R37" s="20">
        <v>450.0</v>
      </c>
      <c r="S37" s="20">
        <v>0.0</v>
      </c>
      <c r="T37" s="2"/>
      <c r="U37" s="2">
        <v>819485.0</v>
      </c>
      <c r="V37" s="40">
        <f t="shared" si="3"/>
        <v>590029200</v>
      </c>
      <c r="W37" s="40">
        <f t="shared" si="4"/>
        <v>202764002.9</v>
      </c>
      <c r="X37" s="2"/>
      <c r="Y37" s="2"/>
      <c r="Z37" s="2"/>
    </row>
    <row r="38" ht="12.75" customHeight="1">
      <c r="A38" s="2"/>
      <c r="B38" s="8" t="s">
        <v>108</v>
      </c>
      <c r="C38" s="8" t="s">
        <v>27</v>
      </c>
      <c r="D38" s="8">
        <v>14.0</v>
      </c>
      <c r="E38" s="20">
        <v>276.0</v>
      </c>
      <c r="F38" s="20">
        <v>0.0</v>
      </c>
      <c r="G38" s="20">
        <v>0.0</v>
      </c>
      <c r="H38" s="21">
        <v>0.0</v>
      </c>
      <c r="I38" s="20">
        <v>0.0</v>
      </c>
      <c r="J38" s="20">
        <v>96.0</v>
      </c>
      <c r="K38" s="20">
        <f t="shared" si="1"/>
        <v>96</v>
      </c>
      <c r="L38" s="20">
        <v>180.0</v>
      </c>
      <c r="M38" s="20">
        <v>204.0</v>
      </c>
      <c r="N38" s="22">
        <v>24.0</v>
      </c>
      <c r="O38" s="20">
        <f t="shared" si="8"/>
        <v>51</v>
      </c>
      <c r="P38" s="39">
        <v>1.875</v>
      </c>
      <c r="Q38" s="20">
        <v>0.0</v>
      </c>
      <c r="R38" s="20">
        <v>0.0</v>
      </c>
      <c r="S38" s="20">
        <v>0.0</v>
      </c>
      <c r="T38" s="2"/>
      <c r="U38" s="2">
        <v>1445220.0</v>
      </c>
      <c r="V38" s="40">
        <f t="shared" si="3"/>
        <v>138741120</v>
      </c>
      <c r="W38" s="40">
        <f t="shared" si="4"/>
        <v>294824880</v>
      </c>
      <c r="X38" s="2"/>
      <c r="Y38" s="2"/>
      <c r="Z38" s="2"/>
    </row>
    <row r="39" ht="12.75" customHeight="1">
      <c r="A39" s="2"/>
      <c r="B39" s="8" t="s">
        <v>128</v>
      </c>
      <c r="C39" s="8" t="s">
        <v>27</v>
      </c>
      <c r="D39" s="8">
        <v>14.0</v>
      </c>
      <c r="E39" s="20">
        <v>126.0</v>
      </c>
      <c r="F39" s="20">
        <v>102.0</v>
      </c>
      <c r="G39" s="20">
        <v>0.0</v>
      </c>
      <c r="H39" s="21">
        <v>0.0</v>
      </c>
      <c r="I39" s="20">
        <v>0.0</v>
      </c>
      <c r="J39" s="20">
        <v>134.0</v>
      </c>
      <c r="K39" s="20">
        <f t="shared" si="1"/>
        <v>134</v>
      </c>
      <c r="L39" s="20">
        <v>94.0</v>
      </c>
      <c r="M39" s="20">
        <v>125.0</v>
      </c>
      <c r="N39" s="22">
        <v>24.0</v>
      </c>
      <c r="O39" s="20">
        <f t="shared" si="8"/>
        <v>22.3880597</v>
      </c>
      <c r="P39" s="39">
        <v>0.7014925373134329</v>
      </c>
      <c r="Q39" s="20">
        <v>0.0</v>
      </c>
      <c r="R39" s="20">
        <v>100.0</v>
      </c>
      <c r="S39" s="20">
        <v>0.0</v>
      </c>
      <c r="T39" s="2"/>
      <c r="U39" s="2">
        <v>1445220.0</v>
      </c>
      <c r="V39" s="40">
        <f t="shared" si="3"/>
        <v>193659480</v>
      </c>
      <c r="W39" s="40">
        <f t="shared" si="4"/>
        <v>180652500</v>
      </c>
      <c r="X39" s="2"/>
      <c r="Y39" s="2"/>
      <c r="Z39" s="2"/>
    </row>
    <row r="40" ht="12.75" customHeight="1">
      <c r="A40" s="2"/>
      <c r="B40" s="8" t="s">
        <v>54</v>
      </c>
      <c r="C40" s="8" t="s">
        <v>27</v>
      </c>
      <c r="D40" s="8">
        <v>14.0</v>
      </c>
      <c r="E40" s="20">
        <v>328.0</v>
      </c>
      <c r="F40" s="20">
        <v>0.0</v>
      </c>
      <c r="G40" s="20">
        <v>0.0</v>
      </c>
      <c r="H40" s="21">
        <v>0.0</v>
      </c>
      <c r="I40" s="20">
        <v>0.0</v>
      </c>
      <c r="J40" s="20">
        <v>0.0</v>
      </c>
      <c r="K40" s="20">
        <f t="shared" si="1"/>
        <v>0</v>
      </c>
      <c r="L40" s="20">
        <v>328.0</v>
      </c>
      <c r="M40" s="20">
        <v>0.0</v>
      </c>
      <c r="N40" s="22">
        <v>24.0</v>
      </c>
      <c r="O40" s="20">
        <v>0.0</v>
      </c>
      <c r="P40" s="39">
        <v>0.0</v>
      </c>
      <c r="Q40" s="20">
        <v>0.0</v>
      </c>
      <c r="R40" s="20">
        <v>0.0</v>
      </c>
      <c r="S40" s="20">
        <v>0.0</v>
      </c>
      <c r="T40" s="2"/>
      <c r="U40" s="2">
        <v>1445220.0</v>
      </c>
      <c r="V40" s="40">
        <f t="shared" si="3"/>
        <v>0</v>
      </c>
      <c r="W40" s="40">
        <f t="shared" si="4"/>
        <v>0</v>
      </c>
      <c r="X40" s="2"/>
      <c r="Y40" s="2"/>
      <c r="Z40" s="2"/>
    </row>
    <row r="41" ht="12.75" customHeight="1">
      <c r="A41" s="2"/>
      <c r="B41" s="8" t="s">
        <v>55</v>
      </c>
      <c r="C41" s="8" t="s">
        <v>27</v>
      </c>
      <c r="D41" s="8">
        <v>14.0</v>
      </c>
      <c r="E41" s="20">
        <v>105.0</v>
      </c>
      <c r="F41" s="20">
        <v>253.0</v>
      </c>
      <c r="G41" s="20">
        <v>0.0</v>
      </c>
      <c r="H41" s="21">
        <v>0.0</v>
      </c>
      <c r="I41" s="20">
        <v>0.0</v>
      </c>
      <c r="J41" s="20">
        <v>158.0</v>
      </c>
      <c r="K41" s="20">
        <f t="shared" si="1"/>
        <v>158</v>
      </c>
      <c r="L41" s="20">
        <v>200.0</v>
      </c>
      <c r="M41" s="20">
        <v>190.42857142857102</v>
      </c>
      <c r="N41" s="22">
        <v>24.0</v>
      </c>
      <c r="O41" s="20">
        <f t="shared" ref="O41:O46" si="9">(M41/(I41+J41))*N41</f>
        <v>28.92585895</v>
      </c>
      <c r="P41" s="39">
        <v>1.2658227848101267</v>
      </c>
      <c r="Q41" s="20">
        <v>0.0</v>
      </c>
      <c r="R41" s="20">
        <v>0.0</v>
      </c>
      <c r="S41" s="20">
        <v>0.0</v>
      </c>
      <c r="T41" s="2"/>
      <c r="U41" s="2">
        <v>1272550.0</v>
      </c>
      <c r="V41" s="40">
        <f t="shared" si="3"/>
        <v>201062900</v>
      </c>
      <c r="W41" s="40">
        <f t="shared" si="4"/>
        <v>242329878.6</v>
      </c>
      <c r="X41" s="2"/>
      <c r="Y41" s="2"/>
      <c r="Z41" s="2"/>
    </row>
    <row r="42" ht="12.75" customHeight="1">
      <c r="A42" s="2"/>
      <c r="B42" s="8" t="s">
        <v>157</v>
      </c>
      <c r="C42" s="8" t="s">
        <v>27</v>
      </c>
      <c r="D42" s="8">
        <v>14.0</v>
      </c>
      <c r="E42" s="20">
        <v>540.0</v>
      </c>
      <c r="F42" s="20">
        <v>2137.0</v>
      </c>
      <c r="G42" s="20">
        <v>0.0</v>
      </c>
      <c r="H42" s="21">
        <v>0.0</v>
      </c>
      <c r="I42" s="20">
        <v>0.0</v>
      </c>
      <c r="J42" s="20">
        <v>2098.0</v>
      </c>
      <c r="K42" s="20">
        <f t="shared" si="1"/>
        <v>2098</v>
      </c>
      <c r="L42" s="20">
        <v>579.0</v>
      </c>
      <c r="M42" s="20">
        <v>800.333333333333</v>
      </c>
      <c r="N42" s="22">
        <v>24.0</v>
      </c>
      <c r="O42" s="20">
        <f t="shared" si="9"/>
        <v>9.155386082</v>
      </c>
      <c r="P42" s="39">
        <v>0.2759771210676835</v>
      </c>
      <c r="Q42" s="20">
        <v>8.0</v>
      </c>
      <c r="R42" s="20">
        <v>0.0</v>
      </c>
      <c r="S42" s="20">
        <v>0.0</v>
      </c>
      <c r="T42" s="2"/>
      <c r="U42" s="2">
        <v>819485.0</v>
      </c>
      <c r="V42" s="40">
        <f t="shared" si="3"/>
        <v>1719279530</v>
      </c>
      <c r="W42" s="40">
        <f t="shared" si="4"/>
        <v>655861161.7</v>
      </c>
      <c r="X42" s="2"/>
      <c r="Y42" s="2"/>
      <c r="Z42" s="2"/>
    </row>
    <row r="43" ht="12.75" customHeight="1">
      <c r="A43" s="2"/>
      <c r="B43" s="8" t="s">
        <v>58</v>
      </c>
      <c r="C43" s="8" t="s">
        <v>27</v>
      </c>
      <c r="D43" s="8">
        <v>14.0</v>
      </c>
      <c r="E43" s="20">
        <v>220.0</v>
      </c>
      <c r="F43" s="20">
        <v>100.0</v>
      </c>
      <c r="G43" s="20">
        <v>0.0</v>
      </c>
      <c r="H43" s="21">
        <v>0.0</v>
      </c>
      <c r="I43" s="20">
        <v>0.0</v>
      </c>
      <c r="J43" s="20">
        <v>141.0</v>
      </c>
      <c r="K43" s="20">
        <f t="shared" si="1"/>
        <v>141</v>
      </c>
      <c r="L43" s="20">
        <v>179.0</v>
      </c>
      <c r="M43" s="20">
        <v>217.5</v>
      </c>
      <c r="N43" s="22">
        <v>24.0</v>
      </c>
      <c r="O43" s="20">
        <f t="shared" si="9"/>
        <v>37.0212766</v>
      </c>
      <c r="P43" s="39">
        <v>1.2695035460992907</v>
      </c>
      <c r="Q43" s="20">
        <v>0.0</v>
      </c>
      <c r="R43" s="20">
        <v>200.0</v>
      </c>
      <c r="S43" s="20">
        <v>0.0</v>
      </c>
      <c r="T43" s="2"/>
      <c r="U43" s="2">
        <v>819485.0</v>
      </c>
      <c r="V43" s="40">
        <f t="shared" si="3"/>
        <v>115547385</v>
      </c>
      <c r="W43" s="40">
        <f t="shared" si="4"/>
        <v>178237987.5</v>
      </c>
      <c r="X43" s="2"/>
      <c r="Y43" s="2"/>
      <c r="Z43" s="2"/>
    </row>
    <row r="44" ht="12.75" customHeight="1">
      <c r="A44" s="2"/>
      <c r="B44" s="8" t="s">
        <v>59</v>
      </c>
      <c r="C44" s="8" t="s">
        <v>27</v>
      </c>
      <c r="D44" s="8">
        <v>14.0</v>
      </c>
      <c r="E44" s="20">
        <v>579.98</v>
      </c>
      <c r="F44" s="20">
        <v>593.0</v>
      </c>
      <c r="G44" s="20">
        <v>0.0</v>
      </c>
      <c r="H44" s="21">
        <v>0.0</v>
      </c>
      <c r="I44" s="20">
        <v>0.0</v>
      </c>
      <c r="J44" s="20">
        <v>740.0</v>
      </c>
      <c r="K44" s="20">
        <f t="shared" si="1"/>
        <v>740</v>
      </c>
      <c r="L44" s="20">
        <v>432.98</v>
      </c>
      <c r="M44" s="20">
        <v>443.605</v>
      </c>
      <c r="N44" s="22">
        <v>24.0</v>
      </c>
      <c r="O44" s="20">
        <f t="shared" si="9"/>
        <v>14.38718919</v>
      </c>
      <c r="P44" s="39">
        <v>0.5851081081081081</v>
      </c>
      <c r="Q44" s="20">
        <v>0.0</v>
      </c>
      <c r="R44" s="20">
        <v>470.0</v>
      </c>
      <c r="S44" s="20">
        <v>0.0</v>
      </c>
      <c r="T44" s="2"/>
      <c r="U44" s="2">
        <v>819485.0</v>
      </c>
      <c r="V44" s="40">
        <f t="shared" si="3"/>
        <v>606418900</v>
      </c>
      <c r="W44" s="40">
        <f t="shared" si="4"/>
        <v>363527643.4</v>
      </c>
      <c r="X44" s="2"/>
      <c r="Y44" s="2"/>
      <c r="Z44" s="2"/>
    </row>
    <row r="45" ht="12.75" customHeight="1">
      <c r="A45" s="2"/>
      <c r="B45" s="8" t="s">
        <v>148</v>
      </c>
      <c r="C45" s="8" t="s">
        <v>27</v>
      </c>
      <c r="D45" s="8">
        <v>14.0</v>
      </c>
      <c r="E45" s="20">
        <v>23.0</v>
      </c>
      <c r="F45" s="20">
        <v>0.0</v>
      </c>
      <c r="G45" s="20">
        <v>0.0</v>
      </c>
      <c r="H45" s="21">
        <v>0.0</v>
      </c>
      <c r="I45" s="20">
        <v>2.0</v>
      </c>
      <c r="J45" s="20">
        <v>0.0</v>
      </c>
      <c r="K45" s="20">
        <f t="shared" si="1"/>
        <v>2</v>
      </c>
      <c r="L45" s="20">
        <v>21.0</v>
      </c>
      <c r="M45" s="20">
        <v>21.0</v>
      </c>
      <c r="N45" s="22">
        <v>24.0</v>
      </c>
      <c r="O45" s="20">
        <f t="shared" si="9"/>
        <v>252</v>
      </c>
      <c r="P45" s="39">
        <v>10.5</v>
      </c>
      <c r="Q45" s="20">
        <v>0.0</v>
      </c>
      <c r="R45" s="20">
        <v>0.0</v>
      </c>
      <c r="S45" s="20">
        <v>0.0</v>
      </c>
      <c r="T45" s="2"/>
      <c r="U45" s="2">
        <v>1481800.0</v>
      </c>
      <c r="V45" s="40">
        <f t="shared" si="3"/>
        <v>2963600</v>
      </c>
      <c r="W45" s="40">
        <f t="shared" si="4"/>
        <v>31117800</v>
      </c>
      <c r="X45" s="2"/>
      <c r="Y45" s="2"/>
      <c r="Z45" s="2"/>
    </row>
    <row r="46" ht="12.75" customHeight="1">
      <c r="A46" s="2"/>
      <c r="B46" s="8" t="s">
        <v>60</v>
      </c>
      <c r="C46" s="8" t="s">
        <v>27</v>
      </c>
      <c r="D46" s="8">
        <v>14.0</v>
      </c>
      <c r="E46" s="20">
        <v>130.0</v>
      </c>
      <c r="F46" s="20">
        <v>0.0</v>
      </c>
      <c r="G46" s="20">
        <v>0.0</v>
      </c>
      <c r="H46" s="21">
        <v>0.0</v>
      </c>
      <c r="I46" s="20">
        <v>2.0</v>
      </c>
      <c r="J46" s="20">
        <v>0.0</v>
      </c>
      <c r="K46" s="20">
        <f t="shared" si="1"/>
        <v>2</v>
      </c>
      <c r="L46" s="20">
        <v>128.0</v>
      </c>
      <c r="M46" s="20">
        <v>128.0</v>
      </c>
      <c r="N46" s="22">
        <v>24.0</v>
      </c>
      <c r="O46" s="20">
        <f t="shared" si="9"/>
        <v>1536</v>
      </c>
      <c r="P46" s="39">
        <v>64.0</v>
      </c>
      <c r="Q46" s="20">
        <v>0.0</v>
      </c>
      <c r="R46" s="20">
        <v>0.0</v>
      </c>
      <c r="S46" s="20">
        <v>0.0</v>
      </c>
      <c r="T46" s="2"/>
      <c r="U46" s="2">
        <v>1481800.0</v>
      </c>
      <c r="V46" s="40">
        <f t="shared" si="3"/>
        <v>2963600</v>
      </c>
      <c r="W46" s="40">
        <f t="shared" si="4"/>
        <v>189670400</v>
      </c>
      <c r="X46" s="2"/>
      <c r="Y46" s="2"/>
      <c r="Z46" s="2"/>
    </row>
    <row r="47" ht="12.75" customHeight="1">
      <c r="A47" s="2"/>
      <c r="B47" s="8" t="s">
        <v>61</v>
      </c>
      <c r="C47" s="8" t="s">
        <v>27</v>
      </c>
      <c r="D47" s="8">
        <v>14.0</v>
      </c>
      <c r="E47" s="20">
        <v>1.0</v>
      </c>
      <c r="F47" s="20">
        <v>0.0</v>
      </c>
      <c r="G47" s="20">
        <v>0.0</v>
      </c>
      <c r="H47" s="21">
        <v>0.0</v>
      </c>
      <c r="I47" s="20">
        <v>0.0</v>
      </c>
      <c r="J47" s="20">
        <v>0.0</v>
      </c>
      <c r="K47" s="20">
        <f t="shared" si="1"/>
        <v>0</v>
      </c>
      <c r="L47" s="20">
        <v>1.0</v>
      </c>
      <c r="M47" s="20">
        <v>0.0</v>
      </c>
      <c r="N47" s="22">
        <v>24.0</v>
      </c>
      <c r="O47" s="20">
        <v>0.0</v>
      </c>
      <c r="P47" s="39">
        <v>0.0</v>
      </c>
      <c r="Q47" s="20">
        <v>0.0</v>
      </c>
      <c r="R47" s="20">
        <v>0.0</v>
      </c>
      <c r="S47" s="20">
        <v>0.0</v>
      </c>
      <c r="T47" s="2"/>
      <c r="U47" s="2">
        <v>1481800.0</v>
      </c>
      <c r="V47" s="40">
        <f t="shared" si="3"/>
        <v>0</v>
      </c>
      <c r="W47" s="40">
        <f t="shared" si="4"/>
        <v>0</v>
      </c>
      <c r="X47" s="2"/>
      <c r="Y47" s="2"/>
      <c r="Z47" s="2"/>
    </row>
    <row r="48" ht="12.75" customHeight="1">
      <c r="A48" s="2"/>
      <c r="B48" s="8" t="s">
        <v>129</v>
      </c>
      <c r="C48" s="8" t="s">
        <v>27</v>
      </c>
      <c r="D48" s="8">
        <v>14.0</v>
      </c>
      <c r="E48" s="20">
        <v>28.0</v>
      </c>
      <c r="F48" s="20">
        <v>0.0</v>
      </c>
      <c r="G48" s="20">
        <v>0.0</v>
      </c>
      <c r="H48" s="21">
        <v>0.0</v>
      </c>
      <c r="I48" s="20">
        <v>0.0</v>
      </c>
      <c r="J48" s="20">
        <v>0.0</v>
      </c>
      <c r="K48" s="20">
        <f t="shared" si="1"/>
        <v>0</v>
      </c>
      <c r="L48" s="20">
        <v>28.0</v>
      </c>
      <c r="M48" s="20">
        <v>0.0</v>
      </c>
      <c r="N48" s="22">
        <v>24.0</v>
      </c>
      <c r="O48" s="20">
        <v>0.0</v>
      </c>
      <c r="P48" s="39">
        <v>0.0</v>
      </c>
      <c r="Q48" s="20">
        <v>0.0</v>
      </c>
      <c r="R48" s="20">
        <v>0.0</v>
      </c>
      <c r="S48" s="20">
        <v>0.0</v>
      </c>
      <c r="T48" s="2"/>
      <c r="U48" s="2">
        <v>1481800.0</v>
      </c>
      <c r="V48" s="40">
        <f t="shared" si="3"/>
        <v>0</v>
      </c>
      <c r="W48" s="40">
        <f t="shared" si="4"/>
        <v>0</v>
      </c>
      <c r="X48" s="2"/>
      <c r="Y48" s="2"/>
      <c r="Z48" s="2"/>
    </row>
    <row r="49" ht="12.75" customHeight="1">
      <c r="A49" s="2"/>
      <c r="B49" s="8" t="s">
        <v>159</v>
      </c>
      <c r="C49" s="8" t="s">
        <v>27</v>
      </c>
      <c r="D49" s="8">
        <v>14.0</v>
      </c>
      <c r="E49" s="20">
        <v>26.0</v>
      </c>
      <c r="F49" s="20">
        <v>0.0</v>
      </c>
      <c r="G49" s="20">
        <v>0.0</v>
      </c>
      <c r="H49" s="21">
        <v>0.0</v>
      </c>
      <c r="I49" s="20">
        <v>8.0</v>
      </c>
      <c r="J49" s="20">
        <v>0.0</v>
      </c>
      <c r="K49" s="20">
        <f t="shared" si="1"/>
        <v>8</v>
      </c>
      <c r="L49" s="20">
        <v>18.0</v>
      </c>
      <c r="M49" s="20">
        <v>20.0</v>
      </c>
      <c r="N49" s="22">
        <v>24.0</v>
      </c>
      <c r="O49" s="20">
        <f>(M49/(I49+J49))*N49</f>
        <v>60</v>
      </c>
      <c r="P49" s="39">
        <v>2.25</v>
      </c>
      <c r="Q49" s="20">
        <v>0.0</v>
      </c>
      <c r="R49" s="20">
        <v>18.0</v>
      </c>
      <c r="S49" s="20">
        <v>18.0</v>
      </c>
      <c r="T49" s="2"/>
      <c r="U49" s="2">
        <v>1481800.0</v>
      </c>
      <c r="V49" s="40">
        <f t="shared" si="3"/>
        <v>11854400</v>
      </c>
      <c r="W49" s="40">
        <f t="shared" si="4"/>
        <v>29636000</v>
      </c>
      <c r="X49" s="2"/>
      <c r="Y49" s="2"/>
      <c r="Z49" s="2"/>
    </row>
    <row r="50" ht="12.75" customHeight="1">
      <c r="A50" s="2"/>
      <c r="B50" s="8" t="s">
        <v>63</v>
      </c>
      <c r="C50" s="8" t="s">
        <v>27</v>
      </c>
      <c r="D50" s="8">
        <v>14.0</v>
      </c>
      <c r="E50" s="20">
        <v>50.0</v>
      </c>
      <c r="F50" s="20">
        <v>0.0</v>
      </c>
      <c r="G50" s="20">
        <v>0.0</v>
      </c>
      <c r="H50" s="21">
        <v>0.0</v>
      </c>
      <c r="I50" s="20">
        <v>0.0</v>
      </c>
      <c r="J50" s="20">
        <v>0.0</v>
      </c>
      <c r="K50" s="20">
        <f t="shared" si="1"/>
        <v>0</v>
      </c>
      <c r="L50" s="20">
        <v>50.0</v>
      </c>
      <c r="M50" s="20">
        <v>0.0</v>
      </c>
      <c r="N50" s="22">
        <v>24.0</v>
      </c>
      <c r="O50" s="20">
        <v>0.0</v>
      </c>
      <c r="P50" s="39">
        <v>0.0</v>
      </c>
      <c r="Q50" s="20">
        <v>0.0</v>
      </c>
      <c r="R50" s="20">
        <v>0.0</v>
      </c>
      <c r="S50" s="20">
        <v>0.0</v>
      </c>
      <c r="T50" s="2"/>
      <c r="U50" s="2">
        <v>1481800.0</v>
      </c>
      <c r="V50" s="40">
        <f t="shared" si="3"/>
        <v>0</v>
      </c>
      <c r="W50" s="40">
        <f t="shared" si="4"/>
        <v>0</v>
      </c>
      <c r="X50" s="2"/>
      <c r="Y50" s="2"/>
      <c r="Z50" s="2"/>
    </row>
    <row r="51" ht="12.75" customHeight="1">
      <c r="A51" s="2"/>
      <c r="B51" s="8" t="s">
        <v>64</v>
      </c>
      <c r="C51" s="8" t="s">
        <v>27</v>
      </c>
      <c r="D51" s="8">
        <v>14.0</v>
      </c>
      <c r="E51" s="20">
        <v>54.0</v>
      </c>
      <c r="F51" s="20">
        <v>0.0</v>
      </c>
      <c r="G51" s="20">
        <v>0.0</v>
      </c>
      <c r="H51" s="21">
        <v>0.0</v>
      </c>
      <c r="I51" s="20">
        <v>6.0</v>
      </c>
      <c r="J51" s="20">
        <v>0.0</v>
      </c>
      <c r="K51" s="20">
        <f t="shared" si="1"/>
        <v>6</v>
      </c>
      <c r="L51" s="20">
        <v>48.0</v>
      </c>
      <c r="M51" s="20">
        <v>50.0</v>
      </c>
      <c r="N51" s="22">
        <v>24.0</v>
      </c>
      <c r="O51" s="20">
        <f t="shared" ref="O51:O53" si="10">(M51/(I51+J51))*N51</f>
        <v>200</v>
      </c>
      <c r="P51" s="39">
        <v>8.0</v>
      </c>
      <c r="Q51" s="20">
        <v>0.0</v>
      </c>
      <c r="R51" s="20">
        <v>0.0</v>
      </c>
      <c r="S51" s="20">
        <v>0.0</v>
      </c>
      <c r="T51" s="2"/>
      <c r="U51" s="2">
        <v>1481800.0</v>
      </c>
      <c r="V51" s="40">
        <f t="shared" si="3"/>
        <v>8890800</v>
      </c>
      <c r="W51" s="40">
        <f t="shared" si="4"/>
        <v>74090000</v>
      </c>
      <c r="X51" s="2"/>
      <c r="Y51" s="2"/>
      <c r="Z51" s="2"/>
    </row>
    <row r="52" ht="12.75" customHeight="1">
      <c r="A52" s="2"/>
      <c r="B52" s="8" t="s">
        <v>66</v>
      </c>
      <c r="C52" s="8" t="s">
        <v>27</v>
      </c>
      <c r="D52" s="8">
        <v>14.0</v>
      </c>
      <c r="E52" s="20">
        <v>249.0</v>
      </c>
      <c r="F52" s="20">
        <v>0.0</v>
      </c>
      <c r="G52" s="20">
        <v>0.0</v>
      </c>
      <c r="H52" s="21">
        <v>0.0</v>
      </c>
      <c r="I52" s="20">
        <v>0.0</v>
      </c>
      <c r="J52" s="20">
        <v>57.0</v>
      </c>
      <c r="K52" s="20">
        <f t="shared" si="1"/>
        <v>57</v>
      </c>
      <c r="L52" s="20">
        <v>192.0</v>
      </c>
      <c r="M52" s="20">
        <v>192.0</v>
      </c>
      <c r="N52" s="22">
        <v>24.0</v>
      </c>
      <c r="O52" s="20">
        <f t="shared" si="10"/>
        <v>80.84210526</v>
      </c>
      <c r="P52" s="39">
        <v>3.3684210526315788</v>
      </c>
      <c r="Q52" s="20">
        <v>0.0</v>
      </c>
      <c r="R52" s="20">
        <v>0.0</v>
      </c>
      <c r="S52" s="20">
        <v>0.0</v>
      </c>
      <c r="T52" s="2"/>
      <c r="U52" s="2">
        <v>958675.0</v>
      </c>
      <c r="V52" s="40">
        <f t="shared" si="3"/>
        <v>54644475</v>
      </c>
      <c r="W52" s="40">
        <f t="shared" si="4"/>
        <v>184065600</v>
      </c>
      <c r="X52" s="2"/>
      <c r="Y52" s="2"/>
      <c r="Z52" s="2"/>
    </row>
    <row r="53" ht="12.75" customHeight="1">
      <c r="A53" s="2"/>
      <c r="B53" s="8" t="s">
        <v>109</v>
      </c>
      <c r="C53" s="8" t="s">
        <v>27</v>
      </c>
      <c r="D53" s="8">
        <v>14.0</v>
      </c>
      <c r="E53" s="20">
        <v>403.0</v>
      </c>
      <c r="F53" s="20">
        <v>210.0</v>
      </c>
      <c r="G53" s="20">
        <v>0.0</v>
      </c>
      <c r="H53" s="21">
        <v>0.0</v>
      </c>
      <c r="I53" s="20">
        <v>162.0</v>
      </c>
      <c r="J53" s="20">
        <v>0.0</v>
      </c>
      <c r="K53" s="20">
        <f t="shared" si="1"/>
        <v>162</v>
      </c>
      <c r="L53" s="20">
        <v>451.0</v>
      </c>
      <c r="M53" s="20">
        <v>413.5</v>
      </c>
      <c r="N53" s="22">
        <v>24.0</v>
      </c>
      <c r="O53" s="20">
        <f t="shared" si="10"/>
        <v>61.25925926</v>
      </c>
      <c r="P53" s="39">
        <v>2.7839506172839505</v>
      </c>
      <c r="Q53" s="20">
        <v>0.0</v>
      </c>
      <c r="R53" s="20">
        <v>100.0</v>
      </c>
      <c r="S53" s="20">
        <v>0.0</v>
      </c>
      <c r="T53" s="2"/>
      <c r="U53" s="2">
        <v>848935.0</v>
      </c>
      <c r="V53" s="40">
        <f t="shared" si="3"/>
        <v>137527470</v>
      </c>
      <c r="W53" s="40">
        <f t="shared" si="4"/>
        <v>351034622.5</v>
      </c>
      <c r="X53" s="2"/>
      <c r="Y53" s="2"/>
      <c r="Z53" s="2"/>
    </row>
    <row r="54" ht="12.75" customHeight="1">
      <c r="A54" s="2"/>
      <c r="B54" s="8" t="s">
        <v>110</v>
      </c>
      <c r="C54" s="8" t="s">
        <v>27</v>
      </c>
      <c r="D54" s="8">
        <v>14.0</v>
      </c>
      <c r="E54" s="20">
        <v>209.0</v>
      </c>
      <c r="F54" s="20">
        <v>131.0</v>
      </c>
      <c r="G54" s="20">
        <v>0.0</v>
      </c>
      <c r="H54" s="21">
        <v>0.0</v>
      </c>
      <c r="I54" s="20">
        <v>0.0</v>
      </c>
      <c r="J54" s="20">
        <v>0.0</v>
      </c>
      <c r="K54" s="20">
        <f t="shared" si="1"/>
        <v>0</v>
      </c>
      <c r="L54" s="20">
        <v>340.0</v>
      </c>
      <c r="M54" s="20">
        <v>340.0</v>
      </c>
      <c r="N54" s="22">
        <v>24.0</v>
      </c>
      <c r="O54" s="20">
        <v>0.0</v>
      </c>
      <c r="P54" s="39">
        <v>0.0</v>
      </c>
      <c r="Q54" s="20">
        <v>0.0</v>
      </c>
      <c r="R54" s="20">
        <v>0.0</v>
      </c>
      <c r="S54" s="20">
        <v>0.0</v>
      </c>
      <c r="T54" s="2"/>
      <c r="U54" s="2">
        <v>1012770.0</v>
      </c>
      <c r="V54" s="40">
        <f t="shared" si="3"/>
        <v>0</v>
      </c>
      <c r="W54" s="40">
        <f t="shared" si="4"/>
        <v>344341800</v>
      </c>
      <c r="X54" s="2"/>
      <c r="Y54" s="2"/>
      <c r="Z54" s="2"/>
    </row>
    <row r="55" ht="12.75" customHeight="1">
      <c r="A55" s="2"/>
      <c r="B55" s="8" t="s">
        <v>130</v>
      </c>
      <c r="C55" s="8" t="s">
        <v>27</v>
      </c>
      <c r="D55" s="8">
        <v>14.0</v>
      </c>
      <c r="E55" s="20">
        <v>255.0</v>
      </c>
      <c r="F55" s="20">
        <v>0.0</v>
      </c>
      <c r="G55" s="20">
        <v>0.0</v>
      </c>
      <c r="H55" s="21">
        <v>0.0</v>
      </c>
      <c r="I55" s="20">
        <v>0.0</v>
      </c>
      <c r="J55" s="20">
        <v>135.0</v>
      </c>
      <c r="K55" s="20">
        <f t="shared" si="1"/>
        <v>135</v>
      </c>
      <c r="L55" s="20">
        <v>120.0</v>
      </c>
      <c r="M55" s="20">
        <v>165.0</v>
      </c>
      <c r="N55" s="22">
        <v>24.0</v>
      </c>
      <c r="O55" s="20">
        <f t="shared" ref="O55:O63" si="11">(M55/(I55+J55))*N55</f>
        <v>29.33333333</v>
      </c>
      <c r="P55" s="39">
        <v>0.8888888888888888</v>
      </c>
      <c r="Q55" s="20">
        <v>0.0</v>
      </c>
      <c r="R55" s="20">
        <v>0.0</v>
      </c>
      <c r="S55" s="20">
        <v>0.0</v>
      </c>
      <c r="T55" s="2"/>
      <c r="U55" s="2">
        <v>1012770.0</v>
      </c>
      <c r="V55" s="40">
        <f t="shared" si="3"/>
        <v>136723950</v>
      </c>
      <c r="W55" s="40">
        <f t="shared" si="4"/>
        <v>167107050</v>
      </c>
      <c r="X55" s="2"/>
      <c r="Y55" s="2"/>
      <c r="Z55" s="2"/>
    </row>
    <row r="56" ht="12.75" customHeight="1">
      <c r="A56" s="2"/>
      <c r="B56" s="8" t="s">
        <v>111</v>
      </c>
      <c r="C56" s="8" t="s">
        <v>27</v>
      </c>
      <c r="D56" s="8">
        <v>14.0</v>
      </c>
      <c r="E56" s="20">
        <v>45.0</v>
      </c>
      <c r="F56" s="20">
        <v>0.0</v>
      </c>
      <c r="G56" s="20">
        <v>0.0</v>
      </c>
      <c r="H56" s="21">
        <v>0.0</v>
      </c>
      <c r="I56" s="20">
        <v>45.0</v>
      </c>
      <c r="J56" s="20">
        <v>0.0</v>
      </c>
      <c r="K56" s="20">
        <f t="shared" si="1"/>
        <v>45</v>
      </c>
      <c r="L56" s="20">
        <v>0.0</v>
      </c>
      <c r="M56" s="20">
        <v>0.0</v>
      </c>
      <c r="N56" s="22">
        <v>24.0</v>
      </c>
      <c r="O56" s="20">
        <f t="shared" si="11"/>
        <v>0</v>
      </c>
      <c r="P56" s="39">
        <v>0.0</v>
      </c>
      <c r="Q56" s="20">
        <v>0.0</v>
      </c>
      <c r="R56" s="20">
        <v>0.0</v>
      </c>
      <c r="S56" s="20">
        <v>0.0</v>
      </c>
      <c r="T56" s="2"/>
      <c r="U56" s="2">
        <v>1012770.0</v>
      </c>
      <c r="V56" s="40">
        <f t="shared" si="3"/>
        <v>45574650</v>
      </c>
      <c r="W56" s="40">
        <f t="shared" si="4"/>
        <v>0</v>
      </c>
      <c r="X56" s="2"/>
      <c r="Y56" s="2"/>
      <c r="Z56" s="2"/>
    </row>
    <row r="57" ht="12.75" customHeight="1">
      <c r="A57" s="2"/>
      <c r="B57" s="8" t="s">
        <v>112</v>
      </c>
      <c r="C57" s="8" t="s">
        <v>27</v>
      </c>
      <c r="D57" s="8">
        <v>14.0</v>
      </c>
      <c r="E57" s="20">
        <v>60.0</v>
      </c>
      <c r="F57" s="20">
        <v>0.0</v>
      </c>
      <c r="G57" s="20">
        <v>0.0</v>
      </c>
      <c r="H57" s="21">
        <v>0.0</v>
      </c>
      <c r="I57" s="20">
        <v>20.0</v>
      </c>
      <c r="J57" s="20">
        <v>0.0</v>
      </c>
      <c r="K57" s="20">
        <f t="shared" si="1"/>
        <v>20</v>
      </c>
      <c r="L57" s="20">
        <v>40.0</v>
      </c>
      <c r="M57" s="20">
        <v>47.3333333333333</v>
      </c>
      <c r="N57" s="22">
        <v>24.0</v>
      </c>
      <c r="O57" s="20">
        <f t="shared" si="11"/>
        <v>56.8</v>
      </c>
      <c r="P57" s="39">
        <v>2.0</v>
      </c>
      <c r="Q57" s="20">
        <v>0.0</v>
      </c>
      <c r="R57" s="20">
        <v>0.0</v>
      </c>
      <c r="S57" s="20">
        <v>0.0</v>
      </c>
      <c r="T57" s="2"/>
      <c r="U57" s="2">
        <v>1237210.0</v>
      </c>
      <c r="V57" s="40">
        <f t="shared" si="3"/>
        <v>24744200</v>
      </c>
      <c r="W57" s="40">
        <f t="shared" si="4"/>
        <v>58561273.33</v>
      </c>
      <c r="X57" s="2"/>
      <c r="Y57" s="2"/>
      <c r="Z57" s="2"/>
    </row>
    <row r="58" ht="12.75" customHeight="1">
      <c r="A58" s="2"/>
      <c r="B58" s="8" t="s">
        <v>71</v>
      </c>
      <c r="C58" s="8" t="s">
        <v>27</v>
      </c>
      <c r="D58" s="8">
        <v>14.0</v>
      </c>
      <c r="E58" s="20">
        <v>37.0</v>
      </c>
      <c r="F58" s="20">
        <v>0.0</v>
      </c>
      <c r="G58" s="20">
        <v>0.0</v>
      </c>
      <c r="H58" s="21">
        <v>0.0</v>
      </c>
      <c r="I58" s="20">
        <v>3.0</v>
      </c>
      <c r="J58" s="20">
        <v>0.0</v>
      </c>
      <c r="K58" s="20">
        <f t="shared" si="1"/>
        <v>3</v>
      </c>
      <c r="L58" s="20">
        <v>34.0</v>
      </c>
      <c r="M58" s="20">
        <v>34.0</v>
      </c>
      <c r="N58" s="22">
        <v>24.0</v>
      </c>
      <c r="O58" s="20">
        <f t="shared" si="11"/>
        <v>272</v>
      </c>
      <c r="P58" s="39">
        <v>11.333333333333334</v>
      </c>
      <c r="Q58" s="20">
        <v>0.0</v>
      </c>
      <c r="R58" s="20">
        <v>0.0</v>
      </c>
      <c r="S58" s="20">
        <v>0.0</v>
      </c>
      <c r="T58" s="2"/>
      <c r="U58" s="2">
        <v>1436695.0</v>
      </c>
      <c r="V58" s="40">
        <f t="shared" si="3"/>
        <v>4310085</v>
      </c>
      <c r="W58" s="40">
        <f t="shared" si="4"/>
        <v>48847630</v>
      </c>
      <c r="X58" s="2"/>
      <c r="Y58" s="2"/>
      <c r="Z58" s="2"/>
    </row>
    <row r="59" ht="12.75" customHeight="1">
      <c r="A59" s="2"/>
      <c r="B59" s="8" t="s">
        <v>72</v>
      </c>
      <c r="C59" s="8" t="s">
        <v>27</v>
      </c>
      <c r="D59" s="8">
        <v>14.0</v>
      </c>
      <c r="E59" s="20">
        <v>721.0</v>
      </c>
      <c r="F59" s="20">
        <v>712.0</v>
      </c>
      <c r="G59" s="20">
        <v>0.0</v>
      </c>
      <c r="H59" s="21">
        <v>0.0</v>
      </c>
      <c r="I59" s="20">
        <v>526.0</v>
      </c>
      <c r="J59" s="20">
        <v>0.0</v>
      </c>
      <c r="K59" s="20">
        <f t="shared" si="1"/>
        <v>526</v>
      </c>
      <c r="L59" s="20">
        <v>907.0</v>
      </c>
      <c r="M59" s="20">
        <v>910.9</v>
      </c>
      <c r="N59" s="22">
        <v>24.0</v>
      </c>
      <c r="O59" s="20">
        <f t="shared" si="11"/>
        <v>41.56197719</v>
      </c>
      <c r="P59" s="39">
        <v>1.7243346007604563</v>
      </c>
      <c r="Q59" s="20">
        <v>53.0</v>
      </c>
      <c r="R59" s="20">
        <v>0.0</v>
      </c>
      <c r="S59" s="20">
        <v>0.0</v>
      </c>
      <c r="T59" s="2"/>
      <c r="U59" s="2">
        <v>848935.0</v>
      </c>
      <c r="V59" s="40">
        <f t="shared" si="3"/>
        <v>446539810</v>
      </c>
      <c r="W59" s="40">
        <f t="shared" si="4"/>
        <v>773294891.5</v>
      </c>
      <c r="X59" s="2"/>
      <c r="Y59" s="2"/>
      <c r="Z59" s="2"/>
    </row>
    <row r="60" ht="12.75" customHeight="1">
      <c r="A60" s="2"/>
      <c r="B60" s="8" t="s">
        <v>73</v>
      </c>
      <c r="C60" s="8" t="s">
        <v>27</v>
      </c>
      <c r="D60" s="8">
        <v>14.0</v>
      </c>
      <c r="E60" s="20">
        <v>73.0</v>
      </c>
      <c r="F60" s="20">
        <v>31.0</v>
      </c>
      <c r="G60" s="20">
        <v>0.0</v>
      </c>
      <c r="H60" s="21">
        <v>0.0</v>
      </c>
      <c r="I60" s="20">
        <v>0.0</v>
      </c>
      <c r="J60" s="20">
        <v>7.0</v>
      </c>
      <c r="K60" s="20">
        <f t="shared" si="1"/>
        <v>7</v>
      </c>
      <c r="L60" s="20">
        <v>97.0</v>
      </c>
      <c r="M60" s="20">
        <v>100.5</v>
      </c>
      <c r="N60" s="22">
        <v>24.0</v>
      </c>
      <c r="O60" s="20">
        <f t="shared" si="11"/>
        <v>344.5714286</v>
      </c>
      <c r="P60" s="39">
        <v>13.857142857142858</v>
      </c>
      <c r="Q60" s="20">
        <v>0.0</v>
      </c>
      <c r="R60" s="20">
        <v>0.0</v>
      </c>
      <c r="S60" s="20">
        <v>0.0</v>
      </c>
      <c r="T60" s="2"/>
      <c r="U60" s="2">
        <v>1497718.5</v>
      </c>
      <c r="V60" s="40">
        <f t="shared" si="3"/>
        <v>10484029.5</v>
      </c>
      <c r="W60" s="40">
        <f t="shared" si="4"/>
        <v>150520709.3</v>
      </c>
      <c r="X60" s="2"/>
      <c r="Y60" s="2"/>
      <c r="Z60" s="2"/>
    </row>
    <row r="61" ht="12.75" customHeight="1">
      <c r="A61" s="2"/>
      <c r="B61" s="8" t="s">
        <v>74</v>
      </c>
      <c r="C61" s="8" t="s">
        <v>27</v>
      </c>
      <c r="D61" s="8">
        <v>14.0</v>
      </c>
      <c r="E61" s="20">
        <v>579.0</v>
      </c>
      <c r="F61" s="20">
        <v>302.0</v>
      </c>
      <c r="G61" s="20">
        <v>0.0</v>
      </c>
      <c r="H61" s="21">
        <v>0.0</v>
      </c>
      <c r="I61" s="20">
        <v>638.0</v>
      </c>
      <c r="J61" s="20">
        <v>0.0</v>
      </c>
      <c r="K61" s="20">
        <f t="shared" si="1"/>
        <v>638</v>
      </c>
      <c r="L61" s="20">
        <v>243.0</v>
      </c>
      <c r="M61" s="20">
        <v>458.666666666667</v>
      </c>
      <c r="N61" s="22">
        <v>24.0</v>
      </c>
      <c r="O61" s="20">
        <f t="shared" si="11"/>
        <v>17.2539185</v>
      </c>
      <c r="P61" s="39">
        <v>0.38087774294670845</v>
      </c>
      <c r="Q61" s="20">
        <v>0.0</v>
      </c>
      <c r="R61" s="20">
        <v>400.0</v>
      </c>
      <c r="S61" s="20">
        <v>0.0</v>
      </c>
      <c r="T61" s="2"/>
      <c r="U61" s="2">
        <v>1396550.0</v>
      </c>
      <c r="V61" s="40">
        <f t="shared" si="3"/>
        <v>890998900</v>
      </c>
      <c r="W61" s="40">
        <f t="shared" si="4"/>
        <v>640550933.3</v>
      </c>
      <c r="X61" s="2"/>
      <c r="Y61" s="2"/>
      <c r="Z61" s="2"/>
    </row>
    <row r="62" ht="12.75" customHeight="1">
      <c r="A62" s="2"/>
      <c r="B62" s="8" t="s">
        <v>75</v>
      </c>
      <c r="C62" s="8" t="s">
        <v>27</v>
      </c>
      <c r="D62" s="8">
        <v>14.0</v>
      </c>
      <c r="E62" s="20">
        <v>43.0</v>
      </c>
      <c r="F62" s="20">
        <v>88.0</v>
      </c>
      <c r="G62" s="20">
        <v>0.0</v>
      </c>
      <c r="H62" s="21">
        <v>0.0</v>
      </c>
      <c r="I62" s="20">
        <v>80.0</v>
      </c>
      <c r="J62" s="20">
        <v>0.0</v>
      </c>
      <c r="K62" s="20">
        <f t="shared" si="1"/>
        <v>80</v>
      </c>
      <c r="L62" s="20">
        <v>51.0</v>
      </c>
      <c r="M62" s="20">
        <v>71.0</v>
      </c>
      <c r="N62" s="22">
        <v>24.0</v>
      </c>
      <c r="O62" s="20">
        <f t="shared" si="11"/>
        <v>21.3</v>
      </c>
      <c r="P62" s="39">
        <v>0.6375</v>
      </c>
      <c r="Q62" s="20">
        <v>0.0</v>
      </c>
      <c r="R62" s="20">
        <v>0.0</v>
      </c>
      <c r="S62" s="20">
        <v>0.0</v>
      </c>
      <c r="T62" s="2"/>
      <c r="U62" s="2">
        <v>1143590.0</v>
      </c>
      <c r="V62" s="40">
        <f t="shared" si="3"/>
        <v>91487200</v>
      </c>
      <c r="W62" s="40">
        <f t="shared" si="4"/>
        <v>81194890</v>
      </c>
      <c r="X62" s="2"/>
      <c r="Y62" s="2"/>
      <c r="Z62" s="2"/>
    </row>
    <row r="63" ht="12.75" customHeight="1">
      <c r="A63" s="2"/>
      <c r="B63" s="8" t="s">
        <v>133</v>
      </c>
      <c r="C63" s="8" t="s">
        <v>27</v>
      </c>
      <c r="D63" s="8">
        <v>14.0</v>
      </c>
      <c r="E63" s="20">
        <v>189.0</v>
      </c>
      <c r="F63" s="20">
        <v>0.0</v>
      </c>
      <c r="G63" s="20">
        <v>0.0</v>
      </c>
      <c r="H63" s="21">
        <v>0.0</v>
      </c>
      <c r="I63" s="20">
        <v>86.0</v>
      </c>
      <c r="J63" s="20">
        <v>0.0</v>
      </c>
      <c r="K63" s="20">
        <f t="shared" si="1"/>
        <v>86</v>
      </c>
      <c r="L63" s="20">
        <v>103.0</v>
      </c>
      <c r="M63" s="20">
        <v>134.5</v>
      </c>
      <c r="N63" s="22">
        <v>24.0</v>
      </c>
      <c r="O63" s="20">
        <f t="shared" si="11"/>
        <v>37.53488372</v>
      </c>
      <c r="P63" s="39">
        <v>1.197674418604651</v>
      </c>
      <c r="Q63" s="20">
        <v>0.0</v>
      </c>
      <c r="R63" s="20">
        <v>0.0</v>
      </c>
      <c r="S63" s="20">
        <v>0.0</v>
      </c>
      <c r="T63" s="2"/>
      <c r="U63" s="2">
        <v>954645.0</v>
      </c>
      <c r="V63" s="40">
        <f t="shared" si="3"/>
        <v>82099470</v>
      </c>
      <c r="W63" s="40">
        <f t="shared" si="4"/>
        <v>128399752.5</v>
      </c>
      <c r="X63" s="2"/>
      <c r="Y63" s="2"/>
      <c r="Z63" s="2"/>
    </row>
    <row r="64" ht="12.75" customHeight="1">
      <c r="A64" s="2"/>
      <c r="B64" s="8" t="s">
        <v>77</v>
      </c>
      <c r="C64" s="8" t="s">
        <v>27</v>
      </c>
      <c r="D64" s="8">
        <v>14.0</v>
      </c>
      <c r="E64" s="20">
        <v>21.0</v>
      </c>
      <c r="F64" s="20">
        <v>0.0</v>
      </c>
      <c r="G64" s="20">
        <v>0.0</v>
      </c>
      <c r="H64" s="21">
        <v>0.0</v>
      </c>
      <c r="I64" s="20">
        <v>0.0</v>
      </c>
      <c r="J64" s="20">
        <v>0.0</v>
      </c>
      <c r="K64" s="20">
        <f t="shared" si="1"/>
        <v>0</v>
      </c>
      <c r="L64" s="20">
        <v>21.0</v>
      </c>
      <c r="M64" s="20">
        <v>0.0</v>
      </c>
      <c r="N64" s="22">
        <v>24.0</v>
      </c>
      <c r="O64" s="20">
        <v>0.0</v>
      </c>
      <c r="P64" s="39">
        <v>0.0</v>
      </c>
      <c r="Q64" s="20">
        <v>0.0</v>
      </c>
      <c r="R64" s="20">
        <v>0.0</v>
      </c>
      <c r="S64" s="20">
        <v>0.0</v>
      </c>
      <c r="T64" s="2"/>
      <c r="U64" s="2">
        <v>771202.5</v>
      </c>
      <c r="V64" s="40">
        <f t="shared" si="3"/>
        <v>0</v>
      </c>
      <c r="W64" s="40">
        <f t="shared" si="4"/>
        <v>0</v>
      </c>
      <c r="X64" s="2"/>
      <c r="Y64" s="2"/>
      <c r="Z64" s="2"/>
    </row>
    <row r="65" ht="12.75" customHeight="1">
      <c r="A65" s="2"/>
      <c r="B65" s="8" t="s">
        <v>78</v>
      </c>
      <c r="C65" s="8" t="s">
        <v>27</v>
      </c>
      <c r="D65" s="8">
        <v>14.0</v>
      </c>
      <c r="E65" s="20">
        <v>72.0</v>
      </c>
      <c r="F65" s="20">
        <v>0.0</v>
      </c>
      <c r="G65" s="20">
        <v>0.0</v>
      </c>
      <c r="H65" s="21">
        <v>0.0</v>
      </c>
      <c r="I65" s="20">
        <v>15.0</v>
      </c>
      <c r="J65" s="20">
        <v>0.0</v>
      </c>
      <c r="K65" s="20">
        <f t="shared" si="1"/>
        <v>15</v>
      </c>
      <c r="L65" s="20">
        <v>57.0</v>
      </c>
      <c r="M65" s="20">
        <v>60.0</v>
      </c>
      <c r="N65" s="22">
        <v>24.0</v>
      </c>
      <c r="O65" s="20">
        <f t="shared" ref="O65:O76" si="12">(M65/(I65+J65))*N65</f>
        <v>96</v>
      </c>
      <c r="P65" s="39">
        <v>3.8</v>
      </c>
      <c r="Q65" s="20">
        <v>0.0</v>
      </c>
      <c r="R65" s="20">
        <v>0.0</v>
      </c>
      <c r="S65" s="20">
        <v>0.0</v>
      </c>
      <c r="T65" s="2"/>
      <c r="U65" s="2">
        <v>1497718.5</v>
      </c>
      <c r="V65" s="40">
        <f t="shared" si="3"/>
        <v>22465777.5</v>
      </c>
      <c r="W65" s="40">
        <f t="shared" si="4"/>
        <v>89863110</v>
      </c>
      <c r="X65" s="2"/>
      <c r="Y65" s="2"/>
      <c r="Z65" s="2"/>
    </row>
    <row r="66" ht="12.75" customHeight="1">
      <c r="A66" s="2"/>
      <c r="B66" s="8" t="s">
        <v>79</v>
      </c>
      <c r="C66" s="8" t="s">
        <v>27</v>
      </c>
      <c r="D66" s="8">
        <v>14.0</v>
      </c>
      <c r="E66" s="20">
        <v>197.0</v>
      </c>
      <c r="F66" s="20">
        <v>150.0</v>
      </c>
      <c r="G66" s="20">
        <v>0.0</v>
      </c>
      <c r="H66" s="21">
        <v>0.0</v>
      </c>
      <c r="I66" s="20">
        <v>162.0</v>
      </c>
      <c r="J66" s="20">
        <v>0.0</v>
      </c>
      <c r="K66" s="20">
        <f t="shared" si="1"/>
        <v>162</v>
      </c>
      <c r="L66" s="20">
        <v>185.0</v>
      </c>
      <c r="M66" s="20">
        <v>178.0</v>
      </c>
      <c r="N66" s="22">
        <v>24.0</v>
      </c>
      <c r="O66" s="20">
        <f t="shared" si="12"/>
        <v>26.37037037</v>
      </c>
      <c r="P66" s="39">
        <v>1.1419753086419753</v>
      </c>
      <c r="Q66" s="20">
        <v>6.0</v>
      </c>
      <c r="R66" s="20">
        <v>100.0</v>
      </c>
      <c r="S66" s="20">
        <v>0.0</v>
      </c>
      <c r="T66" s="2"/>
      <c r="U66" s="2">
        <v>907060.0</v>
      </c>
      <c r="V66" s="40">
        <f t="shared" si="3"/>
        <v>146943720</v>
      </c>
      <c r="W66" s="40">
        <f t="shared" si="4"/>
        <v>161456680</v>
      </c>
      <c r="X66" s="2"/>
      <c r="Y66" s="2"/>
      <c r="Z66" s="2"/>
    </row>
    <row r="67" ht="12.75" customHeight="1">
      <c r="A67" s="2"/>
      <c r="B67" s="8" t="s">
        <v>160</v>
      </c>
      <c r="C67" s="8" t="s">
        <v>27</v>
      </c>
      <c r="D67" s="8">
        <v>14.0</v>
      </c>
      <c r="E67" s="20">
        <v>216.0</v>
      </c>
      <c r="F67" s="20">
        <v>395.0</v>
      </c>
      <c r="G67" s="20">
        <v>0.0</v>
      </c>
      <c r="H67" s="21">
        <v>0.0</v>
      </c>
      <c r="I67" s="20">
        <v>0.0</v>
      </c>
      <c r="J67" s="20">
        <v>323.0</v>
      </c>
      <c r="K67" s="20">
        <f t="shared" si="1"/>
        <v>323</v>
      </c>
      <c r="L67" s="20">
        <v>288.0</v>
      </c>
      <c r="M67" s="20">
        <v>331.1</v>
      </c>
      <c r="N67" s="22">
        <v>24.0</v>
      </c>
      <c r="O67" s="20">
        <f t="shared" si="12"/>
        <v>24.60185759</v>
      </c>
      <c r="P67" s="39">
        <v>0.891640866873065</v>
      </c>
      <c r="Q67" s="20">
        <v>11.0</v>
      </c>
      <c r="R67" s="20">
        <v>0.0</v>
      </c>
      <c r="S67" s="20">
        <v>0.0</v>
      </c>
      <c r="T67" s="2"/>
      <c r="U67" s="2">
        <v>823515.0</v>
      </c>
      <c r="V67" s="40">
        <f t="shared" si="3"/>
        <v>265995345</v>
      </c>
      <c r="W67" s="40">
        <f t="shared" si="4"/>
        <v>272665816.5</v>
      </c>
      <c r="X67" s="2"/>
      <c r="Y67" s="2"/>
      <c r="Z67" s="2"/>
    </row>
    <row r="68" ht="12.75" customHeight="1">
      <c r="A68" s="2"/>
      <c r="B68" s="8" t="s">
        <v>135</v>
      </c>
      <c r="C68" s="8" t="s">
        <v>27</v>
      </c>
      <c r="D68" s="8">
        <v>14.0</v>
      </c>
      <c r="E68" s="20">
        <v>502.0</v>
      </c>
      <c r="F68" s="20">
        <v>0.0</v>
      </c>
      <c r="G68" s="20">
        <v>0.0</v>
      </c>
      <c r="H68" s="21">
        <v>0.0</v>
      </c>
      <c r="I68" s="20">
        <v>0.0</v>
      </c>
      <c r="J68" s="20">
        <v>181.0</v>
      </c>
      <c r="K68" s="20">
        <f t="shared" si="1"/>
        <v>181</v>
      </c>
      <c r="L68" s="20">
        <v>321.0</v>
      </c>
      <c r="M68" s="20">
        <v>394.75</v>
      </c>
      <c r="N68" s="22">
        <v>24.0</v>
      </c>
      <c r="O68" s="20">
        <f t="shared" si="12"/>
        <v>52.34254144</v>
      </c>
      <c r="P68" s="39">
        <v>1.7734806629834254</v>
      </c>
      <c r="Q68" s="20">
        <v>0.0</v>
      </c>
      <c r="R68" s="20">
        <v>0.0</v>
      </c>
      <c r="S68" s="20">
        <v>0.0</v>
      </c>
      <c r="T68" s="2"/>
      <c r="U68" s="2">
        <v>823515.0</v>
      </c>
      <c r="V68" s="40">
        <f t="shared" si="3"/>
        <v>149056215</v>
      </c>
      <c r="W68" s="40">
        <f t="shared" si="4"/>
        <v>325082546.3</v>
      </c>
      <c r="X68" s="2"/>
      <c r="Y68" s="2"/>
      <c r="Z68" s="2"/>
    </row>
    <row r="69" ht="12.75" customHeight="1">
      <c r="A69" s="2"/>
      <c r="B69" s="8" t="s">
        <v>82</v>
      </c>
      <c r="C69" s="8" t="s">
        <v>27</v>
      </c>
      <c r="D69" s="8">
        <v>14.0</v>
      </c>
      <c r="E69" s="20">
        <v>193.0</v>
      </c>
      <c r="F69" s="20">
        <v>9.0</v>
      </c>
      <c r="G69" s="20">
        <v>0.0</v>
      </c>
      <c r="H69" s="21">
        <v>0.0</v>
      </c>
      <c r="I69" s="20">
        <v>0.0</v>
      </c>
      <c r="J69" s="20">
        <v>94.0</v>
      </c>
      <c r="K69" s="20">
        <f t="shared" si="1"/>
        <v>94</v>
      </c>
      <c r="L69" s="20">
        <v>108.0</v>
      </c>
      <c r="M69" s="20">
        <v>120.0</v>
      </c>
      <c r="N69" s="22">
        <v>24.0</v>
      </c>
      <c r="O69" s="20">
        <f t="shared" si="12"/>
        <v>30.63829787</v>
      </c>
      <c r="P69" s="39">
        <v>1.148936170212766</v>
      </c>
      <c r="Q69" s="20">
        <v>0.0</v>
      </c>
      <c r="R69" s="20">
        <v>200.0</v>
      </c>
      <c r="S69" s="20">
        <v>0.0</v>
      </c>
      <c r="T69" s="2"/>
      <c r="U69" s="2">
        <v>823515.0</v>
      </c>
      <c r="V69" s="40">
        <f t="shared" si="3"/>
        <v>77410410</v>
      </c>
      <c r="W69" s="40">
        <f t="shared" si="4"/>
        <v>98821800</v>
      </c>
      <c r="X69" s="2"/>
      <c r="Y69" s="2"/>
      <c r="Z69" s="2"/>
    </row>
    <row r="70" ht="12.75" customHeight="1">
      <c r="A70" s="2"/>
      <c r="B70" s="8" t="s">
        <v>84</v>
      </c>
      <c r="C70" s="8" t="s">
        <v>27</v>
      </c>
      <c r="D70" s="8">
        <v>14.0</v>
      </c>
      <c r="E70" s="20">
        <v>18.0</v>
      </c>
      <c r="F70" s="20">
        <v>30.0</v>
      </c>
      <c r="G70" s="20">
        <v>0.0</v>
      </c>
      <c r="H70" s="21">
        <v>0.0</v>
      </c>
      <c r="I70" s="20">
        <v>2.0</v>
      </c>
      <c r="J70" s="20">
        <v>0.0</v>
      </c>
      <c r="K70" s="20">
        <f t="shared" si="1"/>
        <v>2</v>
      </c>
      <c r="L70" s="20">
        <v>46.0</v>
      </c>
      <c r="M70" s="20">
        <v>47.0</v>
      </c>
      <c r="N70" s="22">
        <v>24.0</v>
      </c>
      <c r="O70" s="20">
        <f t="shared" si="12"/>
        <v>564</v>
      </c>
      <c r="P70" s="39">
        <v>23.0</v>
      </c>
      <c r="Q70" s="20">
        <v>0.0</v>
      </c>
      <c r="R70" s="20">
        <v>0.0</v>
      </c>
      <c r="S70" s="20">
        <v>0.0</v>
      </c>
      <c r="T70" s="2"/>
      <c r="U70" s="2">
        <v>604345.0</v>
      </c>
      <c r="V70" s="40">
        <f t="shared" si="3"/>
        <v>1208690</v>
      </c>
      <c r="W70" s="40">
        <f t="shared" si="4"/>
        <v>28404215</v>
      </c>
      <c r="X70" s="2"/>
      <c r="Y70" s="2"/>
      <c r="Z70" s="2"/>
    </row>
    <row r="71" ht="12.75" customHeight="1">
      <c r="A71" s="2"/>
      <c r="B71" s="8" t="s">
        <v>113</v>
      </c>
      <c r="C71" s="8" t="s">
        <v>27</v>
      </c>
      <c r="D71" s="8">
        <v>14.0</v>
      </c>
      <c r="E71" s="20">
        <v>39.0</v>
      </c>
      <c r="F71" s="20">
        <v>0.0</v>
      </c>
      <c r="G71" s="20">
        <v>0.0</v>
      </c>
      <c r="H71" s="21">
        <v>0.0</v>
      </c>
      <c r="I71" s="20">
        <v>6.0</v>
      </c>
      <c r="J71" s="20">
        <v>0.0</v>
      </c>
      <c r="K71" s="20">
        <f t="shared" si="1"/>
        <v>6</v>
      </c>
      <c r="L71" s="20">
        <v>33.0</v>
      </c>
      <c r="M71" s="20">
        <v>33.0</v>
      </c>
      <c r="N71" s="22">
        <v>24.0</v>
      </c>
      <c r="O71" s="20">
        <f t="shared" si="12"/>
        <v>132</v>
      </c>
      <c r="P71" s="39">
        <v>5.5</v>
      </c>
      <c r="Q71" s="20">
        <v>0.0</v>
      </c>
      <c r="R71" s="20">
        <v>0.0</v>
      </c>
      <c r="S71" s="20">
        <v>0.0</v>
      </c>
      <c r="T71" s="2"/>
      <c r="U71" s="2">
        <v>597835.0</v>
      </c>
      <c r="V71" s="40">
        <f t="shared" si="3"/>
        <v>3587010</v>
      </c>
      <c r="W71" s="40">
        <f t="shared" si="4"/>
        <v>19728555</v>
      </c>
      <c r="X71" s="2"/>
      <c r="Y71" s="2"/>
      <c r="Z71" s="2"/>
    </row>
    <row r="72" ht="12.75" customHeight="1">
      <c r="A72" s="2"/>
      <c r="B72" s="8" t="s">
        <v>85</v>
      </c>
      <c r="C72" s="8" t="s">
        <v>27</v>
      </c>
      <c r="D72" s="8">
        <v>14.0</v>
      </c>
      <c r="E72" s="20">
        <v>451.49</v>
      </c>
      <c r="F72" s="20">
        <v>71.0</v>
      </c>
      <c r="G72" s="20">
        <v>0.0</v>
      </c>
      <c r="H72" s="21">
        <v>0.0</v>
      </c>
      <c r="I72" s="20">
        <v>451.0</v>
      </c>
      <c r="J72" s="20">
        <v>1.4210854715202004E-14</v>
      </c>
      <c r="K72" s="20">
        <f t="shared" si="1"/>
        <v>451</v>
      </c>
      <c r="L72" s="20">
        <v>71.49</v>
      </c>
      <c r="M72" s="20">
        <v>189.65666666666698</v>
      </c>
      <c r="N72" s="22">
        <v>24.0</v>
      </c>
      <c r="O72" s="20">
        <f t="shared" si="12"/>
        <v>10.09259424</v>
      </c>
      <c r="P72" s="39">
        <v>0.15851441241685144</v>
      </c>
      <c r="Q72" s="20">
        <v>0.0</v>
      </c>
      <c r="R72" s="20">
        <v>0.0</v>
      </c>
      <c r="S72" s="20">
        <v>0.0</v>
      </c>
      <c r="T72" s="2"/>
      <c r="U72" s="2">
        <v>597835.0</v>
      </c>
      <c r="V72" s="40">
        <f t="shared" si="3"/>
        <v>269623585</v>
      </c>
      <c r="W72" s="40">
        <f t="shared" si="4"/>
        <v>113383393.3</v>
      </c>
      <c r="X72" s="2"/>
      <c r="Y72" s="2"/>
      <c r="Z72" s="2"/>
    </row>
    <row r="73" ht="12.75" customHeight="1">
      <c r="A73" s="2"/>
      <c r="B73" s="8" t="s">
        <v>114</v>
      </c>
      <c r="C73" s="8" t="s">
        <v>27</v>
      </c>
      <c r="D73" s="8">
        <v>14.0</v>
      </c>
      <c r="E73" s="20">
        <v>611.0</v>
      </c>
      <c r="F73" s="20">
        <v>1231.32</v>
      </c>
      <c r="G73" s="20">
        <v>0.0</v>
      </c>
      <c r="H73" s="21">
        <v>0.0</v>
      </c>
      <c r="I73" s="20">
        <v>1196.0</v>
      </c>
      <c r="J73" s="20">
        <v>-1.1368683772161603E-13</v>
      </c>
      <c r="K73" s="20">
        <f t="shared" si="1"/>
        <v>1196</v>
      </c>
      <c r="L73" s="20">
        <v>646.32</v>
      </c>
      <c r="M73" s="20">
        <v>1047.8825000000002</v>
      </c>
      <c r="N73" s="22">
        <v>24.0</v>
      </c>
      <c r="O73" s="20">
        <f t="shared" si="12"/>
        <v>21.02774247</v>
      </c>
      <c r="P73" s="39">
        <v>0.5404013377926422</v>
      </c>
      <c r="Q73" s="20">
        <v>30.0</v>
      </c>
      <c r="R73" s="20">
        <v>350.0</v>
      </c>
      <c r="S73" s="20">
        <v>0.0</v>
      </c>
      <c r="T73" s="2"/>
      <c r="U73" s="2">
        <v>597835.0</v>
      </c>
      <c r="V73" s="40">
        <f t="shared" si="3"/>
        <v>715010660</v>
      </c>
      <c r="W73" s="40">
        <f t="shared" si="4"/>
        <v>626460834.4</v>
      </c>
      <c r="X73" s="2"/>
      <c r="Y73" s="2"/>
      <c r="Z73" s="2"/>
    </row>
    <row r="74" ht="12.75" customHeight="1">
      <c r="A74" s="2"/>
      <c r="B74" s="8" t="s">
        <v>86</v>
      </c>
      <c r="C74" s="8" t="s">
        <v>27</v>
      </c>
      <c r="D74" s="8">
        <v>14.0</v>
      </c>
      <c r="E74" s="20">
        <v>198.0</v>
      </c>
      <c r="F74" s="20">
        <v>576.0</v>
      </c>
      <c r="G74" s="20">
        <v>0.0</v>
      </c>
      <c r="H74" s="21">
        <v>0.0</v>
      </c>
      <c r="I74" s="20">
        <v>278.0</v>
      </c>
      <c r="J74" s="20">
        <v>0.0</v>
      </c>
      <c r="K74" s="20">
        <f t="shared" si="1"/>
        <v>278</v>
      </c>
      <c r="L74" s="20">
        <v>496.0</v>
      </c>
      <c r="M74" s="20">
        <v>440.2</v>
      </c>
      <c r="N74" s="22">
        <v>24.0</v>
      </c>
      <c r="O74" s="20">
        <f t="shared" si="12"/>
        <v>38.0028777</v>
      </c>
      <c r="P74" s="39">
        <v>1.7841726618705036</v>
      </c>
      <c r="Q74" s="20">
        <v>0.0</v>
      </c>
      <c r="R74" s="20">
        <v>120.0</v>
      </c>
      <c r="S74" s="20">
        <v>0.0</v>
      </c>
      <c r="T74" s="2"/>
      <c r="U74" s="2">
        <v>937285.0</v>
      </c>
      <c r="V74" s="40">
        <f t="shared" si="3"/>
        <v>260565230</v>
      </c>
      <c r="W74" s="40">
        <f t="shared" si="4"/>
        <v>412592857</v>
      </c>
      <c r="X74" s="2"/>
      <c r="Y74" s="2"/>
      <c r="Z74" s="2"/>
    </row>
    <row r="75" ht="12.75" customHeight="1">
      <c r="A75" s="2"/>
      <c r="B75" s="8" t="s">
        <v>137</v>
      </c>
      <c r="C75" s="8" t="s">
        <v>27</v>
      </c>
      <c r="D75" s="8">
        <v>14.0</v>
      </c>
      <c r="E75" s="20">
        <v>280.0</v>
      </c>
      <c r="F75" s="20">
        <v>561.0</v>
      </c>
      <c r="G75" s="20">
        <v>0.0</v>
      </c>
      <c r="H75" s="21">
        <v>0.0</v>
      </c>
      <c r="I75" s="20">
        <v>469.0</v>
      </c>
      <c r="J75" s="20">
        <v>72.0</v>
      </c>
      <c r="K75" s="20">
        <f t="shared" si="1"/>
        <v>541</v>
      </c>
      <c r="L75" s="20">
        <v>300.0</v>
      </c>
      <c r="M75" s="20">
        <v>285.666666666667</v>
      </c>
      <c r="N75" s="22">
        <v>24.0</v>
      </c>
      <c r="O75" s="20">
        <f t="shared" si="12"/>
        <v>12.6728281</v>
      </c>
      <c r="P75" s="39">
        <v>0.5545286506469501</v>
      </c>
      <c r="Q75" s="20">
        <v>22.0</v>
      </c>
      <c r="R75" s="20">
        <v>507.0</v>
      </c>
      <c r="S75" s="20">
        <v>0.0</v>
      </c>
      <c r="T75" s="2"/>
      <c r="U75" s="2">
        <v>1402595.0</v>
      </c>
      <c r="V75" s="40">
        <f t="shared" si="3"/>
        <v>758803895</v>
      </c>
      <c r="W75" s="40">
        <f t="shared" si="4"/>
        <v>400674638.3</v>
      </c>
      <c r="X75" s="2"/>
      <c r="Y75" s="2"/>
      <c r="Z75" s="2"/>
    </row>
    <row r="76" ht="12.75" customHeight="1">
      <c r="A76" s="2"/>
      <c r="B76" s="8" t="s">
        <v>138</v>
      </c>
      <c r="C76" s="8" t="s">
        <v>27</v>
      </c>
      <c r="D76" s="8">
        <v>14.0</v>
      </c>
      <c r="E76" s="20">
        <v>40.0</v>
      </c>
      <c r="F76" s="20">
        <v>0.0</v>
      </c>
      <c r="G76" s="20">
        <v>0.0</v>
      </c>
      <c r="H76" s="21">
        <v>0.0</v>
      </c>
      <c r="I76" s="20">
        <v>16.0</v>
      </c>
      <c r="J76" s="20">
        <v>0.0</v>
      </c>
      <c r="K76" s="20">
        <f t="shared" si="1"/>
        <v>16</v>
      </c>
      <c r="L76" s="20">
        <v>24.0</v>
      </c>
      <c r="M76" s="20">
        <v>29.3333333333333</v>
      </c>
      <c r="N76" s="22">
        <v>24.0</v>
      </c>
      <c r="O76" s="20">
        <f t="shared" si="12"/>
        <v>44</v>
      </c>
      <c r="P76" s="39">
        <v>1.5</v>
      </c>
      <c r="Q76" s="20">
        <v>0.0</v>
      </c>
      <c r="R76" s="20">
        <v>0.0</v>
      </c>
      <c r="S76" s="20">
        <v>0.0</v>
      </c>
      <c r="T76" s="2"/>
      <c r="U76" s="2">
        <v>1.0957105E7</v>
      </c>
      <c r="V76" s="40">
        <f t="shared" si="3"/>
        <v>175313680</v>
      </c>
      <c r="W76" s="40">
        <f t="shared" si="4"/>
        <v>321408413.3</v>
      </c>
      <c r="X76" s="2"/>
      <c r="Y76" s="2"/>
      <c r="Z76" s="2"/>
    </row>
    <row r="77" ht="12.75" customHeight="1">
      <c r="A77" s="2"/>
      <c r="B77" s="8" t="s">
        <v>151</v>
      </c>
      <c r="C77" s="8" t="s">
        <v>27</v>
      </c>
      <c r="D77" s="8">
        <v>14.0</v>
      </c>
      <c r="E77" s="20">
        <v>187.0</v>
      </c>
      <c r="F77" s="20">
        <v>0.0</v>
      </c>
      <c r="G77" s="20">
        <v>0.0</v>
      </c>
      <c r="H77" s="21">
        <v>0.0</v>
      </c>
      <c r="I77" s="20">
        <v>0.0</v>
      </c>
      <c r="J77" s="20">
        <v>0.0</v>
      </c>
      <c r="K77" s="20">
        <f t="shared" si="1"/>
        <v>0</v>
      </c>
      <c r="L77" s="20">
        <v>187.0</v>
      </c>
      <c r="M77" s="20">
        <v>0.0</v>
      </c>
      <c r="N77" s="22">
        <v>24.0</v>
      </c>
      <c r="O77" s="20">
        <v>0.0</v>
      </c>
      <c r="P77" s="39">
        <v>0.0</v>
      </c>
      <c r="Q77" s="20">
        <v>0.0</v>
      </c>
      <c r="R77" s="20">
        <v>0.0</v>
      </c>
      <c r="S77" s="20">
        <v>0.0</v>
      </c>
      <c r="T77" s="2"/>
      <c r="U77" s="2">
        <v>1372215.0</v>
      </c>
      <c r="V77" s="40">
        <f t="shared" si="3"/>
        <v>0</v>
      </c>
      <c r="W77" s="40">
        <f t="shared" si="4"/>
        <v>0</v>
      </c>
      <c r="X77" s="2"/>
      <c r="Y77" s="2"/>
      <c r="Z77" s="2"/>
    </row>
    <row r="78" ht="12.75" customHeight="1">
      <c r="A78" s="2"/>
      <c r="B78" s="8" t="s">
        <v>88</v>
      </c>
      <c r="C78" s="8" t="s">
        <v>27</v>
      </c>
      <c r="D78" s="8">
        <v>14.0</v>
      </c>
      <c r="E78" s="20">
        <v>82.0</v>
      </c>
      <c r="F78" s="20">
        <v>0.0</v>
      </c>
      <c r="G78" s="20">
        <v>0.0</v>
      </c>
      <c r="H78" s="21">
        <v>0.0</v>
      </c>
      <c r="I78" s="20">
        <v>20.0</v>
      </c>
      <c r="J78" s="20">
        <v>0.0</v>
      </c>
      <c r="K78" s="20">
        <f t="shared" si="1"/>
        <v>20</v>
      </c>
      <c r="L78" s="20">
        <v>62.0</v>
      </c>
      <c r="M78" s="20">
        <v>68.0</v>
      </c>
      <c r="N78" s="22">
        <v>24.0</v>
      </c>
      <c r="O78" s="20">
        <f t="shared" ref="O78:O87" si="13">(M78/(I78+J78))*N78</f>
        <v>81.6</v>
      </c>
      <c r="P78" s="39">
        <v>3.1</v>
      </c>
      <c r="Q78" s="20">
        <v>0.0</v>
      </c>
      <c r="R78" s="20">
        <v>0.0</v>
      </c>
      <c r="S78" s="20">
        <v>0.0</v>
      </c>
      <c r="T78" s="2"/>
      <c r="U78" s="2">
        <v>1027805.0</v>
      </c>
      <c r="V78" s="40">
        <f t="shared" si="3"/>
        <v>20556100</v>
      </c>
      <c r="W78" s="40">
        <f t="shared" si="4"/>
        <v>69890740</v>
      </c>
      <c r="X78" s="2"/>
      <c r="Y78" s="2"/>
      <c r="Z78" s="2"/>
    </row>
    <row r="79" ht="12.75" customHeight="1">
      <c r="A79" s="2"/>
      <c r="B79" s="8" t="s">
        <v>115</v>
      </c>
      <c r="C79" s="8" t="s">
        <v>27</v>
      </c>
      <c r="D79" s="8">
        <v>14.0</v>
      </c>
      <c r="E79" s="20">
        <v>53.0</v>
      </c>
      <c r="F79" s="20">
        <v>0.0</v>
      </c>
      <c r="G79" s="20">
        <v>0.0</v>
      </c>
      <c r="H79" s="21">
        <v>0.0</v>
      </c>
      <c r="I79" s="20">
        <v>0.0</v>
      </c>
      <c r="J79" s="20">
        <v>22.0</v>
      </c>
      <c r="K79" s="20">
        <f t="shared" si="1"/>
        <v>22</v>
      </c>
      <c r="L79" s="20">
        <v>31.0</v>
      </c>
      <c r="M79" s="20">
        <v>33.0</v>
      </c>
      <c r="N79" s="22">
        <v>24.0</v>
      </c>
      <c r="O79" s="20">
        <f t="shared" si="13"/>
        <v>36</v>
      </c>
      <c r="P79" s="39">
        <v>1.4090909090909092</v>
      </c>
      <c r="Q79" s="20">
        <v>0.0</v>
      </c>
      <c r="R79" s="20">
        <v>0.0</v>
      </c>
      <c r="S79" s="20">
        <v>0.0</v>
      </c>
      <c r="T79" s="2"/>
      <c r="U79" s="2">
        <v>746480.0</v>
      </c>
      <c r="V79" s="40">
        <f t="shared" si="3"/>
        <v>16422560</v>
      </c>
      <c r="W79" s="40">
        <f t="shared" si="4"/>
        <v>24633840</v>
      </c>
      <c r="X79" s="2"/>
      <c r="Y79" s="2"/>
      <c r="Z79" s="2"/>
    </row>
    <row r="80" ht="12.75" customHeight="1">
      <c r="A80" s="2"/>
      <c r="B80" s="8" t="s">
        <v>90</v>
      </c>
      <c r="C80" s="8" t="s">
        <v>27</v>
      </c>
      <c r="D80" s="8">
        <v>14.0</v>
      </c>
      <c r="E80" s="20">
        <v>61.0</v>
      </c>
      <c r="F80" s="20">
        <v>912.0</v>
      </c>
      <c r="G80" s="20">
        <v>0.0</v>
      </c>
      <c r="H80" s="21">
        <v>0.0</v>
      </c>
      <c r="I80" s="20">
        <v>48.0</v>
      </c>
      <c r="J80" s="20">
        <v>0.0</v>
      </c>
      <c r="K80" s="20">
        <f t="shared" si="1"/>
        <v>48</v>
      </c>
      <c r="L80" s="20">
        <v>925.0</v>
      </c>
      <c r="M80" s="20">
        <v>639.0</v>
      </c>
      <c r="N80" s="22">
        <v>24.0</v>
      </c>
      <c r="O80" s="20">
        <f t="shared" si="13"/>
        <v>319.5</v>
      </c>
      <c r="P80" s="39">
        <v>19.270833333333332</v>
      </c>
      <c r="Q80" s="20">
        <v>14.0</v>
      </c>
      <c r="R80" s="20">
        <v>0.0</v>
      </c>
      <c r="S80" s="20">
        <v>0.0</v>
      </c>
      <c r="T80" s="2"/>
      <c r="U80" s="2">
        <v>1372215.0</v>
      </c>
      <c r="V80" s="40">
        <f t="shared" si="3"/>
        <v>65866320</v>
      </c>
      <c r="W80" s="40">
        <f t="shared" si="4"/>
        <v>876845385</v>
      </c>
      <c r="X80" s="2"/>
      <c r="Y80" s="2"/>
      <c r="Z80" s="2"/>
    </row>
    <row r="81" ht="12.75" customHeight="1">
      <c r="A81" s="2"/>
      <c r="B81" s="8" t="s">
        <v>92</v>
      </c>
      <c r="C81" s="8" t="s">
        <v>27</v>
      </c>
      <c r="D81" s="8">
        <v>14.0</v>
      </c>
      <c r="E81" s="20">
        <v>56.0</v>
      </c>
      <c r="F81" s="20">
        <v>100.0</v>
      </c>
      <c r="G81" s="20">
        <v>0.0</v>
      </c>
      <c r="H81" s="21">
        <v>0.0</v>
      </c>
      <c r="I81" s="20">
        <v>156.0</v>
      </c>
      <c r="J81" s="20">
        <v>0.0</v>
      </c>
      <c r="K81" s="20">
        <f t="shared" si="1"/>
        <v>156</v>
      </c>
      <c r="L81" s="20">
        <v>0.0</v>
      </c>
      <c r="M81" s="20">
        <v>60.6</v>
      </c>
      <c r="N81" s="22">
        <v>24.0</v>
      </c>
      <c r="O81" s="20">
        <f t="shared" si="13"/>
        <v>9.323076923</v>
      </c>
      <c r="P81" s="39">
        <v>0.0</v>
      </c>
      <c r="Q81" s="20">
        <v>0.0</v>
      </c>
      <c r="R81" s="20">
        <v>200.0</v>
      </c>
      <c r="S81" s="20">
        <v>0.0</v>
      </c>
      <c r="T81" s="2"/>
      <c r="U81" s="2">
        <v>848935.0</v>
      </c>
      <c r="V81" s="40">
        <f t="shared" si="3"/>
        <v>132433860</v>
      </c>
      <c r="W81" s="40">
        <f t="shared" si="4"/>
        <v>51445461</v>
      </c>
      <c r="X81" s="2"/>
      <c r="Y81" s="2"/>
      <c r="Z81" s="2"/>
    </row>
    <row r="82" ht="12.75" customHeight="1">
      <c r="A82" s="2"/>
      <c r="B82" s="8" t="s">
        <v>139</v>
      </c>
      <c r="C82" s="8" t="s">
        <v>27</v>
      </c>
      <c r="D82" s="8">
        <v>14.0</v>
      </c>
      <c r="E82" s="20">
        <v>97.0</v>
      </c>
      <c r="F82" s="20">
        <v>158.0</v>
      </c>
      <c r="G82" s="20">
        <v>0.0</v>
      </c>
      <c r="H82" s="21">
        <v>0.0</v>
      </c>
      <c r="I82" s="20">
        <v>0.0</v>
      </c>
      <c r="J82" s="20">
        <v>255.0</v>
      </c>
      <c r="K82" s="20">
        <f t="shared" si="1"/>
        <v>255</v>
      </c>
      <c r="L82" s="20">
        <v>0.0</v>
      </c>
      <c r="M82" s="20">
        <v>89.0</v>
      </c>
      <c r="N82" s="22">
        <v>24.0</v>
      </c>
      <c r="O82" s="20">
        <f t="shared" si="13"/>
        <v>8.376470588</v>
      </c>
      <c r="P82" s="39">
        <v>0.0</v>
      </c>
      <c r="Q82" s="20">
        <v>0.0</v>
      </c>
      <c r="R82" s="20">
        <v>0.0</v>
      </c>
      <c r="S82" s="20">
        <v>0.0</v>
      </c>
      <c r="T82" s="2"/>
      <c r="U82" s="2">
        <v>923955.0</v>
      </c>
      <c r="V82" s="40">
        <f t="shared" si="3"/>
        <v>235608525</v>
      </c>
      <c r="W82" s="40">
        <f t="shared" si="4"/>
        <v>82231995</v>
      </c>
      <c r="X82" s="2"/>
      <c r="Y82" s="2"/>
      <c r="Z82" s="2"/>
    </row>
    <row r="83" ht="12.75" customHeight="1">
      <c r="A83" s="2"/>
      <c r="B83" s="8" t="s">
        <v>163</v>
      </c>
      <c r="C83" s="8" t="s">
        <v>27</v>
      </c>
      <c r="D83" s="8">
        <v>14.0</v>
      </c>
      <c r="E83" s="20">
        <v>36.0</v>
      </c>
      <c r="F83" s="20">
        <v>78.0</v>
      </c>
      <c r="G83" s="20">
        <v>0.0</v>
      </c>
      <c r="H83" s="21">
        <v>0.0</v>
      </c>
      <c r="I83" s="20">
        <v>80.0</v>
      </c>
      <c r="J83" s="20">
        <v>0.0</v>
      </c>
      <c r="K83" s="20">
        <f t="shared" si="1"/>
        <v>80</v>
      </c>
      <c r="L83" s="20">
        <v>34.0</v>
      </c>
      <c r="M83" s="20">
        <v>75.28571428571429</v>
      </c>
      <c r="N83" s="22">
        <v>24.0</v>
      </c>
      <c r="O83" s="20">
        <f t="shared" si="13"/>
        <v>22.58571429</v>
      </c>
      <c r="P83" s="39">
        <v>0.425</v>
      </c>
      <c r="Q83" s="20">
        <v>0.0</v>
      </c>
      <c r="R83" s="20">
        <v>100.0</v>
      </c>
      <c r="S83" s="20">
        <v>0.0</v>
      </c>
      <c r="T83" s="2"/>
      <c r="U83" s="2">
        <v>1345865.0</v>
      </c>
      <c r="V83" s="40">
        <f t="shared" si="3"/>
        <v>107669200</v>
      </c>
      <c r="W83" s="40">
        <f t="shared" si="4"/>
        <v>101324407.9</v>
      </c>
      <c r="X83" s="2"/>
      <c r="Y83" s="2"/>
      <c r="Z83" s="2"/>
    </row>
    <row r="84" ht="12.75" customHeight="1">
      <c r="A84" s="2"/>
      <c r="B84" s="8" t="s">
        <v>94</v>
      </c>
      <c r="C84" s="8" t="s">
        <v>27</v>
      </c>
      <c r="D84" s="8">
        <v>14.0</v>
      </c>
      <c r="E84" s="20">
        <v>251.0</v>
      </c>
      <c r="F84" s="20">
        <v>714.0</v>
      </c>
      <c r="G84" s="20">
        <v>0.0</v>
      </c>
      <c r="H84" s="21">
        <v>0.0</v>
      </c>
      <c r="I84" s="20">
        <v>0.0</v>
      </c>
      <c r="J84" s="20">
        <v>675.0</v>
      </c>
      <c r="K84" s="20">
        <f t="shared" si="1"/>
        <v>675</v>
      </c>
      <c r="L84" s="20">
        <v>290.0</v>
      </c>
      <c r="M84" s="20">
        <v>440.81818181818204</v>
      </c>
      <c r="N84" s="22">
        <v>24.0</v>
      </c>
      <c r="O84" s="20">
        <f t="shared" si="13"/>
        <v>15.67353535</v>
      </c>
      <c r="P84" s="39">
        <v>0.42962962962962964</v>
      </c>
      <c r="Q84" s="20">
        <v>65.0</v>
      </c>
      <c r="R84" s="20">
        <v>0.0</v>
      </c>
      <c r="S84" s="20">
        <v>0.0</v>
      </c>
      <c r="T84" s="2"/>
      <c r="U84" s="2">
        <v>923955.0</v>
      </c>
      <c r="V84" s="40">
        <f t="shared" si="3"/>
        <v>623669625</v>
      </c>
      <c r="W84" s="40">
        <f t="shared" si="4"/>
        <v>407296163.2</v>
      </c>
      <c r="X84" s="2"/>
      <c r="Y84" s="2"/>
      <c r="Z84" s="2"/>
    </row>
    <row r="85" ht="12.75" customHeight="1">
      <c r="A85" s="2"/>
      <c r="B85" s="44" t="s">
        <v>167</v>
      </c>
      <c r="C85" s="8" t="s">
        <v>27</v>
      </c>
      <c r="D85" s="8">
        <v>14.0</v>
      </c>
      <c r="E85" s="20">
        <v>73.0</v>
      </c>
      <c r="F85" s="20">
        <v>15.0</v>
      </c>
      <c r="G85" s="20">
        <v>0.0</v>
      </c>
      <c r="H85" s="21">
        <v>0.0</v>
      </c>
      <c r="I85" s="20">
        <v>38.0</v>
      </c>
      <c r="J85" s="20">
        <v>0.0</v>
      </c>
      <c r="K85" s="20">
        <f t="shared" si="1"/>
        <v>38</v>
      </c>
      <c r="L85" s="20">
        <v>50.0</v>
      </c>
      <c r="M85" s="20">
        <v>60.3333333333333</v>
      </c>
      <c r="N85" s="22">
        <v>24.0</v>
      </c>
      <c r="O85" s="20">
        <f t="shared" si="13"/>
        <v>38.10526316</v>
      </c>
      <c r="P85" s="39">
        <v>1.3157894736842106</v>
      </c>
      <c r="Q85" s="20">
        <v>0.0</v>
      </c>
      <c r="R85" s="20">
        <v>0.0</v>
      </c>
      <c r="S85" s="20">
        <v>0.0</v>
      </c>
      <c r="T85" s="2"/>
      <c r="U85" s="2">
        <v>504524.99999999994</v>
      </c>
      <c r="V85" s="40">
        <f t="shared" si="3"/>
        <v>19171950</v>
      </c>
      <c r="W85" s="40">
        <f t="shared" si="4"/>
        <v>30439675</v>
      </c>
      <c r="X85" s="2"/>
      <c r="Y85" s="2"/>
      <c r="Z85" s="2"/>
    </row>
    <row r="86" ht="12.75" customHeight="1">
      <c r="A86" s="2"/>
      <c r="B86" s="8" t="s">
        <v>142</v>
      </c>
      <c r="C86" s="8" t="s">
        <v>27</v>
      </c>
      <c r="D86" s="8">
        <v>14.0</v>
      </c>
      <c r="E86" s="20">
        <v>105.0</v>
      </c>
      <c r="F86" s="20">
        <v>1220.0</v>
      </c>
      <c r="G86" s="20">
        <v>0.0</v>
      </c>
      <c r="H86" s="21">
        <v>0.0</v>
      </c>
      <c r="I86" s="20">
        <v>628.0</v>
      </c>
      <c r="J86" s="20">
        <v>0.0</v>
      </c>
      <c r="K86" s="20">
        <f t="shared" si="1"/>
        <v>628</v>
      </c>
      <c r="L86" s="20">
        <v>697.0</v>
      </c>
      <c r="M86" s="20">
        <v>561.4</v>
      </c>
      <c r="N86" s="22">
        <v>24.0</v>
      </c>
      <c r="O86" s="20">
        <f t="shared" si="13"/>
        <v>21.45477707</v>
      </c>
      <c r="P86" s="39">
        <v>1.1098726114649682</v>
      </c>
      <c r="Q86" s="20">
        <v>0.0</v>
      </c>
      <c r="R86" s="20">
        <v>450.0</v>
      </c>
      <c r="S86" s="20">
        <v>100.0</v>
      </c>
      <c r="T86" s="2"/>
      <c r="U86" s="2">
        <v>848935.0</v>
      </c>
      <c r="V86" s="40">
        <f t="shared" si="3"/>
        <v>533131180</v>
      </c>
      <c r="W86" s="40">
        <f t="shared" si="4"/>
        <v>476592109</v>
      </c>
      <c r="X86" s="4" t="s">
        <v>168</v>
      </c>
      <c r="Y86" s="2"/>
      <c r="Z86" s="2"/>
    </row>
    <row r="87" ht="18.75" customHeight="1">
      <c r="A87" s="31"/>
      <c r="B87" s="25" t="s">
        <v>98</v>
      </c>
      <c r="C87" s="26"/>
      <c r="D87" s="26"/>
      <c r="E87" s="27">
        <f t="shared" ref="E87:M87" si="14">SUM(E4:E86)</f>
        <v>18609.72</v>
      </c>
      <c r="F87" s="27">
        <f t="shared" si="14"/>
        <v>16698.32</v>
      </c>
      <c r="G87" s="27">
        <f t="shared" si="14"/>
        <v>0</v>
      </c>
      <c r="H87" s="27">
        <f t="shared" si="14"/>
        <v>0</v>
      </c>
      <c r="I87" s="42">
        <f t="shared" si="14"/>
        <v>6597</v>
      </c>
      <c r="J87" s="42">
        <f t="shared" si="14"/>
        <v>10884</v>
      </c>
      <c r="K87" s="42">
        <f t="shared" si="14"/>
        <v>17481</v>
      </c>
      <c r="L87" s="42">
        <f t="shared" si="14"/>
        <v>17827.04</v>
      </c>
      <c r="M87" s="42">
        <f t="shared" si="14"/>
        <v>18027.98868</v>
      </c>
      <c r="N87" s="28">
        <v>24.0</v>
      </c>
      <c r="O87" s="28">
        <f t="shared" si="13"/>
        <v>24.75097124</v>
      </c>
      <c r="P87" s="41">
        <f>+L87/($I87+$J87)*$N$4</f>
        <v>24.47508495</v>
      </c>
      <c r="Q87" s="27">
        <f t="shared" ref="Q87:S87" si="15">SUM(Q4:Q86)</f>
        <v>701.67</v>
      </c>
      <c r="R87" s="27">
        <f t="shared" si="15"/>
        <v>6218</v>
      </c>
      <c r="S87" s="27">
        <f t="shared" si="15"/>
        <v>208</v>
      </c>
      <c r="T87" s="31"/>
      <c r="U87" s="2"/>
      <c r="V87" s="42">
        <f t="shared" ref="V87:W87" si="16">SUM(V4:V86)</f>
        <v>14913355852</v>
      </c>
      <c r="W87" s="42">
        <f t="shared" si="16"/>
        <v>14850971930</v>
      </c>
      <c r="X87" s="27">
        <f>(W87/V87)*N86</f>
        <v>23.89960582</v>
      </c>
      <c r="Y87" s="31"/>
      <c r="Z87" s="31"/>
    </row>
    <row r="88" ht="18.75" customHeight="1">
      <c r="A88" s="2"/>
      <c r="B88" s="1"/>
      <c r="C88" s="2"/>
      <c r="D88" s="8"/>
      <c r="E88" s="33"/>
      <c r="F88" s="33"/>
      <c r="G88" s="33"/>
      <c r="H88" s="33"/>
      <c r="I88" s="33">
        <f>I87+J87</f>
        <v>17481</v>
      </c>
      <c r="J88" s="33"/>
      <c r="K88" s="20"/>
      <c r="L88" s="33"/>
      <c r="M88" s="33"/>
      <c r="N88" s="3"/>
      <c r="O88" s="33"/>
      <c r="P88" s="33"/>
      <c r="Q88" s="34"/>
      <c r="R88" s="33"/>
      <c r="S88" s="33"/>
      <c r="T88" s="33"/>
      <c r="U88" s="2"/>
      <c r="V88" s="40"/>
      <c r="W88" s="40"/>
      <c r="X88" s="2"/>
      <c r="Y88" s="2"/>
      <c r="Z88" s="2"/>
    </row>
    <row r="89" ht="12.75" customHeight="1">
      <c r="A89" s="2"/>
      <c r="B89" s="2" t="s">
        <v>99</v>
      </c>
      <c r="C89" s="35">
        <v>24.9</v>
      </c>
      <c r="D89" s="8" t="s">
        <v>100</v>
      </c>
      <c r="E89" s="2"/>
      <c r="F89" s="2"/>
      <c r="G89" s="2"/>
      <c r="H89" s="2"/>
      <c r="I89" s="2"/>
      <c r="J89" s="2"/>
      <c r="K89" s="20"/>
      <c r="L89" s="2"/>
      <c r="M89" s="2"/>
      <c r="N89" s="3"/>
      <c r="O89" s="2"/>
      <c r="P89" s="2"/>
      <c r="Q89" s="2"/>
      <c r="R89" s="2"/>
      <c r="S89" s="2"/>
      <c r="T89" s="2"/>
      <c r="U89" s="2"/>
      <c r="V89" s="40"/>
      <c r="W89" s="40"/>
      <c r="X89" s="2"/>
      <c r="Y89" s="2"/>
      <c r="Z89" s="2"/>
    </row>
    <row r="90" ht="12.75" customHeight="1">
      <c r="A90" s="2"/>
      <c r="B90" s="1"/>
      <c r="C90" s="2"/>
      <c r="D90" s="8"/>
      <c r="E90" s="2"/>
      <c r="F90" s="2"/>
      <c r="G90" s="2"/>
      <c r="H90" s="2"/>
      <c r="I90" s="2"/>
      <c r="J90" s="2"/>
      <c r="K90" s="2"/>
      <c r="L90" s="2"/>
      <c r="M90" s="2"/>
      <c r="N90" s="3"/>
      <c r="O90" s="2"/>
      <c r="P90" s="2"/>
      <c r="Q90" s="2"/>
      <c r="R90" s="2"/>
      <c r="S90" s="2"/>
      <c r="T90" s="2"/>
      <c r="U90" s="2"/>
      <c r="V90" s="40"/>
      <c r="W90" s="40"/>
      <c r="X90" s="2"/>
      <c r="Y90" s="2"/>
      <c r="Z90" s="2"/>
    </row>
    <row r="91" ht="12.75" customHeight="1">
      <c r="A91" s="2"/>
      <c r="B91" s="1"/>
      <c r="C91" s="2"/>
      <c r="D91" s="8"/>
      <c r="E91" s="2"/>
      <c r="F91" s="2"/>
      <c r="G91" s="2"/>
      <c r="H91" s="2"/>
      <c r="I91" s="2"/>
      <c r="J91" s="2"/>
      <c r="K91" s="2"/>
      <c r="L91" s="2"/>
      <c r="M91" s="2"/>
      <c r="N91" s="3"/>
      <c r="O91" s="2"/>
      <c r="P91" s="2"/>
      <c r="Q91" s="2"/>
      <c r="R91" s="2"/>
      <c r="S91" s="2"/>
      <c r="T91" s="2"/>
      <c r="U91" s="2"/>
      <c r="V91" s="40"/>
      <c r="W91" s="40"/>
      <c r="X91" s="2"/>
      <c r="Y91" s="2"/>
      <c r="Z91" s="2"/>
    </row>
    <row r="92" ht="12.75" customHeight="1">
      <c r="A92" s="2"/>
      <c r="B92" s="1"/>
      <c r="C92" s="36"/>
      <c r="D92" s="8"/>
      <c r="E92" s="2"/>
      <c r="F92" s="2"/>
      <c r="G92" s="2"/>
      <c r="H92" s="2"/>
      <c r="I92" s="2"/>
      <c r="J92" s="2"/>
      <c r="K92" s="2"/>
      <c r="L92" s="2"/>
      <c r="M92" s="2"/>
      <c r="N92" s="3"/>
      <c r="O92" s="2"/>
      <c r="P92" s="2"/>
      <c r="Q92" s="2"/>
      <c r="R92" s="2"/>
      <c r="S92" s="2"/>
      <c r="T92" s="2"/>
      <c r="U92" s="2"/>
      <c r="V92" s="40"/>
      <c r="W92" s="40"/>
      <c r="X92" s="2"/>
      <c r="Y92" s="2"/>
      <c r="Z92" s="2"/>
    </row>
    <row r="93" ht="12.75" customHeight="1">
      <c r="A93" s="2"/>
      <c r="B93" s="1"/>
      <c r="C93" s="2"/>
      <c r="D93" s="8"/>
      <c r="E93" s="2"/>
      <c r="F93" s="2"/>
      <c r="G93" s="2"/>
      <c r="H93" s="2"/>
      <c r="I93" s="2"/>
      <c r="J93" s="2"/>
      <c r="K93" s="2"/>
      <c r="L93" s="2"/>
      <c r="M93" s="2"/>
      <c r="N93" s="3"/>
      <c r="O93" s="2"/>
      <c r="P93" s="2"/>
      <c r="Q93" s="2"/>
      <c r="R93" s="2"/>
      <c r="S93" s="2"/>
      <c r="T93" s="2"/>
      <c r="U93" s="2"/>
      <c r="V93" s="40"/>
      <c r="W93" s="40"/>
      <c r="X93" s="2"/>
      <c r="Y93" s="2"/>
      <c r="Z93" s="2"/>
    </row>
    <row r="94" ht="12.75" customHeight="1">
      <c r="A94" s="2"/>
      <c r="B94" s="1"/>
      <c r="C94" s="2"/>
      <c r="D94" s="8"/>
      <c r="E94" s="2"/>
      <c r="F94" s="2"/>
      <c r="G94" s="2"/>
      <c r="H94" s="2"/>
      <c r="I94" s="2"/>
      <c r="J94" s="2"/>
      <c r="K94" s="2"/>
      <c r="L94" s="2"/>
      <c r="M94" s="2"/>
      <c r="N94" s="3"/>
      <c r="O94" s="2"/>
      <c r="P94" s="2"/>
      <c r="Q94" s="2"/>
      <c r="R94" s="2"/>
      <c r="S94" s="2"/>
      <c r="T94" s="2"/>
      <c r="U94" s="2"/>
      <c r="V94" s="40"/>
      <c r="W94" s="40"/>
      <c r="X94" s="2"/>
      <c r="Y94" s="2"/>
      <c r="Z94" s="2"/>
    </row>
    <row r="95" ht="12.75" customHeight="1">
      <c r="A95" s="2"/>
      <c r="B95" s="1"/>
      <c r="C95" s="2"/>
      <c r="D95" s="8"/>
      <c r="E95" s="2"/>
      <c r="F95" s="2"/>
      <c r="G95" s="2"/>
      <c r="H95" s="2"/>
      <c r="I95" s="2"/>
      <c r="J95" s="2"/>
      <c r="K95" s="2"/>
      <c r="L95" s="2"/>
      <c r="M95" s="2"/>
      <c r="N95" s="3"/>
      <c r="O95" s="2"/>
      <c r="P95" s="2"/>
      <c r="Q95" s="2"/>
      <c r="R95" s="2"/>
      <c r="S95" s="2"/>
      <c r="T95" s="2"/>
      <c r="U95" s="2"/>
      <c r="V95" s="40"/>
      <c r="W95" s="40"/>
      <c r="X95" s="2"/>
      <c r="Y95" s="2"/>
      <c r="Z95" s="2"/>
    </row>
    <row r="96" ht="12.75" customHeight="1">
      <c r="A96" s="2"/>
      <c r="B96" s="1"/>
      <c r="C96" s="2"/>
      <c r="D96" s="8"/>
      <c r="E96" s="2"/>
      <c r="F96" s="2"/>
      <c r="G96" s="2"/>
      <c r="H96" s="2"/>
      <c r="I96" s="2"/>
      <c r="J96" s="2"/>
      <c r="K96" s="2"/>
      <c r="L96" s="2"/>
      <c r="M96" s="2"/>
      <c r="N96" s="3"/>
      <c r="O96" s="2"/>
      <c r="P96" s="2"/>
      <c r="Q96" s="2"/>
      <c r="R96" s="2"/>
      <c r="S96" s="2"/>
      <c r="T96" s="2"/>
      <c r="U96" s="2"/>
      <c r="V96" s="40"/>
      <c r="W96" s="40"/>
      <c r="X96" s="2"/>
      <c r="Y96" s="2"/>
      <c r="Z96" s="2"/>
    </row>
    <row r="97" ht="12.75" customHeight="1">
      <c r="A97" s="2"/>
      <c r="B97" s="1"/>
      <c r="C97" s="2"/>
      <c r="D97" s="8"/>
      <c r="E97" s="2"/>
      <c r="F97" s="2"/>
      <c r="G97" s="2"/>
      <c r="H97" s="2"/>
      <c r="I97" s="2"/>
      <c r="J97" s="2"/>
      <c r="K97" s="2"/>
      <c r="L97" s="2"/>
      <c r="M97" s="2"/>
      <c r="N97" s="3"/>
      <c r="O97" s="2"/>
      <c r="P97" s="2"/>
      <c r="Q97" s="2"/>
      <c r="R97" s="2"/>
      <c r="S97" s="2"/>
      <c r="T97" s="2"/>
      <c r="U97" s="2"/>
      <c r="V97" s="40"/>
      <c r="W97" s="40"/>
      <c r="X97" s="2"/>
      <c r="Y97" s="2"/>
      <c r="Z97" s="2"/>
    </row>
    <row r="98" ht="12.75" customHeight="1">
      <c r="A98" s="2"/>
      <c r="B98" s="1"/>
      <c r="C98" s="2"/>
      <c r="D98" s="8"/>
      <c r="E98" s="2"/>
      <c r="F98" s="2"/>
      <c r="G98" s="2"/>
      <c r="H98" s="2"/>
      <c r="I98" s="2"/>
      <c r="J98" s="2"/>
      <c r="K98" s="2"/>
      <c r="L98" s="2"/>
      <c r="M98" s="2"/>
      <c r="N98" s="3"/>
      <c r="O98" s="2"/>
      <c r="P98" s="2"/>
      <c r="Q98" s="2"/>
      <c r="R98" s="2"/>
      <c r="S98" s="2"/>
      <c r="T98" s="2"/>
      <c r="U98" s="2"/>
      <c r="V98" s="40"/>
      <c r="W98" s="40"/>
      <c r="X98" s="2"/>
      <c r="Y98" s="2"/>
      <c r="Z98" s="2"/>
    </row>
    <row r="99" ht="12.75" customHeight="1">
      <c r="A99" s="2"/>
      <c r="B99" s="1"/>
      <c r="C99" s="2"/>
      <c r="D99" s="8"/>
      <c r="E99" s="2"/>
      <c r="F99" s="2"/>
      <c r="G99" s="2"/>
      <c r="H99" s="2"/>
      <c r="I99" s="2"/>
      <c r="J99" s="2"/>
      <c r="K99" s="2"/>
      <c r="L99" s="2"/>
      <c r="M99" s="2"/>
      <c r="N99" s="3"/>
      <c r="O99" s="2"/>
      <c r="P99" s="2"/>
      <c r="Q99" s="2"/>
      <c r="R99" s="2"/>
      <c r="S99" s="2"/>
      <c r="T99" s="2"/>
      <c r="U99" s="2"/>
      <c r="V99" s="40"/>
      <c r="W99" s="40"/>
      <c r="X99" s="2"/>
      <c r="Y99" s="2"/>
      <c r="Z99" s="2"/>
    </row>
    <row r="100" ht="12.75" customHeight="1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2"/>
      <c r="P100" s="2"/>
      <c r="Q100" s="2"/>
      <c r="R100" s="2"/>
      <c r="S100" s="2"/>
      <c r="T100" s="2"/>
      <c r="U100" s="2"/>
      <c r="V100" s="40"/>
      <c r="W100" s="40"/>
      <c r="X100" s="2"/>
      <c r="Y100" s="2"/>
      <c r="Z100" s="2"/>
    </row>
    <row r="101" ht="12.75" customHeight="1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57"/>
    <col customWidth="1" min="2" max="2" width="17.86"/>
    <col customWidth="1" min="3" max="3" width="15.0"/>
    <col customWidth="1" min="4" max="11" width="11.43"/>
    <col customWidth="1" min="12" max="12" width="12.71"/>
    <col customWidth="1" min="13" max="13" width="11.57"/>
    <col customWidth="1" min="14" max="14" width="11.43"/>
    <col customWidth="1" min="15" max="15" width="11.71"/>
    <col customWidth="1" min="16" max="16" width="8.86"/>
    <col customWidth="1" min="17" max="18" width="13.29"/>
    <col customWidth="1" min="19" max="19" width="7.86"/>
    <col customWidth="1" min="20" max="20" width="13.71"/>
    <col customWidth="1" min="21" max="21" width="13.0"/>
    <col customWidth="1" min="22" max="23" width="15.43"/>
    <col customWidth="1" min="24" max="24" width="15.57"/>
    <col customWidth="1" min="25" max="26" width="8.71"/>
  </cols>
  <sheetData>
    <row r="1" ht="12.75" customHeight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4" t="s">
        <v>0</v>
      </c>
      <c r="U1" s="5">
        <v>0.0052</v>
      </c>
      <c r="V1" s="4" t="s">
        <v>1</v>
      </c>
      <c r="W1" s="45">
        <f>(W95*$U$1)/V95</f>
        <v>0.005716204947</v>
      </c>
      <c r="X1" s="2"/>
      <c r="Y1" s="2"/>
      <c r="Z1" s="2"/>
    </row>
    <row r="2" ht="12.75" customHeight="1">
      <c r="A2" s="2"/>
      <c r="B2" s="7"/>
      <c r="C2" s="8" t="s">
        <v>2</v>
      </c>
      <c r="D2" s="8"/>
      <c r="E2" s="9" t="s">
        <v>169</v>
      </c>
      <c r="F2" s="10"/>
      <c r="G2" s="11" t="s">
        <v>4</v>
      </c>
      <c r="H2" s="10"/>
      <c r="I2" s="10"/>
      <c r="J2" s="12"/>
      <c r="K2" s="12"/>
      <c r="L2" s="10"/>
      <c r="M2" s="10"/>
      <c r="N2" s="13"/>
      <c r="O2" s="8"/>
      <c r="P2" s="14"/>
      <c r="Q2" s="14"/>
      <c r="R2" s="10"/>
      <c r="S2" s="10"/>
      <c r="T2" s="10"/>
      <c r="U2" s="2"/>
      <c r="V2" s="2"/>
      <c r="W2" s="2"/>
      <c r="X2" s="2"/>
      <c r="Y2" s="2"/>
      <c r="Z2" s="2"/>
    </row>
    <row r="3" ht="12.75" customHeight="1">
      <c r="A3" s="2"/>
      <c r="B3" s="15" t="s">
        <v>5</v>
      </c>
      <c r="C3" s="15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7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38" t="s">
        <v>17</v>
      </c>
      <c r="O3" s="19" t="s">
        <v>18</v>
      </c>
      <c r="P3" s="19" t="s">
        <v>19</v>
      </c>
      <c r="Q3" s="18" t="s">
        <v>20</v>
      </c>
      <c r="R3" s="18" t="s">
        <v>21</v>
      </c>
      <c r="S3" s="18" t="s">
        <v>22</v>
      </c>
      <c r="T3" s="2"/>
      <c r="U3" s="18" t="s">
        <v>23</v>
      </c>
      <c r="V3" s="18" t="s">
        <v>102</v>
      </c>
      <c r="W3" s="18" t="s">
        <v>103</v>
      </c>
      <c r="X3" s="2"/>
      <c r="Y3" s="2"/>
      <c r="Z3" s="2"/>
    </row>
    <row r="4" ht="12.75" customHeight="1">
      <c r="A4" s="2"/>
      <c r="B4" s="8" t="s">
        <v>104</v>
      </c>
      <c r="C4" s="8" t="s">
        <v>27</v>
      </c>
      <c r="D4" s="8">
        <v>14.0</v>
      </c>
      <c r="E4" s="20">
        <v>95.0</v>
      </c>
      <c r="F4" s="20">
        <v>104.0</v>
      </c>
      <c r="G4" s="20">
        <v>0.0</v>
      </c>
      <c r="H4" s="21">
        <v>0.0</v>
      </c>
      <c r="I4" s="20">
        <v>0.0</v>
      </c>
      <c r="J4" s="20">
        <v>72.0</v>
      </c>
      <c r="K4" s="20">
        <f t="shared" ref="K4:K94" si="1">I4+J4</f>
        <v>72</v>
      </c>
      <c r="L4" s="20">
        <v>127.0</v>
      </c>
      <c r="M4" s="20">
        <v>120.0</v>
      </c>
      <c r="N4" s="22">
        <v>27.0</v>
      </c>
      <c r="O4" s="20">
        <f t="shared" ref="O4:O9" si="2">(M4/(I4+J4))*N4</f>
        <v>45</v>
      </c>
      <c r="P4" s="39">
        <v>1.7638888888888888</v>
      </c>
      <c r="Q4" s="20">
        <v>0.0</v>
      </c>
      <c r="R4" s="20">
        <v>0.0</v>
      </c>
      <c r="S4" s="20">
        <v>0.0</v>
      </c>
      <c r="T4" s="2"/>
      <c r="U4" s="2">
        <v>1631375.0</v>
      </c>
      <c r="V4" s="40">
        <f t="shared" ref="V4:V94" si="3">U4*(I4+J4)</f>
        <v>117459000</v>
      </c>
      <c r="W4" s="40">
        <f t="shared" ref="W4:W94" si="4">U4*M4</f>
        <v>195765000</v>
      </c>
      <c r="X4" s="2"/>
      <c r="Y4" s="2"/>
      <c r="Z4" s="2"/>
    </row>
    <row r="5" ht="12.75" customHeight="1">
      <c r="A5" s="2"/>
      <c r="B5" s="8" t="s">
        <v>28</v>
      </c>
      <c r="C5" s="8" t="s">
        <v>27</v>
      </c>
      <c r="D5" s="8">
        <v>14.0</v>
      </c>
      <c r="E5" s="20">
        <v>82.0</v>
      </c>
      <c r="F5" s="20">
        <v>0.0</v>
      </c>
      <c r="G5" s="20">
        <v>0.0</v>
      </c>
      <c r="H5" s="21">
        <v>0.0</v>
      </c>
      <c r="I5" s="20">
        <v>0.0</v>
      </c>
      <c r="J5" s="20">
        <v>81.0</v>
      </c>
      <c r="K5" s="20">
        <f t="shared" si="1"/>
        <v>81</v>
      </c>
      <c r="L5" s="20">
        <v>1.0</v>
      </c>
      <c r="M5" s="20">
        <v>39.2</v>
      </c>
      <c r="N5" s="22">
        <v>27.0</v>
      </c>
      <c r="O5" s="20">
        <f t="shared" si="2"/>
        <v>13.06666667</v>
      </c>
      <c r="P5" s="39">
        <v>0.012345679012345678</v>
      </c>
      <c r="Q5" s="20">
        <v>0.0</v>
      </c>
      <c r="R5" s="20">
        <v>100.0</v>
      </c>
      <c r="S5" s="20">
        <v>0.0</v>
      </c>
      <c r="T5" s="2"/>
      <c r="U5" s="2">
        <v>844750.0</v>
      </c>
      <c r="V5" s="40">
        <f t="shared" si="3"/>
        <v>68424750</v>
      </c>
      <c r="W5" s="40">
        <f t="shared" si="4"/>
        <v>33114200</v>
      </c>
      <c r="X5" s="2"/>
      <c r="Y5" s="2"/>
      <c r="Z5" s="2"/>
    </row>
    <row r="6" ht="12.75" customHeight="1">
      <c r="A6" s="2"/>
      <c r="B6" s="8" t="s">
        <v>29</v>
      </c>
      <c r="C6" s="8" t="s">
        <v>27</v>
      </c>
      <c r="D6" s="8">
        <v>14.0</v>
      </c>
      <c r="E6" s="20">
        <v>162.0</v>
      </c>
      <c r="F6" s="20">
        <v>0.0</v>
      </c>
      <c r="G6" s="20">
        <v>0.0</v>
      </c>
      <c r="H6" s="21">
        <v>0.0</v>
      </c>
      <c r="I6" s="20">
        <v>0.0</v>
      </c>
      <c r="J6" s="20">
        <v>26.0</v>
      </c>
      <c r="K6" s="20">
        <f t="shared" si="1"/>
        <v>26</v>
      </c>
      <c r="L6" s="20">
        <v>136.0</v>
      </c>
      <c r="M6" s="20">
        <v>136.0</v>
      </c>
      <c r="N6" s="22">
        <v>27.0</v>
      </c>
      <c r="O6" s="20">
        <f t="shared" si="2"/>
        <v>141.2307692</v>
      </c>
      <c r="P6" s="39">
        <v>5.230769230769231</v>
      </c>
      <c r="Q6" s="20">
        <v>0.0</v>
      </c>
      <c r="R6" s="20">
        <v>0.0</v>
      </c>
      <c r="S6" s="20">
        <v>0.0</v>
      </c>
      <c r="T6" s="2"/>
      <c r="U6" s="2">
        <v>928605.0</v>
      </c>
      <c r="V6" s="40">
        <f t="shared" si="3"/>
        <v>24143730</v>
      </c>
      <c r="W6" s="40">
        <f t="shared" si="4"/>
        <v>126290280</v>
      </c>
      <c r="X6" s="2"/>
      <c r="Y6" s="2"/>
      <c r="Z6" s="2"/>
    </row>
    <row r="7" ht="12.75" customHeight="1">
      <c r="A7" s="2"/>
      <c r="B7" s="8" t="s">
        <v>30</v>
      </c>
      <c r="C7" s="8" t="s">
        <v>27</v>
      </c>
      <c r="D7" s="8">
        <v>14.0</v>
      </c>
      <c r="E7" s="20">
        <v>279.0</v>
      </c>
      <c r="F7" s="20">
        <v>334.0</v>
      </c>
      <c r="G7" s="20">
        <v>0.0</v>
      </c>
      <c r="H7" s="21">
        <v>0.0</v>
      </c>
      <c r="I7" s="20">
        <v>0.0</v>
      </c>
      <c r="J7" s="20">
        <v>404.0</v>
      </c>
      <c r="K7" s="20">
        <f t="shared" si="1"/>
        <v>404</v>
      </c>
      <c r="L7" s="20">
        <v>209.0</v>
      </c>
      <c r="M7" s="20">
        <v>194.083333333333</v>
      </c>
      <c r="N7" s="22">
        <v>27.0</v>
      </c>
      <c r="O7" s="20">
        <f t="shared" si="2"/>
        <v>12.97091584</v>
      </c>
      <c r="P7" s="39">
        <v>0.5173267326732673</v>
      </c>
      <c r="Q7" s="20">
        <v>36.0</v>
      </c>
      <c r="R7" s="20">
        <v>0.0</v>
      </c>
      <c r="S7" s="20">
        <v>0.0</v>
      </c>
      <c r="T7" s="2"/>
      <c r="U7" s="2">
        <v>1329900.0</v>
      </c>
      <c r="V7" s="40">
        <f t="shared" si="3"/>
        <v>537279600</v>
      </c>
      <c r="W7" s="40">
        <f t="shared" si="4"/>
        <v>258111425</v>
      </c>
      <c r="X7" s="2"/>
      <c r="Y7" s="2"/>
      <c r="Z7" s="2"/>
    </row>
    <row r="8" ht="12.75" customHeight="1">
      <c r="A8" s="2"/>
      <c r="B8" s="8" t="s">
        <v>120</v>
      </c>
      <c r="C8" s="8" t="s">
        <v>27</v>
      </c>
      <c r="D8" s="8">
        <v>14.0</v>
      </c>
      <c r="E8" s="20">
        <v>107.0</v>
      </c>
      <c r="F8" s="20">
        <v>147.0</v>
      </c>
      <c r="G8" s="20">
        <v>0.0</v>
      </c>
      <c r="H8" s="21">
        <v>0.0</v>
      </c>
      <c r="I8" s="20">
        <v>0.0</v>
      </c>
      <c r="J8" s="20">
        <v>159.0</v>
      </c>
      <c r="K8" s="20">
        <f t="shared" si="1"/>
        <v>159</v>
      </c>
      <c r="L8" s="20">
        <v>95.0</v>
      </c>
      <c r="M8" s="20">
        <v>145.20000000000002</v>
      </c>
      <c r="N8" s="22">
        <v>27.0</v>
      </c>
      <c r="O8" s="20">
        <f t="shared" si="2"/>
        <v>24.65660377</v>
      </c>
      <c r="P8" s="39">
        <v>0.5974842767295597</v>
      </c>
      <c r="Q8" s="20">
        <v>0.0</v>
      </c>
      <c r="R8" s="20">
        <v>0.0</v>
      </c>
      <c r="S8" s="20">
        <v>0.0</v>
      </c>
      <c r="T8" s="2"/>
      <c r="U8" s="2">
        <v>865210.0</v>
      </c>
      <c r="V8" s="40">
        <f t="shared" si="3"/>
        <v>137568390</v>
      </c>
      <c r="W8" s="40">
        <f t="shared" si="4"/>
        <v>125628492</v>
      </c>
      <c r="X8" s="2"/>
      <c r="Y8" s="2"/>
      <c r="Z8" s="2"/>
    </row>
    <row r="9" ht="12.75" customHeight="1">
      <c r="A9" s="2"/>
      <c r="B9" s="8" t="s">
        <v>121</v>
      </c>
      <c r="C9" s="8" t="s">
        <v>27</v>
      </c>
      <c r="D9" s="8">
        <v>14.0</v>
      </c>
      <c r="E9" s="20">
        <v>164.0</v>
      </c>
      <c r="F9" s="20">
        <v>432.0</v>
      </c>
      <c r="G9" s="20">
        <v>0.0</v>
      </c>
      <c r="H9" s="21">
        <v>0.0</v>
      </c>
      <c r="I9" s="20">
        <v>0.0</v>
      </c>
      <c r="J9" s="20">
        <v>488.0</v>
      </c>
      <c r="K9" s="20">
        <f t="shared" si="1"/>
        <v>488</v>
      </c>
      <c r="L9" s="20">
        <v>108.0</v>
      </c>
      <c r="M9" s="20">
        <v>86.7272727272727</v>
      </c>
      <c r="N9" s="22">
        <v>27.0</v>
      </c>
      <c r="O9" s="20">
        <f t="shared" si="2"/>
        <v>4.798435171</v>
      </c>
      <c r="P9" s="39">
        <v>0.22131147540983606</v>
      </c>
      <c r="Q9" s="20">
        <v>0.0</v>
      </c>
      <c r="R9" s="20">
        <v>162.0</v>
      </c>
      <c r="S9" s="20">
        <v>0.0</v>
      </c>
      <c r="T9" s="2"/>
      <c r="U9" s="2">
        <v>865210.0</v>
      </c>
      <c r="V9" s="40">
        <f t="shared" si="3"/>
        <v>422222480</v>
      </c>
      <c r="W9" s="40">
        <f t="shared" si="4"/>
        <v>75037303.64</v>
      </c>
      <c r="X9" s="2"/>
      <c r="Y9" s="2"/>
      <c r="Z9" s="2"/>
    </row>
    <row r="10" ht="12.75" customHeight="1">
      <c r="A10" s="2"/>
      <c r="B10" s="8" t="s">
        <v>31</v>
      </c>
      <c r="C10" s="8" t="s">
        <v>27</v>
      </c>
      <c r="D10" s="8">
        <v>14.0</v>
      </c>
      <c r="E10" s="20">
        <v>200.0</v>
      </c>
      <c r="F10" s="20">
        <v>105.0</v>
      </c>
      <c r="G10" s="20">
        <v>0.0</v>
      </c>
      <c r="H10" s="21">
        <v>0.0</v>
      </c>
      <c r="I10" s="20">
        <v>0.0</v>
      </c>
      <c r="J10" s="20">
        <v>0.0</v>
      </c>
      <c r="K10" s="20">
        <f t="shared" si="1"/>
        <v>0</v>
      </c>
      <c r="L10" s="20">
        <v>305.0</v>
      </c>
      <c r="M10" s="20">
        <v>305.0</v>
      </c>
      <c r="N10" s="22">
        <v>27.0</v>
      </c>
      <c r="O10" s="20">
        <v>0.0</v>
      </c>
      <c r="P10" s="39">
        <v>0.0</v>
      </c>
      <c r="Q10" s="20">
        <v>0.0</v>
      </c>
      <c r="R10" s="20">
        <v>0.0</v>
      </c>
      <c r="S10" s="20">
        <v>0.0</v>
      </c>
      <c r="T10" s="2"/>
      <c r="U10" s="2">
        <v>841116.0</v>
      </c>
      <c r="V10" s="40">
        <f t="shared" si="3"/>
        <v>0</v>
      </c>
      <c r="W10" s="40">
        <f t="shared" si="4"/>
        <v>256540380</v>
      </c>
      <c r="X10" s="2"/>
      <c r="Y10" s="2"/>
      <c r="Z10" s="2"/>
    </row>
    <row r="11" ht="12.75" customHeight="1">
      <c r="A11" s="2"/>
      <c r="B11" s="8" t="s">
        <v>32</v>
      </c>
      <c r="C11" s="8" t="s">
        <v>27</v>
      </c>
      <c r="D11" s="8">
        <v>14.0</v>
      </c>
      <c r="E11" s="20">
        <v>116.0</v>
      </c>
      <c r="F11" s="20">
        <v>0.0</v>
      </c>
      <c r="G11" s="20">
        <v>0.0</v>
      </c>
      <c r="H11" s="21">
        <v>0.0</v>
      </c>
      <c r="I11" s="20">
        <v>0.0</v>
      </c>
      <c r="J11" s="20">
        <v>5.0</v>
      </c>
      <c r="K11" s="20">
        <f t="shared" si="1"/>
        <v>5</v>
      </c>
      <c r="L11" s="20">
        <v>111.0</v>
      </c>
      <c r="M11" s="20">
        <v>112.0</v>
      </c>
      <c r="N11" s="22">
        <v>27.0</v>
      </c>
      <c r="O11" s="20">
        <f t="shared" ref="O11:O12" si="5">(M11/(I11+J11))*N11</f>
        <v>604.8</v>
      </c>
      <c r="P11" s="39">
        <v>22.2</v>
      </c>
      <c r="Q11" s="20">
        <v>2.0</v>
      </c>
      <c r="R11" s="20">
        <v>0.0</v>
      </c>
      <c r="S11" s="20">
        <v>0.0</v>
      </c>
      <c r="T11" s="2"/>
      <c r="U11" s="2">
        <v>928605.0</v>
      </c>
      <c r="V11" s="40">
        <f t="shared" si="3"/>
        <v>4643025</v>
      </c>
      <c r="W11" s="40">
        <f t="shared" si="4"/>
        <v>104003760</v>
      </c>
      <c r="X11" s="2"/>
      <c r="Y11" s="2"/>
      <c r="Z11" s="2"/>
    </row>
    <row r="12" ht="12.75" customHeight="1">
      <c r="A12" s="2"/>
      <c r="B12" s="8" t="s">
        <v>122</v>
      </c>
      <c r="C12" s="8" t="s">
        <v>27</v>
      </c>
      <c r="D12" s="8">
        <v>14.0</v>
      </c>
      <c r="E12" s="20">
        <v>489.0</v>
      </c>
      <c r="F12" s="20">
        <v>0.0</v>
      </c>
      <c r="G12" s="20">
        <v>0.0</v>
      </c>
      <c r="H12" s="21">
        <v>0.0</v>
      </c>
      <c r="I12" s="20">
        <v>0.0</v>
      </c>
      <c r="J12" s="20">
        <v>166.0</v>
      </c>
      <c r="K12" s="20">
        <f t="shared" si="1"/>
        <v>166</v>
      </c>
      <c r="L12" s="20">
        <v>323.0</v>
      </c>
      <c r="M12" s="20">
        <v>383.0</v>
      </c>
      <c r="N12" s="22">
        <v>27.0</v>
      </c>
      <c r="O12" s="20">
        <f t="shared" si="5"/>
        <v>62.29518072</v>
      </c>
      <c r="P12" s="39">
        <v>1.9457831325301205</v>
      </c>
      <c r="Q12" s="20">
        <v>0.0</v>
      </c>
      <c r="R12" s="20">
        <v>0.0</v>
      </c>
      <c r="S12" s="20">
        <v>0.0</v>
      </c>
      <c r="T12" s="2"/>
      <c r="U12" s="2">
        <v>139965.0</v>
      </c>
      <c r="V12" s="40">
        <f t="shared" si="3"/>
        <v>23234190</v>
      </c>
      <c r="W12" s="40">
        <f t="shared" si="4"/>
        <v>53606595</v>
      </c>
      <c r="X12" s="2"/>
      <c r="Y12" s="2"/>
      <c r="Z12" s="2"/>
    </row>
    <row r="13" ht="12.75" customHeight="1">
      <c r="A13" s="2"/>
      <c r="B13" s="8" t="s">
        <v>105</v>
      </c>
      <c r="C13" s="8" t="s">
        <v>27</v>
      </c>
      <c r="D13" s="8">
        <v>14.0</v>
      </c>
      <c r="E13" s="20">
        <v>0.0</v>
      </c>
      <c r="F13" s="20">
        <v>0.0</v>
      </c>
      <c r="G13" s="20">
        <v>0.0</v>
      </c>
      <c r="H13" s="21">
        <v>0.0</v>
      </c>
      <c r="I13" s="20">
        <v>0.0</v>
      </c>
      <c r="J13" s="20">
        <v>0.0</v>
      </c>
      <c r="K13" s="20">
        <f t="shared" si="1"/>
        <v>0</v>
      </c>
      <c r="L13" s="20">
        <v>0.0</v>
      </c>
      <c r="M13" s="20">
        <v>0.0</v>
      </c>
      <c r="N13" s="22">
        <v>27.0</v>
      </c>
      <c r="O13" s="20">
        <v>0.0</v>
      </c>
      <c r="P13" s="39">
        <v>0.0</v>
      </c>
      <c r="Q13" s="20">
        <v>0.0</v>
      </c>
      <c r="R13" s="20">
        <v>100.0</v>
      </c>
      <c r="S13" s="20">
        <v>0.0</v>
      </c>
      <c r="T13" s="2"/>
      <c r="U13" s="2">
        <v>165230.0</v>
      </c>
      <c r="V13" s="40">
        <f t="shared" si="3"/>
        <v>0</v>
      </c>
      <c r="W13" s="40">
        <f t="shared" si="4"/>
        <v>0</v>
      </c>
      <c r="X13" s="2"/>
      <c r="Y13" s="2"/>
      <c r="Z13" s="2"/>
    </row>
    <row r="14" ht="12.75" customHeight="1">
      <c r="A14" s="2"/>
      <c r="B14" s="8" t="s">
        <v>106</v>
      </c>
      <c r="C14" s="8" t="s">
        <v>27</v>
      </c>
      <c r="D14" s="8">
        <v>14.0</v>
      </c>
      <c r="E14" s="20">
        <v>2850.0</v>
      </c>
      <c r="F14" s="20">
        <v>5.0</v>
      </c>
      <c r="G14" s="20">
        <v>0.0</v>
      </c>
      <c r="H14" s="21">
        <v>0.0</v>
      </c>
      <c r="I14" s="20">
        <v>0.0</v>
      </c>
      <c r="J14" s="20">
        <v>806.0</v>
      </c>
      <c r="K14" s="20">
        <f t="shared" si="1"/>
        <v>806</v>
      </c>
      <c r="L14" s="20">
        <v>2049.0</v>
      </c>
      <c r="M14" s="20">
        <v>2308.0</v>
      </c>
      <c r="N14" s="22">
        <v>27.0</v>
      </c>
      <c r="O14" s="20">
        <f>(M14/(I14+J14))*N14</f>
        <v>77.31513648</v>
      </c>
      <c r="P14" s="39">
        <v>2.542183622828784</v>
      </c>
      <c r="Q14" s="20">
        <v>0.0</v>
      </c>
      <c r="R14" s="20">
        <v>0.0</v>
      </c>
      <c r="S14" s="20">
        <v>0.0</v>
      </c>
      <c r="T14" s="2"/>
      <c r="U14" s="2">
        <v>139965.0</v>
      </c>
      <c r="V14" s="40">
        <f t="shared" si="3"/>
        <v>112811790</v>
      </c>
      <c r="W14" s="40">
        <f t="shared" si="4"/>
        <v>323039220</v>
      </c>
      <c r="X14" s="2"/>
      <c r="Y14" s="2"/>
      <c r="Z14" s="2"/>
    </row>
    <row r="15" ht="12.75" customHeight="1">
      <c r="A15" s="2"/>
      <c r="B15" s="8" t="s">
        <v>107</v>
      </c>
      <c r="C15" s="8" t="s">
        <v>27</v>
      </c>
      <c r="D15" s="8">
        <v>14.0</v>
      </c>
      <c r="E15" s="20">
        <v>0.25</v>
      </c>
      <c r="F15" s="20">
        <v>0.0</v>
      </c>
      <c r="G15" s="20">
        <v>0.0</v>
      </c>
      <c r="H15" s="21">
        <v>0.0</v>
      </c>
      <c r="I15" s="20">
        <v>0.0</v>
      </c>
      <c r="J15" s="20">
        <v>0.0</v>
      </c>
      <c r="K15" s="20">
        <f t="shared" si="1"/>
        <v>0</v>
      </c>
      <c r="L15" s="20">
        <v>0.25</v>
      </c>
      <c r="M15" s="20">
        <v>0.0</v>
      </c>
      <c r="N15" s="22">
        <v>27.0</v>
      </c>
      <c r="O15" s="20">
        <v>0.0</v>
      </c>
      <c r="P15" s="39">
        <v>0.0</v>
      </c>
      <c r="Q15" s="20">
        <v>0.0</v>
      </c>
      <c r="R15" s="20">
        <v>0.0</v>
      </c>
      <c r="S15" s="20">
        <v>0.0</v>
      </c>
      <c r="T15" s="2"/>
      <c r="U15" s="2">
        <v>139965.0</v>
      </c>
      <c r="V15" s="40">
        <f t="shared" si="3"/>
        <v>0</v>
      </c>
      <c r="W15" s="40">
        <f t="shared" si="4"/>
        <v>0</v>
      </c>
      <c r="X15" s="2"/>
      <c r="Y15" s="2"/>
      <c r="Z15" s="2"/>
    </row>
    <row r="16" ht="12.75" customHeight="1">
      <c r="A16" s="2"/>
      <c r="B16" s="8" t="s">
        <v>34</v>
      </c>
      <c r="C16" s="8" t="s">
        <v>27</v>
      </c>
      <c r="D16" s="8">
        <v>14.0</v>
      </c>
      <c r="E16" s="20">
        <v>60.0</v>
      </c>
      <c r="F16" s="20">
        <v>84.0</v>
      </c>
      <c r="G16" s="20">
        <v>0.0</v>
      </c>
      <c r="H16" s="21">
        <v>0.0</v>
      </c>
      <c r="I16" s="20">
        <v>0.0</v>
      </c>
      <c r="J16" s="20">
        <v>121.0</v>
      </c>
      <c r="K16" s="20">
        <f t="shared" si="1"/>
        <v>121</v>
      </c>
      <c r="L16" s="20">
        <v>23.0</v>
      </c>
      <c r="M16" s="20">
        <v>58.25</v>
      </c>
      <c r="N16" s="22">
        <v>27.0</v>
      </c>
      <c r="O16" s="20">
        <f t="shared" ref="O16:O25" si="6">(M16/(I16+J16))*N16</f>
        <v>12.99793388</v>
      </c>
      <c r="P16" s="39">
        <v>0.19008264462809918</v>
      </c>
      <c r="Q16" s="20">
        <v>16.0</v>
      </c>
      <c r="R16" s="20">
        <v>95.0</v>
      </c>
      <c r="S16" s="20">
        <v>0.0</v>
      </c>
      <c r="T16" s="2"/>
      <c r="U16" s="2">
        <v>3438210.0</v>
      </c>
      <c r="V16" s="40">
        <f t="shared" si="3"/>
        <v>416023410</v>
      </c>
      <c r="W16" s="40">
        <f t="shared" si="4"/>
        <v>200275732.5</v>
      </c>
      <c r="X16" s="2"/>
      <c r="Y16" s="2"/>
      <c r="Z16" s="2"/>
    </row>
    <row r="17" ht="12.75" customHeight="1">
      <c r="A17" s="2"/>
      <c r="B17" s="8" t="s">
        <v>35</v>
      </c>
      <c r="C17" s="8" t="s">
        <v>27</v>
      </c>
      <c r="D17" s="8">
        <v>14.0</v>
      </c>
      <c r="E17" s="20">
        <v>726.0</v>
      </c>
      <c r="F17" s="20">
        <v>614.0</v>
      </c>
      <c r="G17" s="20">
        <v>0.0</v>
      </c>
      <c r="H17" s="21">
        <v>0.0</v>
      </c>
      <c r="I17" s="20">
        <v>0.0</v>
      </c>
      <c r="J17" s="20">
        <v>384.0</v>
      </c>
      <c r="K17" s="20">
        <f t="shared" si="1"/>
        <v>384</v>
      </c>
      <c r="L17" s="20">
        <v>956.0</v>
      </c>
      <c r="M17" s="20">
        <v>898.6666666666671</v>
      </c>
      <c r="N17" s="22">
        <v>27.0</v>
      </c>
      <c r="O17" s="20">
        <f t="shared" si="6"/>
        <v>63.1875</v>
      </c>
      <c r="P17" s="39">
        <v>2.4895833333333335</v>
      </c>
      <c r="Q17" s="20">
        <v>0.0</v>
      </c>
      <c r="R17" s="20">
        <v>0.0</v>
      </c>
      <c r="S17" s="20">
        <v>0.0</v>
      </c>
      <c r="T17" s="2"/>
      <c r="U17" s="2">
        <v>165230.0</v>
      </c>
      <c r="V17" s="40">
        <f t="shared" si="3"/>
        <v>63448320</v>
      </c>
      <c r="W17" s="40">
        <f t="shared" si="4"/>
        <v>148486693.3</v>
      </c>
      <c r="X17" s="2"/>
      <c r="Y17" s="2"/>
      <c r="Z17" s="2"/>
    </row>
    <row r="18" ht="12.75" customHeight="1">
      <c r="A18" s="2"/>
      <c r="B18" s="8" t="s">
        <v>36</v>
      </c>
      <c r="C18" s="8" t="s">
        <v>27</v>
      </c>
      <c r="D18" s="8">
        <v>14.0</v>
      </c>
      <c r="E18" s="20">
        <v>208.0</v>
      </c>
      <c r="F18" s="20">
        <v>0.0</v>
      </c>
      <c r="G18" s="20">
        <v>0.0</v>
      </c>
      <c r="H18" s="21">
        <v>0.0</v>
      </c>
      <c r="I18" s="20">
        <v>0.0</v>
      </c>
      <c r="J18" s="20">
        <v>22.0</v>
      </c>
      <c r="K18" s="20">
        <f t="shared" si="1"/>
        <v>22</v>
      </c>
      <c r="L18" s="20">
        <v>186.0</v>
      </c>
      <c r="M18" s="20">
        <v>194.0</v>
      </c>
      <c r="N18" s="22">
        <v>27.0</v>
      </c>
      <c r="O18" s="20">
        <f t="shared" si="6"/>
        <v>238.0909091</v>
      </c>
      <c r="P18" s="39">
        <v>8.454545454545455</v>
      </c>
      <c r="Q18" s="20">
        <v>0.0</v>
      </c>
      <c r="R18" s="20">
        <v>0.0</v>
      </c>
      <c r="S18" s="20">
        <v>0.0</v>
      </c>
      <c r="T18" s="2"/>
      <c r="U18" s="2">
        <v>1516675.0</v>
      </c>
      <c r="V18" s="40">
        <f t="shared" si="3"/>
        <v>33366850</v>
      </c>
      <c r="W18" s="40">
        <f t="shared" si="4"/>
        <v>294234950</v>
      </c>
      <c r="X18" s="2"/>
      <c r="Y18" s="2"/>
      <c r="Z18" s="2"/>
    </row>
    <row r="19" ht="12.75" customHeight="1">
      <c r="A19" s="2"/>
      <c r="B19" s="8" t="s">
        <v>123</v>
      </c>
      <c r="C19" s="8" t="s">
        <v>27</v>
      </c>
      <c r="D19" s="8">
        <v>14.0</v>
      </c>
      <c r="E19" s="20">
        <v>15.0</v>
      </c>
      <c r="F19" s="20">
        <v>0.0</v>
      </c>
      <c r="G19" s="20">
        <v>0.0</v>
      </c>
      <c r="H19" s="21">
        <v>0.0</v>
      </c>
      <c r="I19" s="20">
        <v>0.0</v>
      </c>
      <c r="J19" s="20">
        <v>4.0</v>
      </c>
      <c r="K19" s="20">
        <f t="shared" si="1"/>
        <v>4</v>
      </c>
      <c r="L19" s="20">
        <v>11.0</v>
      </c>
      <c r="M19" s="20">
        <v>12.0</v>
      </c>
      <c r="N19" s="22">
        <v>27.0</v>
      </c>
      <c r="O19" s="20">
        <f t="shared" si="6"/>
        <v>81</v>
      </c>
      <c r="P19" s="39">
        <v>2.75</v>
      </c>
      <c r="Q19" s="20">
        <v>0.0</v>
      </c>
      <c r="R19" s="20">
        <v>15.0</v>
      </c>
      <c r="S19" s="20">
        <v>0.0</v>
      </c>
      <c r="T19" s="2"/>
      <c r="U19" s="2">
        <v>1516675.0</v>
      </c>
      <c r="V19" s="40">
        <f t="shared" si="3"/>
        <v>6066700</v>
      </c>
      <c r="W19" s="40">
        <f t="shared" si="4"/>
        <v>18200100</v>
      </c>
      <c r="X19" s="2"/>
      <c r="Y19" s="2"/>
      <c r="Z19" s="2"/>
    </row>
    <row r="20" ht="12.75" customHeight="1">
      <c r="A20" s="2"/>
      <c r="B20" s="8" t="s">
        <v>37</v>
      </c>
      <c r="C20" s="8" t="s">
        <v>27</v>
      </c>
      <c r="D20" s="8">
        <v>14.0</v>
      </c>
      <c r="E20" s="20">
        <v>57.0</v>
      </c>
      <c r="F20" s="20">
        <v>0.0</v>
      </c>
      <c r="G20" s="20">
        <v>0.0</v>
      </c>
      <c r="H20" s="21">
        <v>0.0</v>
      </c>
      <c r="I20" s="20">
        <v>0.0</v>
      </c>
      <c r="J20" s="20">
        <v>3.0</v>
      </c>
      <c r="K20" s="20">
        <f t="shared" si="1"/>
        <v>3</v>
      </c>
      <c r="L20" s="20">
        <v>54.0</v>
      </c>
      <c r="M20" s="20">
        <v>55.0</v>
      </c>
      <c r="N20" s="22">
        <v>27.0</v>
      </c>
      <c r="O20" s="20">
        <f t="shared" si="6"/>
        <v>495</v>
      </c>
      <c r="P20" s="39">
        <v>18.0</v>
      </c>
      <c r="Q20" s="20">
        <v>0.0</v>
      </c>
      <c r="R20" s="20">
        <v>0.0</v>
      </c>
      <c r="S20" s="20">
        <v>0.0</v>
      </c>
      <c r="T20" s="2"/>
      <c r="U20" s="2">
        <v>1516675.0</v>
      </c>
      <c r="V20" s="40">
        <f t="shared" si="3"/>
        <v>4550025</v>
      </c>
      <c r="W20" s="40">
        <f t="shared" si="4"/>
        <v>83417125</v>
      </c>
      <c r="X20" s="2"/>
      <c r="Y20" s="2"/>
      <c r="Z20" s="2"/>
    </row>
    <row r="21" ht="12.75" customHeight="1">
      <c r="A21" s="2"/>
      <c r="B21" s="8" t="s">
        <v>38</v>
      </c>
      <c r="C21" s="8" t="s">
        <v>27</v>
      </c>
      <c r="D21" s="8">
        <v>14.0</v>
      </c>
      <c r="E21" s="20">
        <v>25.0</v>
      </c>
      <c r="F21" s="20">
        <v>0.0</v>
      </c>
      <c r="G21" s="20">
        <v>0.0</v>
      </c>
      <c r="H21" s="21">
        <v>0.0</v>
      </c>
      <c r="I21" s="20">
        <v>0.0</v>
      </c>
      <c r="J21" s="20">
        <v>9.0</v>
      </c>
      <c r="K21" s="20">
        <f t="shared" si="1"/>
        <v>9</v>
      </c>
      <c r="L21" s="20">
        <v>16.0</v>
      </c>
      <c r="M21" s="20">
        <v>19.6666666666667</v>
      </c>
      <c r="N21" s="22">
        <v>27.0</v>
      </c>
      <c r="O21" s="20">
        <f t="shared" si="6"/>
        <v>59</v>
      </c>
      <c r="P21" s="39">
        <v>1.7777777777777777</v>
      </c>
      <c r="Q21" s="20">
        <v>0.0</v>
      </c>
      <c r="R21" s="20">
        <v>0.0</v>
      </c>
      <c r="S21" s="20">
        <v>0.0</v>
      </c>
      <c r="T21" s="2"/>
      <c r="U21" s="2">
        <v>1516675.0</v>
      </c>
      <c r="V21" s="40">
        <f t="shared" si="3"/>
        <v>13650075</v>
      </c>
      <c r="W21" s="40">
        <f t="shared" si="4"/>
        <v>29827941.67</v>
      </c>
      <c r="X21" s="2"/>
      <c r="Y21" s="2"/>
      <c r="Z21" s="2"/>
    </row>
    <row r="22" ht="12.75" customHeight="1">
      <c r="A22" s="2"/>
      <c r="B22" s="8" t="s">
        <v>39</v>
      </c>
      <c r="C22" s="8" t="s">
        <v>27</v>
      </c>
      <c r="D22" s="8">
        <v>14.0</v>
      </c>
      <c r="E22" s="20">
        <v>27.0</v>
      </c>
      <c r="F22" s="20">
        <v>0.0</v>
      </c>
      <c r="G22" s="20">
        <v>0.0</v>
      </c>
      <c r="H22" s="21">
        <v>0.0</v>
      </c>
      <c r="I22" s="20">
        <v>0.0</v>
      </c>
      <c r="J22" s="20">
        <v>11.0</v>
      </c>
      <c r="K22" s="20">
        <f t="shared" si="1"/>
        <v>11</v>
      </c>
      <c r="L22" s="20">
        <v>16.0</v>
      </c>
      <c r="M22" s="20">
        <v>19.75</v>
      </c>
      <c r="N22" s="22">
        <v>27.0</v>
      </c>
      <c r="O22" s="20">
        <f t="shared" si="6"/>
        <v>48.47727273</v>
      </c>
      <c r="P22" s="39">
        <v>1.4545454545454546</v>
      </c>
      <c r="Q22" s="20">
        <v>0.0</v>
      </c>
      <c r="R22" s="20">
        <v>0.0</v>
      </c>
      <c r="S22" s="20">
        <v>0.0</v>
      </c>
      <c r="T22" s="2"/>
      <c r="U22" s="2">
        <v>1516675.0</v>
      </c>
      <c r="V22" s="40">
        <f t="shared" si="3"/>
        <v>16683425</v>
      </c>
      <c r="W22" s="40">
        <f t="shared" si="4"/>
        <v>29954331.25</v>
      </c>
      <c r="X22" s="2"/>
      <c r="Y22" s="2"/>
      <c r="Z22" s="2"/>
    </row>
    <row r="23" ht="12.75" customHeight="1">
      <c r="A23" s="2"/>
      <c r="B23" s="8" t="s">
        <v>145</v>
      </c>
      <c r="C23" s="8" t="s">
        <v>27</v>
      </c>
      <c r="D23" s="8">
        <v>14.0</v>
      </c>
      <c r="E23" s="20">
        <v>58.0</v>
      </c>
      <c r="F23" s="20">
        <v>54.0</v>
      </c>
      <c r="G23" s="20">
        <v>0.0</v>
      </c>
      <c r="H23" s="21">
        <v>0.0</v>
      </c>
      <c r="I23" s="20">
        <v>0.0</v>
      </c>
      <c r="J23" s="20">
        <v>44.0</v>
      </c>
      <c r="K23" s="20">
        <f t="shared" si="1"/>
        <v>44</v>
      </c>
      <c r="L23" s="20">
        <v>68.0</v>
      </c>
      <c r="M23" s="20">
        <v>41.25</v>
      </c>
      <c r="N23" s="22">
        <v>27.0</v>
      </c>
      <c r="O23" s="20">
        <f t="shared" si="6"/>
        <v>25.3125</v>
      </c>
      <c r="P23" s="39">
        <v>1.5454545454545454</v>
      </c>
      <c r="Q23" s="20">
        <v>0.0</v>
      </c>
      <c r="R23" s="20">
        <v>22.0</v>
      </c>
      <c r="S23" s="20">
        <v>0.0</v>
      </c>
      <c r="T23" s="2"/>
      <c r="U23" s="2">
        <v>1516675.0</v>
      </c>
      <c r="V23" s="40">
        <f t="shared" si="3"/>
        <v>66733700</v>
      </c>
      <c r="W23" s="40">
        <f t="shared" si="4"/>
        <v>62562843.75</v>
      </c>
      <c r="X23" s="2"/>
      <c r="Y23" s="2"/>
      <c r="Z23" s="2"/>
    </row>
    <row r="24" ht="12.75" customHeight="1">
      <c r="A24" s="2"/>
      <c r="B24" s="8" t="s">
        <v>41</v>
      </c>
      <c r="C24" s="8" t="s">
        <v>27</v>
      </c>
      <c r="D24" s="8">
        <v>14.0</v>
      </c>
      <c r="E24" s="20">
        <v>78.0</v>
      </c>
      <c r="F24" s="20">
        <v>0.0</v>
      </c>
      <c r="G24" s="20">
        <v>0.0</v>
      </c>
      <c r="H24" s="21">
        <v>0.0</v>
      </c>
      <c r="I24" s="20">
        <v>0.0</v>
      </c>
      <c r="J24" s="20">
        <v>6.0</v>
      </c>
      <c r="K24" s="20">
        <f t="shared" si="1"/>
        <v>6</v>
      </c>
      <c r="L24" s="20">
        <v>72.0</v>
      </c>
      <c r="M24" s="20">
        <v>74.0</v>
      </c>
      <c r="N24" s="22">
        <v>27.0</v>
      </c>
      <c r="O24" s="20">
        <f t="shared" si="6"/>
        <v>333</v>
      </c>
      <c r="P24" s="39">
        <v>12.0</v>
      </c>
      <c r="Q24" s="20">
        <v>0.0</v>
      </c>
      <c r="R24" s="20">
        <v>0.0</v>
      </c>
      <c r="S24" s="20">
        <v>0.0</v>
      </c>
      <c r="T24" s="2"/>
      <c r="U24" s="2">
        <v>1516675.0</v>
      </c>
      <c r="V24" s="40">
        <f t="shared" si="3"/>
        <v>9100050</v>
      </c>
      <c r="W24" s="40">
        <f t="shared" si="4"/>
        <v>112233950</v>
      </c>
      <c r="X24" s="2"/>
      <c r="Y24" s="2"/>
      <c r="Z24" s="2"/>
    </row>
    <row r="25" ht="12.75" customHeight="1">
      <c r="A25" s="2"/>
      <c r="B25" s="8" t="s">
        <v>166</v>
      </c>
      <c r="C25" s="8" t="s">
        <v>27</v>
      </c>
      <c r="D25" s="8">
        <v>14.0</v>
      </c>
      <c r="E25" s="20">
        <v>37.0</v>
      </c>
      <c r="F25" s="20">
        <v>10.0</v>
      </c>
      <c r="G25" s="20">
        <v>0.0</v>
      </c>
      <c r="H25" s="21">
        <v>0.0</v>
      </c>
      <c r="I25" s="20">
        <v>-48.0</v>
      </c>
      <c r="J25" s="20">
        <v>71.0</v>
      </c>
      <c r="K25" s="20">
        <f t="shared" si="1"/>
        <v>23</v>
      </c>
      <c r="L25" s="20">
        <v>24.0</v>
      </c>
      <c r="M25" s="20">
        <v>62.6</v>
      </c>
      <c r="N25" s="22">
        <v>27.0</v>
      </c>
      <c r="O25" s="20">
        <f t="shared" si="6"/>
        <v>73.48695652</v>
      </c>
      <c r="P25" s="39">
        <v>1.0434782608695652</v>
      </c>
      <c r="Q25" s="20">
        <v>105.0</v>
      </c>
      <c r="R25" s="20">
        <v>0.0</v>
      </c>
      <c r="S25" s="20">
        <v>0.0</v>
      </c>
      <c r="T25" s="2"/>
      <c r="U25" s="2">
        <v>1345865.0</v>
      </c>
      <c r="V25" s="40">
        <f t="shared" si="3"/>
        <v>30954895</v>
      </c>
      <c r="W25" s="40">
        <f t="shared" si="4"/>
        <v>84251149</v>
      </c>
      <c r="X25" s="2"/>
      <c r="Y25" s="2"/>
      <c r="Z25" s="2"/>
    </row>
    <row r="26" ht="12.75" customHeight="1">
      <c r="A26" s="2"/>
      <c r="B26" s="8" t="s">
        <v>124</v>
      </c>
      <c r="C26" s="8" t="s">
        <v>27</v>
      </c>
      <c r="D26" s="8">
        <v>14.0</v>
      </c>
      <c r="E26" s="20">
        <v>76.0</v>
      </c>
      <c r="F26" s="20">
        <v>0.0</v>
      </c>
      <c r="G26" s="20">
        <v>0.0</v>
      </c>
      <c r="H26" s="21">
        <v>0.0</v>
      </c>
      <c r="I26" s="20">
        <v>0.0</v>
      </c>
      <c r="J26" s="20">
        <v>0.0</v>
      </c>
      <c r="K26" s="20">
        <f t="shared" si="1"/>
        <v>0</v>
      </c>
      <c r="L26" s="20">
        <v>76.0</v>
      </c>
      <c r="M26" s="20">
        <v>0.0</v>
      </c>
      <c r="N26" s="22">
        <v>27.0</v>
      </c>
      <c r="O26" s="20">
        <v>0.0</v>
      </c>
      <c r="P26" s="39">
        <v>0.0</v>
      </c>
      <c r="Q26" s="20">
        <v>0.0</v>
      </c>
      <c r="R26" s="20">
        <v>0.0</v>
      </c>
      <c r="S26" s="20">
        <v>0.0</v>
      </c>
      <c r="T26" s="2"/>
      <c r="U26" s="2">
        <v>1326180.0</v>
      </c>
      <c r="V26" s="40">
        <f t="shared" si="3"/>
        <v>0</v>
      </c>
      <c r="W26" s="40">
        <f t="shared" si="4"/>
        <v>0</v>
      </c>
      <c r="X26" s="2"/>
      <c r="Y26" s="2"/>
      <c r="Z26" s="2"/>
    </row>
    <row r="27" ht="12.75" customHeight="1">
      <c r="A27" s="2"/>
      <c r="B27" s="8" t="s">
        <v>155</v>
      </c>
      <c r="C27" s="8" t="s">
        <v>27</v>
      </c>
      <c r="D27" s="8">
        <v>14.0</v>
      </c>
      <c r="E27" s="20">
        <v>267.0</v>
      </c>
      <c r="F27" s="20">
        <v>82.0</v>
      </c>
      <c r="G27" s="20">
        <v>0.0</v>
      </c>
      <c r="H27" s="21">
        <v>0.0</v>
      </c>
      <c r="I27" s="20">
        <v>0.0</v>
      </c>
      <c r="J27" s="20">
        <v>0.0</v>
      </c>
      <c r="K27" s="20">
        <f t="shared" si="1"/>
        <v>0</v>
      </c>
      <c r="L27" s="20">
        <v>349.0</v>
      </c>
      <c r="M27" s="20">
        <v>349.0</v>
      </c>
      <c r="N27" s="22">
        <v>27.0</v>
      </c>
      <c r="O27" s="20">
        <v>0.0</v>
      </c>
      <c r="P27" s="39">
        <v>0.0</v>
      </c>
      <c r="Q27" s="20">
        <v>28.0</v>
      </c>
      <c r="R27" s="20">
        <v>0.0</v>
      </c>
      <c r="S27" s="20">
        <v>0.0</v>
      </c>
      <c r="T27" s="2"/>
      <c r="U27" s="2">
        <v>848935.0</v>
      </c>
      <c r="V27" s="40">
        <f t="shared" si="3"/>
        <v>0</v>
      </c>
      <c r="W27" s="40">
        <f t="shared" si="4"/>
        <v>296278315</v>
      </c>
      <c r="X27" s="2"/>
      <c r="Y27" s="2"/>
      <c r="Z27" s="2"/>
    </row>
    <row r="28" ht="12.75" customHeight="1">
      <c r="A28" s="2"/>
      <c r="B28" s="8" t="s">
        <v>156</v>
      </c>
      <c r="C28" s="8" t="s">
        <v>27</v>
      </c>
      <c r="D28" s="8">
        <v>14.0</v>
      </c>
      <c r="E28" s="20">
        <v>783.0</v>
      </c>
      <c r="F28" s="20">
        <v>1061.0</v>
      </c>
      <c r="G28" s="20">
        <v>0.0</v>
      </c>
      <c r="H28" s="21">
        <v>0.0</v>
      </c>
      <c r="I28" s="20">
        <v>0.0</v>
      </c>
      <c r="J28" s="20">
        <v>798.0</v>
      </c>
      <c r="K28" s="20">
        <f t="shared" si="1"/>
        <v>798</v>
      </c>
      <c r="L28" s="20">
        <v>1046.0</v>
      </c>
      <c r="M28" s="20">
        <v>714.2222222222221</v>
      </c>
      <c r="N28" s="22">
        <v>27.0</v>
      </c>
      <c r="O28" s="20">
        <f t="shared" ref="O28:O31" si="7">(M28/(I28+J28))*N28</f>
        <v>24.16541353</v>
      </c>
      <c r="P28" s="39">
        <v>1.3107769423558897</v>
      </c>
      <c r="Q28" s="20">
        <v>16.0</v>
      </c>
      <c r="R28" s="20">
        <v>69.0</v>
      </c>
      <c r="S28" s="20">
        <v>0.0</v>
      </c>
      <c r="T28" s="2"/>
      <c r="U28" s="2">
        <v>1040049.9999999999</v>
      </c>
      <c r="V28" s="40">
        <f t="shared" si="3"/>
        <v>829959900</v>
      </c>
      <c r="W28" s="40">
        <f t="shared" si="4"/>
        <v>742826822.2</v>
      </c>
      <c r="X28" s="2"/>
      <c r="Y28" s="2"/>
      <c r="Z28" s="2"/>
    </row>
    <row r="29" ht="12.75" customHeight="1">
      <c r="A29" s="2"/>
      <c r="B29" s="8" t="s">
        <v>126</v>
      </c>
      <c r="C29" s="8" t="s">
        <v>27</v>
      </c>
      <c r="D29" s="8">
        <v>14.0</v>
      </c>
      <c r="E29" s="20">
        <v>104.0</v>
      </c>
      <c r="F29" s="20">
        <v>0.0</v>
      </c>
      <c r="G29" s="20">
        <v>0.0</v>
      </c>
      <c r="H29" s="21">
        <v>0.0</v>
      </c>
      <c r="I29" s="20">
        <v>0.0</v>
      </c>
      <c r="J29" s="20">
        <v>48.0</v>
      </c>
      <c r="K29" s="20">
        <f t="shared" si="1"/>
        <v>48</v>
      </c>
      <c r="L29" s="20">
        <v>56.0</v>
      </c>
      <c r="M29" s="20">
        <v>56.0</v>
      </c>
      <c r="N29" s="22">
        <v>27.0</v>
      </c>
      <c r="O29" s="20">
        <f t="shared" si="7"/>
        <v>31.5</v>
      </c>
      <c r="P29" s="39">
        <v>1.1666666666666667</v>
      </c>
      <c r="Q29" s="20">
        <v>0.0</v>
      </c>
      <c r="R29" s="20">
        <v>0.0</v>
      </c>
      <c r="S29" s="20">
        <v>0.0</v>
      </c>
      <c r="T29" s="2"/>
      <c r="U29" s="2">
        <v>819485.0</v>
      </c>
      <c r="V29" s="40">
        <f t="shared" si="3"/>
        <v>39335280</v>
      </c>
      <c r="W29" s="40">
        <f t="shared" si="4"/>
        <v>45891160</v>
      </c>
      <c r="X29" s="2"/>
      <c r="Y29" s="2"/>
      <c r="Z29" s="2"/>
    </row>
    <row r="30" ht="12.75" customHeight="1">
      <c r="A30" s="2"/>
      <c r="B30" s="8" t="s">
        <v>170</v>
      </c>
      <c r="C30" s="8" t="s">
        <v>27</v>
      </c>
      <c r="D30" s="8">
        <v>14.0</v>
      </c>
      <c r="E30" s="20">
        <v>331.0</v>
      </c>
      <c r="F30" s="20">
        <v>773.0</v>
      </c>
      <c r="G30" s="20">
        <v>0.0</v>
      </c>
      <c r="H30" s="21">
        <v>0.0</v>
      </c>
      <c r="I30" s="20">
        <v>0.0</v>
      </c>
      <c r="J30" s="20">
        <v>663.0</v>
      </c>
      <c r="K30" s="20">
        <f t="shared" si="1"/>
        <v>663</v>
      </c>
      <c r="L30" s="20">
        <v>441.0</v>
      </c>
      <c r="M30" s="20">
        <v>703.272727272727</v>
      </c>
      <c r="N30" s="22">
        <v>27.0</v>
      </c>
      <c r="O30" s="20">
        <f t="shared" si="7"/>
        <v>28.64006582</v>
      </c>
      <c r="P30" s="39">
        <v>0.665158371040724</v>
      </c>
      <c r="Q30" s="20">
        <v>0.0</v>
      </c>
      <c r="R30" s="20">
        <v>1136.0</v>
      </c>
      <c r="S30" s="20">
        <v>0.0</v>
      </c>
      <c r="T30" s="2"/>
      <c r="U30" s="2">
        <v>819485.0</v>
      </c>
      <c r="V30" s="40">
        <f t="shared" si="3"/>
        <v>543318555</v>
      </c>
      <c r="W30" s="40">
        <f t="shared" si="4"/>
        <v>576321450.9</v>
      </c>
      <c r="X30" s="2"/>
      <c r="Y30" s="2"/>
      <c r="Z30" s="2"/>
    </row>
    <row r="31" ht="12.75" customHeight="1">
      <c r="A31" s="2"/>
      <c r="B31" s="8" t="s">
        <v>48</v>
      </c>
      <c r="C31" s="8" t="s">
        <v>27</v>
      </c>
      <c r="D31" s="8">
        <v>14.0</v>
      </c>
      <c r="E31" s="20">
        <v>54.0</v>
      </c>
      <c r="F31" s="20">
        <v>401.0</v>
      </c>
      <c r="G31" s="20">
        <v>0.0</v>
      </c>
      <c r="H31" s="21">
        <v>0.0</v>
      </c>
      <c r="I31" s="20">
        <v>0.0</v>
      </c>
      <c r="J31" s="20">
        <v>336.0</v>
      </c>
      <c r="K31" s="20">
        <f t="shared" si="1"/>
        <v>336</v>
      </c>
      <c r="L31" s="20">
        <v>119.0</v>
      </c>
      <c r="M31" s="20">
        <v>190.20000000000002</v>
      </c>
      <c r="N31" s="22">
        <v>27.0</v>
      </c>
      <c r="O31" s="20">
        <f t="shared" si="7"/>
        <v>15.28392857</v>
      </c>
      <c r="P31" s="39">
        <v>0.3541666666666667</v>
      </c>
      <c r="Q31" s="20">
        <v>29.0</v>
      </c>
      <c r="R31" s="20">
        <v>500.0</v>
      </c>
      <c r="S31" s="20">
        <v>0.0</v>
      </c>
      <c r="T31" s="2"/>
      <c r="U31" s="2">
        <v>819485.0</v>
      </c>
      <c r="V31" s="40">
        <f t="shared" si="3"/>
        <v>275346960</v>
      </c>
      <c r="W31" s="40">
        <f t="shared" si="4"/>
        <v>155866047</v>
      </c>
      <c r="X31" s="2"/>
      <c r="Y31" s="2"/>
      <c r="Z31" s="2"/>
    </row>
    <row r="32" ht="12.75" customHeight="1">
      <c r="A32" s="2"/>
      <c r="B32" s="8" t="s">
        <v>127</v>
      </c>
      <c r="C32" s="8" t="s">
        <v>27</v>
      </c>
      <c r="D32" s="8">
        <v>14.0</v>
      </c>
      <c r="E32" s="20">
        <v>63.0</v>
      </c>
      <c r="F32" s="20">
        <v>0.0</v>
      </c>
      <c r="G32" s="20">
        <v>0.0</v>
      </c>
      <c r="H32" s="21">
        <v>0.0</v>
      </c>
      <c r="I32" s="20">
        <v>0.0</v>
      </c>
      <c r="J32" s="20">
        <v>0.0</v>
      </c>
      <c r="K32" s="20">
        <f t="shared" si="1"/>
        <v>0</v>
      </c>
      <c r="L32" s="20">
        <v>63.0</v>
      </c>
      <c r="M32" s="20">
        <v>0.0</v>
      </c>
      <c r="N32" s="22">
        <v>27.0</v>
      </c>
      <c r="O32" s="20">
        <v>0.0</v>
      </c>
      <c r="P32" s="39">
        <v>0.0</v>
      </c>
      <c r="Q32" s="20">
        <v>0.0</v>
      </c>
      <c r="R32" s="20">
        <v>0.0</v>
      </c>
      <c r="S32" s="20">
        <v>0.0</v>
      </c>
      <c r="T32" s="2"/>
      <c r="U32" s="2">
        <v>1272550.0</v>
      </c>
      <c r="V32" s="40">
        <f t="shared" si="3"/>
        <v>0</v>
      </c>
      <c r="W32" s="40">
        <f t="shared" si="4"/>
        <v>0</v>
      </c>
      <c r="X32" s="2"/>
      <c r="Y32" s="2"/>
      <c r="Z32" s="2"/>
    </row>
    <row r="33" ht="12.75" customHeight="1">
      <c r="A33" s="2"/>
      <c r="B33" s="8" t="s">
        <v>49</v>
      </c>
      <c r="C33" s="8" t="s">
        <v>27</v>
      </c>
      <c r="D33" s="8">
        <v>14.0</v>
      </c>
      <c r="E33" s="20">
        <v>126.0</v>
      </c>
      <c r="F33" s="20">
        <v>100.0</v>
      </c>
      <c r="G33" s="20">
        <v>0.0</v>
      </c>
      <c r="H33" s="21">
        <v>0.0</v>
      </c>
      <c r="I33" s="20">
        <v>0.0</v>
      </c>
      <c r="J33" s="20">
        <v>83.0</v>
      </c>
      <c r="K33" s="20">
        <f t="shared" si="1"/>
        <v>83</v>
      </c>
      <c r="L33" s="20">
        <v>143.0</v>
      </c>
      <c r="M33" s="20">
        <v>81.4285714285714</v>
      </c>
      <c r="N33" s="22">
        <v>27.0</v>
      </c>
      <c r="O33" s="20">
        <f t="shared" ref="O33:O46" si="8">(M33/(I33+J33))*N33</f>
        <v>26.48881239</v>
      </c>
      <c r="P33" s="39">
        <v>1.7228915662650603</v>
      </c>
      <c r="Q33" s="20">
        <v>0.0</v>
      </c>
      <c r="R33" s="20">
        <v>100.0</v>
      </c>
      <c r="S33" s="20">
        <v>0.0</v>
      </c>
      <c r="T33" s="2"/>
      <c r="U33" s="2">
        <v>1272550.0</v>
      </c>
      <c r="V33" s="40">
        <f t="shared" si="3"/>
        <v>105621650</v>
      </c>
      <c r="W33" s="40">
        <f t="shared" si="4"/>
        <v>103621928.6</v>
      </c>
      <c r="X33" s="2"/>
      <c r="Y33" s="2"/>
      <c r="Z33" s="2"/>
    </row>
    <row r="34" ht="12.75" customHeight="1">
      <c r="A34" s="2"/>
      <c r="B34" s="8" t="s">
        <v>50</v>
      </c>
      <c r="C34" s="8" t="s">
        <v>27</v>
      </c>
      <c r="D34" s="8">
        <v>14.0</v>
      </c>
      <c r="E34" s="20">
        <v>166.0</v>
      </c>
      <c r="F34" s="20">
        <v>0.0</v>
      </c>
      <c r="G34" s="20">
        <v>0.0</v>
      </c>
      <c r="H34" s="21">
        <v>0.0</v>
      </c>
      <c r="I34" s="20">
        <v>0.0</v>
      </c>
      <c r="J34" s="20">
        <v>119.0</v>
      </c>
      <c r="K34" s="20">
        <f t="shared" si="1"/>
        <v>119</v>
      </c>
      <c r="L34" s="20">
        <v>47.0</v>
      </c>
      <c r="M34" s="20">
        <v>85.4</v>
      </c>
      <c r="N34" s="22">
        <v>27.0</v>
      </c>
      <c r="O34" s="20">
        <f t="shared" si="8"/>
        <v>19.37647059</v>
      </c>
      <c r="P34" s="39">
        <v>0.3949579831932773</v>
      </c>
      <c r="Q34" s="20">
        <v>6.0</v>
      </c>
      <c r="R34" s="20">
        <v>100.0</v>
      </c>
      <c r="S34" s="20">
        <v>0.0</v>
      </c>
      <c r="T34" s="2"/>
      <c r="U34" s="2">
        <v>1272550.0</v>
      </c>
      <c r="V34" s="40">
        <f t="shared" si="3"/>
        <v>151433450</v>
      </c>
      <c r="W34" s="40">
        <f t="shared" si="4"/>
        <v>108675770</v>
      </c>
      <c r="X34" s="2"/>
      <c r="Y34" s="2"/>
      <c r="Z34" s="2"/>
    </row>
    <row r="35" ht="12.75" customHeight="1">
      <c r="A35" s="2"/>
      <c r="B35" s="8" t="s">
        <v>171</v>
      </c>
      <c r="C35" s="8" t="s">
        <v>27</v>
      </c>
      <c r="D35" s="8">
        <v>14.0</v>
      </c>
      <c r="E35" s="20">
        <v>458.0</v>
      </c>
      <c r="F35" s="20">
        <v>250.0</v>
      </c>
      <c r="G35" s="20">
        <v>0.0</v>
      </c>
      <c r="H35" s="21">
        <v>0.0</v>
      </c>
      <c r="I35" s="20">
        <v>0.0</v>
      </c>
      <c r="J35" s="20">
        <v>566.0</v>
      </c>
      <c r="K35" s="20">
        <f t="shared" si="1"/>
        <v>566</v>
      </c>
      <c r="L35" s="20">
        <v>142.0</v>
      </c>
      <c r="M35" s="20">
        <v>215.75</v>
      </c>
      <c r="N35" s="22">
        <v>27.0</v>
      </c>
      <c r="O35" s="20">
        <f t="shared" si="8"/>
        <v>10.29196113</v>
      </c>
      <c r="P35" s="39">
        <v>0.2508833922261484</v>
      </c>
      <c r="Q35" s="20">
        <v>0.0</v>
      </c>
      <c r="R35" s="20">
        <v>450.0</v>
      </c>
      <c r="S35" s="20">
        <v>0.0</v>
      </c>
      <c r="T35" s="2"/>
      <c r="U35" s="2">
        <v>819485.0</v>
      </c>
      <c r="V35" s="40">
        <f t="shared" si="3"/>
        <v>463828510</v>
      </c>
      <c r="W35" s="40">
        <f t="shared" si="4"/>
        <v>176803888.8</v>
      </c>
      <c r="X35" s="2"/>
      <c r="Y35" s="2"/>
      <c r="Z35" s="2"/>
    </row>
    <row r="36" ht="12.75" customHeight="1">
      <c r="A36" s="2"/>
      <c r="B36" s="8" t="s">
        <v>51</v>
      </c>
      <c r="C36" s="8" t="s">
        <v>27</v>
      </c>
      <c r="D36" s="8">
        <v>14.0</v>
      </c>
      <c r="E36" s="20">
        <v>453.0</v>
      </c>
      <c r="F36" s="20">
        <v>0.0</v>
      </c>
      <c r="G36" s="20">
        <v>0.0</v>
      </c>
      <c r="H36" s="21">
        <v>0.0</v>
      </c>
      <c r="I36" s="20">
        <v>0.0</v>
      </c>
      <c r="J36" s="20">
        <v>42.0</v>
      </c>
      <c r="K36" s="20">
        <f t="shared" si="1"/>
        <v>42</v>
      </c>
      <c r="L36" s="20">
        <v>411.0</v>
      </c>
      <c r="M36" s="20">
        <v>426.0</v>
      </c>
      <c r="N36" s="22">
        <v>27.0</v>
      </c>
      <c r="O36" s="20">
        <f t="shared" si="8"/>
        <v>273.8571429</v>
      </c>
      <c r="P36" s="39">
        <v>9.785714285714286</v>
      </c>
      <c r="Q36" s="20">
        <v>0.0</v>
      </c>
      <c r="R36" s="20">
        <v>0.0</v>
      </c>
      <c r="S36" s="20">
        <v>0.0</v>
      </c>
      <c r="T36" s="2"/>
      <c r="U36" s="2">
        <v>819485.0</v>
      </c>
      <c r="V36" s="40">
        <f t="shared" si="3"/>
        <v>34418370</v>
      </c>
      <c r="W36" s="40">
        <f t="shared" si="4"/>
        <v>349100610</v>
      </c>
      <c r="X36" s="2"/>
      <c r="Y36" s="2"/>
      <c r="Z36" s="2"/>
    </row>
    <row r="37" ht="12.75" customHeight="1">
      <c r="A37" s="2"/>
      <c r="B37" s="8" t="s">
        <v>147</v>
      </c>
      <c r="C37" s="8" t="s">
        <v>27</v>
      </c>
      <c r="D37" s="8">
        <v>14.0</v>
      </c>
      <c r="E37" s="20">
        <v>162.0</v>
      </c>
      <c r="F37" s="20">
        <v>450.0</v>
      </c>
      <c r="G37" s="20">
        <v>0.0</v>
      </c>
      <c r="H37" s="21">
        <v>0.0</v>
      </c>
      <c r="I37" s="20">
        <v>0.0</v>
      </c>
      <c r="J37" s="20">
        <v>368.0</v>
      </c>
      <c r="K37" s="20">
        <f t="shared" si="1"/>
        <v>368</v>
      </c>
      <c r="L37" s="20">
        <v>244.0</v>
      </c>
      <c r="M37" s="20">
        <v>341.5</v>
      </c>
      <c r="N37" s="22">
        <v>27.0</v>
      </c>
      <c r="O37" s="20">
        <f t="shared" si="8"/>
        <v>25.05570652</v>
      </c>
      <c r="P37" s="39">
        <v>0.6630434782608695</v>
      </c>
      <c r="Q37" s="20">
        <v>0.0</v>
      </c>
      <c r="R37" s="20">
        <v>0.0</v>
      </c>
      <c r="S37" s="20">
        <v>0.0</v>
      </c>
      <c r="T37" s="2"/>
      <c r="U37" s="2">
        <v>819485.0</v>
      </c>
      <c r="V37" s="40">
        <f t="shared" si="3"/>
        <v>301570480</v>
      </c>
      <c r="W37" s="40">
        <f t="shared" si="4"/>
        <v>279854127.5</v>
      </c>
      <c r="X37" s="2"/>
      <c r="Y37" s="2"/>
      <c r="Z37" s="2"/>
    </row>
    <row r="38" ht="12.75" customHeight="1">
      <c r="A38" s="2"/>
      <c r="B38" s="8" t="s">
        <v>108</v>
      </c>
      <c r="C38" s="8" t="s">
        <v>27</v>
      </c>
      <c r="D38" s="8">
        <v>14.0</v>
      </c>
      <c r="E38" s="20">
        <v>180.0</v>
      </c>
      <c r="F38" s="20">
        <v>0.0</v>
      </c>
      <c r="G38" s="20">
        <v>0.0</v>
      </c>
      <c r="H38" s="21">
        <v>0.0</v>
      </c>
      <c r="I38" s="20">
        <v>0.0</v>
      </c>
      <c r="J38" s="20">
        <v>96.0</v>
      </c>
      <c r="K38" s="20">
        <f t="shared" si="1"/>
        <v>96</v>
      </c>
      <c r="L38" s="20">
        <v>84.0</v>
      </c>
      <c r="M38" s="20">
        <v>108.0</v>
      </c>
      <c r="N38" s="22">
        <v>27.0</v>
      </c>
      <c r="O38" s="20">
        <f t="shared" si="8"/>
        <v>30.375</v>
      </c>
      <c r="P38" s="39">
        <v>0.875</v>
      </c>
      <c r="Q38" s="20">
        <v>0.0</v>
      </c>
      <c r="R38" s="20">
        <v>100.0</v>
      </c>
      <c r="S38" s="20">
        <v>0.0</v>
      </c>
      <c r="T38" s="2"/>
      <c r="U38" s="2">
        <v>1445220.0</v>
      </c>
      <c r="V38" s="40">
        <f t="shared" si="3"/>
        <v>138741120</v>
      </c>
      <c r="W38" s="40">
        <f t="shared" si="4"/>
        <v>156083760</v>
      </c>
      <c r="X38" s="2"/>
      <c r="Y38" s="2"/>
      <c r="Z38" s="2"/>
    </row>
    <row r="39" ht="12.75" customHeight="1">
      <c r="A39" s="2"/>
      <c r="B39" s="8" t="s">
        <v>128</v>
      </c>
      <c r="C39" s="8" t="s">
        <v>27</v>
      </c>
      <c r="D39" s="8">
        <v>14.0</v>
      </c>
      <c r="E39" s="20">
        <v>94.0</v>
      </c>
      <c r="F39" s="20">
        <v>93.0</v>
      </c>
      <c r="G39" s="20">
        <v>0.0</v>
      </c>
      <c r="H39" s="21">
        <v>0.0</v>
      </c>
      <c r="I39" s="20">
        <v>0.0</v>
      </c>
      <c r="J39" s="20">
        <v>45.0</v>
      </c>
      <c r="K39" s="20">
        <f t="shared" si="1"/>
        <v>45</v>
      </c>
      <c r="L39" s="20">
        <v>142.0</v>
      </c>
      <c r="M39" s="20">
        <v>164.5</v>
      </c>
      <c r="N39" s="22">
        <v>27.0</v>
      </c>
      <c r="O39" s="20">
        <f t="shared" si="8"/>
        <v>98.7</v>
      </c>
      <c r="P39" s="39">
        <v>3.1555555555555554</v>
      </c>
      <c r="Q39" s="20">
        <v>7.0</v>
      </c>
      <c r="R39" s="20">
        <v>100.0</v>
      </c>
      <c r="S39" s="20">
        <v>0.0</v>
      </c>
      <c r="T39" s="2"/>
      <c r="U39" s="2">
        <v>1445220.0</v>
      </c>
      <c r="V39" s="40">
        <f t="shared" si="3"/>
        <v>65034900</v>
      </c>
      <c r="W39" s="40">
        <f t="shared" si="4"/>
        <v>237738690</v>
      </c>
      <c r="X39" s="2"/>
      <c r="Y39" s="2"/>
      <c r="Z39" s="2"/>
    </row>
    <row r="40" ht="12.75" customHeight="1">
      <c r="A40" s="2"/>
      <c r="B40" s="8" t="s">
        <v>54</v>
      </c>
      <c r="C40" s="8" t="s">
        <v>27</v>
      </c>
      <c r="D40" s="8">
        <v>14.0</v>
      </c>
      <c r="E40" s="20">
        <v>328.0</v>
      </c>
      <c r="F40" s="20">
        <v>0.0</v>
      </c>
      <c r="G40" s="20">
        <v>0.0</v>
      </c>
      <c r="H40" s="21">
        <v>0.0</v>
      </c>
      <c r="I40" s="20">
        <v>0.0</v>
      </c>
      <c r="J40" s="20">
        <v>48.0</v>
      </c>
      <c r="K40" s="20">
        <f t="shared" si="1"/>
        <v>48</v>
      </c>
      <c r="L40" s="20">
        <v>280.0</v>
      </c>
      <c r="M40" s="20">
        <v>280.0</v>
      </c>
      <c r="N40" s="22">
        <v>27.0</v>
      </c>
      <c r="O40" s="20">
        <f t="shared" si="8"/>
        <v>157.5</v>
      </c>
      <c r="P40" s="39">
        <v>5.833333333333333</v>
      </c>
      <c r="Q40" s="20">
        <v>0.0</v>
      </c>
      <c r="R40" s="20">
        <v>0.0</v>
      </c>
      <c r="S40" s="20">
        <v>0.0</v>
      </c>
      <c r="T40" s="2"/>
      <c r="U40" s="2">
        <v>1445220.0</v>
      </c>
      <c r="V40" s="40">
        <f t="shared" si="3"/>
        <v>69370560</v>
      </c>
      <c r="W40" s="40">
        <f t="shared" si="4"/>
        <v>404661600</v>
      </c>
      <c r="X40" s="2"/>
      <c r="Y40" s="2"/>
      <c r="Z40" s="2"/>
    </row>
    <row r="41" ht="12.75" customHeight="1">
      <c r="A41" s="2"/>
      <c r="B41" s="8" t="s">
        <v>55</v>
      </c>
      <c r="C41" s="8" t="s">
        <v>27</v>
      </c>
      <c r="D41" s="8">
        <v>14.0</v>
      </c>
      <c r="E41" s="20">
        <v>200.0</v>
      </c>
      <c r="F41" s="20">
        <v>0.0</v>
      </c>
      <c r="G41" s="20">
        <v>0.0</v>
      </c>
      <c r="H41" s="21">
        <v>0.0</v>
      </c>
      <c r="I41" s="20">
        <v>0.0</v>
      </c>
      <c r="J41" s="20">
        <v>106.0</v>
      </c>
      <c r="K41" s="20">
        <f t="shared" si="1"/>
        <v>106</v>
      </c>
      <c r="L41" s="20">
        <v>94.0</v>
      </c>
      <c r="M41" s="20">
        <v>133.75</v>
      </c>
      <c r="N41" s="22">
        <v>27.0</v>
      </c>
      <c r="O41" s="20">
        <f t="shared" si="8"/>
        <v>34.06839623</v>
      </c>
      <c r="P41" s="39">
        <v>0.8867924528301887</v>
      </c>
      <c r="Q41" s="20">
        <v>0.0</v>
      </c>
      <c r="R41" s="20">
        <v>100.0</v>
      </c>
      <c r="S41" s="20">
        <v>0.0</v>
      </c>
      <c r="T41" s="2"/>
      <c r="U41" s="2">
        <v>1272550.0</v>
      </c>
      <c r="V41" s="40">
        <f t="shared" si="3"/>
        <v>134890300</v>
      </c>
      <c r="W41" s="40">
        <f t="shared" si="4"/>
        <v>170203562.5</v>
      </c>
      <c r="X41" s="2"/>
      <c r="Y41" s="2"/>
      <c r="Z41" s="2"/>
    </row>
    <row r="42" ht="12.75" customHeight="1">
      <c r="A42" s="2"/>
      <c r="B42" s="8" t="s">
        <v>157</v>
      </c>
      <c r="C42" s="8" t="s">
        <v>27</v>
      </c>
      <c r="D42" s="8">
        <v>14.0</v>
      </c>
      <c r="E42" s="20">
        <v>579.0</v>
      </c>
      <c r="F42" s="20">
        <v>479.0</v>
      </c>
      <c r="G42" s="20">
        <v>0.0</v>
      </c>
      <c r="H42" s="21">
        <v>0.0</v>
      </c>
      <c r="I42" s="20">
        <v>0.0</v>
      </c>
      <c r="J42" s="20">
        <v>804.0</v>
      </c>
      <c r="K42" s="20">
        <f t="shared" si="1"/>
        <v>804</v>
      </c>
      <c r="L42" s="20">
        <v>254.0</v>
      </c>
      <c r="M42" s="20">
        <v>244.28571428571402</v>
      </c>
      <c r="N42" s="22">
        <v>27.0</v>
      </c>
      <c r="O42" s="20">
        <f t="shared" si="8"/>
        <v>8.203624733</v>
      </c>
      <c r="P42" s="39">
        <v>0.31592039800995025</v>
      </c>
      <c r="Q42" s="20">
        <v>5.0</v>
      </c>
      <c r="R42" s="20">
        <v>0.0</v>
      </c>
      <c r="S42" s="20">
        <v>0.0</v>
      </c>
      <c r="T42" s="2"/>
      <c r="U42" s="2">
        <v>819485.0</v>
      </c>
      <c r="V42" s="40">
        <f t="shared" si="3"/>
        <v>658865940</v>
      </c>
      <c r="W42" s="40">
        <f t="shared" si="4"/>
        <v>200188478.6</v>
      </c>
      <c r="X42" s="2"/>
      <c r="Y42" s="2"/>
      <c r="Z42" s="2"/>
    </row>
    <row r="43" ht="12.75" customHeight="1">
      <c r="A43" s="2"/>
      <c r="B43" s="8" t="s">
        <v>172</v>
      </c>
      <c r="C43" s="8" t="s">
        <v>27</v>
      </c>
      <c r="D43" s="8">
        <v>14.0</v>
      </c>
      <c r="E43" s="20">
        <v>232.0</v>
      </c>
      <c r="F43" s="20">
        <v>0.0</v>
      </c>
      <c r="G43" s="20">
        <v>0.0</v>
      </c>
      <c r="H43" s="21">
        <v>0.0</v>
      </c>
      <c r="I43" s="20">
        <v>0.0</v>
      </c>
      <c r="J43" s="20">
        <v>127.0</v>
      </c>
      <c r="K43" s="20">
        <f t="shared" si="1"/>
        <v>127</v>
      </c>
      <c r="L43" s="20">
        <v>105.0</v>
      </c>
      <c r="M43" s="20">
        <v>166.20000000000002</v>
      </c>
      <c r="N43" s="22">
        <v>27.0</v>
      </c>
      <c r="O43" s="20">
        <f t="shared" si="8"/>
        <v>35.33385827</v>
      </c>
      <c r="P43" s="39">
        <v>0.8267716535433071</v>
      </c>
      <c r="Q43" s="20">
        <v>0.0</v>
      </c>
      <c r="R43" s="20">
        <v>240.0</v>
      </c>
      <c r="S43" s="20">
        <v>0.0</v>
      </c>
      <c r="T43" s="2"/>
      <c r="U43" s="2">
        <v>819485.0</v>
      </c>
      <c r="V43" s="40">
        <f t="shared" si="3"/>
        <v>104074595</v>
      </c>
      <c r="W43" s="40">
        <f t="shared" si="4"/>
        <v>136198407</v>
      </c>
      <c r="X43" s="2"/>
      <c r="Y43" s="2"/>
      <c r="Z43" s="2"/>
    </row>
    <row r="44" ht="12.75" customHeight="1">
      <c r="A44" s="2"/>
      <c r="B44" s="8" t="s">
        <v>58</v>
      </c>
      <c r="C44" s="8" t="s">
        <v>27</v>
      </c>
      <c r="D44" s="8">
        <v>14.0</v>
      </c>
      <c r="E44" s="20">
        <v>179.0</v>
      </c>
      <c r="F44" s="20">
        <v>210.0</v>
      </c>
      <c r="G44" s="20">
        <v>0.0</v>
      </c>
      <c r="H44" s="21">
        <v>0.0</v>
      </c>
      <c r="I44" s="20">
        <v>0.0</v>
      </c>
      <c r="J44" s="20">
        <v>102.0</v>
      </c>
      <c r="K44" s="20">
        <f t="shared" si="1"/>
        <v>102</v>
      </c>
      <c r="L44" s="20">
        <v>287.0</v>
      </c>
      <c r="M44" s="20">
        <v>269.75</v>
      </c>
      <c r="N44" s="22">
        <v>27.0</v>
      </c>
      <c r="O44" s="20">
        <f t="shared" si="8"/>
        <v>71.40441176</v>
      </c>
      <c r="P44" s="39">
        <v>2.8137254901960786</v>
      </c>
      <c r="Q44" s="20">
        <v>0.0</v>
      </c>
      <c r="R44" s="20">
        <v>0.0</v>
      </c>
      <c r="S44" s="20">
        <v>0.0</v>
      </c>
      <c r="T44" s="2"/>
      <c r="U44" s="2">
        <v>819485.0</v>
      </c>
      <c r="V44" s="40">
        <f t="shared" si="3"/>
        <v>83587470</v>
      </c>
      <c r="W44" s="40">
        <f t="shared" si="4"/>
        <v>221056078.8</v>
      </c>
      <c r="X44" s="2"/>
      <c r="Y44" s="2"/>
      <c r="Z44" s="2"/>
    </row>
    <row r="45" ht="12.75" customHeight="1">
      <c r="A45" s="2"/>
      <c r="B45" s="8" t="s">
        <v>173</v>
      </c>
      <c r="C45" s="8" t="s">
        <v>27</v>
      </c>
      <c r="D45" s="8">
        <v>14.0</v>
      </c>
      <c r="E45" s="20">
        <v>250.0</v>
      </c>
      <c r="F45" s="20">
        <v>581.0</v>
      </c>
      <c r="G45" s="20">
        <v>0.0</v>
      </c>
      <c r="H45" s="21">
        <v>0.0</v>
      </c>
      <c r="I45" s="20">
        <v>0.0</v>
      </c>
      <c r="J45" s="20">
        <v>419.0</v>
      </c>
      <c r="K45" s="20">
        <f t="shared" si="1"/>
        <v>419</v>
      </c>
      <c r="L45" s="20">
        <v>412.0</v>
      </c>
      <c r="M45" s="20">
        <v>585.6428571428571</v>
      </c>
      <c r="N45" s="22">
        <v>27.0</v>
      </c>
      <c r="O45" s="20">
        <f t="shared" si="8"/>
        <v>37.73832254</v>
      </c>
      <c r="P45" s="39">
        <v>0.9832935560859188</v>
      </c>
      <c r="Q45" s="20">
        <v>0.0</v>
      </c>
      <c r="R45" s="20">
        <v>670.0</v>
      </c>
      <c r="S45" s="20">
        <v>0.0</v>
      </c>
      <c r="T45" s="2"/>
      <c r="U45" s="2">
        <v>819485.0</v>
      </c>
      <c r="V45" s="40">
        <f t="shared" si="3"/>
        <v>343364215</v>
      </c>
      <c r="W45" s="40">
        <f t="shared" si="4"/>
        <v>479925536.8</v>
      </c>
      <c r="X45" s="2"/>
      <c r="Y45" s="2"/>
      <c r="Z45" s="2"/>
    </row>
    <row r="46" ht="12.75" customHeight="1">
      <c r="A46" s="2"/>
      <c r="B46" s="8" t="s">
        <v>59</v>
      </c>
      <c r="C46" s="8" t="s">
        <v>27</v>
      </c>
      <c r="D46" s="8">
        <v>14.0</v>
      </c>
      <c r="E46" s="20">
        <v>432.98</v>
      </c>
      <c r="F46" s="20">
        <v>470.0</v>
      </c>
      <c r="G46" s="20">
        <v>0.0</v>
      </c>
      <c r="H46" s="21">
        <v>0.0</v>
      </c>
      <c r="I46" s="20">
        <v>0.0</v>
      </c>
      <c r="J46" s="20">
        <v>408.0</v>
      </c>
      <c r="K46" s="20">
        <f t="shared" si="1"/>
        <v>408</v>
      </c>
      <c r="L46" s="20">
        <v>494.98</v>
      </c>
      <c r="M46" s="20">
        <v>514.23</v>
      </c>
      <c r="N46" s="22">
        <v>27.0</v>
      </c>
      <c r="O46" s="20">
        <f t="shared" si="8"/>
        <v>34.02992647</v>
      </c>
      <c r="P46" s="39">
        <v>1.2131862745098039</v>
      </c>
      <c r="Q46" s="20">
        <v>0.0</v>
      </c>
      <c r="R46" s="20">
        <v>0.0</v>
      </c>
      <c r="S46" s="20">
        <v>0.0</v>
      </c>
      <c r="T46" s="2"/>
      <c r="U46" s="2">
        <v>819485.0</v>
      </c>
      <c r="V46" s="40">
        <f t="shared" si="3"/>
        <v>334349880</v>
      </c>
      <c r="W46" s="40">
        <f t="shared" si="4"/>
        <v>421403771.6</v>
      </c>
      <c r="X46" s="2"/>
      <c r="Y46" s="2"/>
      <c r="Z46" s="2"/>
    </row>
    <row r="47" ht="12.75" customHeight="1">
      <c r="A47" s="2"/>
      <c r="B47" s="8" t="s">
        <v>148</v>
      </c>
      <c r="C47" s="8" t="s">
        <v>27</v>
      </c>
      <c r="D47" s="8">
        <v>14.0</v>
      </c>
      <c r="E47" s="20">
        <v>21.0</v>
      </c>
      <c r="F47" s="20">
        <v>0.0</v>
      </c>
      <c r="G47" s="20">
        <v>0.0</v>
      </c>
      <c r="H47" s="21">
        <v>0.0</v>
      </c>
      <c r="I47" s="20">
        <v>0.0</v>
      </c>
      <c r="J47" s="20">
        <v>0.0</v>
      </c>
      <c r="K47" s="20">
        <f t="shared" si="1"/>
        <v>0</v>
      </c>
      <c r="L47" s="20">
        <v>21.0</v>
      </c>
      <c r="M47" s="20">
        <v>0.0</v>
      </c>
      <c r="N47" s="22">
        <v>27.0</v>
      </c>
      <c r="O47" s="20">
        <v>0.0</v>
      </c>
      <c r="P47" s="39">
        <v>0.0</v>
      </c>
      <c r="Q47" s="20">
        <v>0.0</v>
      </c>
      <c r="R47" s="20">
        <v>0.0</v>
      </c>
      <c r="S47" s="20">
        <v>0.0</v>
      </c>
      <c r="T47" s="2"/>
      <c r="U47" s="2">
        <v>1481800.0</v>
      </c>
      <c r="V47" s="40">
        <f t="shared" si="3"/>
        <v>0</v>
      </c>
      <c r="W47" s="40">
        <f t="shared" si="4"/>
        <v>0</v>
      </c>
      <c r="X47" s="2"/>
      <c r="Y47" s="2"/>
      <c r="Z47" s="2"/>
    </row>
    <row r="48" ht="12.75" customHeight="1">
      <c r="A48" s="2"/>
      <c r="B48" s="8" t="s">
        <v>60</v>
      </c>
      <c r="C48" s="8" t="s">
        <v>27</v>
      </c>
      <c r="D48" s="8">
        <v>14.0</v>
      </c>
      <c r="E48" s="20">
        <v>128.0</v>
      </c>
      <c r="F48" s="20">
        <v>0.0</v>
      </c>
      <c r="G48" s="20">
        <v>0.0</v>
      </c>
      <c r="H48" s="21">
        <v>0.0</v>
      </c>
      <c r="I48" s="20">
        <v>0.0</v>
      </c>
      <c r="J48" s="20">
        <v>0.0</v>
      </c>
      <c r="K48" s="20">
        <f t="shared" si="1"/>
        <v>0</v>
      </c>
      <c r="L48" s="20">
        <v>128.0</v>
      </c>
      <c r="M48" s="20">
        <v>0.0</v>
      </c>
      <c r="N48" s="22">
        <v>27.0</v>
      </c>
      <c r="O48" s="20">
        <v>0.0</v>
      </c>
      <c r="P48" s="39">
        <v>0.0</v>
      </c>
      <c r="Q48" s="20">
        <v>0.0</v>
      </c>
      <c r="R48" s="20">
        <v>0.0</v>
      </c>
      <c r="S48" s="20">
        <v>0.0</v>
      </c>
      <c r="T48" s="2"/>
      <c r="U48" s="2">
        <v>1481800.0</v>
      </c>
      <c r="V48" s="40">
        <f t="shared" si="3"/>
        <v>0</v>
      </c>
      <c r="W48" s="40">
        <f t="shared" si="4"/>
        <v>0</v>
      </c>
      <c r="X48" s="2"/>
      <c r="Y48" s="2"/>
      <c r="Z48" s="2"/>
    </row>
    <row r="49" ht="12.75" customHeight="1">
      <c r="A49" s="2"/>
      <c r="B49" s="8" t="s">
        <v>61</v>
      </c>
      <c r="C49" s="8" t="s">
        <v>27</v>
      </c>
      <c r="D49" s="8">
        <v>14.0</v>
      </c>
      <c r="E49" s="20">
        <v>1.0</v>
      </c>
      <c r="F49" s="20">
        <v>0.0</v>
      </c>
      <c r="G49" s="20">
        <v>0.0</v>
      </c>
      <c r="H49" s="21">
        <v>1.0</v>
      </c>
      <c r="I49" s="20">
        <v>0.0</v>
      </c>
      <c r="J49" s="20">
        <v>2.0</v>
      </c>
      <c r="K49" s="20">
        <f t="shared" si="1"/>
        <v>2</v>
      </c>
      <c r="L49" s="20">
        <v>0.0</v>
      </c>
      <c r="M49" s="20">
        <v>0.0</v>
      </c>
      <c r="N49" s="22">
        <v>27.0</v>
      </c>
      <c r="O49" s="20">
        <f>(M49/(I49+J49))*N49</f>
        <v>0</v>
      </c>
      <c r="P49" s="39">
        <v>0.0</v>
      </c>
      <c r="Q49" s="20">
        <v>0.0</v>
      </c>
      <c r="R49" s="20">
        <v>0.0</v>
      </c>
      <c r="S49" s="20">
        <v>0.0</v>
      </c>
      <c r="T49" s="2"/>
      <c r="U49" s="2">
        <v>1481800.0</v>
      </c>
      <c r="V49" s="40">
        <f t="shared" si="3"/>
        <v>2963600</v>
      </c>
      <c r="W49" s="40">
        <f t="shared" si="4"/>
        <v>0</v>
      </c>
      <c r="X49" s="2"/>
      <c r="Y49" s="2"/>
      <c r="Z49" s="2"/>
    </row>
    <row r="50" ht="12.75" customHeight="1">
      <c r="A50" s="2"/>
      <c r="B50" s="8" t="s">
        <v>129</v>
      </c>
      <c r="C50" s="8" t="s">
        <v>27</v>
      </c>
      <c r="D50" s="8">
        <v>14.0</v>
      </c>
      <c r="E50" s="20">
        <v>28.0</v>
      </c>
      <c r="F50" s="20">
        <v>0.0</v>
      </c>
      <c r="G50" s="20">
        <v>0.0</v>
      </c>
      <c r="H50" s="21">
        <v>0.0</v>
      </c>
      <c r="I50" s="20">
        <v>0.0</v>
      </c>
      <c r="J50" s="20">
        <v>0.0</v>
      </c>
      <c r="K50" s="20">
        <f t="shared" si="1"/>
        <v>0</v>
      </c>
      <c r="L50" s="20">
        <v>28.0</v>
      </c>
      <c r="M50" s="20">
        <v>0.0</v>
      </c>
      <c r="N50" s="22">
        <v>27.0</v>
      </c>
      <c r="O50" s="20">
        <v>0.0</v>
      </c>
      <c r="P50" s="39">
        <v>0.0</v>
      </c>
      <c r="Q50" s="20">
        <v>0.0</v>
      </c>
      <c r="R50" s="20">
        <v>0.0</v>
      </c>
      <c r="S50" s="20">
        <v>0.0</v>
      </c>
      <c r="T50" s="2"/>
      <c r="U50" s="2">
        <v>1481800.0</v>
      </c>
      <c r="V50" s="40">
        <f t="shared" si="3"/>
        <v>0</v>
      </c>
      <c r="W50" s="40">
        <f t="shared" si="4"/>
        <v>0</v>
      </c>
      <c r="X50" s="2"/>
      <c r="Y50" s="2"/>
      <c r="Z50" s="2"/>
    </row>
    <row r="51" ht="12.75" customHeight="1">
      <c r="A51" s="2"/>
      <c r="B51" s="8" t="s">
        <v>159</v>
      </c>
      <c r="C51" s="8" t="s">
        <v>27</v>
      </c>
      <c r="D51" s="8">
        <v>14.0</v>
      </c>
      <c r="E51" s="20">
        <v>18.0</v>
      </c>
      <c r="F51" s="20">
        <v>18.0</v>
      </c>
      <c r="G51" s="20">
        <v>0.0</v>
      </c>
      <c r="H51" s="21">
        <v>0.0</v>
      </c>
      <c r="I51" s="20">
        <v>0.0</v>
      </c>
      <c r="J51" s="20">
        <v>17.0</v>
      </c>
      <c r="K51" s="20">
        <f t="shared" si="1"/>
        <v>17</v>
      </c>
      <c r="L51" s="20">
        <v>19.0</v>
      </c>
      <c r="M51" s="20">
        <v>20.8333333333333</v>
      </c>
      <c r="N51" s="22">
        <v>27.0</v>
      </c>
      <c r="O51" s="20">
        <f t="shared" ref="O51:O57" si="9">(M51/(I51+J51))*N51</f>
        <v>33.08823529</v>
      </c>
      <c r="P51" s="39">
        <v>1.1176470588235294</v>
      </c>
      <c r="Q51" s="20">
        <v>0.5</v>
      </c>
      <c r="R51" s="20">
        <v>18.5</v>
      </c>
      <c r="S51" s="20">
        <v>0.0</v>
      </c>
      <c r="T51" s="2"/>
      <c r="U51" s="2">
        <v>1481800.0</v>
      </c>
      <c r="V51" s="40">
        <f t="shared" si="3"/>
        <v>25190600</v>
      </c>
      <c r="W51" s="40">
        <f t="shared" si="4"/>
        <v>30870833.33</v>
      </c>
      <c r="X51" s="2"/>
      <c r="Y51" s="2"/>
      <c r="Z51" s="2"/>
    </row>
    <row r="52" ht="12.75" customHeight="1">
      <c r="A52" s="2"/>
      <c r="B52" s="8" t="s">
        <v>63</v>
      </c>
      <c r="C52" s="8" t="s">
        <v>27</v>
      </c>
      <c r="D52" s="8">
        <v>14.0</v>
      </c>
      <c r="E52" s="20">
        <v>50.0</v>
      </c>
      <c r="F52" s="20">
        <v>0.0</v>
      </c>
      <c r="G52" s="20">
        <v>0.0</v>
      </c>
      <c r="H52" s="21">
        <v>0.0</v>
      </c>
      <c r="I52" s="20">
        <v>0.0</v>
      </c>
      <c r="J52" s="20">
        <v>2.0</v>
      </c>
      <c r="K52" s="20">
        <f t="shared" si="1"/>
        <v>2</v>
      </c>
      <c r="L52" s="20">
        <v>48.0</v>
      </c>
      <c r="M52" s="20">
        <v>48.0</v>
      </c>
      <c r="N52" s="22">
        <v>27.0</v>
      </c>
      <c r="O52" s="20">
        <f t="shared" si="9"/>
        <v>648</v>
      </c>
      <c r="P52" s="39">
        <v>24.0</v>
      </c>
      <c r="Q52" s="20">
        <v>0.0</v>
      </c>
      <c r="R52" s="20">
        <v>0.0</v>
      </c>
      <c r="S52" s="20">
        <v>0.0</v>
      </c>
      <c r="T52" s="2"/>
      <c r="U52" s="2">
        <v>1481800.0</v>
      </c>
      <c r="V52" s="40">
        <f t="shared" si="3"/>
        <v>2963600</v>
      </c>
      <c r="W52" s="40">
        <f t="shared" si="4"/>
        <v>71126400</v>
      </c>
      <c r="X52" s="2"/>
      <c r="Y52" s="2"/>
      <c r="Z52" s="2"/>
    </row>
    <row r="53" ht="12.75" customHeight="1">
      <c r="A53" s="2"/>
      <c r="B53" s="8" t="s">
        <v>64</v>
      </c>
      <c r="C53" s="8" t="s">
        <v>27</v>
      </c>
      <c r="D53" s="8">
        <v>14.0</v>
      </c>
      <c r="E53" s="20">
        <v>48.0</v>
      </c>
      <c r="F53" s="20">
        <v>0.0</v>
      </c>
      <c r="G53" s="20">
        <v>0.0</v>
      </c>
      <c r="H53" s="21">
        <v>0.0</v>
      </c>
      <c r="I53" s="20">
        <v>0.0</v>
      </c>
      <c r="J53" s="20">
        <v>2.0</v>
      </c>
      <c r="K53" s="20">
        <f t="shared" si="1"/>
        <v>2</v>
      </c>
      <c r="L53" s="20">
        <v>46.0</v>
      </c>
      <c r="M53" s="20">
        <v>46.0</v>
      </c>
      <c r="N53" s="22">
        <v>27.0</v>
      </c>
      <c r="O53" s="20">
        <f t="shared" si="9"/>
        <v>621</v>
      </c>
      <c r="P53" s="39">
        <v>23.0</v>
      </c>
      <c r="Q53" s="20">
        <v>0.0</v>
      </c>
      <c r="R53" s="20">
        <v>0.0</v>
      </c>
      <c r="S53" s="20">
        <v>0.0</v>
      </c>
      <c r="T53" s="2"/>
      <c r="U53" s="2">
        <v>1481800.0</v>
      </c>
      <c r="V53" s="40">
        <f t="shared" si="3"/>
        <v>2963600</v>
      </c>
      <c r="W53" s="40">
        <f t="shared" si="4"/>
        <v>68162800</v>
      </c>
      <c r="X53" s="2"/>
      <c r="Y53" s="2"/>
      <c r="Z53" s="2"/>
    </row>
    <row r="54" ht="12.75" customHeight="1">
      <c r="A54" s="2"/>
      <c r="B54" s="8" t="s">
        <v>109</v>
      </c>
      <c r="C54" s="8" t="s">
        <v>27</v>
      </c>
      <c r="D54" s="8">
        <v>14.0</v>
      </c>
      <c r="E54" s="20">
        <v>451.0</v>
      </c>
      <c r="F54" s="20">
        <v>216.0</v>
      </c>
      <c r="G54" s="20">
        <v>0.0</v>
      </c>
      <c r="H54" s="21">
        <v>0.0</v>
      </c>
      <c r="I54" s="20">
        <v>0.0</v>
      </c>
      <c r="J54" s="20">
        <v>252.0</v>
      </c>
      <c r="K54" s="20">
        <f t="shared" si="1"/>
        <v>252</v>
      </c>
      <c r="L54" s="20">
        <v>415.0</v>
      </c>
      <c r="M54" s="20">
        <v>360.0</v>
      </c>
      <c r="N54" s="22">
        <v>27.0</v>
      </c>
      <c r="O54" s="20">
        <f t="shared" si="9"/>
        <v>38.57142857</v>
      </c>
      <c r="P54" s="39">
        <v>1.6468253968253967</v>
      </c>
      <c r="Q54" s="20">
        <v>41.0</v>
      </c>
      <c r="R54" s="20">
        <v>100.0</v>
      </c>
      <c r="S54" s="20">
        <v>0.0</v>
      </c>
      <c r="T54" s="2"/>
      <c r="U54" s="2">
        <v>848935.0</v>
      </c>
      <c r="V54" s="40">
        <f t="shared" si="3"/>
        <v>213931620</v>
      </c>
      <c r="W54" s="40">
        <f t="shared" si="4"/>
        <v>305616600</v>
      </c>
      <c r="X54" s="2"/>
      <c r="Y54" s="2"/>
      <c r="Z54" s="2"/>
    </row>
    <row r="55" ht="12.75" customHeight="1">
      <c r="A55" s="2"/>
      <c r="B55" s="8" t="s">
        <v>110</v>
      </c>
      <c r="C55" s="8" t="s">
        <v>27</v>
      </c>
      <c r="D55" s="8">
        <v>14.0</v>
      </c>
      <c r="E55" s="20">
        <v>340.0</v>
      </c>
      <c r="F55" s="20">
        <v>431.0</v>
      </c>
      <c r="G55" s="20">
        <v>0.0</v>
      </c>
      <c r="H55" s="21">
        <v>0.0</v>
      </c>
      <c r="I55" s="20">
        <v>0.0</v>
      </c>
      <c r="J55" s="20">
        <v>506.0</v>
      </c>
      <c r="K55" s="20">
        <f t="shared" si="1"/>
        <v>506</v>
      </c>
      <c r="L55" s="20">
        <v>265.0</v>
      </c>
      <c r="M55" s="20">
        <v>224.666666666667</v>
      </c>
      <c r="N55" s="22">
        <v>27.0</v>
      </c>
      <c r="O55" s="20">
        <f t="shared" si="9"/>
        <v>11.98814229</v>
      </c>
      <c r="P55" s="39">
        <v>0.5237154150197628</v>
      </c>
      <c r="Q55" s="20">
        <v>0.0</v>
      </c>
      <c r="R55" s="20">
        <v>650.0</v>
      </c>
      <c r="S55" s="20">
        <v>150.0</v>
      </c>
      <c r="T55" s="2"/>
      <c r="U55" s="2">
        <v>1012770.0</v>
      </c>
      <c r="V55" s="40">
        <f t="shared" si="3"/>
        <v>512461620</v>
      </c>
      <c r="W55" s="40">
        <f t="shared" si="4"/>
        <v>227535660</v>
      </c>
      <c r="X55" s="2"/>
      <c r="Y55" s="2"/>
      <c r="Z55" s="2"/>
    </row>
    <row r="56" ht="12.75" customHeight="1">
      <c r="A56" s="2"/>
      <c r="B56" s="8" t="s">
        <v>174</v>
      </c>
      <c r="C56" s="8" t="s">
        <v>27</v>
      </c>
      <c r="D56" s="8">
        <v>14.0</v>
      </c>
      <c r="E56" s="20">
        <v>0.0</v>
      </c>
      <c r="F56" s="20">
        <v>100.0</v>
      </c>
      <c r="G56" s="20">
        <v>0.0</v>
      </c>
      <c r="H56" s="21">
        <v>0.0</v>
      </c>
      <c r="I56" s="20">
        <v>0.0</v>
      </c>
      <c r="J56" s="20">
        <v>55.0</v>
      </c>
      <c r="K56" s="20">
        <f t="shared" si="1"/>
        <v>55</v>
      </c>
      <c r="L56" s="20">
        <v>45.0</v>
      </c>
      <c r="M56" s="20">
        <v>72.5</v>
      </c>
      <c r="N56" s="22">
        <v>27.0</v>
      </c>
      <c r="O56" s="20">
        <f t="shared" si="9"/>
        <v>35.59090909</v>
      </c>
      <c r="P56" s="39">
        <v>0.8181818181818182</v>
      </c>
      <c r="Q56" s="20">
        <v>0.0</v>
      </c>
      <c r="R56" s="20">
        <v>450.0</v>
      </c>
      <c r="S56" s="20">
        <v>0.0</v>
      </c>
      <c r="T56" s="2"/>
      <c r="U56" s="2">
        <v>1012770.0</v>
      </c>
      <c r="V56" s="40">
        <f t="shared" si="3"/>
        <v>55702350</v>
      </c>
      <c r="W56" s="40">
        <f t="shared" si="4"/>
        <v>73425825</v>
      </c>
      <c r="X56" s="2"/>
      <c r="Y56" s="2"/>
      <c r="Z56" s="2"/>
    </row>
    <row r="57" ht="12.75" customHeight="1">
      <c r="A57" s="2"/>
      <c r="B57" s="8" t="s">
        <v>130</v>
      </c>
      <c r="C57" s="8" t="s">
        <v>27</v>
      </c>
      <c r="D57" s="8">
        <v>14.0</v>
      </c>
      <c r="E57" s="20">
        <v>120.0</v>
      </c>
      <c r="F57" s="20">
        <v>0.0</v>
      </c>
      <c r="G57" s="20">
        <v>0.0</v>
      </c>
      <c r="H57" s="21">
        <v>0.0</v>
      </c>
      <c r="I57" s="20">
        <v>0.0</v>
      </c>
      <c r="J57" s="20">
        <v>120.0</v>
      </c>
      <c r="K57" s="20">
        <f t="shared" si="1"/>
        <v>120</v>
      </c>
      <c r="L57" s="20">
        <v>0.0</v>
      </c>
      <c r="M57" s="20">
        <v>35.0</v>
      </c>
      <c r="N57" s="22">
        <v>27.0</v>
      </c>
      <c r="O57" s="20">
        <f t="shared" si="9"/>
        <v>7.875</v>
      </c>
      <c r="P57" s="39">
        <v>0.0</v>
      </c>
      <c r="Q57" s="20">
        <v>0.0</v>
      </c>
      <c r="R57" s="20">
        <v>0.0</v>
      </c>
      <c r="S57" s="20">
        <v>0.0</v>
      </c>
      <c r="T57" s="2"/>
      <c r="U57" s="2">
        <v>1012770.0</v>
      </c>
      <c r="V57" s="40">
        <f t="shared" si="3"/>
        <v>121532400</v>
      </c>
      <c r="W57" s="40">
        <f t="shared" si="4"/>
        <v>35446950</v>
      </c>
      <c r="X57" s="2"/>
      <c r="Y57" s="2"/>
      <c r="Z57" s="2"/>
    </row>
    <row r="58" ht="12.75" customHeight="1">
      <c r="A58" s="2"/>
      <c r="B58" s="8" t="s">
        <v>175</v>
      </c>
      <c r="C58" s="8" t="s">
        <v>27</v>
      </c>
      <c r="D58" s="8">
        <v>14.0</v>
      </c>
      <c r="E58" s="20">
        <v>23.0</v>
      </c>
      <c r="F58" s="20">
        <v>0.0</v>
      </c>
      <c r="G58" s="20">
        <v>0.0</v>
      </c>
      <c r="H58" s="21">
        <v>0.0</v>
      </c>
      <c r="I58" s="20">
        <v>0.0</v>
      </c>
      <c r="J58" s="20">
        <v>0.0</v>
      </c>
      <c r="K58" s="20">
        <f t="shared" si="1"/>
        <v>0</v>
      </c>
      <c r="L58" s="20">
        <v>23.0</v>
      </c>
      <c r="M58" s="20">
        <v>0.0</v>
      </c>
      <c r="N58" s="22">
        <v>27.0</v>
      </c>
      <c r="O58" s="20">
        <v>0.0</v>
      </c>
      <c r="P58" s="39">
        <v>0.0</v>
      </c>
      <c r="Q58" s="20">
        <v>0.0</v>
      </c>
      <c r="R58" s="20">
        <v>0.0</v>
      </c>
      <c r="S58" s="20">
        <v>0.0</v>
      </c>
      <c r="T58" s="2"/>
      <c r="U58" s="2">
        <v>1012770.0</v>
      </c>
      <c r="V58" s="40">
        <f t="shared" si="3"/>
        <v>0</v>
      </c>
      <c r="W58" s="40">
        <f t="shared" si="4"/>
        <v>0</v>
      </c>
      <c r="X58" s="2"/>
      <c r="Y58" s="2"/>
      <c r="Z58" s="2"/>
    </row>
    <row r="59" ht="12.75" customHeight="1">
      <c r="A59" s="2"/>
      <c r="B59" s="8" t="s">
        <v>112</v>
      </c>
      <c r="C59" s="8" t="s">
        <v>27</v>
      </c>
      <c r="D59" s="8">
        <v>14.0</v>
      </c>
      <c r="E59" s="20">
        <v>40.0</v>
      </c>
      <c r="F59" s="20">
        <v>0.0</v>
      </c>
      <c r="G59" s="20">
        <v>0.0</v>
      </c>
      <c r="H59" s="21">
        <v>0.0</v>
      </c>
      <c r="I59" s="20">
        <v>0.0</v>
      </c>
      <c r="J59" s="20">
        <v>16.0</v>
      </c>
      <c r="K59" s="20">
        <f t="shared" si="1"/>
        <v>16</v>
      </c>
      <c r="L59" s="20">
        <v>24.0</v>
      </c>
      <c r="M59" s="20">
        <v>29.0</v>
      </c>
      <c r="N59" s="22">
        <v>27.0</v>
      </c>
      <c r="O59" s="20">
        <f t="shared" ref="O59:O60" si="10">(M59/(I59+J59))*N59</f>
        <v>48.9375</v>
      </c>
      <c r="P59" s="39">
        <v>1.5</v>
      </c>
      <c r="Q59" s="20">
        <v>0.0</v>
      </c>
      <c r="R59" s="20">
        <v>0.0</v>
      </c>
      <c r="S59" s="20">
        <v>0.0</v>
      </c>
      <c r="T59" s="2"/>
      <c r="U59" s="2">
        <v>1237210.0</v>
      </c>
      <c r="V59" s="40">
        <f t="shared" si="3"/>
        <v>19795360</v>
      </c>
      <c r="W59" s="40">
        <f t="shared" si="4"/>
        <v>35879090</v>
      </c>
      <c r="X59" s="2"/>
      <c r="Y59" s="2"/>
      <c r="Z59" s="2"/>
    </row>
    <row r="60" ht="12.75" customHeight="1">
      <c r="A60" s="2"/>
      <c r="B60" s="8" t="s">
        <v>71</v>
      </c>
      <c r="C60" s="8" t="s">
        <v>27</v>
      </c>
      <c r="D60" s="8">
        <v>14.0</v>
      </c>
      <c r="E60" s="20">
        <v>34.0</v>
      </c>
      <c r="F60" s="20">
        <v>0.0</v>
      </c>
      <c r="G60" s="20">
        <v>0.0</v>
      </c>
      <c r="H60" s="21">
        <v>0.0</v>
      </c>
      <c r="I60" s="20">
        <v>0.0</v>
      </c>
      <c r="J60" s="20">
        <v>9.0</v>
      </c>
      <c r="K60" s="20">
        <f t="shared" si="1"/>
        <v>9</v>
      </c>
      <c r="L60" s="20">
        <v>25.0</v>
      </c>
      <c r="M60" s="20">
        <v>28.5</v>
      </c>
      <c r="N60" s="22">
        <v>27.0</v>
      </c>
      <c r="O60" s="20">
        <f t="shared" si="10"/>
        <v>85.5</v>
      </c>
      <c r="P60" s="39">
        <v>2.7777777777777777</v>
      </c>
      <c r="Q60" s="20">
        <v>0.0</v>
      </c>
      <c r="R60" s="20">
        <v>0.0</v>
      </c>
      <c r="S60" s="20">
        <v>0.0</v>
      </c>
      <c r="T60" s="2"/>
      <c r="U60" s="2">
        <v>1436695.0</v>
      </c>
      <c r="V60" s="40">
        <f t="shared" si="3"/>
        <v>12930255</v>
      </c>
      <c r="W60" s="40">
        <f t="shared" si="4"/>
        <v>40945807.5</v>
      </c>
      <c r="X60" s="2"/>
      <c r="Y60" s="2"/>
      <c r="Z60" s="2"/>
    </row>
    <row r="61" ht="12.75" customHeight="1">
      <c r="A61" s="2"/>
      <c r="B61" s="8" t="s">
        <v>131</v>
      </c>
      <c r="C61" s="8" t="s">
        <v>27</v>
      </c>
      <c r="D61" s="8">
        <v>14.0</v>
      </c>
      <c r="E61" s="20">
        <v>105.0</v>
      </c>
      <c r="F61" s="20">
        <v>0.0</v>
      </c>
      <c r="G61" s="20">
        <v>0.0</v>
      </c>
      <c r="H61" s="21">
        <v>0.0</v>
      </c>
      <c r="I61" s="20">
        <v>0.0</v>
      </c>
      <c r="J61" s="20">
        <v>0.0</v>
      </c>
      <c r="K61" s="20">
        <f t="shared" si="1"/>
        <v>0</v>
      </c>
      <c r="L61" s="20">
        <v>105.0</v>
      </c>
      <c r="M61" s="20">
        <v>0.0</v>
      </c>
      <c r="N61" s="22">
        <v>27.0</v>
      </c>
      <c r="O61" s="20">
        <v>0.0</v>
      </c>
      <c r="P61" s="39">
        <v>0.0</v>
      </c>
      <c r="Q61" s="20">
        <v>0.0</v>
      </c>
      <c r="R61" s="20">
        <v>0.0</v>
      </c>
      <c r="S61" s="20">
        <v>0.0</v>
      </c>
      <c r="T61" s="2"/>
      <c r="U61" s="2">
        <v>1436695.0</v>
      </c>
      <c r="V61" s="40">
        <f t="shared" si="3"/>
        <v>0</v>
      </c>
      <c r="W61" s="40">
        <f t="shared" si="4"/>
        <v>0</v>
      </c>
      <c r="X61" s="2"/>
      <c r="Y61" s="2"/>
      <c r="Z61" s="2"/>
    </row>
    <row r="62" ht="12.75" customHeight="1">
      <c r="A62" s="2"/>
      <c r="B62" s="8" t="s">
        <v>72</v>
      </c>
      <c r="C62" s="8" t="s">
        <v>27</v>
      </c>
      <c r="D62" s="8">
        <v>14.0</v>
      </c>
      <c r="E62" s="20">
        <v>907.0</v>
      </c>
      <c r="F62" s="20">
        <v>4.0</v>
      </c>
      <c r="G62" s="20">
        <v>0.0</v>
      </c>
      <c r="H62" s="21">
        <v>0.0</v>
      </c>
      <c r="I62" s="20">
        <v>0.0</v>
      </c>
      <c r="J62" s="20">
        <v>796.0</v>
      </c>
      <c r="K62" s="20">
        <f t="shared" si="1"/>
        <v>796</v>
      </c>
      <c r="L62" s="20">
        <v>115.0</v>
      </c>
      <c r="M62" s="20">
        <v>511.36363636363603</v>
      </c>
      <c r="N62" s="22">
        <v>27.0</v>
      </c>
      <c r="O62" s="20">
        <f t="shared" ref="O62:O66" si="11">(M62/(I62+J62))*N62</f>
        <v>17.34524897</v>
      </c>
      <c r="P62" s="39">
        <v>0.1444723618090452</v>
      </c>
      <c r="Q62" s="20">
        <v>0.0</v>
      </c>
      <c r="R62" s="20">
        <v>800.0</v>
      </c>
      <c r="S62" s="20">
        <v>0.0</v>
      </c>
      <c r="T62" s="2"/>
      <c r="U62" s="2">
        <v>848935.0</v>
      </c>
      <c r="V62" s="40">
        <f t="shared" si="3"/>
        <v>675752260</v>
      </c>
      <c r="W62" s="40">
        <f t="shared" si="4"/>
        <v>434114488.6</v>
      </c>
      <c r="X62" s="2"/>
      <c r="Y62" s="2"/>
      <c r="Z62" s="2"/>
    </row>
    <row r="63" ht="12.75" customHeight="1">
      <c r="A63" s="2"/>
      <c r="B63" s="8" t="s">
        <v>73</v>
      </c>
      <c r="C63" s="8" t="s">
        <v>27</v>
      </c>
      <c r="D63" s="8">
        <v>14.0</v>
      </c>
      <c r="E63" s="20">
        <v>97.0</v>
      </c>
      <c r="F63" s="20">
        <v>0.0</v>
      </c>
      <c r="G63" s="20">
        <v>0.0</v>
      </c>
      <c r="H63" s="21">
        <v>0.0</v>
      </c>
      <c r="I63" s="20">
        <v>0.0</v>
      </c>
      <c r="J63" s="20">
        <v>16.0</v>
      </c>
      <c r="K63" s="20">
        <f t="shared" si="1"/>
        <v>16</v>
      </c>
      <c r="L63" s="20">
        <v>81.0</v>
      </c>
      <c r="M63" s="20">
        <v>87.0</v>
      </c>
      <c r="N63" s="22">
        <v>27.0</v>
      </c>
      <c r="O63" s="20">
        <f t="shared" si="11"/>
        <v>146.8125</v>
      </c>
      <c r="P63" s="39">
        <v>5.0625</v>
      </c>
      <c r="Q63" s="20">
        <v>0.0</v>
      </c>
      <c r="R63" s="20">
        <v>0.0</v>
      </c>
      <c r="S63" s="20">
        <v>0.0</v>
      </c>
      <c r="T63" s="2"/>
      <c r="U63" s="2">
        <v>1497718.5</v>
      </c>
      <c r="V63" s="40">
        <f t="shared" si="3"/>
        <v>23963496</v>
      </c>
      <c r="W63" s="40">
        <f t="shared" si="4"/>
        <v>130301509.5</v>
      </c>
      <c r="X63" s="2"/>
      <c r="Y63" s="2"/>
      <c r="Z63" s="2"/>
    </row>
    <row r="64" ht="12.75" customHeight="1">
      <c r="A64" s="2"/>
      <c r="B64" s="8" t="s">
        <v>74</v>
      </c>
      <c r="C64" s="8" t="s">
        <v>27</v>
      </c>
      <c r="D64" s="8">
        <v>14.0</v>
      </c>
      <c r="E64" s="20">
        <v>243.0</v>
      </c>
      <c r="F64" s="20">
        <v>369.0</v>
      </c>
      <c r="G64" s="20">
        <v>0.0</v>
      </c>
      <c r="H64" s="21">
        <v>20.0</v>
      </c>
      <c r="I64" s="20">
        <v>0.0</v>
      </c>
      <c r="J64" s="20">
        <v>632.0</v>
      </c>
      <c r="K64" s="20">
        <f t="shared" si="1"/>
        <v>632</v>
      </c>
      <c r="L64" s="20">
        <v>0.0</v>
      </c>
      <c r="M64" s="20">
        <v>224.578947368421</v>
      </c>
      <c r="N64" s="22">
        <v>27.0</v>
      </c>
      <c r="O64" s="20">
        <f t="shared" si="11"/>
        <v>9.594353764</v>
      </c>
      <c r="P64" s="39">
        <v>0.0</v>
      </c>
      <c r="Q64" s="20">
        <v>0.0</v>
      </c>
      <c r="R64" s="20">
        <v>0.0</v>
      </c>
      <c r="S64" s="20">
        <v>0.0</v>
      </c>
      <c r="T64" s="2"/>
      <c r="U64" s="2">
        <v>1396550.0</v>
      </c>
      <c r="V64" s="40">
        <f t="shared" si="3"/>
        <v>882619600</v>
      </c>
      <c r="W64" s="40">
        <f t="shared" si="4"/>
        <v>313635728.9</v>
      </c>
      <c r="X64" s="2"/>
      <c r="Y64" s="2"/>
      <c r="Z64" s="2"/>
    </row>
    <row r="65" ht="12.75" customHeight="1">
      <c r="A65" s="2"/>
      <c r="B65" s="8" t="s">
        <v>132</v>
      </c>
      <c r="C65" s="8" t="s">
        <v>27</v>
      </c>
      <c r="D65" s="8">
        <v>14.0</v>
      </c>
      <c r="E65" s="20">
        <v>0.0</v>
      </c>
      <c r="F65" s="20">
        <v>482.0</v>
      </c>
      <c r="G65" s="20">
        <v>0.0</v>
      </c>
      <c r="H65" s="21">
        <v>0.0</v>
      </c>
      <c r="I65" s="20">
        <v>0.0</v>
      </c>
      <c r="J65" s="20">
        <v>144.0</v>
      </c>
      <c r="K65" s="20">
        <f t="shared" si="1"/>
        <v>144</v>
      </c>
      <c r="L65" s="20">
        <v>338.0</v>
      </c>
      <c r="M65" s="20">
        <v>375.166666666667</v>
      </c>
      <c r="N65" s="22">
        <v>27.0</v>
      </c>
      <c r="O65" s="20">
        <f t="shared" si="11"/>
        <v>70.34375</v>
      </c>
      <c r="P65" s="39">
        <v>2.3472222222222223</v>
      </c>
      <c r="Q65" s="20">
        <v>0.0</v>
      </c>
      <c r="R65" s="20">
        <v>511.0</v>
      </c>
      <c r="S65" s="20">
        <v>0.0</v>
      </c>
      <c r="T65" s="2"/>
      <c r="U65" s="2">
        <v>1396550.0</v>
      </c>
      <c r="V65" s="40">
        <f t="shared" si="3"/>
        <v>201103200</v>
      </c>
      <c r="W65" s="40">
        <f t="shared" si="4"/>
        <v>523939008.3</v>
      </c>
      <c r="X65" s="2"/>
      <c r="Y65" s="2"/>
      <c r="Z65" s="2"/>
    </row>
    <row r="66" ht="12.75" customHeight="1">
      <c r="A66" s="2"/>
      <c r="B66" s="8" t="s">
        <v>75</v>
      </c>
      <c r="C66" s="8" t="s">
        <v>27</v>
      </c>
      <c r="D66" s="8">
        <v>14.0</v>
      </c>
      <c r="E66" s="20">
        <v>51.0</v>
      </c>
      <c r="F66" s="20">
        <v>56.0</v>
      </c>
      <c r="G66" s="20">
        <v>0.0</v>
      </c>
      <c r="H66" s="21">
        <v>0.0</v>
      </c>
      <c r="I66" s="20">
        <v>0.0</v>
      </c>
      <c r="J66" s="20">
        <v>71.0</v>
      </c>
      <c r="K66" s="20">
        <f t="shared" si="1"/>
        <v>71</v>
      </c>
      <c r="L66" s="20">
        <v>36.0</v>
      </c>
      <c r="M66" s="20">
        <v>25.2</v>
      </c>
      <c r="N66" s="22">
        <v>27.0</v>
      </c>
      <c r="O66" s="20">
        <f t="shared" si="11"/>
        <v>9.583098592</v>
      </c>
      <c r="P66" s="39">
        <v>0.5070422535211268</v>
      </c>
      <c r="Q66" s="20">
        <v>0.0</v>
      </c>
      <c r="R66" s="20">
        <v>50.0</v>
      </c>
      <c r="S66" s="20">
        <v>0.0</v>
      </c>
      <c r="T66" s="2"/>
      <c r="U66" s="2">
        <v>1143590.0</v>
      </c>
      <c r="V66" s="40">
        <f t="shared" si="3"/>
        <v>81194890</v>
      </c>
      <c r="W66" s="40">
        <f t="shared" si="4"/>
        <v>28818468</v>
      </c>
      <c r="X66" s="2"/>
      <c r="Y66" s="2"/>
      <c r="Z66" s="2"/>
    </row>
    <row r="67" ht="12.75" customHeight="1">
      <c r="A67" s="2"/>
      <c r="B67" s="8" t="s">
        <v>76</v>
      </c>
      <c r="C67" s="8" t="s">
        <v>27</v>
      </c>
      <c r="D67" s="8">
        <v>14.0</v>
      </c>
      <c r="E67" s="20">
        <v>6.0</v>
      </c>
      <c r="F67" s="20">
        <v>0.0</v>
      </c>
      <c r="G67" s="20">
        <v>0.0</v>
      </c>
      <c r="H67" s="21">
        <v>0.0</v>
      </c>
      <c r="I67" s="20">
        <v>0.0</v>
      </c>
      <c r="J67" s="20">
        <v>0.0</v>
      </c>
      <c r="K67" s="20">
        <f t="shared" si="1"/>
        <v>0</v>
      </c>
      <c r="L67" s="20">
        <v>6.0</v>
      </c>
      <c r="M67" s="20">
        <v>0.0</v>
      </c>
      <c r="N67" s="22">
        <v>27.0</v>
      </c>
      <c r="O67" s="20">
        <v>0.0</v>
      </c>
      <c r="P67" s="39">
        <v>0.0</v>
      </c>
      <c r="Q67" s="20">
        <v>0.0</v>
      </c>
      <c r="R67" s="20">
        <v>0.0</v>
      </c>
      <c r="S67" s="20">
        <v>0.0</v>
      </c>
      <c r="T67" s="2"/>
      <c r="U67" s="2">
        <v>954645.0</v>
      </c>
      <c r="V67" s="40">
        <f t="shared" si="3"/>
        <v>0</v>
      </c>
      <c r="W67" s="40">
        <f t="shared" si="4"/>
        <v>0</v>
      </c>
      <c r="X67" s="2"/>
      <c r="Y67" s="2"/>
      <c r="Z67" s="2"/>
    </row>
    <row r="68" ht="12.75" customHeight="1">
      <c r="A68" s="2"/>
      <c r="B68" s="8" t="s">
        <v>133</v>
      </c>
      <c r="C68" s="8" t="s">
        <v>27</v>
      </c>
      <c r="D68" s="8">
        <v>14.0</v>
      </c>
      <c r="E68" s="20">
        <v>103.0</v>
      </c>
      <c r="F68" s="20">
        <v>0.0</v>
      </c>
      <c r="G68" s="20">
        <v>0.0</v>
      </c>
      <c r="H68" s="21">
        <v>0.0</v>
      </c>
      <c r="I68" s="20">
        <v>0.0</v>
      </c>
      <c r="J68" s="20">
        <v>60.0</v>
      </c>
      <c r="K68" s="20">
        <f t="shared" si="1"/>
        <v>60</v>
      </c>
      <c r="L68" s="20">
        <v>43.0</v>
      </c>
      <c r="M68" s="20">
        <v>43.0</v>
      </c>
      <c r="N68" s="22">
        <v>27.0</v>
      </c>
      <c r="O68" s="20">
        <f t="shared" ref="O68:O81" si="12">(M68/(I68+J68))*N68</f>
        <v>19.35</v>
      </c>
      <c r="P68" s="39">
        <v>0.7166666666666667</v>
      </c>
      <c r="Q68" s="20">
        <v>0.0</v>
      </c>
      <c r="R68" s="20">
        <v>100.0</v>
      </c>
      <c r="S68" s="20">
        <v>0.0</v>
      </c>
      <c r="T68" s="2"/>
      <c r="U68" s="2">
        <v>954645.0</v>
      </c>
      <c r="V68" s="40">
        <f t="shared" si="3"/>
        <v>57278700</v>
      </c>
      <c r="W68" s="40">
        <f t="shared" si="4"/>
        <v>41049735</v>
      </c>
      <c r="X68" s="2"/>
      <c r="Y68" s="2"/>
      <c r="Z68" s="2"/>
    </row>
    <row r="69" ht="12.75" customHeight="1">
      <c r="A69" s="2"/>
      <c r="B69" s="8" t="s">
        <v>77</v>
      </c>
      <c r="C69" s="8" t="s">
        <v>27</v>
      </c>
      <c r="D69" s="8">
        <v>14.0</v>
      </c>
      <c r="E69" s="20">
        <v>21.0</v>
      </c>
      <c r="F69" s="20">
        <v>0.0</v>
      </c>
      <c r="G69" s="20">
        <v>0.0</v>
      </c>
      <c r="H69" s="21">
        <v>0.0</v>
      </c>
      <c r="I69" s="20">
        <v>0.0</v>
      </c>
      <c r="J69" s="20">
        <v>21.0</v>
      </c>
      <c r="K69" s="20">
        <f t="shared" si="1"/>
        <v>21</v>
      </c>
      <c r="L69" s="20">
        <v>0.0</v>
      </c>
      <c r="M69" s="20">
        <v>1.5</v>
      </c>
      <c r="N69" s="22">
        <v>27.0</v>
      </c>
      <c r="O69" s="20">
        <f t="shared" si="12"/>
        <v>1.928571429</v>
      </c>
      <c r="P69" s="39">
        <v>0.0</v>
      </c>
      <c r="Q69" s="20">
        <v>0.0</v>
      </c>
      <c r="R69" s="20">
        <v>0.0</v>
      </c>
      <c r="S69" s="20">
        <v>0.0</v>
      </c>
      <c r="T69" s="2"/>
      <c r="U69" s="2">
        <v>771202.5</v>
      </c>
      <c r="V69" s="40">
        <f t="shared" si="3"/>
        <v>16195252.5</v>
      </c>
      <c r="W69" s="40">
        <f t="shared" si="4"/>
        <v>1156803.75</v>
      </c>
      <c r="X69" s="2"/>
      <c r="Y69" s="2"/>
      <c r="Z69" s="2"/>
    </row>
    <row r="70" ht="12.75" customHeight="1">
      <c r="A70" s="2"/>
      <c r="B70" s="8" t="s">
        <v>78</v>
      </c>
      <c r="C70" s="8" t="s">
        <v>27</v>
      </c>
      <c r="D70" s="8">
        <v>14.0</v>
      </c>
      <c r="E70" s="20">
        <v>57.0</v>
      </c>
      <c r="F70" s="20">
        <v>0.0</v>
      </c>
      <c r="G70" s="20">
        <v>0.0</v>
      </c>
      <c r="H70" s="21">
        <v>0.0</v>
      </c>
      <c r="I70" s="20">
        <v>0.0</v>
      </c>
      <c r="J70" s="20">
        <v>16.0</v>
      </c>
      <c r="K70" s="20">
        <f t="shared" si="1"/>
        <v>16</v>
      </c>
      <c r="L70" s="20">
        <v>41.0</v>
      </c>
      <c r="M70" s="20">
        <v>42.0</v>
      </c>
      <c r="N70" s="22">
        <v>27.0</v>
      </c>
      <c r="O70" s="20">
        <f t="shared" si="12"/>
        <v>70.875</v>
      </c>
      <c r="P70" s="39">
        <v>2.5625</v>
      </c>
      <c r="Q70" s="20">
        <v>0.0</v>
      </c>
      <c r="R70" s="20">
        <v>0.0</v>
      </c>
      <c r="S70" s="20">
        <v>0.0</v>
      </c>
      <c r="T70" s="2"/>
      <c r="U70" s="2">
        <v>1497718.5</v>
      </c>
      <c r="V70" s="40">
        <f t="shared" si="3"/>
        <v>23963496</v>
      </c>
      <c r="W70" s="40">
        <f t="shared" si="4"/>
        <v>62904177</v>
      </c>
      <c r="X70" s="2"/>
      <c r="Y70" s="2"/>
      <c r="Z70" s="2"/>
    </row>
    <row r="71" ht="12.75" customHeight="1">
      <c r="A71" s="2"/>
      <c r="B71" s="8" t="s">
        <v>79</v>
      </c>
      <c r="C71" s="8" t="s">
        <v>27</v>
      </c>
      <c r="D71" s="8">
        <v>14.0</v>
      </c>
      <c r="E71" s="20">
        <v>185.0</v>
      </c>
      <c r="F71" s="20">
        <v>96.0</v>
      </c>
      <c r="G71" s="20">
        <v>0.0</v>
      </c>
      <c r="H71" s="21">
        <v>0.0</v>
      </c>
      <c r="I71" s="20">
        <v>0.0</v>
      </c>
      <c r="J71" s="20">
        <v>78.0</v>
      </c>
      <c r="K71" s="20">
        <f t="shared" si="1"/>
        <v>78</v>
      </c>
      <c r="L71" s="20">
        <v>203.0</v>
      </c>
      <c r="M71" s="20">
        <v>237.4</v>
      </c>
      <c r="N71" s="22">
        <v>27.0</v>
      </c>
      <c r="O71" s="20">
        <f t="shared" si="12"/>
        <v>82.17692308</v>
      </c>
      <c r="P71" s="39">
        <v>2.6025641025641026</v>
      </c>
      <c r="Q71" s="20">
        <v>0.0</v>
      </c>
      <c r="R71" s="20">
        <v>100.0</v>
      </c>
      <c r="S71" s="20">
        <v>0.0</v>
      </c>
      <c r="T71" s="2"/>
      <c r="U71" s="2">
        <v>907060.0</v>
      </c>
      <c r="V71" s="40">
        <f t="shared" si="3"/>
        <v>70750680</v>
      </c>
      <c r="W71" s="40">
        <f t="shared" si="4"/>
        <v>215336044</v>
      </c>
      <c r="X71" s="2"/>
      <c r="Y71" s="2"/>
      <c r="Z71" s="2"/>
    </row>
    <row r="72" ht="12.75" customHeight="1">
      <c r="A72" s="2"/>
      <c r="B72" s="8" t="s">
        <v>160</v>
      </c>
      <c r="C72" s="8" t="s">
        <v>27</v>
      </c>
      <c r="D72" s="8">
        <v>14.0</v>
      </c>
      <c r="E72" s="20">
        <v>288.0</v>
      </c>
      <c r="F72" s="20">
        <v>372.0</v>
      </c>
      <c r="G72" s="20">
        <v>0.0</v>
      </c>
      <c r="H72" s="21">
        <v>0.0</v>
      </c>
      <c r="I72" s="20">
        <v>0.0</v>
      </c>
      <c r="J72" s="20">
        <v>396.0</v>
      </c>
      <c r="K72" s="20">
        <f t="shared" si="1"/>
        <v>396</v>
      </c>
      <c r="L72" s="20">
        <v>264.0</v>
      </c>
      <c r="M72" s="20">
        <v>245.14285714285703</v>
      </c>
      <c r="N72" s="22">
        <v>27.0</v>
      </c>
      <c r="O72" s="20">
        <f t="shared" si="12"/>
        <v>16.71428571</v>
      </c>
      <c r="P72" s="39">
        <v>0.6666666666666666</v>
      </c>
      <c r="Q72" s="20">
        <v>0.0</v>
      </c>
      <c r="R72" s="20">
        <v>0.0</v>
      </c>
      <c r="S72" s="20">
        <v>0.0</v>
      </c>
      <c r="T72" s="2"/>
      <c r="U72" s="2">
        <v>823515.0</v>
      </c>
      <c r="V72" s="40">
        <f t="shared" si="3"/>
        <v>326111940</v>
      </c>
      <c r="W72" s="40">
        <f t="shared" si="4"/>
        <v>201878820</v>
      </c>
      <c r="X72" s="2"/>
      <c r="Y72" s="2"/>
      <c r="Z72" s="2"/>
    </row>
    <row r="73" ht="12.75" customHeight="1">
      <c r="A73" s="2"/>
      <c r="B73" s="8" t="s">
        <v>135</v>
      </c>
      <c r="C73" s="8" t="s">
        <v>27</v>
      </c>
      <c r="D73" s="8">
        <v>14.0</v>
      </c>
      <c r="E73" s="20">
        <v>321.0</v>
      </c>
      <c r="F73" s="20">
        <v>0.0</v>
      </c>
      <c r="G73" s="20">
        <v>0.0</v>
      </c>
      <c r="H73" s="21">
        <v>0.0</v>
      </c>
      <c r="I73" s="20">
        <v>0.0</v>
      </c>
      <c r="J73" s="20">
        <v>62.0</v>
      </c>
      <c r="K73" s="20">
        <f t="shared" si="1"/>
        <v>62</v>
      </c>
      <c r="L73" s="20">
        <v>259.0</v>
      </c>
      <c r="M73" s="20">
        <v>277.0</v>
      </c>
      <c r="N73" s="22">
        <v>27.0</v>
      </c>
      <c r="O73" s="20">
        <f t="shared" si="12"/>
        <v>120.6290323</v>
      </c>
      <c r="P73" s="39">
        <v>4.17741935483871</v>
      </c>
      <c r="Q73" s="20">
        <v>0.0</v>
      </c>
      <c r="R73" s="20">
        <v>0.0</v>
      </c>
      <c r="S73" s="20">
        <v>0.0</v>
      </c>
      <c r="T73" s="2"/>
      <c r="U73" s="2">
        <v>823515.0</v>
      </c>
      <c r="V73" s="40">
        <f t="shared" si="3"/>
        <v>51057930</v>
      </c>
      <c r="W73" s="40">
        <f t="shared" si="4"/>
        <v>228113655</v>
      </c>
      <c r="X73" s="2"/>
      <c r="Y73" s="2"/>
      <c r="Z73" s="2"/>
    </row>
    <row r="74" ht="12.75" customHeight="1">
      <c r="A74" s="2"/>
      <c r="B74" s="8" t="s">
        <v>136</v>
      </c>
      <c r="C74" s="8" t="s">
        <v>27</v>
      </c>
      <c r="D74" s="8">
        <v>14.0</v>
      </c>
      <c r="E74" s="20">
        <v>57.0</v>
      </c>
      <c r="F74" s="20">
        <v>0.0</v>
      </c>
      <c r="G74" s="20">
        <v>0.0</v>
      </c>
      <c r="H74" s="21">
        <v>0.0</v>
      </c>
      <c r="I74" s="20">
        <v>0.0</v>
      </c>
      <c r="J74" s="20">
        <v>54.0</v>
      </c>
      <c r="K74" s="20">
        <f t="shared" si="1"/>
        <v>54</v>
      </c>
      <c r="L74" s="20">
        <v>3.0</v>
      </c>
      <c r="M74" s="20">
        <v>3.0</v>
      </c>
      <c r="N74" s="22">
        <v>27.0</v>
      </c>
      <c r="O74" s="20">
        <f t="shared" si="12"/>
        <v>1.5</v>
      </c>
      <c r="P74" s="39">
        <v>0.05555555555555555</v>
      </c>
      <c r="Q74" s="20">
        <v>0.0</v>
      </c>
      <c r="R74" s="20">
        <v>0.0</v>
      </c>
      <c r="S74" s="20">
        <v>0.0</v>
      </c>
      <c r="T74" s="2"/>
      <c r="U74" s="2">
        <v>823515.0</v>
      </c>
      <c r="V74" s="40">
        <f t="shared" si="3"/>
        <v>44469810</v>
      </c>
      <c r="W74" s="40">
        <f t="shared" si="4"/>
        <v>2470545</v>
      </c>
      <c r="X74" s="2"/>
      <c r="Y74" s="2"/>
      <c r="Z74" s="2"/>
    </row>
    <row r="75" ht="12.75" customHeight="1">
      <c r="A75" s="2"/>
      <c r="B75" s="8" t="s">
        <v>82</v>
      </c>
      <c r="C75" s="8" t="s">
        <v>27</v>
      </c>
      <c r="D75" s="8">
        <v>14.0</v>
      </c>
      <c r="E75" s="20">
        <v>108.0</v>
      </c>
      <c r="F75" s="20">
        <v>203.0</v>
      </c>
      <c r="G75" s="20">
        <v>0.0</v>
      </c>
      <c r="H75" s="21">
        <v>0.0</v>
      </c>
      <c r="I75" s="20">
        <v>0.0</v>
      </c>
      <c r="J75" s="20">
        <v>45.0</v>
      </c>
      <c r="K75" s="20">
        <f t="shared" si="1"/>
        <v>45</v>
      </c>
      <c r="L75" s="20">
        <v>266.0</v>
      </c>
      <c r="M75" s="20">
        <v>252.333333333333</v>
      </c>
      <c r="N75" s="22">
        <v>27.0</v>
      </c>
      <c r="O75" s="20">
        <f t="shared" si="12"/>
        <v>151.4</v>
      </c>
      <c r="P75" s="39">
        <v>5.911111111111111</v>
      </c>
      <c r="Q75" s="20">
        <v>0.0</v>
      </c>
      <c r="R75" s="20">
        <v>0.0</v>
      </c>
      <c r="S75" s="20">
        <v>0.0</v>
      </c>
      <c r="T75" s="2"/>
      <c r="U75" s="2">
        <v>823515.0</v>
      </c>
      <c r="V75" s="40">
        <f t="shared" si="3"/>
        <v>37058175</v>
      </c>
      <c r="W75" s="40">
        <f t="shared" si="4"/>
        <v>207800285</v>
      </c>
      <c r="X75" s="2"/>
      <c r="Y75" s="2"/>
      <c r="Z75" s="2"/>
    </row>
    <row r="76" ht="12.75" customHeight="1">
      <c r="A76" s="2"/>
      <c r="B76" s="8" t="s">
        <v>84</v>
      </c>
      <c r="C76" s="8" t="s">
        <v>27</v>
      </c>
      <c r="D76" s="8">
        <v>14.0</v>
      </c>
      <c r="E76" s="20">
        <v>46.0</v>
      </c>
      <c r="F76" s="20">
        <v>0.0</v>
      </c>
      <c r="G76" s="20">
        <v>0.0</v>
      </c>
      <c r="H76" s="21">
        <v>0.0</v>
      </c>
      <c r="I76" s="20">
        <v>0.0</v>
      </c>
      <c r="J76" s="20">
        <v>12.0</v>
      </c>
      <c r="K76" s="20">
        <f t="shared" si="1"/>
        <v>12</v>
      </c>
      <c r="L76" s="20">
        <v>34.0</v>
      </c>
      <c r="M76" s="20">
        <v>38.0</v>
      </c>
      <c r="N76" s="22">
        <v>27.0</v>
      </c>
      <c r="O76" s="20">
        <f t="shared" si="12"/>
        <v>85.5</v>
      </c>
      <c r="P76" s="39">
        <v>2.8333333333333335</v>
      </c>
      <c r="Q76" s="20">
        <v>0.0</v>
      </c>
      <c r="R76" s="20">
        <v>0.0</v>
      </c>
      <c r="S76" s="20">
        <v>0.0</v>
      </c>
      <c r="T76" s="2"/>
      <c r="U76" s="2">
        <v>604345.0</v>
      </c>
      <c r="V76" s="40">
        <f t="shared" si="3"/>
        <v>7252140</v>
      </c>
      <c r="W76" s="40">
        <f t="shared" si="4"/>
        <v>22965110</v>
      </c>
      <c r="X76" s="2"/>
      <c r="Y76" s="2"/>
      <c r="Z76" s="2"/>
    </row>
    <row r="77" ht="12.75" customHeight="1">
      <c r="A77" s="2"/>
      <c r="B77" s="8" t="s">
        <v>113</v>
      </c>
      <c r="C77" s="8" t="s">
        <v>27</v>
      </c>
      <c r="D77" s="8">
        <v>14.0</v>
      </c>
      <c r="E77" s="20">
        <v>33.0</v>
      </c>
      <c r="F77" s="20">
        <v>0.0</v>
      </c>
      <c r="G77" s="20">
        <v>0.0</v>
      </c>
      <c r="H77" s="21">
        <v>0.0</v>
      </c>
      <c r="I77" s="20">
        <v>0.0</v>
      </c>
      <c r="J77" s="20">
        <v>17.0</v>
      </c>
      <c r="K77" s="20">
        <f t="shared" si="1"/>
        <v>17</v>
      </c>
      <c r="L77" s="20">
        <v>16.0</v>
      </c>
      <c r="M77" s="20">
        <v>21.8</v>
      </c>
      <c r="N77" s="22">
        <v>27.0</v>
      </c>
      <c r="O77" s="20">
        <f t="shared" si="12"/>
        <v>34.62352941</v>
      </c>
      <c r="P77" s="39">
        <v>0.9411764705882353</v>
      </c>
      <c r="Q77" s="20">
        <v>0.0</v>
      </c>
      <c r="R77" s="20">
        <v>0.0</v>
      </c>
      <c r="S77" s="20">
        <v>0.0</v>
      </c>
      <c r="T77" s="2"/>
      <c r="U77" s="2">
        <v>597835.0</v>
      </c>
      <c r="V77" s="40">
        <f t="shared" si="3"/>
        <v>10163195</v>
      </c>
      <c r="W77" s="40">
        <f t="shared" si="4"/>
        <v>13032803</v>
      </c>
      <c r="X77" s="2"/>
      <c r="Y77" s="2"/>
      <c r="Z77" s="2"/>
    </row>
    <row r="78" ht="12.75" customHeight="1">
      <c r="A78" s="2"/>
      <c r="B78" s="8" t="s">
        <v>114</v>
      </c>
      <c r="C78" s="8" t="s">
        <v>27</v>
      </c>
      <c r="D78" s="8">
        <v>14.0</v>
      </c>
      <c r="E78" s="20">
        <v>646.32</v>
      </c>
      <c r="F78" s="20">
        <v>1161.0</v>
      </c>
      <c r="G78" s="20">
        <v>0.0</v>
      </c>
      <c r="H78" s="21">
        <v>0.0</v>
      </c>
      <c r="I78" s="20">
        <v>0.0</v>
      </c>
      <c r="J78" s="20">
        <v>1245.0</v>
      </c>
      <c r="K78" s="20">
        <f t="shared" si="1"/>
        <v>1245</v>
      </c>
      <c r="L78" s="20">
        <v>562.32</v>
      </c>
      <c r="M78" s="20">
        <v>428.764444444444</v>
      </c>
      <c r="N78" s="22">
        <v>27.0</v>
      </c>
      <c r="O78" s="20">
        <f t="shared" si="12"/>
        <v>9.298506024</v>
      </c>
      <c r="P78" s="39">
        <v>0.4516626506024097</v>
      </c>
      <c r="Q78" s="20">
        <v>0.0</v>
      </c>
      <c r="R78" s="20">
        <v>984.0</v>
      </c>
      <c r="S78" s="20">
        <v>0.0</v>
      </c>
      <c r="T78" s="2"/>
      <c r="U78" s="2">
        <v>597835.0</v>
      </c>
      <c r="V78" s="40">
        <f t="shared" si="3"/>
        <v>744304575</v>
      </c>
      <c r="W78" s="40">
        <f t="shared" si="4"/>
        <v>256330391.6</v>
      </c>
      <c r="X78" s="2"/>
      <c r="Y78" s="2"/>
      <c r="Z78" s="2"/>
    </row>
    <row r="79" ht="12.75" customHeight="1">
      <c r="A79" s="2"/>
      <c r="B79" s="8" t="s">
        <v>86</v>
      </c>
      <c r="C79" s="8" t="s">
        <v>27</v>
      </c>
      <c r="D79" s="8">
        <v>14.0</v>
      </c>
      <c r="E79" s="20">
        <v>496.0</v>
      </c>
      <c r="F79" s="20">
        <v>97.0</v>
      </c>
      <c r="G79" s="20">
        <v>0.0</v>
      </c>
      <c r="H79" s="21">
        <v>0.0</v>
      </c>
      <c r="I79" s="20">
        <v>0.0</v>
      </c>
      <c r="J79" s="20">
        <v>346.0</v>
      </c>
      <c r="K79" s="20">
        <f t="shared" si="1"/>
        <v>346</v>
      </c>
      <c r="L79" s="20">
        <v>247.0</v>
      </c>
      <c r="M79" s="20">
        <v>291.875</v>
      </c>
      <c r="N79" s="22">
        <v>27.0</v>
      </c>
      <c r="O79" s="20">
        <f t="shared" si="12"/>
        <v>22.77637283</v>
      </c>
      <c r="P79" s="39">
        <v>0.7138728323699421</v>
      </c>
      <c r="Q79" s="20">
        <v>23.0</v>
      </c>
      <c r="R79" s="20">
        <v>350.0</v>
      </c>
      <c r="S79" s="20">
        <v>0.0</v>
      </c>
      <c r="T79" s="2"/>
      <c r="U79" s="2">
        <v>937285.0</v>
      </c>
      <c r="V79" s="40">
        <f t="shared" si="3"/>
        <v>324300610</v>
      </c>
      <c r="W79" s="40">
        <f t="shared" si="4"/>
        <v>273570059.4</v>
      </c>
      <c r="X79" s="2"/>
      <c r="Y79" s="2"/>
      <c r="Z79" s="2"/>
    </row>
    <row r="80" ht="12.75" customHeight="1">
      <c r="A80" s="2"/>
      <c r="B80" s="8" t="s">
        <v>137</v>
      </c>
      <c r="C80" s="8" t="s">
        <v>27</v>
      </c>
      <c r="D80" s="8">
        <v>14.0</v>
      </c>
      <c r="E80" s="20">
        <v>300.0</v>
      </c>
      <c r="F80" s="20">
        <v>517.0</v>
      </c>
      <c r="G80" s="20">
        <v>0.0</v>
      </c>
      <c r="H80" s="21">
        <v>0.0</v>
      </c>
      <c r="I80" s="20">
        <v>0.0</v>
      </c>
      <c r="J80" s="20">
        <v>499.0</v>
      </c>
      <c r="K80" s="20">
        <f t="shared" si="1"/>
        <v>499</v>
      </c>
      <c r="L80" s="20">
        <v>318.0</v>
      </c>
      <c r="M80" s="20">
        <v>355.5625</v>
      </c>
      <c r="N80" s="22">
        <v>27.0</v>
      </c>
      <c r="O80" s="20">
        <f t="shared" si="12"/>
        <v>19.23885271</v>
      </c>
      <c r="P80" s="39">
        <v>0.6372745490981964</v>
      </c>
      <c r="Q80" s="20">
        <v>2.0</v>
      </c>
      <c r="R80" s="20">
        <v>0.0</v>
      </c>
      <c r="S80" s="20">
        <v>0.0</v>
      </c>
      <c r="T80" s="2"/>
      <c r="U80" s="2">
        <v>1402595.0</v>
      </c>
      <c r="V80" s="40">
        <f t="shared" si="3"/>
        <v>699894905</v>
      </c>
      <c r="W80" s="40">
        <f t="shared" si="4"/>
        <v>498710184.7</v>
      </c>
      <c r="X80" s="2"/>
      <c r="Y80" s="2"/>
      <c r="Z80" s="2"/>
    </row>
    <row r="81" ht="12.75" customHeight="1">
      <c r="A81" s="2"/>
      <c r="B81" s="8" t="s">
        <v>161</v>
      </c>
      <c r="C81" s="8" t="s">
        <v>27</v>
      </c>
      <c r="D81" s="8">
        <v>14.0</v>
      </c>
      <c r="E81" s="20">
        <v>66.0</v>
      </c>
      <c r="F81" s="20">
        <v>0.0</v>
      </c>
      <c r="G81" s="20">
        <v>0.0</v>
      </c>
      <c r="H81" s="21">
        <v>0.0</v>
      </c>
      <c r="I81" s="20">
        <v>0.0</v>
      </c>
      <c r="J81" s="20">
        <v>36.0</v>
      </c>
      <c r="K81" s="20">
        <f t="shared" si="1"/>
        <v>36</v>
      </c>
      <c r="L81" s="20">
        <v>30.0</v>
      </c>
      <c r="M81" s="20">
        <v>30.0</v>
      </c>
      <c r="N81" s="22">
        <v>27.0</v>
      </c>
      <c r="O81" s="20">
        <f t="shared" si="12"/>
        <v>22.5</v>
      </c>
      <c r="P81" s="39">
        <v>0.8333333333333334</v>
      </c>
      <c r="Q81" s="20">
        <v>250.0</v>
      </c>
      <c r="R81" s="20">
        <v>0.0</v>
      </c>
      <c r="S81" s="20">
        <v>0.0</v>
      </c>
      <c r="T81" s="2"/>
      <c r="U81" s="2">
        <v>1402595.0</v>
      </c>
      <c r="V81" s="40">
        <f t="shared" si="3"/>
        <v>50493420</v>
      </c>
      <c r="W81" s="40">
        <f t="shared" si="4"/>
        <v>42077850</v>
      </c>
      <c r="X81" s="2"/>
      <c r="Y81" s="2"/>
      <c r="Z81" s="2"/>
    </row>
    <row r="82" ht="12.75" customHeight="1">
      <c r="A82" s="2"/>
      <c r="B82" s="8" t="s">
        <v>138</v>
      </c>
      <c r="C82" s="8" t="s">
        <v>27</v>
      </c>
      <c r="D82" s="8">
        <v>14.0</v>
      </c>
      <c r="E82" s="20">
        <v>24.0</v>
      </c>
      <c r="F82" s="20">
        <v>0.0</v>
      </c>
      <c r="G82" s="20">
        <v>0.0</v>
      </c>
      <c r="H82" s="21">
        <v>0.0</v>
      </c>
      <c r="I82" s="20">
        <v>0.0</v>
      </c>
      <c r="J82" s="20">
        <v>0.0</v>
      </c>
      <c r="K82" s="20">
        <f t="shared" si="1"/>
        <v>0</v>
      </c>
      <c r="L82" s="20">
        <v>24.0</v>
      </c>
      <c r="M82" s="20">
        <v>0.0</v>
      </c>
      <c r="N82" s="22">
        <v>27.0</v>
      </c>
      <c r="O82" s="20">
        <v>0.0</v>
      </c>
      <c r="P82" s="39">
        <v>0.0</v>
      </c>
      <c r="Q82" s="20">
        <v>0.0</v>
      </c>
      <c r="R82" s="20">
        <v>0.0</v>
      </c>
      <c r="S82" s="20">
        <v>0.0</v>
      </c>
      <c r="T82" s="2"/>
      <c r="U82" s="2">
        <v>1.0957105E7</v>
      </c>
      <c r="V82" s="40">
        <f t="shared" si="3"/>
        <v>0</v>
      </c>
      <c r="W82" s="40">
        <f t="shared" si="4"/>
        <v>0</v>
      </c>
      <c r="X82" s="2"/>
      <c r="Y82" s="2"/>
      <c r="Z82" s="2"/>
    </row>
    <row r="83" ht="12.75" customHeight="1">
      <c r="A83" s="2"/>
      <c r="B83" s="8" t="s">
        <v>151</v>
      </c>
      <c r="C83" s="8" t="s">
        <v>27</v>
      </c>
      <c r="D83" s="8">
        <v>14.0</v>
      </c>
      <c r="E83" s="20">
        <v>187.0</v>
      </c>
      <c r="F83" s="20">
        <v>0.0</v>
      </c>
      <c r="G83" s="20">
        <v>0.0</v>
      </c>
      <c r="H83" s="21">
        <v>0.0</v>
      </c>
      <c r="I83" s="20">
        <v>0.0</v>
      </c>
      <c r="J83" s="20">
        <v>11.0</v>
      </c>
      <c r="K83" s="20">
        <f t="shared" si="1"/>
        <v>11</v>
      </c>
      <c r="L83" s="20">
        <v>176.0</v>
      </c>
      <c r="M83" s="20">
        <v>176.0</v>
      </c>
      <c r="N83" s="22">
        <v>27.0</v>
      </c>
      <c r="O83" s="20">
        <f t="shared" ref="O83:O87" si="13">(M83/(I83+J83))*N83</f>
        <v>432</v>
      </c>
      <c r="P83" s="39">
        <v>16.0</v>
      </c>
      <c r="Q83" s="20">
        <v>0.0</v>
      </c>
      <c r="R83" s="20">
        <v>0.0</v>
      </c>
      <c r="S83" s="20">
        <v>0.0</v>
      </c>
      <c r="T83" s="2"/>
      <c r="U83" s="2">
        <v>1372215.0</v>
      </c>
      <c r="V83" s="40">
        <f t="shared" si="3"/>
        <v>15094365</v>
      </c>
      <c r="W83" s="40">
        <f t="shared" si="4"/>
        <v>241509840</v>
      </c>
      <c r="X83" s="2"/>
      <c r="Y83" s="2"/>
      <c r="Z83" s="2"/>
    </row>
    <row r="84" ht="12.75" customHeight="1">
      <c r="A84" s="2"/>
      <c r="B84" s="8" t="s">
        <v>88</v>
      </c>
      <c r="C84" s="8" t="s">
        <v>27</v>
      </c>
      <c r="D84" s="8">
        <v>14.0</v>
      </c>
      <c r="E84" s="20">
        <v>62.0</v>
      </c>
      <c r="F84" s="20">
        <v>0.0</v>
      </c>
      <c r="G84" s="20">
        <v>0.0</v>
      </c>
      <c r="H84" s="21">
        <v>0.0</v>
      </c>
      <c r="I84" s="20">
        <v>0.0</v>
      </c>
      <c r="J84" s="20">
        <v>8.0</v>
      </c>
      <c r="K84" s="20">
        <f t="shared" si="1"/>
        <v>8</v>
      </c>
      <c r="L84" s="20">
        <v>54.0</v>
      </c>
      <c r="M84" s="20">
        <v>55.0</v>
      </c>
      <c r="N84" s="22">
        <v>27.0</v>
      </c>
      <c r="O84" s="20">
        <f t="shared" si="13"/>
        <v>185.625</v>
      </c>
      <c r="P84" s="39">
        <v>6.75</v>
      </c>
      <c r="Q84" s="20">
        <v>0.0</v>
      </c>
      <c r="R84" s="20">
        <v>0.0</v>
      </c>
      <c r="S84" s="20">
        <v>0.0</v>
      </c>
      <c r="T84" s="2"/>
      <c r="U84" s="2">
        <v>1027805.0</v>
      </c>
      <c r="V84" s="40">
        <f t="shared" si="3"/>
        <v>8222440</v>
      </c>
      <c r="W84" s="40">
        <f t="shared" si="4"/>
        <v>56529275</v>
      </c>
      <c r="X84" s="2"/>
      <c r="Y84" s="2"/>
      <c r="Z84" s="2"/>
    </row>
    <row r="85" ht="12.75" customHeight="1">
      <c r="A85" s="2"/>
      <c r="B85" s="8" t="s">
        <v>115</v>
      </c>
      <c r="C85" s="8" t="s">
        <v>27</v>
      </c>
      <c r="D85" s="8">
        <v>14.0</v>
      </c>
      <c r="E85" s="20">
        <v>31.0</v>
      </c>
      <c r="F85" s="20">
        <v>0.0</v>
      </c>
      <c r="G85" s="20">
        <v>0.0</v>
      </c>
      <c r="H85" s="21">
        <v>0.0</v>
      </c>
      <c r="I85" s="20">
        <v>0.0</v>
      </c>
      <c r="J85" s="20">
        <v>19.0</v>
      </c>
      <c r="K85" s="20">
        <f t="shared" si="1"/>
        <v>19</v>
      </c>
      <c r="L85" s="20">
        <v>12.0</v>
      </c>
      <c r="M85" s="20">
        <v>19.6</v>
      </c>
      <c r="N85" s="22">
        <v>27.0</v>
      </c>
      <c r="O85" s="20">
        <f t="shared" si="13"/>
        <v>27.85263158</v>
      </c>
      <c r="P85" s="39">
        <v>0.631578947368421</v>
      </c>
      <c r="Q85" s="20">
        <v>0.0</v>
      </c>
      <c r="R85" s="20">
        <v>30.0</v>
      </c>
      <c r="S85" s="20">
        <v>0.0</v>
      </c>
      <c r="T85" s="2"/>
      <c r="U85" s="2">
        <v>746480.0</v>
      </c>
      <c r="V85" s="40">
        <f t="shared" si="3"/>
        <v>14183120</v>
      </c>
      <c r="W85" s="40">
        <f t="shared" si="4"/>
        <v>14631008</v>
      </c>
      <c r="X85" s="2"/>
      <c r="Y85" s="2"/>
      <c r="Z85" s="2"/>
    </row>
    <row r="86" ht="12.75" customHeight="1">
      <c r="A86" s="2"/>
      <c r="B86" s="8" t="s">
        <v>90</v>
      </c>
      <c r="C86" s="8" t="s">
        <v>27</v>
      </c>
      <c r="D86" s="8">
        <v>14.0</v>
      </c>
      <c r="E86" s="20">
        <v>925.0</v>
      </c>
      <c r="F86" s="20">
        <v>4.0</v>
      </c>
      <c r="G86" s="20">
        <v>0.0</v>
      </c>
      <c r="H86" s="21">
        <v>0.0</v>
      </c>
      <c r="I86" s="20">
        <v>0.0</v>
      </c>
      <c r="J86" s="20">
        <v>70.0</v>
      </c>
      <c r="K86" s="20">
        <f t="shared" si="1"/>
        <v>70</v>
      </c>
      <c r="L86" s="20">
        <v>859.0</v>
      </c>
      <c r="M86" s="20">
        <v>906.0</v>
      </c>
      <c r="N86" s="22">
        <v>27.0</v>
      </c>
      <c r="O86" s="20">
        <f t="shared" si="13"/>
        <v>349.4571429</v>
      </c>
      <c r="P86" s="39">
        <v>12.271428571428572</v>
      </c>
      <c r="Q86" s="20">
        <v>0.0</v>
      </c>
      <c r="R86" s="20">
        <v>0.0</v>
      </c>
      <c r="S86" s="20">
        <v>0.0</v>
      </c>
      <c r="T86" s="2"/>
      <c r="U86" s="2">
        <v>1372215.0</v>
      </c>
      <c r="V86" s="40">
        <f t="shared" si="3"/>
        <v>96055050</v>
      </c>
      <c r="W86" s="40">
        <f t="shared" si="4"/>
        <v>1243226790</v>
      </c>
      <c r="X86" s="2"/>
      <c r="Y86" s="2"/>
      <c r="Z86" s="2"/>
    </row>
    <row r="87" ht="12.75" customHeight="1">
      <c r="A87" s="2"/>
      <c r="B87" s="8" t="s">
        <v>91</v>
      </c>
      <c r="C87" s="8" t="s">
        <v>27</v>
      </c>
      <c r="D87" s="8">
        <v>14.0</v>
      </c>
      <c r="E87" s="20">
        <v>48.0</v>
      </c>
      <c r="F87" s="20">
        <v>0.0</v>
      </c>
      <c r="G87" s="20">
        <v>0.0</v>
      </c>
      <c r="H87" s="21">
        <v>0.0</v>
      </c>
      <c r="I87" s="20">
        <v>0.0</v>
      </c>
      <c r="J87" s="20">
        <v>8.0</v>
      </c>
      <c r="K87" s="20">
        <f t="shared" si="1"/>
        <v>8</v>
      </c>
      <c r="L87" s="20">
        <v>40.0</v>
      </c>
      <c r="M87" s="20">
        <v>42.0</v>
      </c>
      <c r="N87" s="22">
        <v>27.0</v>
      </c>
      <c r="O87" s="20">
        <f t="shared" si="13"/>
        <v>141.75</v>
      </c>
      <c r="P87" s="39">
        <v>5.0</v>
      </c>
      <c r="Q87" s="20">
        <v>0.0</v>
      </c>
      <c r="R87" s="20">
        <v>32.0</v>
      </c>
      <c r="S87" s="20">
        <v>0.0</v>
      </c>
      <c r="T87" s="2"/>
      <c r="U87" s="2">
        <v>6276182.5</v>
      </c>
      <c r="V87" s="40">
        <f t="shared" si="3"/>
        <v>50209460</v>
      </c>
      <c r="W87" s="40">
        <f t="shared" si="4"/>
        <v>263599665</v>
      </c>
      <c r="X87" s="2"/>
      <c r="Y87" s="2"/>
      <c r="Z87" s="2"/>
    </row>
    <row r="88" ht="12.75" customHeight="1">
      <c r="A88" s="2"/>
      <c r="B88" s="8" t="s">
        <v>92</v>
      </c>
      <c r="C88" s="8" t="s">
        <v>27</v>
      </c>
      <c r="D88" s="8">
        <v>14.0</v>
      </c>
      <c r="E88" s="20">
        <v>0.0</v>
      </c>
      <c r="F88" s="20">
        <v>205.0</v>
      </c>
      <c r="G88" s="20">
        <v>0.0</v>
      </c>
      <c r="H88" s="21">
        <v>0.0</v>
      </c>
      <c r="I88" s="20">
        <v>0.0</v>
      </c>
      <c r="J88" s="20">
        <v>0.0</v>
      </c>
      <c r="K88" s="20">
        <f t="shared" si="1"/>
        <v>0</v>
      </c>
      <c r="L88" s="20">
        <v>205.0</v>
      </c>
      <c r="M88" s="20">
        <v>153.0</v>
      </c>
      <c r="N88" s="22">
        <v>27.0</v>
      </c>
      <c r="O88" s="20">
        <v>0.0</v>
      </c>
      <c r="P88" s="39">
        <v>0.0</v>
      </c>
      <c r="Q88" s="20">
        <v>0.0</v>
      </c>
      <c r="R88" s="20">
        <v>0.0</v>
      </c>
      <c r="S88" s="20">
        <v>0.0</v>
      </c>
      <c r="T88" s="2"/>
      <c r="U88" s="2">
        <v>848935.0</v>
      </c>
      <c r="V88" s="40">
        <f t="shared" si="3"/>
        <v>0</v>
      </c>
      <c r="W88" s="40">
        <f t="shared" si="4"/>
        <v>129887055</v>
      </c>
      <c r="X88" s="2"/>
      <c r="Y88" s="2"/>
      <c r="Z88" s="2"/>
    </row>
    <row r="89" ht="12.75" customHeight="1">
      <c r="A89" s="2"/>
      <c r="B89" s="8" t="s">
        <v>140</v>
      </c>
      <c r="C89" s="8" t="s">
        <v>27</v>
      </c>
      <c r="D89" s="8">
        <v>14.0</v>
      </c>
      <c r="E89" s="20">
        <v>205.0</v>
      </c>
      <c r="F89" s="20">
        <v>203.0</v>
      </c>
      <c r="G89" s="20">
        <v>0.0</v>
      </c>
      <c r="H89" s="21">
        <v>0.0</v>
      </c>
      <c r="I89" s="20">
        <v>0.0</v>
      </c>
      <c r="J89" s="20">
        <v>231.0</v>
      </c>
      <c r="K89" s="20">
        <f t="shared" si="1"/>
        <v>231</v>
      </c>
      <c r="L89" s="20">
        <v>177.0</v>
      </c>
      <c r="M89" s="20">
        <v>316.5</v>
      </c>
      <c r="N89" s="22">
        <v>27.0</v>
      </c>
      <c r="O89" s="20">
        <f t="shared" ref="O89:O95" si="14">(M89/(I89+J89))*N89</f>
        <v>36.99350649</v>
      </c>
      <c r="P89" s="39">
        <v>0.7662337662337663</v>
      </c>
      <c r="Q89" s="20">
        <v>0.0</v>
      </c>
      <c r="R89" s="20">
        <v>200.0</v>
      </c>
      <c r="S89" s="20">
        <v>0.0</v>
      </c>
      <c r="T89" s="2"/>
      <c r="U89" s="2">
        <v>923955.0</v>
      </c>
      <c r="V89" s="40">
        <f t="shared" si="3"/>
        <v>213433605</v>
      </c>
      <c r="W89" s="40">
        <f t="shared" si="4"/>
        <v>292431757.5</v>
      </c>
      <c r="X89" s="2"/>
      <c r="Y89" s="2"/>
      <c r="Z89" s="2"/>
    </row>
    <row r="90" ht="12.75" customHeight="1">
      <c r="A90" s="2"/>
      <c r="B90" s="8" t="s">
        <v>163</v>
      </c>
      <c r="C90" s="8" t="s">
        <v>27</v>
      </c>
      <c r="D90" s="8">
        <v>14.0</v>
      </c>
      <c r="E90" s="20">
        <v>34.0</v>
      </c>
      <c r="F90" s="20">
        <v>88.0</v>
      </c>
      <c r="G90" s="20">
        <v>0.0</v>
      </c>
      <c r="H90" s="21">
        <v>0.0</v>
      </c>
      <c r="I90" s="20">
        <v>0.0</v>
      </c>
      <c r="J90" s="20">
        <v>87.0</v>
      </c>
      <c r="K90" s="20">
        <f t="shared" si="1"/>
        <v>87</v>
      </c>
      <c r="L90" s="20">
        <v>35.0</v>
      </c>
      <c r="M90" s="20">
        <v>54.75</v>
      </c>
      <c r="N90" s="22">
        <v>27.0</v>
      </c>
      <c r="O90" s="20">
        <f t="shared" si="14"/>
        <v>16.99137931</v>
      </c>
      <c r="P90" s="39">
        <v>0.40229885057471265</v>
      </c>
      <c r="Q90" s="20">
        <v>0.0</v>
      </c>
      <c r="R90" s="20">
        <v>48.0</v>
      </c>
      <c r="S90" s="20">
        <v>0.0</v>
      </c>
      <c r="T90" s="2"/>
      <c r="U90" s="2">
        <v>1345865.0</v>
      </c>
      <c r="V90" s="40">
        <f t="shared" si="3"/>
        <v>117090255</v>
      </c>
      <c r="W90" s="40">
        <f t="shared" si="4"/>
        <v>73686108.75</v>
      </c>
      <c r="X90" s="2"/>
      <c r="Y90" s="2"/>
      <c r="Z90" s="2"/>
    </row>
    <row r="91" ht="12.75" customHeight="1">
      <c r="A91" s="2"/>
      <c r="B91" s="8" t="s">
        <v>94</v>
      </c>
      <c r="C91" s="8" t="s">
        <v>27</v>
      </c>
      <c r="D91" s="8">
        <v>14.0</v>
      </c>
      <c r="E91" s="20">
        <v>290.0</v>
      </c>
      <c r="F91" s="20">
        <v>28.0</v>
      </c>
      <c r="G91" s="20">
        <v>0.0</v>
      </c>
      <c r="H91" s="21">
        <v>0.0</v>
      </c>
      <c r="I91" s="20">
        <v>0.0</v>
      </c>
      <c r="J91" s="20">
        <v>316.0</v>
      </c>
      <c r="K91" s="20">
        <f t="shared" si="1"/>
        <v>316</v>
      </c>
      <c r="L91" s="20">
        <v>2.0</v>
      </c>
      <c r="M91" s="20">
        <v>105.28571428571401</v>
      </c>
      <c r="N91" s="22">
        <v>27.0</v>
      </c>
      <c r="O91" s="20">
        <f t="shared" si="14"/>
        <v>8.995931284</v>
      </c>
      <c r="P91" s="39">
        <v>0.006329113924050633</v>
      </c>
      <c r="Q91" s="20">
        <v>37.0</v>
      </c>
      <c r="R91" s="20">
        <v>0.0</v>
      </c>
      <c r="S91" s="20">
        <v>0.0</v>
      </c>
      <c r="T91" s="2"/>
      <c r="U91" s="2">
        <v>923955.0</v>
      </c>
      <c r="V91" s="40">
        <f t="shared" si="3"/>
        <v>291969780</v>
      </c>
      <c r="W91" s="40">
        <f t="shared" si="4"/>
        <v>97279262.14</v>
      </c>
      <c r="X91" s="2"/>
      <c r="Y91" s="2"/>
      <c r="Z91" s="2"/>
    </row>
    <row r="92" ht="12.75" customHeight="1">
      <c r="A92" s="2"/>
      <c r="B92" s="8" t="s">
        <v>141</v>
      </c>
      <c r="C92" s="8" t="s">
        <v>27</v>
      </c>
      <c r="D92" s="8">
        <v>14.0</v>
      </c>
      <c r="E92" s="20">
        <v>0.0</v>
      </c>
      <c r="F92" s="20">
        <v>847.0</v>
      </c>
      <c r="G92" s="20">
        <v>0.0</v>
      </c>
      <c r="H92" s="21">
        <v>0.0</v>
      </c>
      <c r="I92" s="20">
        <v>0.0</v>
      </c>
      <c r="J92" s="20">
        <v>648.0</v>
      </c>
      <c r="K92" s="20">
        <f t="shared" si="1"/>
        <v>648</v>
      </c>
      <c r="L92" s="20">
        <v>199.0</v>
      </c>
      <c r="M92" s="20">
        <v>404.0</v>
      </c>
      <c r="N92" s="22">
        <v>27.0</v>
      </c>
      <c r="O92" s="20">
        <f t="shared" si="14"/>
        <v>16.83333333</v>
      </c>
      <c r="P92" s="39">
        <v>0.30709876543209874</v>
      </c>
      <c r="Q92" s="20">
        <v>150.0</v>
      </c>
      <c r="R92" s="20">
        <v>556.0</v>
      </c>
      <c r="S92" s="20">
        <v>0.0</v>
      </c>
      <c r="T92" s="2"/>
      <c r="U92" s="2">
        <v>923955.0</v>
      </c>
      <c r="V92" s="40">
        <f t="shared" si="3"/>
        <v>598722840</v>
      </c>
      <c r="W92" s="40">
        <f t="shared" si="4"/>
        <v>373277820</v>
      </c>
      <c r="X92" s="2"/>
      <c r="Y92" s="2"/>
      <c r="Z92" s="2"/>
    </row>
    <row r="93" ht="12.75" customHeight="1">
      <c r="A93" s="2"/>
      <c r="B93" s="8" t="s">
        <v>167</v>
      </c>
      <c r="C93" s="8" t="s">
        <v>27</v>
      </c>
      <c r="D93" s="8">
        <v>14.0</v>
      </c>
      <c r="E93" s="20">
        <v>50.0</v>
      </c>
      <c r="F93" s="20">
        <v>0.0</v>
      </c>
      <c r="G93" s="20">
        <v>0.0</v>
      </c>
      <c r="H93" s="21">
        <v>0.0</v>
      </c>
      <c r="I93" s="20">
        <v>0.0</v>
      </c>
      <c r="J93" s="20">
        <v>50.0</v>
      </c>
      <c r="K93" s="20">
        <f t="shared" si="1"/>
        <v>50</v>
      </c>
      <c r="L93" s="20">
        <v>0.0</v>
      </c>
      <c r="M93" s="20">
        <v>0.0</v>
      </c>
      <c r="N93" s="22">
        <v>27.0</v>
      </c>
      <c r="O93" s="20">
        <f t="shared" si="14"/>
        <v>0</v>
      </c>
      <c r="P93" s="39">
        <v>0.0</v>
      </c>
      <c r="Q93" s="20">
        <v>0.0</v>
      </c>
      <c r="R93" s="20">
        <v>0.0</v>
      </c>
      <c r="S93" s="20">
        <v>0.0</v>
      </c>
      <c r="T93" s="2"/>
      <c r="U93" s="2">
        <v>504524.99999999994</v>
      </c>
      <c r="V93" s="40">
        <f t="shared" si="3"/>
        <v>25226250</v>
      </c>
      <c r="W93" s="40">
        <f t="shared" si="4"/>
        <v>0</v>
      </c>
      <c r="X93" s="2"/>
      <c r="Y93" s="2"/>
      <c r="Z93" s="2"/>
    </row>
    <row r="94" ht="12.75" customHeight="1">
      <c r="A94" s="2"/>
      <c r="B94" s="8" t="s">
        <v>142</v>
      </c>
      <c r="C94" s="8" t="s">
        <v>27</v>
      </c>
      <c r="D94" s="8">
        <v>14.0</v>
      </c>
      <c r="E94" s="20">
        <v>697.0</v>
      </c>
      <c r="F94" s="20">
        <v>450.0</v>
      </c>
      <c r="G94" s="20">
        <v>0.0</v>
      </c>
      <c r="H94" s="21">
        <v>0.0</v>
      </c>
      <c r="I94" s="20">
        <v>0.0</v>
      </c>
      <c r="J94" s="20">
        <v>677.0</v>
      </c>
      <c r="K94" s="20">
        <f t="shared" si="1"/>
        <v>677</v>
      </c>
      <c r="L94" s="20">
        <v>470.0</v>
      </c>
      <c r="M94" s="20">
        <v>514.545454545455</v>
      </c>
      <c r="N94" s="22">
        <v>27.0</v>
      </c>
      <c r="O94" s="20">
        <f t="shared" si="14"/>
        <v>20.52101517</v>
      </c>
      <c r="P94" s="39">
        <v>0.6942392909896603</v>
      </c>
      <c r="Q94" s="20">
        <v>0.0</v>
      </c>
      <c r="R94" s="20">
        <v>200.0</v>
      </c>
      <c r="S94" s="20">
        <v>0.0</v>
      </c>
      <c r="T94" s="2"/>
      <c r="U94" s="2">
        <v>848935.0</v>
      </c>
      <c r="V94" s="40">
        <f t="shared" si="3"/>
        <v>574728995</v>
      </c>
      <c r="W94" s="40">
        <f t="shared" si="4"/>
        <v>436815645.5</v>
      </c>
      <c r="X94" s="4" t="s">
        <v>176</v>
      </c>
      <c r="Y94" s="2"/>
      <c r="Z94" s="2"/>
    </row>
    <row r="95" ht="18.75" customHeight="1">
      <c r="A95" s="31"/>
      <c r="B95" s="25" t="s">
        <v>98</v>
      </c>
      <c r="C95" s="26"/>
      <c r="D95" s="26"/>
      <c r="E95" s="27">
        <f t="shared" ref="E95:M95" si="15">SUM(E4:E94)</f>
        <v>19344.55</v>
      </c>
      <c r="F95" s="27">
        <f t="shared" si="15"/>
        <v>12786</v>
      </c>
      <c r="G95" s="27">
        <f t="shared" si="15"/>
        <v>0</v>
      </c>
      <c r="H95" s="27">
        <f t="shared" si="15"/>
        <v>21</v>
      </c>
      <c r="I95" s="27">
        <f t="shared" si="15"/>
        <v>-48</v>
      </c>
      <c r="J95" s="27">
        <f t="shared" si="15"/>
        <v>15712</v>
      </c>
      <c r="K95" s="27">
        <f t="shared" si="15"/>
        <v>15664</v>
      </c>
      <c r="L95" s="27">
        <f t="shared" si="15"/>
        <v>16487.55</v>
      </c>
      <c r="M95" s="27">
        <f t="shared" si="15"/>
        <v>17995.39459</v>
      </c>
      <c r="N95" s="28">
        <v>27.0</v>
      </c>
      <c r="O95" s="28">
        <f t="shared" si="14"/>
        <v>31.01861937</v>
      </c>
      <c r="P95" s="41">
        <f>+L95/($I95+$J95)*$N$4</f>
        <v>28.4195512</v>
      </c>
      <c r="Q95" s="27">
        <f t="shared" ref="Q95:S95" si="16">SUM(Q4:Q94)</f>
        <v>753.5</v>
      </c>
      <c r="R95" s="27">
        <f t="shared" si="16"/>
        <v>9238.5</v>
      </c>
      <c r="S95" s="27">
        <f t="shared" si="16"/>
        <v>150</v>
      </c>
      <c r="T95" s="31"/>
      <c r="U95" s="2"/>
      <c r="V95" s="42">
        <f t="shared" ref="V95:W95" si="17">SUM(V4:V94)</f>
        <v>14088775980</v>
      </c>
      <c r="W95" s="42">
        <f t="shared" si="17"/>
        <v>15487371337</v>
      </c>
      <c r="X95" s="27">
        <f>(W95/V95)*N94</f>
        <v>29.68029492</v>
      </c>
      <c r="Y95" s="31"/>
      <c r="Z95" s="31"/>
    </row>
    <row r="96" ht="18.75" customHeight="1">
      <c r="A96" s="2"/>
      <c r="B96" s="1"/>
      <c r="C96" s="2"/>
      <c r="D96" s="2"/>
      <c r="E96" s="33"/>
      <c r="F96" s="33"/>
      <c r="G96" s="33"/>
      <c r="H96" s="33"/>
      <c r="I96" s="33"/>
      <c r="J96" s="33"/>
      <c r="K96" s="33"/>
      <c r="L96" s="33"/>
      <c r="M96" s="33"/>
      <c r="N96" s="3"/>
      <c r="O96" s="33"/>
      <c r="P96" s="33"/>
      <c r="Q96" s="34"/>
      <c r="R96" s="33"/>
      <c r="S96" s="33"/>
      <c r="T96" s="33"/>
      <c r="U96" s="2"/>
      <c r="V96" s="40"/>
      <c r="W96" s="40"/>
      <c r="X96" s="2"/>
      <c r="Y96" s="2"/>
      <c r="Z96" s="2"/>
    </row>
    <row r="97" ht="12.75" customHeight="1">
      <c r="A97" s="2"/>
      <c r="B97" s="2" t="s">
        <v>99</v>
      </c>
      <c r="C97" s="35">
        <v>24.9</v>
      </c>
      <c r="D97" s="2" t="s">
        <v>100</v>
      </c>
      <c r="E97" s="2"/>
      <c r="F97" s="2"/>
      <c r="G97" s="2"/>
      <c r="H97" s="2"/>
      <c r="I97" s="2"/>
      <c r="J97" s="2"/>
      <c r="K97" s="2"/>
      <c r="L97" s="2"/>
      <c r="M97" s="2"/>
      <c r="N97" s="3"/>
      <c r="O97" s="2"/>
      <c r="P97" s="2"/>
      <c r="Q97" s="2"/>
      <c r="R97" s="2"/>
      <c r="S97" s="2"/>
      <c r="T97" s="2"/>
      <c r="U97" s="2"/>
      <c r="V97" s="40"/>
      <c r="W97" s="40"/>
      <c r="X97" s="2"/>
      <c r="Y97" s="2"/>
      <c r="Z97" s="2"/>
    </row>
    <row r="98" ht="12.75" customHeight="1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2"/>
      <c r="P98" s="2"/>
      <c r="Q98" s="2"/>
      <c r="R98" s="2"/>
      <c r="S98" s="2"/>
      <c r="T98" s="2"/>
      <c r="U98" s="2"/>
      <c r="V98" s="40"/>
      <c r="W98" s="40"/>
      <c r="X98" s="2"/>
      <c r="Y98" s="2"/>
      <c r="Z98" s="2"/>
    </row>
    <row r="99" ht="12.75" customHeight="1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2"/>
      <c r="P99" s="2"/>
      <c r="Q99" s="2"/>
      <c r="R99" s="2"/>
      <c r="S99" s="2"/>
      <c r="T99" s="2"/>
      <c r="U99" s="2"/>
      <c r="V99" s="40"/>
      <c r="W99" s="40"/>
      <c r="X99" s="2"/>
      <c r="Y99" s="2"/>
      <c r="Z99" s="2"/>
    </row>
    <row r="100" ht="12.75" customHeight="1">
      <c r="A100" s="2"/>
      <c r="B100" s="1"/>
      <c r="C100" s="36"/>
      <c r="D100" s="36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2"/>
      <c r="P100" s="2"/>
      <c r="Q100" s="2"/>
      <c r="R100" s="2"/>
      <c r="S100" s="2"/>
      <c r="T100" s="2"/>
      <c r="U100" s="2"/>
      <c r="V100" s="40"/>
      <c r="W100" s="40"/>
      <c r="X100" s="2"/>
      <c r="Y100" s="2"/>
      <c r="Z100" s="2"/>
    </row>
    <row r="101" ht="12.75" customHeight="1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71"/>
    <col customWidth="1" min="2" max="2" width="17.86"/>
    <col customWidth="1" min="3" max="3" width="15.0"/>
    <col customWidth="1" min="4" max="11" width="11.43"/>
    <col customWidth="1" min="12" max="12" width="12.71"/>
    <col customWidth="1" min="13" max="13" width="11.57"/>
    <col customWidth="1" min="14" max="14" width="11.43"/>
    <col customWidth="1" min="15" max="15" width="11.71"/>
    <col customWidth="1" min="16" max="16" width="8.86"/>
    <col customWidth="1" min="17" max="18" width="13.29"/>
    <col customWidth="1" min="19" max="19" width="7.86"/>
    <col customWidth="1" min="20" max="20" width="13.71"/>
    <col customWidth="1" min="21" max="21" width="13.0"/>
    <col customWidth="1" min="22" max="23" width="15.43"/>
    <col customWidth="1" min="24" max="24" width="15.57"/>
    <col customWidth="1" min="25" max="26" width="8.71"/>
  </cols>
  <sheetData>
    <row r="1" ht="12.75" customHeight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4" t="s">
        <v>0</v>
      </c>
      <c r="U1" s="5">
        <v>0.0052</v>
      </c>
      <c r="V1" s="4" t="s">
        <v>1</v>
      </c>
      <c r="W1" s="45">
        <f>(W95*$U$1)/V95</f>
        <v>0.004096078127</v>
      </c>
      <c r="X1" s="2"/>
      <c r="Y1" s="2"/>
      <c r="Z1" s="2"/>
    </row>
    <row r="2" ht="12.75" customHeight="1">
      <c r="A2" s="2"/>
      <c r="B2" s="7"/>
      <c r="C2" s="8" t="s">
        <v>2</v>
      </c>
      <c r="D2" s="8"/>
      <c r="E2" s="9" t="s">
        <v>177</v>
      </c>
      <c r="F2" s="10"/>
      <c r="G2" s="11" t="s">
        <v>4</v>
      </c>
      <c r="H2" s="10"/>
      <c r="I2" s="10"/>
      <c r="J2" s="12"/>
      <c r="K2" s="12"/>
      <c r="L2" s="10"/>
      <c r="M2" s="10"/>
      <c r="N2" s="13"/>
      <c r="O2" s="8"/>
      <c r="P2" s="14"/>
      <c r="Q2" s="14"/>
      <c r="R2" s="10"/>
      <c r="S2" s="10"/>
      <c r="T2" s="10"/>
      <c r="U2" s="2"/>
      <c r="V2" s="2"/>
      <c r="W2" s="2"/>
      <c r="X2" s="2"/>
      <c r="Y2" s="2"/>
      <c r="Z2" s="2"/>
    </row>
    <row r="3" ht="12.75" customHeight="1">
      <c r="A3" s="2"/>
      <c r="B3" s="15" t="s">
        <v>5</v>
      </c>
      <c r="C3" s="15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7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38" t="s">
        <v>17</v>
      </c>
      <c r="O3" s="19" t="s">
        <v>18</v>
      </c>
      <c r="P3" s="19" t="s">
        <v>19</v>
      </c>
      <c r="Q3" s="18" t="s">
        <v>20</v>
      </c>
      <c r="R3" s="18" t="s">
        <v>21</v>
      </c>
      <c r="S3" s="18" t="s">
        <v>22</v>
      </c>
      <c r="T3" s="2"/>
      <c r="U3" s="18" t="s">
        <v>23</v>
      </c>
      <c r="V3" s="18" t="s">
        <v>102</v>
      </c>
      <c r="W3" s="18" t="s">
        <v>103</v>
      </c>
      <c r="X3" s="2"/>
      <c r="Y3" s="2"/>
      <c r="Z3" s="2"/>
    </row>
    <row r="4" ht="12.75" customHeight="1">
      <c r="A4" s="7"/>
      <c r="B4" s="8" t="s">
        <v>104</v>
      </c>
      <c r="C4" s="8" t="s">
        <v>27</v>
      </c>
      <c r="D4" s="8">
        <v>14.0</v>
      </c>
      <c r="E4" s="20">
        <v>127.0</v>
      </c>
      <c r="F4" s="20">
        <v>0.0</v>
      </c>
      <c r="G4" s="20">
        <v>0.0</v>
      </c>
      <c r="H4" s="20">
        <v>0.0</v>
      </c>
      <c r="I4" s="20">
        <v>32.0</v>
      </c>
      <c r="J4" s="20">
        <v>0.0</v>
      </c>
      <c r="K4" s="20">
        <v>32.0</v>
      </c>
      <c r="L4" s="20">
        <v>95.0</v>
      </c>
      <c r="M4" s="20">
        <v>106.0</v>
      </c>
      <c r="N4" s="22">
        <v>26.0</v>
      </c>
      <c r="O4" s="20">
        <v>86.125</v>
      </c>
      <c r="P4" s="39">
        <v>1.7638888888888888</v>
      </c>
      <c r="Q4" s="20">
        <v>0.0</v>
      </c>
      <c r="R4" s="20">
        <v>0.0</v>
      </c>
      <c r="S4" s="20">
        <v>0.0</v>
      </c>
      <c r="T4" s="2"/>
      <c r="U4" s="20">
        <v>1631375.0</v>
      </c>
      <c r="V4" s="40">
        <f t="shared" ref="V4:V94" si="1">U4*(I4+J4)</f>
        <v>52204000</v>
      </c>
      <c r="W4" s="40">
        <f t="shared" ref="W4:W94" si="2">U4*M4</f>
        <v>172925750</v>
      </c>
      <c r="X4" s="2"/>
      <c r="Y4" s="2"/>
      <c r="Z4" s="2"/>
    </row>
    <row r="5" ht="12.75" customHeight="1">
      <c r="A5" s="7"/>
      <c r="B5" s="8" t="s">
        <v>28</v>
      </c>
      <c r="C5" s="8" t="s">
        <v>27</v>
      </c>
      <c r="D5" s="8">
        <v>14.0</v>
      </c>
      <c r="E5" s="20">
        <v>1.0</v>
      </c>
      <c r="F5" s="20">
        <v>92.0</v>
      </c>
      <c r="G5" s="20">
        <v>0.0</v>
      </c>
      <c r="H5" s="20">
        <v>0.0</v>
      </c>
      <c r="I5" s="20">
        <v>25.0</v>
      </c>
      <c r="J5" s="20">
        <v>0.0</v>
      </c>
      <c r="K5" s="20">
        <v>25.0</v>
      </c>
      <c r="L5" s="20">
        <v>68.0</v>
      </c>
      <c r="M5" s="20">
        <v>77.3333333333333</v>
      </c>
      <c r="N5" s="22">
        <v>26.0</v>
      </c>
      <c r="O5" s="20">
        <v>80.42666666666663</v>
      </c>
      <c r="P5" s="39">
        <v>0.012345679012345678</v>
      </c>
      <c r="Q5" s="20">
        <v>0.0</v>
      </c>
      <c r="R5" s="20">
        <v>100.0</v>
      </c>
      <c r="S5" s="20">
        <v>0.0</v>
      </c>
      <c r="T5" s="2"/>
      <c r="U5" s="20">
        <v>844750.0</v>
      </c>
      <c r="V5" s="40">
        <f t="shared" si="1"/>
        <v>21118750</v>
      </c>
      <c r="W5" s="40">
        <f t="shared" si="2"/>
        <v>65327333.33</v>
      </c>
      <c r="X5" s="2"/>
      <c r="Y5" s="2"/>
      <c r="Z5" s="2"/>
    </row>
    <row r="6" ht="12.75" customHeight="1">
      <c r="A6" s="7"/>
      <c r="B6" s="8" t="s">
        <v>29</v>
      </c>
      <c r="C6" s="8" t="s">
        <v>27</v>
      </c>
      <c r="D6" s="8">
        <v>14.0</v>
      </c>
      <c r="E6" s="20">
        <v>136.0</v>
      </c>
      <c r="F6" s="20">
        <v>0.0</v>
      </c>
      <c r="G6" s="20">
        <v>0.0</v>
      </c>
      <c r="H6" s="20">
        <v>0.0</v>
      </c>
      <c r="I6" s="20">
        <v>70.0</v>
      </c>
      <c r="J6" s="20">
        <v>0.0</v>
      </c>
      <c r="K6" s="20">
        <v>70.0</v>
      </c>
      <c r="L6" s="20">
        <v>66.0</v>
      </c>
      <c r="M6" s="20">
        <v>94.2</v>
      </c>
      <c r="N6" s="22">
        <v>26.0</v>
      </c>
      <c r="O6" s="20">
        <v>34.98857142857143</v>
      </c>
      <c r="P6" s="39">
        <v>5.230769230769231</v>
      </c>
      <c r="Q6" s="20">
        <v>0.0</v>
      </c>
      <c r="R6" s="20">
        <v>0.0</v>
      </c>
      <c r="S6" s="20">
        <v>0.0</v>
      </c>
      <c r="T6" s="2"/>
      <c r="U6" s="20">
        <v>928605.0</v>
      </c>
      <c r="V6" s="40">
        <f t="shared" si="1"/>
        <v>65002350</v>
      </c>
      <c r="W6" s="40">
        <f t="shared" si="2"/>
        <v>87474591</v>
      </c>
      <c r="X6" s="2"/>
      <c r="Y6" s="2"/>
      <c r="Z6" s="2"/>
    </row>
    <row r="7" ht="12.75" customHeight="1">
      <c r="A7" s="7"/>
      <c r="B7" s="8" t="s">
        <v>30</v>
      </c>
      <c r="C7" s="8" t="s">
        <v>27</v>
      </c>
      <c r="D7" s="8">
        <v>14.0</v>
      </c>
      <c r="E7" s="20">
        <v>209.0</v>
      </c>
      <c r="F7" s="20">
        <v>261.0</v>
      </c>
      <c r="G7" s="20">
        <v>0.0</v>
      </c>
      <c r="H7" s="20">
        <v>0.0</v>
      </c>
      <c r="I7" s="20">
        <v>0.0</v>
      </c>
      <c r="J7" s="20">
        <v>238.0</v>
      </c>
      <c r="K7" s="20">
        <v>238.0</v>
      </c>
      <c r="L7" s="20">
        <v>232.0</v>
      </c>
      <c r="M7" s="20">
        <v>144.5</v>
      </c>
      <c r="N7" s="22">
        <v>26.0</v>
      </c>
      <c r="O7" s="20">
        <v>15.785714285714285</v>
      </c>
      <c r="P7" s="39">
        <v>0.5173267326732673</v>
      </c>
      <c r="Q7" s="20">
        <v>36.0</v>
      </c>
      <c r="R7" s="20">
        <v>0.0</v>
      </c>
      <c r="S7" s="20">
        <v>0.0</v>
      </c>
      <c r="T7" s="2"/>
      <c r="U7" s="20">
        <v>1329900.0</v>
      </c>
      <c r="V7" s="40">
        <f t="shared" si="1"/>
        <v>316516200</v>
      </c>
      <c r="W7" s="40">
        <f t="shared" si="2"/>
        <v>192170550</v>
      </c>
      <c r="X7" s="2"/>
      <c r="Y7" s="2"/>
      <c r="Z7" s="2"/>
    </row>
    <row r="8" ht="12.75" customHeight="1">
      <c r="A8" s="7"/>
      <c r="B8" s="8" t="s">
        <v>178</v>
      </c>
      <c r="C8" s="8" t="s">
        <v>27</v>
      </c>
      <c r="D8" s="8">
        <v>14.0</v>
      </c>
      <c r="E8" s="20">
        <v>216.0</v>
      </c>
      <c r="F8" s="20">
        <v>299.0</v>
      </c>
      <c r="G8" s="20">
        <v>0.0</v>
      </c>
      <c r="H8" s="20">
        <v>0.0</v>
      </c>
      <c r="I8" s="20">
        <v>383.0</v>
      </c>
      <c r="J8" s="20">
        <v>0.0</v>
      </c>
      <c r="K8" s="20">
        <v>383.0</v>
      </c>
      <c r="L8" s="20">
        <v>132.0</v>
      </c>
      <c r="M8" s="20">
        <v>209.375</v>
      </c>
      <c r="N8" s="22">
        <v>26.0</v>
      </c>
      <c r="O8" s="20">
        <v>14.213446475195823</v>
      </c>
      <c r="P8" s="39">
        <v>0.5974842767295597</v>
      </c>
      <c r="Q8" s="20">
        <v>0.0</v>
      </c>
      <c r="R8" s="20">
        <v>0.0</v>
      </c>
      <c r="S8" s="20">
        <v>0.0</v>
      </c>
      <c r="T8" s="2"/>
      <c r="U8" s="20">
        <v>865210.0</v>
      </c>
      <c r="V8" s="40">
        <f t="shared" si="1"/>
        <v>331375430</v>
      </c>
      <c r="W8" s="40">
        <f t="shared" si="2"/>
        <v>181153343.8</v>
      </c>
      <c r="X8" s="2"/>
      <c r="Y8" s="2"/>
      <c r="Z8" s="2"/>
    </row>
    <row r="9" ht="12.75" customHeight="1">
      <c r="A9" s="7"/>
      <c r="B9" s="8" t="s">
        <v>120</v>
      </c>
      <c r="C9" s="8" t="s">
        <v>27</v>
      </c>
      <c r="D9" s="8">
        <v>14.0</v>
      </c>
      <c r="E9" s="20">
        <v>95.0</v>
      </c>
      <c r="F9" s="20">
        <v>0.0</v>
      </c>
      <c r="G9" s="20">
        <v>0.0</v>
      </c>
      <c r="H9" s="20">
        <v>0.0</v>
      </c>
      <c r="I9" s="20">
        <v>90.0</v>
      </c>
      <c r="J9" s="20">
        <v>0.0</v>
      </c>
      <c r="K9" s="20">
        <v>90.0</v>
      </c>
      <c r="L9" s="20">
        <v>5.0</v>
      </c>
      <c r="M9" s="20">
        <v>5.0</v>
      </c>
      <c r="N9" s="22">
        <v>26.0</v>
      </c>
      <c r="O9" s="20">
        <v>1.4444444444444444</v>
      </c>
      <c r="P9" s="39">
        <v>0.22131147540983606</v>
      </c>
      <c r="Q9" s="20">
        <v>0.0</v>
      </c>
      <c r="R9" s="20">
        <v>162.0</v>
      </c>
      <c r="S9" s="20">
        <v>0.0</v>
      </c>
      <c r="T9" s="2"/>
      <c r="U9" s="20">
        <v>865210.0</v>
      </c>
      <c r="V9" s="40">
        <f t="shared" si="1"/>
        <v>77868900</v>
      </c>
      <c r="W9" s="40">
        <f t="shared" si="2"/>
        <v>4326050</v>
      </c>
      <c r="X9" s="2"/>
      <c r="Y9" s="2"/>
      <c r="Z9" s="2"/>
    </row>
    <row r="10" ht="12.75" customHeight="1">
      <c r="A10" s="7"/>
      <c r="B10" s="8" t="s">
        <v>121</v>
      </c>
      <c r="C10" s="8" t="s">
        <v>27</v>
      </c>
      <c r="D10" s="8">
        <v>14.0</v>
      </c>
      <c r="E10" s="20">
        <v>108.0</v>
      </c>
      <c r="F10" s="20">
        <v>168.0</v>
      </c>
      <c r="G10" s="20">
        <v>0.0</v>
      </c>
      <c r="H10" s="20">
        <v>0.0</v>
      </c>
      <c r="I10" s="20">
        <v>276.0</v>
      </c>
      <c r="J10" s="20">
        <v>0.0</v>
      </c>
      <c r="K10" s="20">
        <v>276.0</v>
      </c>
      <c r="L10" s="20">
        <v>0.0</v>
      </c>
      <c r="M10" s="20">
        <v>110.57142857142901</v>
      </c>
      <c r="N10" s="22">
        <v>26.0</v>
      </c>
      <c r="O10" s="20">
        <v>0.0</v>
      </c>
      <c r="P10" s="39">
        <v>0.0</v>
      </c>
      <c r="Q10" s="20">
        <v>0.0</v>
      </c>
      <c r="R10" s="20">
        <v>0.0</v>
      </c>
      <c r="S10" s="20">
        <v>0.0</v>
      </c>
      <c r="T10" s="2"/>
      <c r="U10" s="20">
        <v>865210.0</v>
      </c>
      <c r="V10" s="40">
        <f t="shared" si="1"/>
        <v>238797960</v>
      </c>
      <c r="W10" s="40">
        <f t="shared" si="2"/>
        <v>95667505.71</v>
      </c>
      <c r="X10" s="2"/>
      <c r="Y10" s="2"/>
      <c r="Z10" s="2"/>
    </row>
    <row r="11" ht="12.75" customHeight="1">
      <c r="A11" s="7"/>
      <c r="B11" s="8" t="s">
        <v>31</v>
      </c>
      <c r="C11" s="8" t="s">
        <v>27</v>
      </c>
      <c r="D11" s="8">
        <v>14.0</v>
      </c>
      <c r="E11" s="20">
        <v>305.0</v>
      </c>
      <c r="F11" s="20">
        <v>0.0</v>
      </c>
      <c r="G11" s="20">
        <v>0.0</v>
      </c>
      <c r="H11" s="20">
        <v>0.0</v>
      </c>
      <c r="I11" s="20">
        <v>197.0</v>
      </c>
      <c r="J11" s="20">
        <v>0.0</v>
      </c>
      <c r="K11" s="20">
        <v>197.0</v>
      </c>
      <c r="L11" s="20">
        <v>108.0</v>
      </c>
      <c r="M11" s="20">
        <v>182.75</v>
      </c>
      <c r="N11" s="22">
        <v>26.0</v>
      </c>
      <c r="O11" s="20">
        <v>24.119289340101524</v>
      </c>
      <c r="P11" s="39">
        <v>22.2</v>
      </c>
      <c r="Q11" s="20">
        <v>2.0</v>
      </c>
      <c r="R11" s="20">
        <v>0.0</v>
      </c>
      <c r="S11" s="20">
        <v>0.0</v>
      </c>
      <c r="T11" s="2"/>
      <c r="U11" s="20">
        <v>841116.0</v>
      </c>
      <c r="V11" s="40">
        <f t="shared" si="1"/>
        <v>165699852</v>
      </c>
      <c r="W11" s="40">
        <f t="shared" si="2"/>
        <v>153713949</v>
      </c>
      <c r="X11" s="2"/>
      <c r="Y11" s="2"/>
      <c r="Z11" s="2"/>
    </row>
    <row r="12" ht="12.75" customHeight="1">
      <c r="A12" s="7"/>
      <c r="B12" s="8" t="s">
        <v>32</v>
      </c>
      <c r="C12" s="8" t="s">
        <v>27</v>
      </c>
      <c r="D12" s="8">
        <v>14.0</v>
      </c>
      <c r="E12" s="20">
        <v>111.0</v>
      </c>
      <c r="F12" s="20">
        <v>0.0</v>
      </c>
      <c r="G12" s="20">
        <v>0.0</v>
      </c>
      <c r="H12" s="20">
        <v>0.0</v>
      </c>
      <c r="I12" s="20">
        <v>16.0</v>
      </c>
      <c r="J12" s="20">
        <v>0.0</v>
      </c>
      <c r="K12" s="20">
        <v>16.0</v>
      </c>
      <c r="L12" s="20">
        <v>95.0</v>
      </c>
      <c r="M12" s="20">
        <v>98.0</v>
      </c>
      <c r="N12" s="22">
        <v>26.0</v>
      </c>
      <c r="O12" s="20">
        <v>159.25</v>
      </c>
      <c r="P12" s="39">
        <v>1.9457831325301205</v>
      </c>
      <c r="Q12" s="20">
        <v>0.0</v>
      </c>
      <c r="R12" s="20">
        <v>0.0</v>
      </c>
      <c r="S12" s="20">
        <v>0.0</v>
      </c>
      <c r="T12" s="2"/>
      <c r="U12" s="20">
        <v>928605.0</v>
      </c>
      <c r="V12" s="40">
        <f t="shared" si="1"/>
        <v>14857680</v>
      </c>
      <c r="W12" s="40">
        <f t="shared" si="2"/>
        <v>91003290</v>
      </c>
      <c r="X12" s="2"/>
      <c r="Y12" s="2"/>
      <c r="Z12" s="2"/>
    </row>
    <row r="13" ht="12.75" customHeight="1">
      <c r="A13" s="7"/>
      <c r="B13" s="8" t="s">
        <v>122</v>
      </c>
      <c r="C13" s="8" t="s">
        <v>27</v>
      </c>
      <c r="D13" s="8">
        <v>14.0</v>
      </c>
      <c r="E13" s="20">
        <v>323.0</v>
      </c>
      <c r="F13" s="20">
        <v>0.0</v>
      </c>
      <c r="G13" s="20">
        <v>0.0</v>
      </c>
      <c r="H13" s="20">
        <v>0.0</v>
      </c>
      <c r="I13" s="20">
        <v>0.0</v>
      </c>
      <c r="J13" s="20">
        <v>124.0</v>
      </c>
      <c r="K13" s="20">
        <v>124.0</v>
      </c>
      <c r="L13" s="20">
        <v>199.0</v>
      </c>
      <c r="M13" s="20">
        <v>199.0</v>
      </c>
      <c r="N13" s="22">
        <v>26.0</v>
      </c>
      <c r="O13" s="20">
        <v>0.0</v>
      </c>
      <c r="P13" s="39">
        <v>0.0</v>
      </c>
      <c r="Q13" s="20">
        <v>0.0</v>
      </c>
      <c r="R13" s="20">
        <v>100.0</v>
      </c>
      <c r="S13" s="20">
        <v>0.0</v>
      </c>
      <c r="T13" s="2"/>
      <c r="U13" s="20">
        <v>139965.0</v>
      </c>
      <c r="V13" s="40">
        <f t="shared" si="1"/>
        <v>17355660</v>
      </c>
      <c r="W13" s="40">
        <f t="shared" si="2"/>
        <v>27853035</v>
      </c>
      <c r="X13" s="2"/>
      <c r="Y13" s="2"/>
      <c r="Z13" s="2"/>
    </row>
    <row r="14" ht="12.75" customHeight="1">
      <c r="A14" s="7"/>
      <c r="B14" s="8" t="s">
        <v>105</v>
      </c>
      <c r="C14" s="8" t="s">
        <v>27</v>
      </c>
      <c r="D14" s="8">
        <v>14.0</v>
      </c>
      <c r="E14" s="20">
        <v>0.0</v>
      </c>
      <c r="F14" s="20">
        <v>105.0</v>
      </c>
      <c r="G14" s="20">
        <v>0.0</v>
      </c>
      <c r="H14" s="20">
        <v>0.0</v>
      </c>
      <c r="I14" s="20">
        <v>0.0</v>
      </c>
      <c r="J14" s="20">
        <v>105.0</v>
      </c>
      <c r="K14" s="20">
        <v>105.0</v>
      </c>
      <c r="L14" s="20">
        <v>0.0</v>
      </c>
      <c r="M14" s="20">
        <v>52.5</v>
      </c>
      <c r="N14" s="22">
        <v>26.0</v>
      </c>
      <c r="O14" s="20">
        <v>13.0</v>
      </c>
      <c r="P14" s="39">
        <v>2.542183622828784</v>
      </c>
      <c r="Q14" s="20">
        <v>0.0</v>
      </c>
      <c r="R14" s="20">
        <v>0.0</v>
      </c>
      <c r="S14" s="20">
        <v>0.0</v>
      </c>
      <c r="T14" s="2"/>
      <c r="U14" s="20">
        <v>165230.0</v>
      </c>
      <c r="V14" s="40">
        <f t="shared" si="1"/>
        <v>17349150</v>
      </c>
      <c r="W14" s="40">
        <f t="shared" si="2"/>
        <v>8674575</v>
      </c>
      <c r="X14" s="2"/>
      <c r="Y14" s="2"/>
      <c r="Z14" s="2"/>
    </row>
    <row r="15" ht="12.75" customHeight="1">
      <c r="A15" s="7"/>
      <c r="B15" s="8" t="s">
        <v>106</v>
      </c>
      <c r="C15" s="8" t="s">
        <v>27</v>
      </c>
      <c r="D15" s="8">
        <v>14.0</v>
      </c>
      <c r="E15" s="20">
        <v>2049.0</v>
      </c>
      <c r="F15" s="20">
        <v>0.0</v>
      </c>
      <c r="G15" s="20">
        <v>0.0</v>
      </c>
      <c r="H15" s="20">
        <v>0.0</v>
      </c>
      <c r="I15" s="20">
        <v>0.0</v>
      </c>
      <c r="J15" s="20">
        <v>498.0</v>
      </c>
      <c r="K15" s="20">
        <v>498.0</v>
      </c>
      <c r="L15" s="20">
        <v>1551.0</v>
      </c>
      <c r="M15" s="20">
        <v>1691.0</v>
      </c>
      <c r="N15" s="22">
        <v>26.0</v>
      </c>
      <c r="O15" s="20">
        <v>0.0</v>
      </c>
      <c r="P15" s="39">
        <v>0.0</v>
      </c>
      <c r="Q15" s="20">
        <v>0.0</v>
      </c>
      <c r="R15" s="20">
        <v>0.0</v>
      </c>
      <c r="S15" s="20">
        <v>0.0</v>
      </c>
      <c r="T15" s="2"/>
      <c r="U15" s="20">
        <v>139965.0</v>
      </c>
      <c r="V15" s="40">
        <f t="shared" si="1"/>
        <v>69702570</v>
      </c>
      <c r="W15" s="40">
        <f t="shared" si="2"/>
        <v>236680815</v>
      </c>
      <c r="X15" s="2"/>
      <c r="Y15" s="2"/>
      <c r="Z15" s="2"/>
    </row>
    <row r="16" ht="12.75" customHeight="1">
      <c r="A16" s="7"/>
      <c r="B16" s="8" t="s">
        <v>107</v>
      </c>
      <c r="C16" s="8" t="s">
        <v>27</v>
      </c>
      <c r="D16" s="8">
        <v>14.0</v>
      </c>
      <c r="E16" s="20">
        <v>0.25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0.25</v>
      </c>
      <c r="M16" s="20">
        <v>0.0</v>
      </c>
      <c r="N16" s="22">
        <v>26.0</v>
      </c>
      <c r="O16" s="20">
        <v>0.0</v>
      </c>
      <c r="P16" s="39">
        <v>0.19008264462809918</v>
      </c>
      <c r="Q16" s="20">
        <v>16.0</v>
      </c>
      <c r="R16" s="20">
        <v>95.0</v>
      </c>
      <c r="S16" s="20">
        <v>0.0</v>
      </c>
      <c r="T16" s="2"/>
      <c r="U16" s="20">
        <v>139965.0</v>
      </c>
      <c r="V16" s="40">
        <f t="shared" si="1"/>
        <v>0</v>
      </c>
      <c r="W16" s="40">
        <f t="shared" si="2"/>
        <v>0</v>
      </c>
      <c r="X16" s="2"/>
      <c r="Y16" s="2"/>
      <c r="Z16" s="2"/>
    </row>
    <row r="17" ht="12.75" customHeight="1">
      <c r="A17" s="7"/>
      <c r="B17" s="8" t="s">
        <v>34</v>
      </c>
      <c r="C17" s="8" t="s">
        <v>27</v>
      </c>
      <c r="D17" s="8">
        <v>14.0</v>
      </c>
      <c r="E17" s="20">
        <v>23.0</v>
      </c>
      <c r="F17" s="20">
        <v>103.0</v>
      </c>
      <c r="G17" s="20">
        <v>0.0</v>
      </c>
      <c r="H17" s="20">
        <v>0.0</v>
      </c>
      <c r="I17" s="20">
        <v>0.0</v>
      </c>
      <c r="J17" s="20">
        <v>112.0</v>
      </c>
      <c r="K17" s="20">
        <v>112.0</v>
      </c>
      <c r="L17" s="20">
        <v>14.0</v>
      </c>
      <c r="M17" s="20">
        <v>39.72222222222219</v>
      </c>
      <c r="N17" s="22">
        <v>26.0</v>
      </c>
      <c r="O17" s="20">
        <v>9.221230158730151</v>
      </c>
      <c r="P17" s="39">
        <v>2.4895833333333335</v>
      </c>
      <c r="Q17" s="20">
        <v>0.0</v>
      </c>
      <c r="R17" s="20">
        <v>0.0</v>
      </c>
      <c r="S17" s="20">
        <v>0.0</v>
      </c>
      <c r="T17" s="2"/>
      <c r="U17" s="20">
        <v>3438210.0</v>
      </c>
      <c r="V17" s="40">
        <f t="shared" si="1"/>
        <v>385079520</v>
      </c>
      <c r="W17" s="40">
        <f t="shared" si="2"/>
        <v>136573341.7</v>
      </c>
      <c r="X17" s="2"/>
      <c r="Y17" s="2"/>
      <c r="Z17" s="2"/>
    </row>
    <row r="18" ht="12.75" customHeight="1">
      <c r="A18" s="7"/>
      <c r="B18" s="8" t="s">
        <v>35</v>
      </c>
      <c r="C18" s="8" t="s">
        <v>27</v>
      </c>
      <c r="D18" s="8">
        <v>14.0</v>
      </c>
      <c r="E18" s="20">
        <v>956.0</v>
      </c>
      <c r="F18" s="20">
        <v>0.0</v>
      </c>
      <c r="G18" s="20">
        <v>0.0</v>
      </c>
      <c r="H18" s="20">
        <v>0.0</v>
      </c>
      <c r="I18" s="20">
        <v>0.0</v>
      </c>
      <c r="J18" s="20">
        <v>576.0</v>
      </c>
      <c r="K18" s="20">
        <v>576.0</v>
      </c>
      <c r="L18" s="20">
        <v>380.0</v>
      </c>
      <c r="M18" s="20">
        <v>572.0</v>
      </c>
      <c r="N18" s="22">
        <v>26.0</v>
      </c>
      <c r="O18" s="20">
        <v>25.819444444444446</v>
      </c>
      <c r="P18" s="39">
        <v>8.454545454545455</v>
      </c>
      <c r="Q18" s="20">
        <v>0.0</v>
      </c>
      <c r="R18" s="20">
        <v>0.0</v>
      </c>
      <c r="S18" s="20">
        <v>0.0</v>
      </c>
      <c r="T18" s="2"/>
      <c r="U18" s="20">
        <v>165230.0</v>
      </c>
      <c r="V18" s="40">
        <f t="shared" si="1"/>
        <v>95172480</v>
      </c>
      <c r="W18" s="40">
        <f t="shared" si="2"/>
        <v>94511560</v>
      </c>
      <c r="X18" s="2"/>
      <c r="Y18" s="2"/>
      <c r="Z18" s="2"/>
    </row>
    <row r="19" ht="12.75" customHeight="1">
      <c r="A19" s="7"/>
      <c r="B19" s="8" t="s">
        <v>36</v>
      </c>
      <c r="C19" s="8" t="s">
        <v>27</v>
      </c>
      <c r="D19" s="8">
        <v>14.0</v>
      </c>
      <c r="E19" s="20">
        <v>186.0</v>
      </c>
      <c r="F19" s="20">
        <v>0.0</v>
      </c>
      <c r="G19" s="20">
        <v>0.0</v>
      </c>
      <c r="H19" s="20">
        <v>0.0</v>
      </c>
      <c r="I19" s="20">
        <v>22.0</v>
      </c>
      <c r="J19" s="20">
        <v>0.0</v>
      </c>
      <c r="K19" s="20">
        <v>22.0</v>
      </c>
      <c r="L19" s="20">
        <v>164.0</v>
      </c>
      <c r="M19" s="20">
        <v>172.4</v>
      </c>
      <c r="N19" s="22">
        <v>26.0</v>
      </c>
      <c r="O19" s="20">
        <v>203.74545454545455</v>
      </c>
      <c r="P19" s="39">
        <v>2.75</v>
      </c>
      <c r="Q19" s="20">
        <v>0.0</v>
      </c>
      <c r="R19" s="20">
        <v>15.0</v>
      </c>
      <c r="S19" s="20">
        <v>0.0</v>
      </c>
      <c r="T19" s="2"/>
      <c r="U19" s="20">
        <v>1516675.0</v>
      </c>
      <c r="V19" s="40">
        <f t="shared" si="1"/>
        <v>33366850</v>
      </c>
      <c r="W19" s="40">
        <f t="shared" si="2"/>
        <v>261474770</v>
      </c>
      <c r="X19" s="2"/>
      <c r="Y19" s="2"/>
      <c r="Z19" s="2"/>
    </row>
    <row r="20" ht="12.75" customHeight="1">
      <c r="A20" s="7"/>
      <c r="B20" s="8" t="s">
        <v>123</v>
      </c>
      <c r="C20" s="8" t="s">
        <v>27</v>
      </c>
      <c r="D20" s="8">
        <v>14.0</v>
      </c>
      <c r="E20" s="20">
        <v>11.0</v>
      </c>
      <c r="F20" s="20">
        <v>15.0</v>
      </c>
      <c r="G20" s="20">
        <v>0.0</v>
      </c>
      <c r="H20" s="20">
        <v>0.0</v>
      </c>
      <c r="I20" s="20">
        <v>9.0</v>
      </c>
      <c r="J20" s="20">
        <v>0.0</v>
      </c>
      <c r="K20" s="20">
        <v>9.0</v>
      </c>
      <c r="L20" s="20">
        <v>17.0</v>
      </c>
      <c r="M20" s="20">
        <v>16.75</v>
      </c>
      <c r="N20" s="22">
        <v>26.0</v>
      </c>
      <c r="O20" s="20">
        <v>48.38888888888889</v>
      </c>
      <c r="P20" s="39">
        <v>18.0</v>
      </c>
      <c r="Q20" s="20">
        <v>0.0</v>
      </c>
      <c r="R20" s="20">
        <v>0.0</v>
      </c>
      <c r="S20" s="20">
        <v>0.0</v>
      </c>
      <c r="T20" s="2"/>
      <c r="U20" s="20">
        <v>1516675.0</v>
      </c>
      <c r="V20" s="40">
        <f t="shared" si="1"/>
        <v>13650075</v>
      </c>
      <c r="W20" s="40">
        <f t="shared" si="2"/>
        <v>25404306.25</v>
      </c>
      <c r="X20" s="2"/>
      <c r="Y20" s="2"/>
      <c r="Z20" s="2"/>
    </row>
    <row r="21" ht="12.75" customHeight="1">
      <c r="A21" s="7"/>
      <c r="B21" s="8" t="s">
        <v>37</v>
      </c>
      <c r="C21" s="8" t="s">
        <v>27</v>
      </c>
      <c r="D21" s="8">
        <v>14.0</v>
      </c>
      <c r="E21" s="20">
        <v>54.0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54.0</v>
      </c>
      <c r="M21" s="20">
        <v>0.0</v>
      </c>
      <c r="N21" s="22">
        <v>26.0</v>
      </c>
      <c r="O21" s="20">
        <v>0.0</v>
      </c>
      <c r="P21" s="39">
        <v>1.7777777777777777</v>
      </c>
      <c r="Q21" s="20">
        <v>0.0</v>
      </c>
      <c r="R21" s="20">
        <v>0.0</v>
      </c>
      <c r="S21" s="20">
        <v>0.0</v>
      </c>
      <c r="T21" s="2"/>
      <c r="U21" s="20">
        <v>1516675.0</v>
      </c>
      <c r="V21" s="40">
        <f t="shared" si="1"/>
        <v>0</v>
      </c>
      <c r="W21" s="40">
        <f t="shared" si="2"/>
        <v>0</v>
      </c>
      <c r="X21" s="2"/>
      <c r="Y21" s="2"/>
      <c r="Z21" s="2"/>
    </row>
    <row r="22" ht="12.75" customHeight="1">
      <c r="A22" s="7"/>
      <c r="B22" s="8" t="s">
        <v>38</v>
      </c>
      <c r="C22" s="8" t="s">
        <v>27</v>
      </c>
      <c r="D22" s="8">
        <v>14.0</v>
      </c>
      <c r="E22" s="20">
        <v>16.0</v>
      </c>
      <c r="F22" s="20">
        <v>0.0</v>
      </c>
      <c r="G22" s="20">
        <v>0.0</v>
      </c>
      <c r="H22" s="20">
        <v>0.0</v>
      </c>
      <c r="I22" s="20">
        <v>6.0</v>
      </c>
      <c r="J22" s="20">
        <v>0.0</v>
      </c>
      <c r="K22" s="20">
        <v>6.0</v>
      </c>
      <c r="L22" s="20">
        <v>10.0</v>
      </c>
      <c r="M22" s="20">
        <v>12.0</v>
      </c>
      <c r="N22" s="22">
        <v>26.0</v>
      </c>
      <c r="O22" s="20">
        <v>52.0</v>
      </c>
      <c r="P22" s="39">
        <v>1.4545454545454546</v>
      </c>
      <c r="Q22" s="20">
        <v>0.0</v>
      </c>
      <c r="R22" s="20">
        <v>0.0</v>
      </c>
      <c r="S22" s="20">
        <v>0.0</v>
      </c>
      <c r="T22" s="2"/>
      <c r="U22" s="20">
        <v>1516675.0</v>
      </c>
      <c r="V22" s="40">
        <f t="shared" si="1"/>
        <v>9100050</v>
      </c>
      <c r="W22" s="40">
        <f t="shared" si="2"/>
        <v>18200100</v>
      </c>
      <c r="X22" s="2"/>
      <c r="Y22" s="2"/>
      <c r="Z22" s="2"/>
    </row>
    <row r="23" ht="12.75" customHeight="1">
      <c r="A23" s="7"/>
      <c r="B23" s="8" t="s">
        <v>39</v>
      </c>
      <c r="C23" s="8" t="s">
        <v>27</v>
      </c>
      <c r="D23" s="8">
        <v>14.0</v>
      </c>
      <c r="E23" s="20">
        <v>16.0</v>
      </c>
      <c r="F23" s="20">
        <v>0.0</v>
      </c>
      <c r="G23" s="20">
        <v>0.0</v>
      </c>
      <c r="H23" s="20">
        <v>0.0</v>
      </c>
      <c r="I23" s="20">
        <v>11.0</v>
      </c>
      <c r="J23" s="20">
        <v>0.0</v>
      </c>
      <c r="K23" s="20">
        <v>11.0</v>
      </c>
      <c r="L23" s="20">
        <v>5.0</v>
      </c>
      <c r="M23" s="20">
        <v>10.4</v>
      </c>
      <c r="N23" s="22">
        <v>26.0</v>
      </c>
      <c r="O23" s="20">
        <v>24.581818181818182</v>
      </c>
      <c r="P23" s="39">
        <v>1.5454545454545454</v>
      </c>
      <c r="Q23" s="20">
        <v>0.0</v>
      </c>
      <c r="R23" s="20">
        <v>22.0</v>
      </c>
      <c r="S23" s="20">
        <v>0.0</v>
      </c>
      <c r="T23" s="2"/>
      <c r="U23" s="20">
        <v>1516675.0</v>
      </c>
      <c r="V23" s="40">
        <f t="shared" si="1"/>
        <v>16683425</v>
      </c>
      <c r="W23" s="40">
        <f t="shared" si="2"/>
        <v>15773420</v>
      </c>
      <c r="X23" s="2"/>
      <c r="Y23" s="2"/>
      <c r="Z23" s="2"/>
    </row>
    <row r="24" ht="12.75" customHeight="1">
      <c r="A24" s="7"/>
      <c r="B24" s="8" t="s">
        <v>145</v>
      </c>
      <c r="C24" s="8" t="s">
        <v>27</v>
      </c>
      <c r="D24" s="8">
        <v>14.0</v>
      </c>
      <c r="E24" s="20">
        <v>68.0</v>
      </c>
      <c r="F24" s="20">
        <v>22.0</v>
      </c>
      <c r="G24" s="20">
        <v>0.0</v>
      </c>
      <c r="H24" s="20">
        <v>0.0</v>
      </c>
      <c r="I24" s="20">
        <v>38.0</v>
      </c>
      <c r="J24" s="20">
        <v>0.0</v>
      </c>
      <c r="K24" s="20">
        <v>38.0</v>
      </c>
      <c r="L24" s="20">
        <v>52.0</v>
      </c>
      <c r="M24" s="20">
        <v>71.0</v>
      </c>
      <c r="N24" s="22">
        <v>26.0</v>
      </c>
      <c r="O24" s="20">
        <v>48.578947368421055</v>
      </c>
      <c r="P24" s="39">
        <v>12.0</v>
      </c>
      <c r="Q24" s="20">
        <v>0.0</v>
      </c>
      <c r="R24" s="20">
        <v>0.0</v>
      </c>
      <c r="S24" s="20">
        <v>0.0</v>
      </c>
      <c r="T24" s="2"/>
      <c r="U24" s="20">
        <v>1516675.0</v>
      </c>
      <c r="V24" s="40">
        <f t="shared" si="1"/>
        <v>57633650</v>
      </c>
      <c r="W24" s="40">
        <f t="shared" si="2"/>
        <v>107683925</v>
      </c>
      <c r="X24" s="2"/>
      <c r="Y24" s="2"/>
      <c r="Z24" s="2"/>
    </row>
    <row r="25" ht="12.75" customHeight="1">
      <c r="A25" s="7"/>
      <c r="B25" s="8" t="s">
        <v>41</v>
      </c>
      <c r="C25" s="8" t="s">
        <v>27</v>
      </c>
      <c r="D25" s="8">
        <v>14.0</v>
      </c>
      <c r="E25" s="20">
        <v>72.0</v>
      </c>
      <c r="F25" s="20">
        <v>0.0</v>
      </c>
      <c r="G25" s="20">
        <v>0.0</v>
      </c>
      <c r="H25" s="20">
        <v>0.0</v>
      </c>
      <c r="I25" s="20">
        <v>6.0</v>
      </c>
      <c r="J25" s="20">
        <v>0.0</v>
      </c>
      <c r="K25" s="20">
        <v>6.0</v>
      </c>
      <c r="L25" s="20">
        <v>66.0</v>
      </c>
      <c r="M25" s="20">
        <v>67.0</v>
      </c>
      <c r="N25" s="22">
        <v>26.0</v>
      </c>
      <c r="O25" s="20">
        <v>290.3333333333333</v>
      </c>
      <c r="P25" s="39">
        <v>1.0434782608695652</v>
      </c>
      <c r="Q25" s="20">
        <v>105.0</v>
      </c>
      <c r="R25" s="20">
        <v>0.0</v>
      </c>
      <c r="S25" s="20">
        <v>0.0</v>
      </c>
      <c r="T25" s="2"/>
      <c r="U25" s="20">
        <v>1516675.0</v>
      </c>
      <c r="V25" s="40">
        <f t="shared" si="1"/>
        <v>9100050</v>
      </c>
      <c r="W25" s="40">
        <f t="shared" si="2"/>
        <v>101617225</v>
      </c>
      <c r="X25" s="2"/>
      <c r="Y25" s="2"/>
      <c r="Z25" s="2"/>
    </row>
    <row r="26" ht="12.75" customHeight="1">
      <c r="A26" s="7"/>
      <c r="B26" s="8" t="s">
        <v>166</v>
      </c>
      <c r="C26" s="8" t="s">
        <v>27</v>
      </c>
      <c r="D26" s="8">
        <v>14.0</v>
      </c>
      <c r="E26" s="20">
        <v>24.0</v>
      </c>
      <c r="F26" s="20">
        <v>85.0</v>
      </c>
      <c r="G26" s="20">
        <v>0.0</v>
      </c>
      <c r="H26" s="20">
        <v>0.0</v>
      </c>
      <c r="I26" s="20">
        <v>60.0</v>
      </c>
      <c r="J26" s="20">
        <v>0.0</v>
      </c>
      <c r="K26" s="20">
        <v>60.0</v>
      </c>
      <c r="L26" s="20">
        <v>49.0</v>
      </c>
      <c r="M26" s="20">
        <v>44.6666666666667</v>
      </c>
      <c r="N26" s="22">
        <v>26.0</v>
      </c>
      <c r="O26" s="20">
        <v>0.0</v>
      </c>
      <c r="P26" s="39">
        <v>0.0</v>
      </c>
      <c r="Q26" s="20">
        <v>0.0</v>
      </c>
      <c r="R26" s="20">
        <v>0.0</v>
      </c>
      <c r="S26" s="20">
        <v>0.0</v>
      </c>
      <c r="T26" s="2"/>
      <c r="U26" s="20">
        <v>1345865.0</v>
      </c>
      <c r="V26" s="40">
        <f t="shared" si="1"/>
        <v>80751900</v>
      </c>
      <c r="W26" s="40">
        <f t="shared" si="2"/>
        <v>60115303.33</v>
      </c>
      <c r="X26" s="2"/>
      <c r="Y26" s="2"/>
      <c r="Z26" s="2"/>
    </row>
    <row r="27" ht="12.75" customHeight="1">
      <c r="A27" s="7"/>
      <c r="B27" s="8" t="s">
        <v>124</v>
      </c>
      <c r="C27" s="8" t="s">
        <v>27</v>
      </c>
      <c r="D27" s="8">
        <v>14.0</v>
      </c>
      <c r="E27" s="20">
        <v>76.0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20">
        <v>76.0</v>
      </c>
      <c r="M27" s="20">
        <v>0.0</v>
      </c>
      <c r="N27" s="22">
        <v>26.0</v>
      </c>
      <c r="O27" s="20">
        <v>0.0</v>
      </c>
      <c r="P27" s="39">
        <v>0.0</v>
      </c>
      <c r="Q27" s="20">
        <v>28.0</v>
      </c>
      <c r="R27" s="20">
        <v>0.0</v>
      </c>
      <c r="S27" s="20">
        <v>0.0</v>
      </c>
      <c r="T27" s="2"/>
      <c r="U27" s="20">
        <v>1326180.0</v>
      </c>
      <c r="V27" s="40">
        <f t="shared" si="1"/>
        <v>0</v>
      </c>
      <c r="W27" s="40">
        <f t="shared" si="2"/>
        <v>0</v>
      </c>
      <c r="X27" s="2"/>
      <c r="Y27" s="2"/>
      <c r="Z27" s="2"/>
    </row>
    <row r="28" ht="12.75" customHeight="1">
      <c r="A28" s="7"/>
      <c r="B28" s="8" t="s">
        <v>155</v>
      </c>
      <c r="C28" s="8" t="s">
        <v>27</v>
      </c>
      <c r="D28" s="8">
        <v>14.0</v>
      </c>
      <c r="E28" s="20">
        <v>349.0</v>
      </c>
      <c r="F28" s="20">
        <v>0.0</v>
      </c>
      <c r="G28" s="20">
        <v>0.0</v>
      </c>
      <c r="H28" s="20">
        <v>0.0</v>
      </c>
      <c r="I28" s="20">
        <v>216.0</v>
      </c>
      <c r="J28" s="20">
        <v>0.0</v>
      </c>
      <c r="K28" s="20">
        <v>216.0</v>
      </c>
      <c r="L28" s="20">
        <v>133.0</v>
      </c>
      <c r="M28" s="20">
        <v>214.0</v>
      </c>
      <c r="N28" s="22">
        <v>26.0</v>
      </c>
      <c r="O28" s="20">
        <v>25.75925925925926</v>
      </c>
      <c r="P28" s="39">
        <v>1.3107769423558897</v>
      </c>
      <c r="Q28" s="20">
        <v>16.0</v>
      </c>
      <c r="R28" s="20">
        <v>69.0</v>
      </c>
      <c r="S28" s="20">
        <v>0.0</v>
      </c>
      <c r="T28" s="2"/>
      <c r="U28" s="20">
        <v>848935.0</v>
      </c>
      <c r="V28" s="40">
        <f t="shared" si="1"/>
        <v>183369960</v>
      </c>
      <c r="W28" s="40">
        <f t="shared" si="2"/>
        <v>181672090</v>
      </c>
      <c r="X28" s="2"/>
      <c r="Y28" s="2"/>
      <c r="Z28" s="2"/>
    </row>
    <row r="29" ht="12.75" customHeight="1">
      <c r="A29" s="7"/>
      <c r="B29" s="8" t="s">
        <v>156</v>
      </c>
      <c r="C29" s="8" t="s">
        <v>27</v>
      </c>
      <c r="D29" s="8">
        <v>14.0</v>
      </c>
      <c r="E29" s="20">
        <v>1046.0</v>
      </c>
      <c r="F29" s="20">
        <v>82.0</v>
      </c>
      <c r="G29" s="20">
        <v>0.0</v>
      </c>
      <c r="H29" s="20">
        <v>0.0</v>
      </c>
      <c r="I29" s="20">
        <v>0.0</v>
      </c>
      <c r="J29" s="20">
        <v>441.0</v>
      </c>
      <c r="K29" s="20">
        <v>441.0</v>
      </c>
      <c r="L29" s="20">
        <v>687.0</v>
      </c>
      <c r="M29" s="20">
        <v>761.875</v>
      </c>
      <c r="N29" s="22">
        <v>26.0</v>
      </c>
      <c r="O29" s="20">
        <v>44.91780045351474</v>
      </c>
      <c r="P29" s="39">
        <v>1.1666666666666667</v>
      </c>
      <c r="Q29" s="20">
        <v>0.0</v>
      </c>
      <c r="R29" s="20">
        <v>0.0</v>
      </c>
      <c r="S29" s="20">
        <v>0.0</v>
      </c>
      <c r="T29" s="2"/>
      <c r="U29" s="20">
        <v>1040050.0</v>
      </c>
      <c r="V29" s="40">
        <f t="shared" si="1"/>
        <v>458662050</v>
      </c>
      <c r="W29" s="40">
        <f t="shared" si="2"/>
        <v>792388093.8</v>
      </c>
      <c r="X29" s="2"/>
      <c r="Y29" s="2"/>
      <c r="Z29" s="2"/>
    </row>
    <row r="30" ht="12.75" customHeight="1">
      <c r="A30" s="7"/>
      <c r="B30" s="8" t="s">
        <v>126</v>
      </c>
      <c r="C30" s="8" t="s">
        <v>27</v>
      </c>
      <c r="D30" s="8">
        <v>14.0</v>
      </c>
      <c r="E30" s="20">
        <v>56.0</v>
      </c>
      <c r="F30" s="20">
        <v>0.0</v>
      </c>
      <c r="G30" s="20">
        <v>0.0</v>
      </c>
      <c r="H30" s="20">
        <v>0.0</v>
      </c>
      <c r="I30" s="20">
        <v>0.0</v>
      </c>
      <c r="J30" s="20">
        <v>19.0</v>
      </c>
      <c r="K30" s="20">
        <v>19.0</v>
      </c>
      <c r="L30" s="20">
        <v>37.0</v>
      </c>
      <c r="M30" s="20">
        <v>37.0</v>
      </c>
      <c r="N30" s="22">
        <v>26.0</v>
      </c>
      <c r="O30" s="20">
        <v>50.631578947368425</v>
      </c>
      <c r="P30" s="39">
        <v>0.665158371040724</v>
      </c>
      <c r="Q30" s="20">
        <v>0.0</v>
      </c>
      <c r="R30" s="20">
        <v>1136.0</v>
      </c>
      <c r="S30" s="20">
        <v>0.0</v>
      </c>
      <c r="T30" s="2"/>
      <c r="U30" s="20">
        <v>819485.0</v>
      </c>
      <c r="V30" s="40">
        <f t="shared" si="1"/>
        <v>15570215</v>
      </c>
      <c r="W30" s="40">
        <f t="shared" si="2"/>
        <v>30320945</v>
      </c>
      <c r="X30" s="2"/>
      <c r="Y30" s="2"/>
      <c r="Z30" s="2"/>
    </row>
    <row r="31" ht="12.75" customHeight="1">
      <c r="A31" s="7"/>
      <c r="B31" s="8" t="s">
        <v>170</v>
      </c>
      <c r="C31" s="8" t="s">
        <v>27</v>
      </c>
      <c r="D31" s="8">
        <v>14.0</v>
      </c>
      <c r="E31" s="20">
        <v>441.0</v>
      </c>
      <c r="F31" s="20">
        <v>1136.0</v>
      </c>
      <c r="G31" s="20">
        <v>0.0</v>
      </c>
      <c r="H31" s="20">
        <v>0.0</v>
      </c>
      <c r="I31" s="20">
        <v>0.0</v>
      </c>
      <c r="J31" s="20">
        <v>866.0</v>
      </c>
      <c r="K31" s="20">
        <v>866.0</v>
      </c>
      <c r="L31" s="20">
        <v>711.0</v>
      </c>
      <c r="M31" s="20">
        <v>820.2941176470591</v>
      </c>
      <c r="N31" s="22">
        <v>26.0</v>
      </c>
      <c r="O31" s="20">
        <v>24.627767966308934</v>
      </c>
      <c r="P31" s="39">
        <v>0.3541666666666667</v>
      </c>
      <c r="Q31" s="20">
        <v>29.0</v>
      </c>
      <c r="R31" s="20">
        <v>500.0</v>
      </c>
      <c r="S31" s="20">
        <v>0.0</v>
      </c>
      <c r="T31" s="2"/>
      <c r="U31" s="20">
        <v>819485.0</v>
      </c>
      <c r="V31" s="40">
        <f t="shared" si="1"/>
        <v>709674010</v>
      </c>
      <c r="W31" s="40">
        <f t="shared" si="2"/>
        <v>672218725</v>
      </c>
      <c r="X31" s="2"/>
      <c r="Y31" s="2"/>
      <c r="Z31" s="2"/>
    </row>
    <row r="32" ht="12.75" customHeight="1">
      <c r="A32" s="7"/>
      <c r="B32" s="8" t="s">
        <v>48</v>
      </c>
      <c r="C32" s="8" t="s">
        <v>27</v>
      </c>
      <c r="D32" s="8">
        <v>14.0</v>
      </c>
      <c r="E32" s="20">
        <v>119.0</v>
      </c>
      <c r="F32" s="20">
        <v>537.0</v>
      </c>
      <c r="G32" s="20">
        <v>0.0</v>
      </c>
      <c r="H32" s="20">
        <v>0.0</v>
      </c>
      <c r="I32" s="20">
        <v>0.0</v>
      </c>
      <c r="J32" s="20">
        <v>0.0</v>
      </c>
      <c r="K32" s="20">
        <v>0.0</v>
      </c>
      <c r="L32" s="20">
        <v>656.0</v>
      </c>
      <c r="M32" s="20">
        <v>469.25</v>
      </c>
      <c r="N32" s="22">
        <v>26.0</v>
      </c>
      <c r="O32" s="20">
        <v>0.0</v>
      </c>
      <c r="P32" s="39">
        <v>0.0</v>
      </c>
      <c r="Q32" s="20">
        <v>0.0</v>
      </c>
      <c r="R32" s="20">
        <v>0.0</v>
      </c>
      <c r="S32" s="20">
        <v>0.0</v>
      </c>
      <c r="T32" s="2"/>
      <c r="U32" s="20">
        <v>819485.0</v>
      </c>
      <c r="V32" s="40">
        <f t="shared" si="1"/>
        <v>0</v>
      </c>
      <c r="W32" s="40">
        <f t="shared" si="2"/>
        <v>384543336.3</v>
      </c>
      <c r="X32" s="2"/>
      <c r="Y32" s="2"/>
      <c r="Z32" s="2"/>
    </row>
    <row r="33" ht="12.75" customHeight="1">
      <c r="A33" s="7"/>
      <c r="B33" s="8" t="s">
        <v>127</v>
      </c>
      <c r="C33" s="8" t="s">
        <v>27</v>
      </c>
      <c r="D33" s="8">
        <v>14.0</v>
      </c>
      <c r="E33" s="20">
        <v>63.0</v>
      </c>
      <c r="F33" s="20">
        <v>0.0</v>
      </c>
      <c r="G33" s="20">
        <v>0.0</v>
      </c>
      <c r="H33" s="20">
        <v>0.0</v>
      </c>
      <c r="I33" s="20">
        <v>0.0</v>
      </c>
      <c r="J33" s="20">
        <v>0.0</v>
      </c>
      <c r="K33" s="20">
        <v>0.0</v>
      </c>
      <c r="L33" s="20">
        <v>63.0</v>
      </c>
      <c r="M33" s="20">
        <v>0.0</v>
      </c>
      <c r="N33" s="22">
        <v>26.0</v>
      </c>
      <c r="O33" s="20">
        <v>0.0</v>
      </c>
      <c r="P33" s="39">
        <v>1.7228915662650603</v>
      </c>
      <c r="Q33" s="20">
        <v>0.0</v>
      </c>
      <c r="R33" s="20">
        <v>100.0</v>
      </c>
      <c r="S33" s="20">
        <v>0.0</v>
      </c>
      <c r="T33" s="2"/>
      <c r="U33" s="20">
        <v>1272550.0</v>
      </c>
      <c r="V33" s="40">
        <f t="shared" si="1"/>
        <v>0</v>
      </c>
      <c r="W33" s="40">
        <f t="shared" si="2"/>
        <v>0</v>
      </c>
      <c r="X33" s="2"/>
      <c r="Y33" s="2"/>
      <c r="Z33" s="2"/>
    </row>
    <row r="34" ht="12.75" customHeight="1">
      <c r="A34" s="7"/>
      <c r="B34" s="8" t="s">
        <v>49</v>
      </c>
      <c r="C34" s="8" t="s">
        <v>27</v>
      </c>
      <c r="D34" s="8">
        <v>14.0</v>
      </c>
      <c r="E34" s="20">
        <v>143.0</v>
      </c>
      <c r="F34" s="20">
        <v>100.0</v>
      </c>
      <c r="G34" s="20">
        <v>0.0</v>
      </c>
      <c r="H34" s="20">
        <v>0.0</v>
      </c>
      <c r="I34" s="20">
        <v>0.0</v>
      </c>
      <c r="J34" s="20">
        <v>140.0</v>
      </c>
      <c r="K34" s="20">
        <v>140.0</v>
      </c>
      <c r="L34" s="20">
        <v>103.0</v>
      </c>
      <c r="M34" s="20">
        <v>153.0</v>
      </c>
      <c r="N34" s="22">
        <v>26.0</v>
      </c>
      <c r="O34" s="20">
        <v>28.41428571428571</v>
      </c>
      <c r="P34" s="39">
        <v>0.3949579831932773</v>
      </c>
      <c r="Q34" s="20">
        <v>6.0</v>
      </c>
      <c r="R34" s="20">
        <v>100.0</v>
      </c>
      <c r="S34" s="20">
        <v>0.0</v>
      </c>
      <c r="T34" s="2"/>
      <c r="U34" s="20">
        <v>1272550.0</v>
      </c>
      <c r="V34" s="40">
        <f t="shared" si="1"/>
        <v>178157000</v>
      </c>
      <c r="W34" s="40">
        <f t="shared" si="2"/>
        <v>194700150</v>
      </c>
      <c r="X34" s="2"/>
      <c r="Y34" s="2"/>
      <c r="Z34" s="2"/>
    </row>
    <row r="35" ht="12.75" customHeight="1">
      <c r="A35" s="7"/>
      <c r="B35" s="8" t="s">
        <v>50</v>
      </c>
      <c r="C35" s="8" t="s">
        <v>27</v>
      </c>
      <c r="D35" s="8">
        <v>14.0</v>
      </c>
      <c r="E35" s="20">
        <v>47.0</v>
      </c>
      <c r="F35" s="20">
        <v>191.0</v>
      </c>
      <c r="G35" s="20">
        <v>0.0</v>
      </c>
      <c r="H35" s="20">
        <v>0.0</v>
      </c>
      <c r="I35" s="20">
        <v>0.0</v>
      </c>
      <c r="J35" s="20">
        <v>155.0</v>
      </c>
      <c r="K35" s="20">
        <v>155.0</v>
      </c>
      <c r="L35" s="20">
        <v>83.0</v>
      </c>
      <c r="M35" s="20">
        <v>113.0</v>
      </c>
      <c r="N35" s="22">
        <v>26.0</v>
      </c>
      <c r="O35" s="20">
        <v>18.954838709677418</v>
      </c>
      <c r="P35" s="39">
        <v>0.2508833922261484</v>
      </c>
      <c r="Q35" s="20">
        <v>0.0</v>
      </c>
      <c r="R35" s="20">
        <v>450.0</v>
      </c>
      <c r="S35" s="20">
        <v>0.0</v>
      </c>
      <c r="T35" s="2"/>
      <c r="U35" s="20">
        <v>1272550.0</v>
      </c>
      <c r="V35" s="40">
        <f t="shared" si="1"/>
        <v>197245250</v>
      </c>
      <c r="W35" s="40">
        <f t="shared" si="2"/>
        <v>143798150</v>
      </c>
      <c r="X35" s="2"/>
      <c r="Y35" s="2"/>
      <c r="Z35" s="2"/>
    </row>
    <row r="36" ht="12.75" customHeight="1">
      <c r="A36" s="7"/>
      <c r="B36" s="8" t="s">
        <v>171</v>
      </c>
      <c r="C36" s="8" t="s">
        <v>27</v>
      </c>
      <c r="D36" s="8">
        <v>14.0</v>
      </c>
      <c r="E36" s="20">
        <v>142.0</v>
      </c>
      <c r="F36" s="20">
        <v>799.0</v>
      </c>
      <c r="G36" s="20">
        <v>0.0</v>
      </c>
      <c r="H36" s="20">
        <v>0.0</v>
      </c>
      <c r="I36" s="20">
        <v>0.0</v>
      </c>
      <c r="J36" s="20">
        <v>941.0</v>
      </c>
      <c r="K36" s="20">
        <v>941.0</v>
      </c>
      <c r="L36" s="20">
        <v>0.0</v>
      </c>
      <c r="M36" s="20">
        <v>107.666666666667</v>
      </c>
      <c r="N36" s="22">
        <v>26.0</v>
      </c>
      <c r="O36" s="20">
        <v>2.9748494509387267</v>
      </c>
      <c r="P36" s="39">
        <v>9.785714285714286</v>
      </c>
      <c r="Q36" s="20">
        <v>0.0</v>
      </c>
      <c r="R36" s="20">
        <v>0.0</v>
      </c>
      <c r="S36" s="20">
        <v>0.0</v>
      </c>
      <c r="T36" s="2"/>
      <c r="U36" s="20">
        <v>819485.0</v>
      </c>
      <c r="V36" s="40">
        <f t="shared" si="1"/>
        <v>771135385</v>
      </c>
      <c r="W36" s="40">
        <f t="shared" si="2"/>
        <v>88231218.33</v>
      </c>
      <c r="X36" s="2"/>
      <c r="Y36" s="2"/>
      <c r="Z36" s="2"/>
    </row>
    <row r="37" ht="12.75" customHeight="1">
      <c r="A37" s="7"/>
      <c r="B37" s="8" t="s">
        <v>51</v>
      </c>
      <c r="C37" s="8" t="s">
        <v>27</v>
      </c>
      <c r="D37" s="8">
        <v>14.0</v>
      </c>
      <c r="E37" s="20">
        <v>411.0</v>
      </c>
      <c r="F37" s="20">
        <v>0.0</v>
      </c>
      <c r="G37" s="20">
        <v>0.0</v>
      </c>
      <c r="H37" s="20">
        <v>0.0</v>
      </c>
      <c r="I37" s="20">
        <v>0.0</v>
      </c>
      <c r="J37" s="20">
        <v>42.0</v>
      </c>
      <c r="K37" s="20">
        <v>42.0</v>
      </c>
      <c r="L37" s="20">
        <v>369.0</v>
      </c>
      <c r="M37" s="20">
        <v>395.40000000000003</v>
      </c>
      <c r="N37" s="22">
        <v>26.0</v>
      </c>
      <c r="O37" s="20">
        <v>244.77142857142857</v>
      </c>
      <c r="P37" s="39">
        <v>0.6630434782608695</v>
      </c>
      <c r="Q37" s="20">
        <v>0.0</v>
      </c>
      <c r="R37" s="20">
        <v>0.0</v>
      </c>
      <c r="S37" s="20">
        <v>0.0</v>
      </c>
      <c r="T37" s="2"/>
      <c r="U37" s="20">
        <v>819485.0</v>
      </c>
      <c r="V37" s="40">
        <f t="shared" si="1"/>
        <v>34418370</v>
      </c>
      <c r="W37" s="40">
        <f t="shared" si="2"/>
        <v>324024369</v>
      </c>
      <c r="X37" s="2"/>
      <c r="Y37" s="2"/>
      <c r="Z37" s="2"/>
    </row>
    <row r="38" ht="12.75" customHeight="1">
      <c r="A38" s="7"/>
      <c r="B38" s="8" t="s">
        <v>147</v>
      </c>
      <c r="C38" s="8" t="s">
        <v>27</v>
      </c>
      <c r="D38" s="8">
        <v>14.0</v>
      </c>
      <c r="E38" s="20">
        <v>244.0</v>
      </c>
      <c r="F38" s="20">
        <v>0.0</v>
      </c>
      <c r="G38" s="20">
        <v>0.0</v>
      </c>
      <c r="H38" s="20">
        <v>0.0</v>
      </c>
      <c r="I38" s="20">
        <v>0.0</v>
      </c>
      <c r="J38" s="20">
        <v>0.0</v>
      </c>
      <c r="K38" s="20">
        <v>0.0</v>
      </c>
      <c r="L38" s="20">
        <v>244.0</v>
      </c>
      <c r="M38" s="20">
        <v>0.0</v>
      </c>
      <c r="N38" s="22">
        <v>26.0</v>
      </c>
      <c r="O38" s="20">
        <v>0.0</v>
      </c>
      <c r="P38" s="39">
        <v>0.875</v>
      </c>
      <c r="Q38" s="20">
        <v>0.0</v>
      </c>
      <c r="R38" s="20">
        <v>100.0</v>
      </c>
      <c r="S38" s="20">
        <v>0.0</v>
      </c>
      <c r="T38" s="2"/>
      <c r="U38" s="20">
        <v>819485.0</v>
      </c>
      <c r="V38" s="40">
        <f t="shared" si="1"/>
        <v>0</v>
      </c>
      <c r="W38" s="40">
        <f t="shared" si="2"/>
        <v>0</v>
      </c>
      <c r="X38" s="2"/>
      <c r="Y38" s="2"/>
      <c r="Z38" s="2"/>
    </row>
    <row r="39" ht="12.75" customHeight="1">
      <c r="A39" s="7"/>
      <c r="B39" s="8" t="s">
        <v>108</v>
      </c>
      <c r="C39" s="8" t="s">
        <v>27</v>
      </c>
      <c r="D39" s="8">
        <v>14.0</v>
      </c>
      <c r="E39" s="20">
        <v>84.0</v>
      </c>
      <c r="F39" s="20">
        <v>105.0</v>
      </c>
      <c r="G39" s="20">
        <v>0.0</v>
      </c>
      <c r="H39" s="20">
        <v>0.0</v>
      </c>
      <c r="I39" s="20">
        <v>0.0</v>
      </c>
      <c r="J39" s="20">
        <v>105.0</v>
      </c>
      <c r="K39" s="20">
        <v>105.0</v>
      </c>
      <c r="L39" s="20">
        <v>84.0</v>
      </c>
      <c r="M39" s="20">
        <v>135.0</v>
      </c>
      <c r="N39" s="22">
        <v>26.0</v>
      </c>
      <c r="O39" s="20">
        <v>33.42857142857143</v>
      </c>
      <c r="P39" s="39">
        <v>3.1555555555555554</v>
      </c>
      <c r="Q39" s="20">
        <v>7.0</v>
      </c>
      <c r="R39" s="20">
        <v>100.0</v>
      </c>
      <c r="S39" s="20">
        <v>0.0</v>
      </c>
      <c r="T39" s="2"/>
      <c r="U39" s="20">
        <v>1445220.0</v>
      </c>
      <c r="V39" s="40">
        <f t="shared" si="1"/>
        <v>151748100</v>
      </c>
      <c r="W39" s="40">
        <f t="shared" si="2"/>
        <v>195104700</v>
      </c>
      <c r="X39" s="2"/>
      <c r="Y39" s="2"/>
      <c r="Z39" s="2"/>
    </row>
    <row r="40" ht="12.75" customHeight="1">
      <c r="A40" s="7"/>
      <c r="B40" s="8" t="s">
        <v>128</v>
      </c>
      <c r="C40" s="8" t="s">
        <v>27</v>
      </c>
      <c r="D40" s="8">
        <v>14.0</v>
      </c>
      <c r="E40" s="20">
        <v>142.0</v>
      </c>
      <c r="F40" s="20">
        <v>105.0</v>
      </c>
      <c r="G40" s="20">
        <v>0.0</v>
      </c>
      <c r="H40" s="20">
        <v>0.0</v>
      </c>
      <c r="I40" s="20">
        <v>0.0</v>
      </c>
      <c r="J40" s="20">
        <v>48.0</v>
      </c>
      <c r="K40" s="20">
        <v>48.0</v>
      </c>
      <c r="L40" s="20">
        <v>199.0</v>
      </c>
      <c r="M40" s="20">
        <v>223.0</v>
      </c>
      <c r="N40" s="22">
        <v>26.0</v>
      </c>
      <c r="O40" s="20">
        <v>120.79166666666666</v>
      </c>
      <c r="P40" s="39">
        <v>5.833333333333333</v>
      </c>
      <c r="Q40" s="20">
        <v>0.0</v>
      </c>
      <c r="R40" s="20">
        <v>0.0</v>
      </c>
      <c r="S40" s="20">
        <v>0.0</v>
      </c>
      <c r="T40" s="2"/>
      <c r="U40" s="20">
        <v>1445220.0</v>
      </c>
      <c r="V40" s="40">
        <f t="shared" si="1"/>
        <v>69370560</v>
      </c>
      <c r="W40" s="40">
        <f t="shared" si="2"/>
        <v>322284060</v>
      </c>
      <c r="X40" s="2"/>
      <c r="Y40" s="2"/>
      <c r="Z40" s="2"/>
    </row>
    <row r="41" ht="12.75" customHeight="1">
      <c r="A41" s="7"/>
      <c r="B41" s="8" t="s">
        <v>54</v>
      </c>
      <c r="C41" s="8" t="s">
        <v>27</v>
      </c>
      <c r="D41" s="8">
        <v>14.0</v>
      </c>
      <c r="E41" s="20">
        <v>280.0</v>
      </c>
      <c r="F41" s="20">
        <v>0.0</v>
      </c>
      <c r="G41" s="20">
        <v>0.0</v>
      </c>
      <c r="H41" s="20">
        <v>0.0</v>
      </c>
      <c r="I41" s="20">
        <v>0.0</v>
      </c>
      <c r="J41" s="20">
        <v>160.0</v>
      </c>
      <c r="K41" s="20">
        <v>160.0</v>
      </c>
      <c r="L41" s="20">
        <v>120.0</v>
      </c>
      <c r="M41" s="20">
        <v>168.0</v>
      </c>
      <c r="N41" s="22">
        <v>26.0</v>
      </c>
      <c r="O41" s="20">
        <v>27.3</v>
      </c>
      <c r="P41" s="39">
        <v>0.8867924528301887</v>
      </c>
      <c r="Q41" s="20">
        <v>0.0</v>
      </c>
      <c r="R41" s="20">
        <v>100.0</v>
      </c>
      <c r="S41" s="20">
        <v>0.0</v>
      </c>
      <c r="T41" s="2"/>
      <c r="U41" s="20">
        <v>1445220.0</v>
      </c>
      <c r="V41" s="40">
        <f t="shared" si="1"/>
        <v>231235200</v>
      </c>
      <c r="W41" s="40">
        <f t="shared" si="2"/>
        <v>242796960</v>
      </c>
      <c r="X41" s="2"/>
      <c r="Y41" s="2"/>
      <c r="Z41" s="2"/>
    </row>
    <row r="42" ht="12.75" customHeight="1">
      <c r="A42" s="7"/>
      <c r="B42" s="8" t="s">
        <v>55</v>
      </c>
      <c r="C42" s="8" t="s">
        <v>27</v>
      </c>
      <c r="D42" s="8">
        <v>14.0</v>
      </c>
      <c r="E42" s="20">
        <v>94.0</v>
      </c>
      <c r="F42" s="20">
        <v>100.0</v>
      </c>
      <c r="G42" s="20">
        <v>0.0</v>
      </c>
      <c r="H42" s="20">
        <v>0.0</v>
      </c>
      <c r="I42" s="20">
        <v>0.0</v>
      </c>
      <c r="J42" s="20">
        <v>166.0</v>
      </c>
      <c r="K42" s="20">
        <v>166.0</v>
      </c>
      <c r="L42" s="20">
        <v>28.0</v>
      </c>
      <c r="M42" s="20">
        <v>66.3333333333333</v>
      </c>
      <c r="N42" s="22">
        <v>26.0</v>
      </c>
      <c r="O42" s="20">
        <v>10.389558232931721</v>
      </c>
      <c r="P42" s="39">
        <v>0.31592039800995025</v>
      </c>
      <c r="Q42" s="20">
        <v>5.0</v>
      </c>
      <c r="R42" s="20">
        <v>0.0</v>
      </c>
      <c r="S42" s="20">
        <v>0.0</v>
      </c>
      <c r="T42" s="2"/>
      <c r="U42" s="20">
        <v>1272550.0</v>
      </c>
      <c r="V42" s="40">
        <f t="shared" si="1"/>
        <v>211243300</v>
      </c>
      <c r="W42" s="40">
        <f t="shared" si="2"/>
        <v>84412483.33</v>
      </c>
      <c r="X42" s="2"/>
      <c r="Y42" s="2"/>
      <c r="Z42" s="2"/>
    </row>
    <row r="43" ht="12.75" customHeight="1">
      <c r="A43" s="7"/>
      <c r="B43" s="8" t="s">
        <v>157</v>
      </c>
      <c r="C43" s="8" t="s">
        <v>27</v>
      </c>
      <c r="D43" s="8">
        <v>14.0</v>
      </c>
      <c r="E43" s="20">
        <v>254.0</v>
      </c>
      <c r="F43" s="20">
        <v>0.0</v>
      </c>
      <c r="G43" s="20">
        <v>0.0</v>
      </c>
      <c r="H43" s="20">
        <v>0.0</v>
      </c>
      <c r="I43" s="20">
        <v>0.0</v>
      </c>
      <c r="J43" s="20">
        <v>0.0</v>
      </c>
      <c r="K43" s="20">
        <v>0.0</v>
      </c>
      <c r="L43" s="20">
        <v>254.0</v>
      </c>
      <c r="M43" s="20">
        <v>0.0</v>
      </c>
      <c r="N43" s="22">
        <v>26.0</v>
      </c>
      <c r="O43" s="20">
        <v>0.0</v>
      </c>
      <c r="P43" s="39">
        <v>0.8267716535433071</v>
      </c>
      <c r="Q43" s="20">
        <v>0.0</v>
      </c>
      <c r="R43" s="20">
        <v>240.0</v>
      </c>
      <c r="S43" s="20">
        <v>0.0</v>
      </c>
      <c r="T43" s="2"/>
      <c r="U43" s="20">
        <v>819485.0</v>
      </c>
      <c r="V43" s="40">
        <f t="shared" si="1"/>
        <v>0</v>
      </c>
      <c r="W43" s="40">
        <f t="shared" si="2"/>
        <v>0</v>
      </c>
      <c r="X43" s="2"/>
      <c r="Y43" s="2"/>
      <c r="Z43" s="2"/>
    </row>
    <row r="44" ht="12.75" customHeight="1">
      <c r="A44" s="7"/>
      <c r="B44" s="8" t="s">
        <v>172</v>
      </c>
      <c r="C44" s="8" t="s">
        <v>27</v>
      </c>
      <c r="D44" s="8">
        <v>14.0</v>
      </c>
      <c r="E44" s="20">
        <v>105.0</v>
      </c>
      <c r="F44" s="20">
        <v>244.0</v>
      </c>
      <c r="G44" s="20">
        <v>0.0</v>
      </c>
      <c r="H44" s="20">
        <v>0.0</v>
      </c>
      <c r="I44" s="20">
        <v>0.0</v>
      </c>
      <c r="J44" s="20">
        <v>133.0</v>
      </c>
      <c r="K44" s="20">
        <v>133.0</v>
      </c>
      <c r="L44" s="20">
        <v>216.0</v>
      </c>
      <c r="M44" s="20">
        <v>188.28571428571402</v>
      </c>
      <c r="N44" s="22">
        <v>26.0</v>
      </c>
      <c r="O44" s="20">
        <v>36.807733619763646</v>
      </c>
      <c r="P44" s="39">
        <v>2.8137254901960786</v>
      </c>
      <c r="Q44" s="20">
        <v>0.0</v>
      </c>
      <c r="R44" s="20">
        <v>0.0</v>
      </c>
      <c r="S44" s="20">
        <v>0.0</v>
      </c>
      <c r="T44" s="2"/>
      <c r="U44" s="20">
        <v>819485.0</v>
      </c>
      <c r="V44" s="40">
        <f t="shared" si="1"/>
        <v>108991505</v>
      </c>
      <c r="W44" s="40">
        <f t="shared" si="2"/>
        <v>154297318.6</v>
      </c>
      <c r="X44" s="2"/>
      <c r="Y44" s="2"/>
      <c r="Z44" s="2"/>
    </row>
    <row r="45" ht="12.75" customHeight="1">
      <c r="A45" s="7"/>
      <c r="B45" s="8" t="s">
        <v>58</v>
      </c>
      <c r="C45" s="8" t="s">
        <v>27</v>
      </c>
      <c r="D45" s="8">
        <v>14.0</v>
      </c>
      <c r="E45" s="20">
        <v>287.0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0">
        <v>287.0</v>
      </c>
      <c r="M45" s="20">
        <v>0.0</v>
      </c>
      <c r="N45" s="22">
        <v>26.0</v>
      </c>
      <c r="O45" s="20">
        <v>0.0</v>
      </c>
      <c r="P45" s="39">
        <v>0.9832935560859188</v>
      </c>
      <c r="Q45" s="20">
        <v>0.0</v>
      </c>
      <c r="R45" s="20">
        <v>670.0</v>
      </c>
      <c r="S45" s="20">
        <v>0.0</v>
      </c>
      <c r="T45" s="2"/>
      <c r="U45" s="20">
        <v>819485.0</v>
      </c>
      <c r="V45" s="40">
        <f t="shared" si="1"/>
        <v>0</v>
      </c>
      <c r="W45" s="40">
        <f t="shared" si="2"/>
        <v>0</v>
      </c>
      <c r="X45" s="2"/>
      <c r="Y45" s="2"/>
      <c r="Z45" s="2"/>
    </row>
    <row r="46" ht="12.75" customHeight="1">
      <c r="A46" s="7"/>
      <c r="B46" s="8" t="s">
        <v>173</v>
      </c>
      <c r="C46" s="8" t="s">
        <v>27</v>
      </c>
      <c r="D46" s="8">
        <v>14.0</v>
      </c>
      <c r="E46" s="20">
        <v>412.0</v>
      </c>
      <c r="F46" s="20">
        <v>670.0</v>
      </c>
      <c r="G46" s="20">
        <v>0.0</v>
      </c>
      <c r="H46" s="20">
        <v>0.0</v>
      </c>
      <c r="I46" s="20">
        <v>0.0</v>
      </c>
      <c r="J46" s="20">
        <v>736.0</v>
      </c>
      <c r="K46" s="20">
        <v>736.0</v>
      </c>
      <c r="L46" s="20">
        <v>346.0</v>
      </c>
      <c r="M46" s="20">
        <v>495.46666666666704</v>
      </c>
      <c r="N46" s="22">
        <v>26.0</v>
      </c>
      <c r="O46" s="20">
        <v>17.50289855072465</v>
      </c>
      <c r="P46" s="39">
        <v>1.2131862745098039</v>
      </c>
      <c r="Q46" s="20">
        <v>0.0</v>
      </c>
      <c r="R46" s="20">
        <v>0.0</v>
      </c>
      <c r="S46" s="20">
        <v>0.0</v>
      </c>
      <c r="T46" s="2"/>
      <c r="U46" s="20">
        <v>819485.0</v>
      </c>
      <c r="V46" s="40">
        <f t="shared" si="1"/>
        <v>603140960</v>
      </c>
      <c r="W46" s="40">
        <f t="shared" si="2"/>
        <v>406027501.3</v>
      </c>
      <c r="X46" s="2"/>
      <c r="Y46" s="2"/>
      <c r="Z46" s="2"/>
    </row>
    <row r="47" ht="12.75" customHeight="1">
      <c r="A47" s="7"/>
      <c r="B47" s="8" t="s">
        <v>59</v>
      </c>
      <c r="C47" s="8" t="s">
        <v>27</v>
      </c>
      <c r="D47" s="8">
        <v>14.0</v>
      </c>
      <c r="E47" s="20">
        <v>494.98</v>
      </c>
      <c r="F47" s="20">
        <v>0.0</v>
      </c>
      <c r="G47" s="20">
        <v>0.0</v>
      </c>
      <c r="H47" s="20">
        <v>0.0</v>
      </c>
      <c r="I47" s="20">
        <v>0.0</v>
      </c>
      <c r="J47" s="20">
        <v>54.0</v>
      </c>
      <c r="K47" s="20">
        <v>54.0</v>
      </c>
      <c r="L47" s="20">
        <v>440.98</v>
      </c>
      <c r="M47" s="20">
        <v>470.78000000000003</v>
      </c>
      <c r="N47" s="22">
        <v>26.0</v>
      </c>
      <c r="O47" s="20">
        <v>0.0</v>
      </c>
      <c r="P47" s="39">
        <v>0.0</v>
      </c>
      <c r="Q47" s="20">
        <v>0.0</v>
      </c>
      <c r="R47" s="20">
        <v>0.0</v>
      </c>
      <c r="S47" s="20">
        <v>0.0</v>
      </c>
      <c r="T47" s="2"/>
      <c r="U47" s="20">
        <v>819485.0</v>
      </c>
      <c r="V47" s="40">
        <f t="shared" si="1"/>
        <v>44252190</v>
      </c>
      <c r="W47" s="40">
        <f t="shared" si="2"/>
        <v>385797148.3</v>
      </c>
      <c r="X47" s="2"/>
      <c r="Y47" s="2"/>
      <c r="Z47" s="2"/>
    </row>
    <row r="48" ht="12.75" customHeight="1">
      <c r="A48" s="7"/>
      <c r="B48" s="8" t="s">
        <v>148</v>
      </c>
      <c r="C48" s="8" t="s">
        <v>27</v>
      </c>
      <c r="D48" s="8">
        <v>14.0</v>
      </c>
      <c r="E48" s="20">
        <v>21.0</v>
      </c>
      <c r="F48" s="20">
        <v>0.0</v>
      </c>
      <c r="G48" s="20">
        <v>0.0</v>
      </c>
      <c r="H48" s="20">
        <v>0.0</v>
      </c>
      <c r="I48" s="20">
        <v>8.0</v>
      </c>
      <c r="J48" s="20">
        <v>0.0</v>
      </c>
      <c r="K48" s="20">
        <v>8.0</v>
      </c>
      <c r="L48" s="20">
        <v>13.0</v>
      </c>
      <c r="M48" s="20">
        <v>15.0</v>
      </c>
      <c r="N48" s="22">
        <v>26.0</v>
      </c>
      <c r="O48" s="20">
        <v>0.0</v>
      </c>
      <c r="P48" s="39">
        <v>0.0</v>
      </c>
      <c r="Q48" s="20">
        <v>0.0</v>
      </c>
      <c r="R48" s="20">
        <v>0.0</v>
      </c>
      <c r="S48" s="20">
        <v>0.0</v>
      </c>
      <c r="T48" s="2"/>
      <c r="U48" s="20">
        <v>1481800.0</v>
      </c>
      <c r="V48" s="40">
        <f t="shared" si="1"/>
        <v>11854400</v>
      </c>
      <c r="W48" s="40">
        <f t="shared" si="2"/>
        <v>22227000</v>
      </c>
      <c r="X48" s="2"/>
      <c r="Y48" s="2"/>
      <c r="Z48" s="2"/>
    </row>
    <row r="49" ht="12.75" customHeight="1">
      <c r="A49" s="7"/>
      <c r="B49" s="8" t="s">
        <v>60</v>
      </c>
      <c r="C49" s="8" t="s">
        <v>27</v>
      </c>
      <c r="D49" s="8">
        <v>14.0</v>
      </c>
      <c r="E49" s="20">
        <v>128.0</v>
      </c>
      <c r="F49" s="20">
        <v>0.0</v>
      </c>
      <c r="G49" s="20">
        <v>0.0</v>
      </c>
      <c r="H49" s="20">
        <v>0.0</v>
      </c>
      <c r="I49" s="20">
        <v>4.0</v>
      </c>
      <c r="J49" s="20">
        <v>0.0</v>
      </c>
      <c r="K49" s="20">
        <v>4.0</v>
      </c>
      <c r="L49" s="20">
        <v>124.0</v>
      </c>
      <c r="M49" s="20">
        <v>125.0</v>
      </c>
      <c r="N49" s="22">
        <v>26.0</v>
      </c>
      <c r="O49" s="20">
        <v>812.5</v>
      </c>
      <c r="P49" s="39">
        <v>0.0</v>
      </c>
      <c r="Q49" s="20">
        <v>0.0</v>
      </c>
      <c r="R49" s="20">
        <v>0.0</v>
      </c>
      <c r="S49" s="20">
        <v>0.0</v>
      </c>
      <c r="T49" s="2"/>
      <c r="U49" s="20">
        <v>1481800.0</v>
      </c>
      <c r="V49" s="40">
        <f t="shared" si="1"/>
        <v>5927200</v>
      </c>
      <c r="W49" s="40">
        <f t="shared" si="2"/>
        <v>185225000</v>
      </c>
      <c r="X49" s="2"/>
      <c r="Y49" s="2"/>
      <c r="Z49" s="2"/>
    </row>
    <row r="50" ht="12.75" customHeight="1">
      <c r="A50" s="7"/>
      <c r="B50" s="8" t="s">
        <v>61</v>
      </c>
      <c r="C50" s="8" t="s">
        <v>27</v>
      </c>
      <c r="D50" s="8">
        <v>14.0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20">
        <v>0.0</v>
      </c>
      <c r="N50" s="22">
        <v>26.0</v>
      </c>
      <c r="O50" s="20">
        <v>0.0</v>
      </c>
      <c r="P50" s="39">
        <v>0.0</v>
      </c>
      <c r="Q50" s="20">
        <v>0.0</v>
      </c>
      <c r="R50" s="20">
        <v>0.0</v>
      </c>
      <c r="S50" s="20">
        <v>0.0</v>
      </c>
      <c r="T50" s="2"/>
      <c r="U50" s="20">
        <v>1481800.0</v>
      </c>
      <c r="V50" s="40">
        <f t="shared" si="1"/>
        <v>0</v>
      </c>
      <c r="W50" s="40">
        <f t="shared" si="2"/>
        <v>0</v>
      </c>
      <c r="X50" s="2"/>
      <c r="Y50" s="2"/>
      <c r="Z50" s="2"/>
    </row>
    <row r="51" ht="12.75" customHeight="1">
      <c r="A51" s="7"/>
      <c r="B51" s="8" t="s">
        <v>129</v>
      </c>
      <c r="C51" s="8" t="s">
        <v>27</v>
      </c>
      <c r="D51" s="8">
        <v>14.0</v>
      </c>
      <c r="E51" s="20">
        <v>28.0</v>
      </c>
      <c r="F51" s="20">
        <v>0.0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0">
        <v>28.0</v>
      </c>
      <c r="M51" s="20">
        <v>0.0</v>
      </c>
      <c r="N51" s="22">
        <v>26.0</v>
      </c>
      <c r="O51" s="20">
        <v>0.0</v>
      </c>
      <c r="P51" s="39">
        <v>1.1176470588235294</v>
      </c>
      <c r="Q51" s="20">
        <v>0.5</v>
      </c>
      <c r="R51" s="20">
        <v>18.5</v>
      </c>
      <c r="S51" s="20">
        <v>0.0</v>
      </c>
      <c r="T51" s="2"/>
      <c r="U51" s="20">
        <v>1481800.0</v>
      </c>
      <c r="V51" s="40">
        <f t="shared" si="1"/>
        <v>0</v>
      </c>
      <c r="W51" s="40">
        <f t="shared" si="2"/>
        <v>0</v>
      </c>
      <c r="X51" s="2"/>
      <c r="Y51" s="2"/>
      <c r="Z51" s="2"/>
    </row>
    <row r="52" ht="12.75" customHeight="1">
      <c r="A52" s="7"/>
      <c r="B52" s="8" t="s">
        <v>159</v>
      </c>
      <c r="C52" s="8" t="s">
        <v>27</v>
      </c>
      <c r="D52" s="8">
        <v>14.0</v>
      </c>
      <c r="E52" s="20">
        <v>19.0</v>
      </c>
      <c r="F52" s="20">
        <v>19.0</v>
      </c>
      <c r="G52" s="20">
        <v>0.0</v>
      </c>
      <c r="H52" s="20">
        <v>0.0</v>
      </c>
      <c r="I52" s="20">
        <v>24.0</v>
      </c>
      <c r="J52" s="20">
        <v>0.0</v>
      </c>
      <c r="K52" s="20">
        <v>24.0</v>
      </c>
      <c r="L52" s="20">
        <v>14.0</v>
      </c>
      <c r="M52" s="20">
        <v>29.0</v>
      </c>
      <c r="N52" s="22">
        <v>26.0</v>
      </c>
      <c r="O52" s="20">
        <v>31.416666666666664</v>
      </c>
      <c r="P52" s="39">
        <v>24.0</v>
      </c>
      <c r="Q52" s="20">
        <v>0.0</v>
      </c>
      <c r="R52" s="20">
        <v>0.0</v>
      </c>
      <c r="S52" s="20">
        <v>0.0</v>
      </c>
      <c r="T52" s="2"/>
      <c r="U52" s="20">
        <v>1481800.0</v>
      </c>
      <c r="V52" s="40">
        <f t="shared" si="1"/>
        <v>35563200</v>
      </c>
      <c r="W52" s="40">
        <f t="shared" si="2"/>
        <v>42972200</v>
      </c>
      <c r="X52" s="2"/>
      <c r="Y52" s="2"/>
      <c r="Z52" s="2"/>
    </row>
    <row r="53" ht="12.75" customHeight="1">
      <c r="A53" s="7"/>
      <c r="B53" s="8" t="s">
        <v>63</v>
      </c>
      <c r="C53" s="8" t="s">
        <v>27</v>
      </c>
      <c r="D53" s="8">
        <v>14.0</v>
      </c>
      <c r="E53" s="20">
        <v>48.0</v>
      </c>
      <c r="F53" s="20">
        <v>0.0</v>
      </c>
      <c r="G53" s="20">
        <v>0.0</v>
      </c>
      <c r="H53" s="20">
        <v>0.0</v>
      </c>
      <c r="I53" s="20">
        <v>6.0</v>
      </c>
      <c r="J53" s="20">
        <v>0.0</v>
      </c>
      <c r="K53" s="20">
        <v>6.0</v>
      </c>
      <c r="L53" s="20">
        <v>42.0</v>
      </c>
      <c r="M53" s="20">
        <v>44.0</v>
      </c>
      <c r="N53" s="22">
        <v>26.0</v>
      </c>
      <c r="O53" s="20">
        <v>190.66666666666666</v>
      </c>
      <c r="P53" s="39">
        <v>23.0</v>
      </c>
      <c r="Q53" s="20">
        <v>0.0</v>
      </c>
      <c r="R53" s="20">
        <v>0.0</v>
      </c>
      <c r="S53" s="20">
        <v>0.0</v>
      </c>
      <c r="T53" s="2"/>
      <c r="U53" s="20">
        <v>1481800.0</v>
      </c>
      <c r="V53" s="40">
        <f t="shared" si="1"/>
        <v>8890800</v>
      </c>
      <c r="W53" s="40">
        <f t="shared" si="2"/>
        <v>65199200</v>
      </c>
      <c r="X53" s="2"/>
      <c r="Y53" s="2"/>
      <c r="Z53" s="2"/>
    </row>
    <row r="54" ht="12.75" customHeight="1">
      <c r="A54" s="7"/>
      <c r="B54" s="8" t="s">
        <v>64</v>
      </c>
      <c r="C54" s="8" t="s">
        <v>27</v>
      </c>
      <c r="D54" s="8">
        <v>14.0</v>
      </c>
      <c r="E54" s="20">
        <v>46.0</v>
      </c>
      <c r="F54" s="20">
        <v>0.0</v>
      </c>
      <c r="G54" s="20">
        <v>0.0</v>
      </c>
      <c r="H54" s="20">
        <v>0.0</v>
      </c>
      <c r="I54" s="20">
        <v>11.0</v>
      </c>
      <c r="J54" s="20">
        <v>0.0</v>
      </c>
      <c r="K54" s="20">
        <v>11.0</v>
      </c>
      <c r="L54" s="20">
        <v>35.0</v>
      </c>
      <c r="M54" s="20">
        <v>39.75</v>
      </c>
      <c r="N54" s="22">
        <v>26.0</v>
      </c>
      <c r="O54" s="20">
        <v>93.95454545454545</v>
      </c>
      <c r="P54" s="39">
        <v>1.6468253968253967</v>
      </c>
      <c r="Q54" s="20">
        <v>41.0</v>
      </c>
      <c r="R54" s="20">
        <v>100.0</v>
      </c>
      <c r="S54" s="20">
        <v>0.0</v>
      </c>
      <c r="T54" s="2"/>
      <c r="U54" s="20">
        <v>1481800.0</v>
      </c>
      <c r="V54" s="40">
        <f t="shared" si="1"/>
        <v>16299800</v>
      </c>
      <c r="W54" s="40">
        <f t="shared" si="2"/>
        <v>58901550</v>
      </c>
      <c r="X54" s="2"/>
      <c r="Y54" s="2"/>
      <c r="Z54" s="2"/>
    </row>
    <row r="55" ht="12.75" customHeight="1">
      <c r="A55" s="7"/>
      <c r="B55" s="8" t="s">
        <v>109</v>
      </c>
      <c r="C55" s="8" t="s">
        <v>27</v>
      </c>
      <c r="D55" s="8">
        <v>14.0</v>
      </c>
      <c r="E55" s="20">
        <v>415.0</v>
      </c>
      <c r="F55" s="20">
        <v>151.0</v>
      </c>
      <c r="G55" s="20">
        <v>0.0</v>
      </c>
      <c r="H55" s="20">
        <v>0.0</v>
      </c>
      <c r="I55" s="20">
        <v>390.0</v>
      </c>
      <c r="J55" s="20">
        <v>0.0</v>
      </c>
      <c r="K55" s="20">
        <v>390.0</v>
      </c>
      <c r="L55" s="20">
        <v>176.0</v>
      </c>
      <c r="M55" s="20">
        <v>304.285714285714</v>
      </c>
      <c r="N55" s="22">
        <v>26.0</v>
      </c>
      <c r="O55" s="20">
        <v>20.285714285714267</v>
      </c>
      <c r="P55" s="39">
        <v>0.5237154150197628</v>
      </c>
      <c r="Q55" s="20">
        <v>0.0</v>
      </c>
      <c r="R55" s="20">
        <v>650.0</v>
      </c>
      <c r="S55" s="20">
        <v>150.0</v>
      </c>
      <c r="T55" s="2"/>
      <c r="U55" s="20">
        <v>848935.0</v>
      </c>
      <c r="V55" s="40">
        <f t="shared" si="1"/>
        <v>331084650</v>
      </c>
      <c r="W55" s="40">
        <f t="shared" si="2"/>
        <v>258318792.9</v>
      </c>
      <c r="X55" s="2"/>
      <c r="Y55" s="2"/>
      <c r="Z55" s="2"/>
    </row>
    <row r="56" ht="12.75" customHeight="1">
      <c r="A56" s="7"/>
      <c r="B56" s="8" t="s">
        <v>110</v>
      </c>
      <c r="C56" s="8" t="s">
        <v>27</v>
      </c>
      <c r="D56" s="8">
        <v>14.0</v>
      </c>
      <c r="E56" s="20">
        <v>265.0</v>
      </c>
      <c r="F56" s="20">
        <v>650.0</v>
      </c>
      <c r="G56" s="20">
        <v>0.0</v>
      </c>
      <c r="H56" s="20">
        <v>0.0</v>
      </c>
      <c r="I56" s="20">
        <v>780.0</v>
      </c>
      <c r="J56" s="20">
        <v>0.0</v>
      </c>
      <c r="K56" s="20">
        <v>780.0</v>
      </c>
      <c r="L56" s="20">
        <v>135.0</v>
      </c>
      <c r="M56" s="20">
        <v>209.722222222222</v>
      </c>
      <c r="N56" s="22">
        <v>26.0</v>
      </c>
      <c r="O56" s="20">
        <v>6.990740740740733</v>
      </c>
      <c r="P56" s="39">
        <v>0.8181818181818182</v>
      </c>
      <c r="Q56" s="20">
        <v>0.0</v>
      </c>
      <c r="R56" s="20">
        <v>450.0</v>
      </c>
      <c r="S56" s="20">
        <v>0.0</v>
      </c>
      <c r="T56" s="2"/>
      <c r="U56" s="20">
        <v>1012770.0</v>
      </c>
      <c r="V56" s="40">
        <f t="shared" si="1"/>
        <v>789960600</v>
      </c>
      <c r="W56" s="40">
        <f t="shared" si="2"/>
        <v>212400375</v>
      </c>
      <c r="X56" s="2"/>
      <c r="Y56" s="2"/>
      <c r="Z56" s="2"/>
    </row>
    <row r="57" ht="12.75" customHeight="1">
      <c r="A57" s="7"/>
      <c r="B57" s="8" t="s">
        <v>174</v>
      </c>
      <c r="C57" s="8" t="s">
        <v>27</v>
      </c>
      <c r="D57" s="8">
        <v>14.0</v>
      </c>
      <c r="E57" s="20">
        <v>45.0</v>
      </c>
      <c r="F57" s="20">
        <v>450.0</v>
      </c>
      <c r="G57" s="20">
        <v>0.0</v>
      </c>
      <c r="H57" s="20">
        <v>0.0</v>
      </c>
      <c r="I57" s="20">
        <v>0.0</v>
      </c>
      <c r="J57" s="20">
        <v>356.0</v>
      </c>
      <c r="K57" s="20">
        <v>356.0</v>
      </c>
      <c r="L57" s="20">
        <v>139.0</v>
      </c>
      <c r="M57" s="20">
        <v>146.083333333333</v>
      </c>
      <c r="N57" s="22">
        <v>26.0</v>
      </c>
      <c r="O57" s="20">
        <v>10.669007490636679</v>
      </c>
      <c r="P57" s="39">
        <v>0.0</v>
      </c>
      <c r="Q57" s="20">
        <v>0.0</v>
      </c>
      <c r="R57" s="20">
        <v>0.0</v>
      </c>
      <c r="S57" s="20">
        <v>0.0</v>
      </c>
      <c r="T57" s="2"/>
      <c r="U57" s="20">
        <v>1012770.0</v>
      </c>
      <c r="V57" s="40">
        <f t="shared" si="1"/>
        <v>360546120</v>
      </c>
      <c r="W57" s="40">
        <f t="shared" si="2"/>
        <v>147948817.5</v>
      </c>
      <c r="X57" s="2"/>
      <c r="Y57" s="2"/>
      <c r="Z57" s="2"/>
    </row>
    <row r="58" ht="12.75" customHeight="1">
      <c r="A58" s="7"/>
      <c r="B58" s="8" t="s">
        <v>112</v>
      </c>
      <c r="C58" s="8" t="s">
        <v>27</v>
      </c>
      <c r="D58" s="8">
        <v>14.0</v>
      </c>
      <c r="E58" s="20">
        <v>24.0</v>
      </c>
      <c r="F58" s="20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0">
        <v>24.0</v>
      </c>
      <c r="M58" s="20">
        <v>0.0</v>
      </c>
      <c r="N58" s="22">
        <v>26.0</v>
      </c>
      <c r="O58" s="20">
        <v>0.0</v>
      </c>
      <c r="P58" s="39">
        <v>0.0</v>
      </c>
      <c r="Q58" s="20">
        <v>0.0</v>
      </c>
      <c r="R58" s="20">
        <v>0.0</v>
      </c>
      <c r="S58" s="20">
        <v>0.0</v>
      </c>
      <c r="T58" s="2"/>
      <c r="U58" s="20">
        <v>1237210.0</v>
      </c>
      <c r="V58" s="40">
        <f t="shared" si="1"/>
        <v>0</v>
      </c>
      <c r="W58" s="40">
        <f t="shared" si="2"/>
        <v>0</v>
      </c>
      <c r="X58" s="2"/>
      <c r="Y58" s="2"/>
      <c r="Z58" s="2"/>
    </row>
    <row r="59" ht="12.75" customHeight="1">
      <c r="A59" s="7"/>
      <c r="B59" s="8" t="s">
        <v>71</v>
      </c>
      <c r="C59" s="8" t="s">
        <v>27</v>
      </c>
      <c r="D59" s="8">
        <v>14.0</v>
      </c>
      <c r="E59" s="20">
        <v>25.0</v>
      </c>
      <c r="F59" s="20">
        <v>0.0</v>
      </c>
      <c r="G59" s="20">
        <v>0.0</v>
      </c>
      <c r="H59" s="20">
        <v>0.0</v>
      </c>
      <c r="I59" s="20">
        <v>4.0</v>
      </c>
      <c r="J59" s="20">
        <v>0.0</v>
      </c>
      <c r="K59" s="20">
        <v>4.0</v>
      </c>
      <c r="L59" s="20">
        <v>21.0</v>
      </c>
      <c r="M59" s="20">
        <v>21.0</v>
      </c>
      <c r="N59" s="22">
        <v>26.0</v>
      </c>
      <c r="O59" s="20">
        <v>136.5</v>
      </c>
      <c r="P59" s="39">
        <v>1.5</v>
      </c>
      <c r="Q59" s="20">
        <v>0.0</v>
      </c>
      <c r="R59" s="20">
        <v>0.0</v>
      </c>
      <c r="S59" s="20">
        <v>0.0</v>
      </c>
      <c r="T59" s="2"/>
      <c r="U59" s="20">
        <v>1436695.0</v>
      </c>
      <c r="V59" s="40">
        <f t="shared" si="1"/>
        <v>5746780</v>
      </c>
      <c r="W59" s="40">
        <f t="shared" si="2"/>
        <v>30170595</v>
      </c>
      <c r="X59" s="2"/>
      <c r="Y59" s="2"/>
      <c r="Z59" s="2"/>
    </row>
    <row r="60" ht="12.75" customHeight="1">
      <c r="A60" s="7"/>
      <c r="B60" s="8" t="s">
        <v>131</v>
      </c>
      <c r="C60" s="8" t="s">
        <v>27</v>
      </c>
      <c r="D60" s="8">
        <v>14.0</v>
      </c>
      <c r="E60" s="20">
        <v>105.0</v>
      </c>
      <c r="F60" s="20">
        <v>0.0</v>
      </c>
      <c r="G60" s="20">
        <v>0.0</v>
      </c>
      <c r="H60" s="20">
        <v>0.0</v>
      </c>
      <c r="I60" s="20">
        <v>0.0</v>
      </c>
      <c r="J60" s="20">
        <v>0.0</v>
      </c>
      <c r="K60" s="20">
        <v>0.0</v>
      </c>
      <c r="L60" s="20">
        <v>105.0</v>
      </c>
      <c r="M60" s="20">
        <v>0.0</v>
      </c>
      <c r="N60" s="22">
        <v>26.0</v>
      </c>
      <c r="O60" s="20">
        <v>0.0</v>
      </c>
      <c r="P60" s="39">
        <v>2.7777777777777777</v>
      </c>
      <c r="Q60" s="20">
        <v>0.0</v>
      </c>
      <c r="R60" s="20">
        <v>0.0</v>
      </c>
      <c r="S60" s="20">
        <v>0.0</v>
      </c>
      <c r="T60" s="2"/>
      <c r="U60" s="20">
        <v>1436695.0</v>
      </c>
      <c r="V60" s="40">
        <f t="shared" si="1"/>
        <v>0</v>
      </c>
      <c r="W60" s="40">
        <f t="shared" si="2"/>
        <v>0</v>
      </c>
      <c r="X60" s="2"/>
      <c r="Y60" s="2"/>
      <c r="Z60" s="2"/>
    </row>
    <row r="61" ht="12.75" customHeight="1">
      <c r="A61" s="7"/>
      <c r="B61" s="8" t="s">
        <v>72</v>
      </c>
      <c r="C61" s="8" t="s">
        <v>27</v>
      </c>
      <c r="D61" s="8">
        <v>14.0</v>
      </c>
      <c r="E61" s="20">
        <v>115.0</v>
      </c>
      <c r="F61" s="20">
        <v>944.0</v>
      </c>
      <c r="G61" s="20">
        <v>0.0</v>
      </c>
      <c r="H61" s="20">
        <v>0.0</v>
      </c>
      <c r="I61" s="20">
        <v>761.0</v>
      </c>
      <c r="J61" s="20">
        <v>0.0</v>
      </c>
      <c r="K61" s="20">
        <v>761.0</v>
      </c>
      <c r="L61" s="20">
        <v>298.0</v>
      </c>
      <c r="M61" s="20">
        <v>351.3125</v>
      </c>
      <c r="N61" s="22">
        <v>26.0</v>
      </c>
      <c r="O61" s="20">
        <v>0.0</v>
      </c>
      <c r="P61" s="39">
        <v>0.0</v>
      </c>
      <c r="Q61" s="20">
        <v>0.0</v>
      </c>
      <c r="R61" s="20">
        <v>0.0</v>
      </c>
      <c r="S61" s="20">
        <v>0.0</v>
      </c>
      <c r="T61" s="2"/>
      <c r="U61" s="20">
        <v>848935.0</v>
      </c>
      <c r="V61" s="40">
        <f t="shared" si="1"/>
        <v>646039535</v>
      </c>
      <c r="W61" s="40">
        <f t="shared" si="2"/>
        <v>298241477.2</v>
      </c>
      <c r="X61" s="2"/>
      <c r="Y61" s="2"/>
      <c r="Z61" s="2"/>
    </row>
    <row r="62" ht="12.75" customHeight="1">
      <c r="A62" s="7"/>
      <c r="B62" s="8" t="s">
        <v>73</v>
      </c>
      <c r="C62" s="8" t="s">
        <v>27</v>
      </c>
      <c r="D62" s="8">
        <v>14.0</v>
      </c>
      <c r="E62" s="20">
        <v>81.0</v>
      </c>
      <c r="F62" s="20">
        <v>0.0</v>
      </c>
      <c r="G62" s="20">
        <v>0.0</v>
      </c>
      <c r="H62" s="20">
        <v>0.0</v>
      </c>
      <c r="I62" s="20">
        <v>0.0</v>
      </c>
      <c r="J62" s="20">
        <v>0.0</v>
      </c>
      <c r="K62" s="20">
        <v>0.0</v>
      </c>
      <c r="L62" s="20">
        <v>81.0</v>
      </c>
      <c r="M62" s="20">
        <v>0.0</v>
      </c>
      <c r="N62" s="22">
        <v>26.0</v>
      </c>
      <c r="O62" s="20">
        <v>0.0</v>
      </c>
      <c r="P62" s="39">
        <v>0.1444723618090452</v>
      </c>
      <c r="Q62" s="20">
        <v>0.0</v>
      </c>
      <c r="R62" s="20">
        <v>800.0</v>
      </c>
      <c r="S62" s="20">
        <v>0.0</v>
      </c>
      <c r="T62" s="2"/>
      <c r="U62" s="47">
        <v>1497718.0</v>
      </c>
      <c r="V62" s="40">
        <f t="shared" si="1"/>
        <v>0</v>
      </c>
      <c r="W62" s="40">
        <f t="shared" si="2"/>
        <v>0</v>
      </c>
      <c r="X62" s="2"/>
      <c r="Y62" s="2"/>
      <c r="Z62" s="2"/>
    </row>
    <row r="63" ht="12.75" customHeight="1">
      <c r="A63" s="7"/>
      <c r="B63" s="8" t="s">
        <v>74</v>
      </c>
      <c r="C63" s="8" t="s">
        <v>27</v>
      </c>
      <c r="D63" s="8">
        <v>14.0</v>
      </c>
      <c r="E63" s="20">
        <v>0.0</v>
      </c>
      <c r="F63" s="20">
        <v>0.0</v>
      </c>
      <c r="G63" s="20">
        <v>0.0</v>
      </c>
      <c r="H63" s="20">
        <v>0.0</v>
      </c>
      <c r="I63" s="20">
        <v>0.0</v>
      </c>
      <c r="J63" s="20">
        <v>0.0</v>
      </c>
      <c r="K63" s="20">
        <v>0.0</v>
      </c>
      <c r="L63" s="20">
        <v>0.0</v>
      </c>
      <c r="M63" s="20">
        <v>0.0</v>
      </c>
      <c r="N63" s="22">
        <v>26.0</v>
      </c>
      <c r="O63" s="20">
        <v>0.0</v>
      </c>
      <c r="P63" s="39">
        <v>5.0625</v>
      </c>
      <c r="Q63" s="20">
        <v>0.0</v>
      </c>
      <c r="R63" s="20">
        <v>0.0</v>
      </c>
      <c r="S63" s="20">
        <v>0.0</v>
      </c>
      <c r="T63" s="2"/>
      <c r="U63" s="20">
        <v>1396550.0</v>
      </c>
      <c r="V63" s="40">
        <f t="shared" si="1"/>
        <v>0</v>
      </c>
      <c r="W63" s="40">
        <f t="shared" si="2"/>
        <v>0</v>
      </c>
      <c r="X63" s="2"/>
      <c r="Y63" s="2"/>
      <c r="Z63" s="2"/>
    </row>
    <row r="64" ht="12.75" customHeight="1">
      <c r="A64" s="7"/>
      <c r="B64" s="8" t="s">
        <v>132</v>
      </c>
      <c r="C64" s="8" t="s">
        <v>27</v>
      </c>
      <c r="D64" s="8">
        <v>14.0</v>
      </c>
      <c r="E64" s="20">
        <v>338.0</v>
      </c>
      <c r="F64" s="20">
        <v>513.0</v>
      </c>
      <c r="G64" s="20">
        <v>0.0</v>
      </c>
      <c r="H64" s="20">
        <v>0.0</v>
      </c>
      <c r="I64" s="20">
        <v>826.0</v>
      </c>
      <c r="J64" s="20">
        <v>0.0</v>
      </c>
      <c r="K64" s="20">
        <v>826.0</v>
      </c>
      <c r="L64" s="20">
        <v>25.0</v>
      </c>
      <c r="M64" s="20">
        <v>264.590909090909</v>
      </c>
      <c r="N64" s="22">
        <v>26.0</v>
      </c>
      <c r="O64" s="20">
        <v>8.328527404798589</v>
      </c>
      <c r="P64" s="39">
        <v>0.0</v>
      </c>
      <c r="Q64" s="20">
        <v>0.0</v>
      </c>
      <c r="R64" s="20">
        <v>0.0</v>
      </c>
      <c r="S64" s="20">
        <v>0.0</v>
      </c>
      <c r="T64" s="2"/>
      <c r="U64" s="20">
        <v>1396550.0</v>
      </c>
      <c r="V64" s="40">
        <f t="shared" si="1"/>
        <v>1153550300</v>
      </c>
      <c r="W64" s="40">
        <f t="shared" si="2"/>
        <v>369514434.1</v>
      </c>
      <c r="X64" s="2"/>
      <c r="Y64" s="2"/>
      <c r="Z64" s="2"/>
    </row>
    <row r="65" ht="12.75" customHeight="1">
      <c r="A65" s="7"/>
      <c r="B65" s="44" t="s">
        <v>179</v>
      </c>
      <c r="C65" s="8" t="s">
        <v>27</v>
      </c>
      <c r="D65" s="8">
        <v>14.0</v>
      </c>
      <c r="E65" s="20">
        <v>0.0</v>
      </c>
      <c r="F65" s="20">
        <v>84.0</v>
      </c>
      <c r="G65" s="20">
        <v>0.0</v>
      </c>
      <c r="H65" s="20">
        <v>0.0</v>
      </c>
      <c r="I65" s="20">
        <v>84.0</v>
      </c>
      <c r="J65" s="20">
        <v>0.0</v>
      </c>
      <c r="K65" s="20">
        <v>84.0</v>
      </c>
      <c r="L65" s="20">
        <v>0.0</v>
      </c>
      <c r="M65" s="20">
        <v>42.5</v>
      </c>
      <c r="N65" s="22">
        <v>26.0</v>
      </c>
      <c r="O65" s="20">
        <v>13.154761904761905</v>
      </c>
      <c r="P65" s="39">
        <v>2.3472222222222223</v>
      </c>
      <c r="Q65" s="20">
        <v>0.0</v>
      </c>
      <c r="R65" s="20">
        <v>511.0</v>
      </c>
      <c r="S65" s="20">
        <v>0.0</v>
      </c>
      <c r="T65" s="2"/>
      <c r="U65" s="20">
        <v>1143590.0</v>
      </c>
      <c r="V65" s="40">
        <f t="shared" si="1"/>
        <v>96061560</v>
      </c>
      <c r="W65" s="40">
        <f t="shared" si="2"/>
        <v>48602575</v>
      </c>
      <c r="X65" s="2"/>
      <c r="Y65" s="2"/>
      <c r="Z65" s="2"/>
    </row>
    <row r="66" ht="12.75" customHeight="1">
      <c r="A66" s="7"/>
      <c r="B66" s="8" t="s">
        <v>75</v>
      </c>
      <c r="C66" s="8" t="s">
        <v>27</v>
      </c>
      <c r="D66" s="8">
        <v>14.0</v>
      </c>
      <c r="E66" s="20">
        <v>36.0</v>
      </c>
      <c r="F66" s="20">
        <v>32.0</v>
      </c>
      <c r="G66" s="20">
        <v>0.0</v>
      </c>
      <c r="H66" s="20">
        <v>0.0</v>
      </c>
      <c r="I66" s="20">
        <v>68.0</v>
      </c>
      <c r="J66" s="20">
        <v>0.0</v>
      </c>
      <c r="K66" s="20">
        <v>68.0</v>
      </c>
      <c r="L66" s="20">
        <v>0.0</v>
      </c>
      <c r="M66" s="20">
        <v>0.0</v>
      </c>
      <c r="N66" s="22">
        <v>26.0</v>
      </c>
      <c r="O66" s="20">
        <v>0.0</v>
      </c>
      <c r="P66" s="39">
        <v>0.5070422535211268</v>
      </c>
      <c r="Q66" s="20">
        <v>0.0</v>
      </c>
      <c r="R66" s="20">
        <v>50.0</v>
      </c>
      <c r="S66" s="20">
        <v>0.0</v>
      </c>
      <c r="T66" s="2"/>
      <c r="U66" s="20">
        <v>1143590.0</v>
      </c>
      <c r="V66" s="40">
        <f t="shared" si="1"/>
        <v>77764120</v>
      </c>
      <c r="W66" s="40">
        <f t="shared" si="2"/>
        <v>0</v>
      </c>
      <c r="X66" s="2"/>
      <c r="Y66" s="2"/>
      <c r="Z66" s="2"/>
    </row>
    <row r="67" ht="12.75" customHeight="1">
      <c r="A67" s="7"/>
      <c r="B67" s="8" t="s">
        <v>76</v>
      </c>
      <c r="C67" s="8" t="s">
        <v>27</v>
      </c>
      <c r="D67" s="8">
        <v>14.0</v>
      </c>
      <c r="E67" s="20">
        <v>6.0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6.0</v>
      </c>
      <c r="M67" s="20">
        <v>0.0</v>
      </c>
      <c r="N67" s="22">
        <v>26.0</v>
      </c>
      <c r="O67" s="20">
        <v>0.0</v>
      </c>
      <c r="P67" s="39">
        <v>0.0</v>
      </c>
      <c r="Q67" s="20">
        <v>0.0</v>
      </c>
      <c r="R67" s="20">
        <v>0.0</v>
      </c>
      <c r="S67" s="20">
        <v>0.0</v>
      </c>
      <c r="T67" s="2"/>
      <c r="U67" s="20">
        <v>954645.0</v>
      </c>
      <c r="V67" s="40">
        <f t="shared" si="1"/>
        <v>0</v>
      </c>
      <c r="W67" s="40">
        <f t="shared" si="2"/>
        <v>0</v>
      </c>
      <c r="X67" s="2"/>
      <c r="Y67" s="2"/>
      <c r="Z67" s="2"/>
    </row>
    <row r="68" ht="12.75" customHeight="1">
      <c r="A68" s="7"/>
      <c r="B68" s="8" t="s">
        <v>133</v>
      </c>
      <c r="C68" s="8" t="s">
        <v>27</v>
      </c>
      <c r="D68" s="8">
        <v>14.0</v>
      </c>
      <c r="E68" s="20">
        <v>43.0</v>
      </c>
      <c r="F68" s="20">
        <v>83.0</v>
      </c>
      <c r="G68" s="20">
        <v>0.0</v>
      </c>
      <c r="H68" s="20">
        <v>0.0</v>
      </c>
      <c r="I68" s="20">
        <v>113.0</v>
      </c>
      <c r="J68" s="20">
        <v>0.0</v>
      </c>
      <c r="K68" s="20">
        <v>113.0</v>
      </c>
      <c r="L68" s="20">
        <v>13.0</v>
      </c>
      <c r="M68" s="20">
        <v>71.5</v>
      </c>
      <c r="N68" s="22">
        <v>26.0</v>
      </c>
      <c r="O68" s="20">
        <v>16.451327433628318</v>
      </c>
      <c r="P68" s="39">
        <v>0.7166666666666667</v>
      </c>
      <c r="Q68" s="20">
        <v>0.0</v>
      </c>
      <c r="R68" s="20">
        <v>100.0</v>
      </c>
      <c r="S68" s="20">
        <v>0.0</v>
      </c>
      <c r="T68" s="2"/>
      <c r="U68" s="20">
        <v>954645.0</v>
      </c>
      <c r="V68" s="40">
        <f t="shared" si="1"/>
        <v>107874885</v>
      </c>
      <c r="W68" s="40">
        <f t="shared" si="2"/>
        <v>68257117.5</v>
      </c>
      <c r="X68" s="2"/>
      <c r="Y68" s="2"/>
      <c r="Z68" s="2"/>
    </row>
    <row r="69" ht="12.75" customHeight="1">
      <c r="A69" s="7"/>
      <c r="B69" s="8" t="s">
        <v>77</v>
      </c>
      <c r="C69" s="8" t="s">
        <v>27</v>
      </c>
      <c r="D69" s="8">
        <v>14.0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v>0.0</v>
      </c>
      <c r="L69" s="20">
        <v>0.0</v>
      </c>
      <c r="M69" s="20">
        <v>0.0</v>
      </c>
      <c r="N69" s="22">
        <v>26.0</v>
      </c>
      <c r="O69" s="20">
        <v>0.0</v>
      </c>
      <c r="P69" s="39">
        <v>0.0</v>
      </c>
      <c r="Q69" s="20">
        <v>0.0</v>
      </c>
      <c r="R69" s="20">
        <v>0.0</v>
      </c>
      <c r="S69" s="20">
        <v>0.0</v>
      </c>
      <c r="T69" s="2"/>
      <c r="U69" s="47">
        <v>771202.0</v>
      </c>
      <c r="V69" s="40">
        <f t="shared" si="1"/>
        <v>0</v>
      </c>
      <c r="W69" s="40">
        <f t="shared" si="2"/>
        <v>0</v>
      </c>
      <c r="X69" s="2"/>
      <c r="Y69" s="2"/>
      <c r="Z69" s="2"/>
    </row>
    <row r="70" ht="12.75" customHeight="1">
      <c r="A70" s="7"/>
      <c r="B70" s="8" t="s">
        <v>78</v>
      </c>
      <c r="C70" s="8" t="s">
        <v>27</v>
      </c>
      <c r="D70" s="8">
        <v>14.0</v>
      </c>
      <c r="E70" s="20">
        <v>41.0</v>
      </c>
      <c r="F70" s="20">
        <v>0.0</v>
      </c>
      <c r="G70" s="20">
        <v>0.0</v>
      </c>
      <c r="H70" s="20">
        <v>0.0</v>
      </c>
      <c r="I70" s="20">
        <v>21.0</v>
      </c>
      <c r="J70" s="20">
        <v>0.0</v>
      </c>
      <c r="K70" s="20">
        <v>21.0</v>
      </c>
      <c r="L70" s="20">
        <v>20.0</v>
      </c>
      <c r="M70" s="20">
        <v>20.5</v>
      </c>
      <c r="N70" s="22">
        <v>26.0</v>
      </c>
      <c r="O70" s="20">
        <v>25.38095238095238</v>
      </c>
      <c r="P70" s="39">
        <v>2.5625</v>
      </c>
      <c r="Q70" s="20">
        <v>0.0</v>
      </c>
      <c r="R70" s="20">
        <v>0.0</v>
      </c>
      <c r="S70" s="20">
        <v>0.0</v>
      </c>
      <c r="T70" s="2"/>
      <c r="U70" s="47">
        <v>1497718.0</v>
      </c>
      <c r="V70" s="40">
        <f t="shared" si="1"/>
        <v>31452078</v>
      </c>
      <c r="W70" s="40">
        <f t="shared" si="2"/>
        <v>30703219</v>
      </c>
      <c r="X70" s="2"/>
      <c r="Y70" s="2"/>
      <c r="Z70" s="2"/>
    </row>
    <row r="71" ht="12.75" customHeight="1">
      <c r="A71" s="7"/>
      <c r="B71" s="8" t="s">
        <v>79</v>
      </c>
      <c r="C71" s="8" t="s">
        <v>27</v>
      </c>
      <c r="D71" s="8">
        <v>14.0</v>
      </c>
      <c r="E71" s="20">
        <v>203.0</v>
      </c>
      <c r="F71" s="20">
        <v>100.0</v>
      </c>
      <c r="G71" s="20">
        <v>0.0</v>
      </c>
      <c r="H71" s="20">
        <v>0.0</v>
      </c>
      <c r="I71" s="20">
        <v>167.0</v>
      </c>
      <c r="J71" s="20">
        <v>0.0</v>
      </c>
      <c r="K71" s="20">
        <v>167.0</v>
      </c>
      <c r="L71" s="20">
        <v>136.0</v>
      </c>
      <c r="M71" s="20">
        <v>179.14285714285703</v>
      </c>
      <c r="N71" s="22">
        <v>26.0</v>
      </c>
      <c r="O71" s="20">
        <v>27.890504704875944</v>
      </c>
      <c r="P71" s="39">
        <v>2.6025641025641026</v>
      </c>
      <c r="Q71" s="20">
        <v>0.0</v>
      </c>
      <c r="R71" s="20">
        <v>100.0</v>
      </c>
      <c r="S71" s="20">
        <v>0.0</v>
      </c>
      <c r="T71" s="2"/>
      <c r="U71" s="20">
        <v>907060.0</v>
      </c>
      <c r="V71" s="40">
        <f t="shared" si="1"/>
        <v>151479020</v>
      </c>
      <c r="W71" s="40">
        <f t="shared" si="2"/>
        <v>162493320</v>
      </c>
      <c r="X71" s="2"/>
      <c r="Y71" s="2"/>
      <c r="Z71" s="2"/>
    </row>
    <row r="72" ht="12.75" customHeight="1">
      <c r="A72" s="7"/>
      <c r="B72" s="8" t="s">
        <v>160</v>
      </c>
      <c r="C72" s="8" t="s">
        <v>27</v>
      </c>
      <c r="D72" s="8">
        <v>14.0</v>
      </c>
      <c r="E72" s="20">
        <v>264.0</v>
      </c>
      <c r="F72" s="20">
        <v>108.0</v>
      </c>
      <c r="G72" s="20">
        <v>0.0</v>
      </c>
      <c r="H72" s="20">
        <v>0.0</v>
      </c>
      <c r="I72" s="20">
        <v>0.0</v>
      </c>
      <c r="J72" s="20">
        <v>300.0</v>
      </c>
      <c r="K72" s="20">
        <v>300.0</v>
      </c>
      <c r="L72" s="20">
        <v>72.0</v>
      </c>
      <c r="M72" s="20">
        <v>114.666666666667</v>
      </c>
      <c r="N72" s="22">
        <v>26.0</v>
      </c>
      <c r="O72" s="20">
        <v>9.937777777777807</v>
      </c>
      <c r="P72" s="39">
        <v>0.6666666666666666</v>
      </c>
      <c r="Q72" s="20">
        <v>0.0</v>
      </c>
      <c r="R72" s="20">
        <v>0.0</v>
      </c>
      <c r="S72" s="20">
        <v>0.0</v>
      </c>
      <c r="T72" s="2"/>
      <c r="U72" s="20">
        <v>823515.0</v>
      </c>
      <c r="V72" s="40">
        <f t="shared" si="1"/>
        <v>247054500</v>
      </c>
      <c r="W72" s="40">
        <f t="shared" si="2"/>
        <v>94429720</v>
      </c>
      <c r="X72" s="2"/>
      <c r="Y72" s="2"/>
      <c r="Z72" s="2"/>
    </row>
    <row r="73" ht="12.75" customHeight="1">
      <c r="A73" s="7"/>
      <c r="B73" s="8" t="s">
        <v>135</v>
      </c>
      <c r="C73" s="8" t="s">
        <v>27</v>
      </c>
      <c r="D73" s="8">
        <v>14.0</v>
      </c>
      <c r="E73" s="20">
        <v>259.0</v>
      </c>
      <c r="F73" s="20">
        <v>0.0</v>
      </c>
      <c r="G73" s="20">
        <v>0.0</v>
      </c>
      <c r="H73" s="20">
        <v>0.0</v>
      </c>
      <c r="I73" s="20">
        <v>0.0</v>
      </c>
      <c r="J73" s="20">
        <v>126.0</v>
      </c>
      <c r="K73" s="20">
        <v>126.0</v>
      </c>
      <c r="L73" s="20">
        <v>133.0</v>
      </c>
      <c r="M73" s="20">
        <v>175.0</v>
      </c>
      <c r="N73" s="22">
        <v>26.0</v>
      </c>
      <c r="O73" s="20">
        <v>36.11111111111111</v>
      </c>
      <c r="P73" s="39">
        <v>4.17741935483871</v>
      </c>
      <c r="Q73" s="20">
        <v>0.0</v>
      </c>
      <c r="R73" s="20">
        <v>0.0</v>
      </c>
      <c r="S73" s="20">
        <v>0.0</v>
      </c>
      <c r="T73" s="2"/>
      <c r="U73" s="20">
        <v>823515.0</v>
      </c>
      <c r="V73" s="40">
        <f t="shared" si="1"/>
        <v>103762890</v>
      </c>
      <c r="W73" s="40">
        <f t="shared" si="2"/>
        <v>144115125</v>
      </c>
      <c r="X73" s="2"/>
      <c r="Y73" s="2"/>
      <c r="Z73" s="2"/>
    </row>
    <row r="74" ht="12.75" customHeight="1">
      <c r="A74" s="7"/>
      <c r="B74" s="8" t="s">
        <v>136</v>
      </c>
      <c r="C74" s="8" t="s">
        <v>27</v>
      </c>
      <c r="D74" s="8">
        <v>14.0</v>
      </c>
      <c r="E74" s="20">
        <v>3.0</v>
      </c>
      <c r="F74" s="20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0">
        <v>3.0</v>
      </c>
      <c r="M74" s="20">
        <v>0.0</v>
      </c>
      <c r="N74" s="22">
        <v>26.0</v>
      </c>
      <c r="O74" s="20">
        <v>0.0</v>
      </c>
      <c r="P74" s="39">
        <v>0.05555555555555555</v>
      </c>
      <c r="Q74" s="20">
        <v>0.0</v>
      </c>
      <c r="R74" s="20">
        <v>0.0</v>
      </c>
      <c r="S74" s="20">
        <v>0.0</v>
      </c>
      <c r="T74" s="2"/>
      <c r="U74" s="20">
        <v>823515.0</v>
      </c>
      <c r="V74" s="40">
        <f t="shared" si="1"/>
        <v>0</v>
      </c>
      <c r="W74" s="40">
        <f t="shared" si="2"/>
        <v>0</v>
      </c>
      <c r="X74" s="2"/>
      <c r="Y74" s="2"/>
      <c r="Z74" s="2"/>
    </row>
    <row r="75" ht="12.75" customHeight="1">
      <c r="A75" s="7"/>
      <c r="B75" s="8" t="s">
        <v>82</v>
      </c>
      <c r="C75" s="8" t="s">
        <v>27</v>
      </c>
      <c r="D75" s="8">
        <v>14.0</v>
      </c>
      <c r="E75" s="20">
        <v>266.0</v>
      </c>
      <c r="F75" s="20">
        <v>0.0</v>
      </c>
      <c r="G75" s="20">
        <v>0.0</v>
      </c>
      <c r="H75" s="20">
        <v>0.0</v>
      </c>
      <c r="I75" s="20">
        <v>0.0</v>
      </c>
      <c r="J75" s="20">
        <v>95.0</v>
      </c>
      <c r="K75" s="20">
        <v>95.0</v>
      </c>
      <c r="L75" s="20">
        <v>171.0</v>
      </c>
      <c r="M75" s="20">
        <v>216.20000000000002</v>
      </c>
      <c r="N75" s="22">
        <v>26.0</v>
      </c>
      <c r="O75" s="20">
        <v>59.17052631578947</v>
      </c>
      <c r="P75" s="39">
        <v>5.911111111111111</v>
      </c>
      <c r="Q75" s="20">
        <v>0.0</v>
      </c>
      <c r="R75" s="20">
        <v>0.0</v>
      </c>
      <c r="S75" s="20">
        <v>0.0</v>
      </c>
      <c r="T75" s="2"/>
      <c r="U75" s="20">
        <v>823515.0</v>
      </c>
      <c r="V75" s="40">
        <f t="shared" si="1"/>
        <v>78233925</v>
      </c>
      <c r="W75" s="40">
        <f t="shared" si="2"/>
        <v>178043943</v>
      </c>
      <c r="X75" s="2"/>
      <c r="Y75" s="2"/>
      <c r="Z75" s="2"/>
    </row>
    <row r="76" ht="12.75" customHeight="1">
      <c r="A76" s="7"/>
      <c r="B76" s="8" t="s">
        <v>84</v>
      </c>
      <c r="C76" s="8" t="s">
        <v>27</v>
      </c>
      <c r="D76" s="8">
        <v>14.0</v>
      </c>
      <c r="E76" s="20">
        <v>34.0</v>
      </c>
      <c r="F76" s="20">
        <v>0.0</v>
      </c>
      <c r="G76" s="20">
        <v>0.0</v>
      </c>
      <c r="H76" s="20">
        <v>0.0</v>
      </c>
      <c r="I76" s="20">
        <v>8.0</v>
      </c>
      <c r="J76" s="20">
        <v>0.0</v>
      </c>
      <c r="K76" s="20">
        <v>8.0</v>
      </c>
      <c r="L76" s="20">
        <v>26.0</v>
      </c>
      <c r="M76" s="20">
        <v>29.0</v>
      </c>
      <c r="N76" s="22">
        <v>26.0</v>
      </c>
      <c r="O76" s="20">
        <v>94.25</v>
      </c>
      <c r="P76" s="39">
        <v>2.8333333333333335</v>
      </c>
      <c r="Q76" s="20">
        <v>0.0</v>
      </c>
      <c r="R76" s="20">
        <v>0.0</v>
      </c>
      <c r="S76" s="20">
        <v>0.0</v>
      </c>
      <c r="T76" s="2"/>
      <c r="U76" s="20">
        <v>604345.0</v>
      </c>
      <c r="V76" s="40">
        <f t="shared" si="1"/>
        <v>4834760</v>
      </c>
      <c r="W76" s="40">
        <f t="shared" si="2"/>
        <v>17526005</v>
      </c>
      <c r="X76" s="2"/>
      <c r="Y76" s="2"/>
      <c r="Z76" s="2"/>
    </row>
    <row r="77" ht="12.75" customHeight="1">
      <c r="A77" s="7"/>
      <c r="B77" s="8" t="s">
        <v>113</v>
      </c>
      <c r="C77" s="8" t="s">
        <v>27</v>
      </c>
      <c r="D77" s="8">
        <v>14.0</v>
      </c>
      <c r="E77" s="20">
        <v>16.0</v>
      </c>
      <c r="F77" s="20">
        <v>0.0</v>
      </c>
      <c r="G77" s="20">
        <v>0.0</v>
      </c>
      <c r="H77" s="20">
        <v>0.0</v>
      </c>
      <c r="I77" s="20">
        <v>16.0</v>
      </c>
      <c r="J77" s="20">
        <v>0.0</v>
      </c>
      <c r="K77" s="20">
        <v>16.0</v>
      </c>
      <c r="L77" s="20">
        <v>0.0</v>
      </c>
      <c r="M77" s="20">
        <v>7.0</v>
      </c>
      <c r="N77" s="22">
        <v>26.0</v>
      </c>
      <c r="O77" s="20">
        <v>11.375</v>
      </c>
      <c r="P77" s="39">
        <v>0.9411764705882353</v>
      </c>
      <c r="Q77" s="20">
        <v>0.0</v>
      </c>
      <c r="R77" s="20">
        <v>0.0</v>
      </c>
      <c r="S77" s="20">
        <v>0.0</v>
      </c>
      <c r="T77" s="2"/>
      <c r="U77" s="20">
        <v>597835.0</v>
      </c>
      <c r="V77" s="40">
        <f t="shared" si="1"/>
        <v>9565360</v>
      </c>
      <c r="W77" s="40">
        <f t="shared" si="2"/>
        <v>4184845</v>
      </c>
      <c r="X77" s="2"/>
      <c r="Y77" s="2"/>
      <c r="Z77" s="2"/>
    </row>
    <row r="78" ht="12.75" customHeight="1">
      <c r="A78" s="7"/>
      <c r="B78" s="8" t="s">
        <v>114</v>
      </c>
      <c r="C78" s="8" t="s">
        <v>27</v>
      </c>
      <c r="D78" s="8">
        <v>14.0</v>
      </c>
      <c r="E78" s="20">
        <v>562.32</v>
      </c>
      <c r="F78" s="20">
        <v>1663.0</v>
      </c>
      <c r="G78" s="20">
        <v>0.0</v>
      </c>
      <c r="H78" s="20">
        <v>0.0</v>
      </c>
      <c r="I78" s="20">
        <v>1789.0</v>
      </c>
      <c r="J78" s="20">
        <v>1.7053025658242404E-13</v>
      </c>
      <c r="K78" s="20">
        <v>1789.0000000000002</v>
      </c>
      <c r="L78" s="20">
        <v>436.32</v>
      </c>
      <c r="M78" s="20">
        <v>447.32</v>
      </c>
      <c r="N78" s="22">
        <v>26.0</v>
      </c>
      <c r="O78" s="20">
        <v>6.501017328116266</v>
      </c>
      <c r="P78" s="39">
        <v>0.4516626506024097</v>
      </c>
      <c r="Q78" s="20">
        <v>0.0</v>
      </c>
      <c r="R78" s="20">
        <v>984.0</v>
      </c>
      <c r="S78" s="20">
        <v>0.0</v>
      </c>
      <c r="T78" s="2"/>
      <c r="U78" s="20">
        <v>597835.0</v>
      </c>
      <c r="V78" s="40">
        <f t="shared" si="1"/>
        <v>1069526815</v>
      </c>
      <c r="W78" s="40">
        <f t="shared" si="2"/>
        <v>267423552.2</v>
      </c>
      <c r="X78" s="2"/>
      <c r="Y78" s="2"/>
      <c r="Z78" s="2"/>
    </row>
    <row r="79" ht="12.75" customHeight="1">
      <c r="A79" s="7"/>
      <c r="B79" s="8" t="s">
        <v>86</v>
      </c>
      <c r="C79" s="8" t="s">
        <v>27</v>
      </c>
      <c r="D79" s="8">
        <v>14.0</v>
      </c>
      <c r="E79" s="20">
        <v>247.0</v>
      </c>
      <c r="F79" s="20">
        <v>250.0</v>
      </c>
      <c r="G79" s="20">
        <v>0.0</v>
      </c>
      <c r="H79" s="20">
        <v>0.0</v>
      </c>
      <c r="I79" s="20">
        <v>395.0</v>
      </c>
      <c r="J79" s="20">
        <v>0.0</v>
      </c>
      <c r="K79" s="20">
        <v>395.0</v>
      </c>
      <c r="L79" s="20">
        <v>102.0</v>
      </c>
      <c r="M79" s="20">
        <v>218.6</v>
      </c>
      <c r="N79" s="22">
        <v>26.0</v>
      </c>
      <c r="O79" s="20">
        <v>14.388860759493673</v>
      </c>
      <c r="P79" s="39">
        <v>0.7138728323699421</v>
      </c>
      <c r="Q79" s="20">
        <v>23.0</v>
      </c>
      <c r="R79" s="20">
        <v>350.0</v>
      </c>
      <c r="S79" s="20">
        <v>0.0</v>
      </c>
      <c r="T79" s="2"/>
      <c r="U79" s="20">
        <v>937285.0</v>
      </c>
      <c r="V79" s="40">
        <f t="shared" si="1"/>
        <v>370227575</v>
      </c>
      <c r="W79" s="40">
        <f t="shared" si="2"/>
        <v>204890501</v>
      </c>
      <c r="X79" s="2"/>
      <c r="Y79" s="2"/>
      <c r="Z79" s="2"/>
    </row>
    <row r="80" ht="12.75" customHeight="1">
      <c r="A80" s="7"/>
      <c r="B80" s="8" t="s">
        <v>137</v>
      </c>
      <c r="C80" s="8" t="s">
        <v>27</v>
      </c>
      <c r="D80" s="8">
        <v>14.0</v>
      </c>
      <c r="E80" s="20">
        <v>318.0</v>
      </c>
      <c r="F80" s="20">
        <v>113.0</v>
      </c>
      <c r="G80" s="20">
        <v>0.0</v>
      </c>
      <c r="H80" s="20">
        <v>0.0</v>
      </c>
      <c r="I80" s="20">
        <v>242.0</v>
      </c>
      <c r="J80" s="20">
        <v>188.0</v>
      </c>
      <c r="K80" s="20">
        <v>430.0</v>
      </c>
      <c r="L80" s="20">
        <v>1.0</v>
      </c>
      <c r="M80" s="20">
        <v>115.3</v>
      </c>
      <c r="N80" s="22">
        <v>26.0</v>
      </c>
      <c r="O80" s="20">
        <v>6.971627906976744</v>
      </c>
      <c r="P80" s="39">
        <v>0.6372745490981964</v>
      </c>
      <c r="Q80" s="20">
        <v>2.0</v>
      </c>
      <c r="R80" s="20">
        <v>0.0</v>
      </c>
      <c r="S80" s="20">
        <v>0.0</v>
      </c>
      <c r="T80" s="2"/>
      <c r="U80" s="20">
        <v>1402595.0</v>
      </c>
      <c r="V80" s="40">
        <f t="shared" si="1"/>
        <v>603115850</v>
      </c>
      <c r="W80" s="40">
        <f t="shared" si="2"/>
        <v>161719203.5</v>
      </c>
      <c r="X80" s="2"/>
      <c r="Y80" s="2"/>
      <c r="Z80" s="2"/>
    </row>
    <row r="81" ht="12.75" customHeight="1">
      <c r="A81" s="7"/>
      <c r="B81" s="8" t="s">
        <v>161</v>
      </c>
      <c r="C81" s="8" t="s">
        <v>27</v>
      </c>
      <c r="D81" s="8">
        <v>14.0</v>
      </c>
      <c r="E81" s="20">
        <v>30.0</v>
      </c>
      <c r="F81" s="20">
        <v>303.0</v>
      </c>
      <c r="G81" s="20">
        <v>0.0</v>
      </c>
      <c r="H81" s="20">
        <v>0.0</v>
      </c>
      <c r="I81" s="20">
        <v>165.0</v>
      </c>
      <c r="J81" s="20">
        <v>45.0</v>
      </c>
      <c r="K81" s="20">
        <v>210.0</v>
      </c>
      <c r="L81" s="20">
        <v>123.0</v>
      </c>
      <c r="M81" s="20">
        <v>119.375</v>
      </c>
      <c r="N81" s="22">
        <v>26.0</v>
      </c>
      <c r="O81" s="20">
        <v>14.779761904761905</v>
      </c>
      <c r="P81" s="39">
        <v>0.8333333333333334</v>
      </c>
      <c r="Q81" s="20">
        <v>250.0</v>
      </c>
      <c r="R81" s="20">
        <v>0.0</v>
      </c>
      <c r="S81" s="20">
        <v>0.0</v>
      </c>
      <c r="T81" s="2"/>
      <c r="U81" s="20">
        <v>1402595.0</v>
      </c>
      <c r="V81" s="40">
        <f t="shared" si="1"/>
        <v>294544950</v>
      </c>
      <c r="W81" s="40">
        <f t="shared" si="2"/>
        <v>167434778.1</v>
      </c>
      <c r="X81" s="2"/>
      <c r="Y81" s="2"/>
      <c r="Z81" s="2"/>
    </row>
    <row r="82" ht="12.75" customHeight="1">
      <c r="A82" s="7"/>
      <c r="B82" s="8" t="s">
        <v>138</v>
      </c>
      <c r="C82" s="8" t="s">
        <v>27</v>
      </c>
      <c r="D82" s="8">
        <v>14.0</v>
      </c>
      <c r="E82" s="20">
        <v>24.0</v>
      </c>
      <c r="F82" s="20">
        <v>0.0</v>
      </c>
      <c r="G82" s="20">
        <v>0.0</v>
      </c>
      <c r="H82" s="20">
        <v>0.0</v>
      </c>
      <c r="I82" s="20">
        <v>0.0</v>
      </c>
      <c r="J82" s="20">
        <v>0.0</v>
      </c>
      <c r="K82" s="20">
        <v>0.0</v>
      </c>
      <c r="L82" s="20">
        <v>24.0</v>
      </c>
      <c r="M82" s="20">
        <v>0.0</v>
      </c>
      <c r="N82" s="22">
        <v>26.0</v>
      </c>
      <c r="O82" s="20">
        <v>0.0</v>
      </c>
      <c r="P82" s="39">
        <v>0.0</v>
      </c>
      <c r="Q82" s="20">
        <v>0.0</v>
      </c>
      <c r="R82" s="20">
        <v>0.0</v>
      </c>
      <c r="S82" s="20">
        <v>0.0</v>
      </c>
      <c r="T82" s="2"/>
      <c r="U82" s="20">
        <v>1.0957105E7</v>
      </c>
      <c r="V82" s="40">
        <f t="shared" si="1"/>
        <v>0</v>
      </c>
      <c r="W82" s="40">
        <f t="shared" si="2"/>
        <v>0</v>
      </c>
      <c r="X82" s="2"/>
      <c r="Y82" s="2"/>
      <c r="Z82" s="2"/>
    </row>
    <row r="83" ht="12.75" customHeight="1">
      <c r="A83" s="7"/>
      <c r="B83" s="8" t="s">
        <v>151</v>
      </c>
      <c r="C83" s="8" t="s">
        <v>27</v>
      </c>
      <c r="D83" s="8">
        <v>14.0</v>
      </c>
      <c r="E83" s="20">
        <v>176.0</v>
      </c>
      <c r="F83" s="20">
        <v>0.0</v>
      </c>
      <c r="G83" s="20">
        <v>0.0</v>
      </c>
      <c r="H83" s="20">
        <v>0.0</v>
      </c>
      <c r="I83" s="20">
        <v>68.0</v>
      </c>
      <c r="J83" s="20">
        <v>0.0</v>
      </c>
      <c r="K83" s="20">
        <v>68.0</v>
      </c>
      <c r="L83" s="20">
        <v>108.0</v>
      </c>
      <c r="M83" s="20">
        <v>138.75</v>
      </c>
      <c r="N83" s="22">
        <v>26.0</v>
      </c>
      <c r="O83" s="20">
        <v>53.0514705882353</v>
      </c>
      <c r="P83" s="39">
        <v>16.0</v>
      </c>
      <c r="Q83" s="20">
        <v>0.0</v>
      </c>
      <c r="R83" s="20">
        <v>0.0</v>
      </c>
      <c r="S83" s="20">
        <v>0.0</v>
      </c>
      <c r="T83" s="2"/>
      <c r="U83" s="20">
        <v>1372215.0</v>
      </c>
      <c r="V83" s="40">
        <f t="shared" si="1"/>
        <v>93310620</v>
      </c>
      <c r="W83" s="40">
        <f t="shared" si="2"/>
        <v>190394831.3</v>
      </c>
      <c r="X83" s="2"/>
      <c r="Y83" s="2"/>
      <c r="Z83" s="2"/>
    </row>
    <row r="84" ht="12.75" customHeight="1">
      <c r="A84" s="7"/>
      <c r="B84" s="8" t="s">
        <v>88</v>
      </c>
      <c r="C84" s="8" t="s">
        <v>27</v>
      </c>
      <c r="D84" s="8">
        <v>14.0</v>
      </c>
      <c r="E84" s="20">
        <v>333.0</v>
      </c>
      <c r="F84" s="20">
        <v>882.0</v>
      </c>
      <c r="G84" s="20">
        <v>0.0</v>
      </c>
      <c r="H84" s="20">
        <v>0.0</v>
      </c>
      <c r="I84" s="20">
        <v>753.0</v>
      </c>
      <c r="J84" s="20">
        <v>282.0</v>
      </c>
      <c r="K84" s="20">
        <v>1035.0</v>
      </c>
      <c r="L84" s="20">
        <v>180.0</v>
      </c>
      <c r="M84" s="20">
        <v>428.90000000000003</v>
      </c>
      <c r="N84" s="22">
        <v>26.0</v>
      </c>
      <c r="O84" s="20">
        <v>10.774299516908213</v>
      </c>
      <c r="P84" s="39">
        <v>6.75</v>
      </c>
      <c r="Q84" s="20">
        <v>0.0</v>
      </c>
      <c r="R84" s="20">
        <v>0.0</v>
      </c>
      <c r="S84" s="20">
        <v>0.0</v>
      </c>
      <c r="T84" s="2"/>
      <c r="U84" s="20">
        <v>1027805.0</v>
      </c>
      <c r="V84" s="40">
        <f t="shared" si="1"/>
        <v>1063778175</v>
      </c>
      <c r="W84" s="40">
        <f t="shared" si="2"/>
        <v>440825564.5</v>
      </c>
      <c r="X84" s="2"/>
      <c r="Y84" s="2"/>
      <c r="Z84" s="2"/>
    </row>
    <row r="85" ht="12.75" customHeight="1">
      <c r="A85" s="7"/>
      <c r="B85" s="8" t="s">
        <v>115</v>
      </c>
      <c r="C85" s="8" t="s">
        <v>27</v>
      </c>
      <c r="D85" s="8">
        <v>14.0</v>
      </c>
      <c r="E85" s="20">
        <v>12.0</v>
      </c>
      <c r="F85" s="20">
        <v>30.0</v>
      </c>
      <c r="G85" s="20">
        <v>0.0</v>
      </c>
      <c r="H85" s="20">
        <v>0.0</v>
      </c>
      <c r="I85" s="20">
        <v>0.0</v>
      </c>
      <c r="J85" s="20">
        <v>16.0</v>
      </c>
      <c r="K85" s="20">
        <v>16.0</v>
      </c>
      <c r="L85" s="20">
        <v>26.0</v>
      </c>
      <c r="M85" s="20">
        <v>28.0</v>
      </c>
      <c r="N85" s="22">
        <v>26.0</v>
      </c>
      <c r="O85" s="20">
        <v>45.5</v>
      </c>
      <c r="P85" s="39">
        <v>0.631578947368421</v>
      </c>
      <c r="Q85" s="20">
        <v>0.0</v>
      </c>
      <c r="R85" s="20">
        <v>30.0</v>
      </c>
      <c r="S85" s="20">
        <v>0.0</v>
      </c>
      <c r="T85" s="2"/>
      <c r="U85" s="20">
        <v>746480.0</v>
      </c>
      <c r="V85" s="40">
        <f t="shared" si="1"/>
        <v>11943680</v>
      </c>
      <c r="W85" s="40">
        <f t="shared" si="2"/>
        <v>20901440</v>
      </c>
      <c r="X85" s="2"/>
      <c r="Y85" s="2"/>
      <c r="Z85" s="2"/>
    </row>
    <row r="86" ht="12.75" customHeight="1">
      <c r="A86" s="7"/>
      <c r="B86" s="8" t="s">
        <v>90</v>
      </c>
      <c r="C86" s="8" t="s">
        <v>27</v>
      </c>
      <c r="D86" s="8">
        <v>14.0</v>
      </c>
      <c r="E86" s="20">
        <v>859.0</v>
      </c>
      <c r="F86" s="20">
        <v>2.0</v>
      </c>
      <c r="G86" s="20">
        <v>0.0</v>
      </c>
      <c r="H86" s="20">
        <v>0.0</v>
      </c>
      <c r="I86" s="20">
        <v>303.0</v>
      </c>
      <c r="J86" s="20">
        <v>0.0</v>
      </c>
      <c r="K86" s="20">
        <v>303.0</v>
      </c>
      <c r="L86" s="20">
        <v>558.0</v>
      </c>
      <c r="M86" s="20">
        <v>694.5</v>
      </c>
      <c r="N86" s="22">
        <v>26.0</v>
      </c>
      <c r="O86" s="20">
        <v>59.59405940594059</v>
      </c>
      <c r="P86" s="39">
        <v>12.271428571428572</v>
      </c>
      <c r="Q86" s="20">
        <v>0.0</v>
      </c>
      <c r="R86" s="20">
        <v>0.0</v>
      </c>
      <c r="S86" s="20">
        <v>0.0</v>
      </c>
      <c r="T86" s="2"/>
      <c r="U86" s="20">
        <v>1372215.0</v>
      </c>
      <c r="V86" s="40">
        <f t="shared" si="1"/>
        <v>415781145</v>
      </c>
      <c r="W86" s="40">
        <f t="shared" si="2"/>
        <v>953003317.5</v>
      </c>
      <c r="X86" s="2"/>
      <c r="Y86" s="2"/>
      <c r="Z86" s="2"/>
    </row>
    <row r="87" ht="12.75" customHeight="1">
      <c r="A87" s="7"/>
      <c r="B87" s="8" t="s">
        <v>91</v>
      </c>
      <c r="C87" s="8" t="s">
        <v>27</v>
      </c>
      <c r="D87" s="8">
        <v>14.0</v>
      </c>
      <c r="E87" s="20">
        <v>40.0</v>
      </c>
      <c r="F87" s="20">
        <v>32.0</v>
      </c>
      <c r="G87" s="20">
        <v>0.0</v>
      </c>
      <c r="H87" s="20">
        <v>0.0</v>
      </c>
      <c r="I87" s="20">
        <v>16.0</v>
      </c>
      <c r="J87" s="20">
        <v>0.0</v>
      </c>
      <c r="K87" s="20">
        <v>16.0</v>
      </c>
      <c r="L87" s="20">
        <v>56.0</v>
      </c>
      <c r="M87" s="20">
        <v>36.800000000000004</v>
      </c>
      <c r="N87" s="22">
        <v>26.0</v>
      </c>
      <c r="O87" s="20">
        <v>59.800000000000004</v>
      </c>
      <c r="P87" s="39">
        <v>5.0</v>
      </c>
      <c r="Q87" s="20">
        <v>0.0</v>
      </c>
      <c r="R87" s="20">
        <v>32.0</v>
      </c>
      <c r="S87" s="20">
        <v>0.0</v>
      </c>
      <c r="T87" s="2"/>
      <c r="U87" s="47">
        <v>6276182.0</v>
      </c>
      <c r="V87" s="40">
        <f t="shared" si="1"/>
        <v>100418912</v>
      </c>
      <c r="W87" s="40">
        <f t="shared" si="2"/>
        <v>230963497.6</v>
      </c>
      <c r="X87" s="2"/>
      <c r="Y87" s="2"/>
      <c r="Z87" s="2"/>
    </row>
    <row r="88" ht="12.75" customHeight="1">
      <c r="A88" s="7"/>
      <c r="B88" s="8" t="s">
        <v>92</v>
      </c>
      <c r="C88" s="8" t="s">
        <v>27</v>
      </c>
      <c r="D88" s="8">
        <v>14.0</v>
      </c>
      <c r="E88" s="20">
        <v>205.0</v>
      </c>
      <c r="F88" s="20">
        <v>0.0</v>
      </c>
      <c r="G88" s="20">
        <v>0.0</v>
      </c>
      <c r="H88" s="20">
        <v>0.0</v>
      </c>
      <c r="I88" s="20">
        <v>51.0</v>
      </c>
      <c r="J88" s="20">
        <v>0.0</v>
      </c>
      <c r="K88" s="20">
        <v>51.0</v>
      </c>
      <c r="L88" s="20">
        <v>154.0</v>
      </c>
      <c r="M88" s="20">
        <v>154.0</v>
      </c>
      <c r="N88" s="22">
        <v>26.0</v>
      </c>
      <c r="O88" s="20">
        <v>0.0</v>
      </c>
      <c r="P88" s="39">
        <v>0.0</v>
      </c>
      <c r="Q88" s="20">
        <v>0.0</v>
      </c>
      <c r="R88" s="20">
        <v>0.0</v>
      </c>
      <c r="S88" s="20">
        <v>0.0</v>
      </c>
      <c r="T88" s="2"/>
      <c r="U88" s="20">
        <v>848935.0</v>
      </c>
      <c r="V88" s="40">
        <f t="shared" si="1"/>
        <v>43295685</v>
      </c>
      <c r="W88" s="40">
        <f t="shared" si="2"/>
        <v>130735990</v>
      </c>
      <c r="X88" s="2"/>
      <c r="Y88" s="2"/>
      <c r="Z88" s="2"/>
    </row>
    <row r="89" ht="12.75" customHeight="1">
      <c r="A89" s="7"/>
      <c r="B89" s="8" t="s">
        <v>140</v>
      </c>
      <c r="C89" s="8" t="s">
        <v>27</v>
      </c>
      <c r="D89" s="8">
        <v>14.0</v>
      </c>
      <c r="E89" s="20">
        <v>177.0</v>
      </c>
      <c r="F89" s="20">
        <v>277.0</v>
      </c>
      <c r="G89" s="20">
        <v>0.0</v>
      </c>
      <c r="H89" s="20">
        <v>0.0</v>
      </c>
      <c r="I89" s="20">
        <v>0.0</v>
      </c>
      <c r="J89" s="20">
        <v>428.0</v>
      </c>
      <c r="K89" s="20">
        <v>428.0</v>
      </c>
      <c r="L89" s="20">
        <v>26.0</v>
      </c>
      <c r="M89" s="20">
        <v>106.625</v>
      </c>
      <c r="N89" s="22">
        <v>26.0</v>
      </c>
      <c r="O89" s="20">
        <v>6.477219626168225</v>
      </c>
      <c r="P89" s="39">
        <v>0.7662337662337663</v>
      </c>
      <c r="Q89" s="20">
        <v>0.0</v>
      </c>
      <c r="R89" s="20">
        <v>200.0</v>
      </c>
      <c r="S89" s="20">
        <v>0.0</v>
      </c>
      <c r="T89" s="2"/>
      <c r="U89" s="20">
        <v>923955.0</v>
      </c>
      <c r="V89" s="40">
        <f t="shared" si="1"/>
        <v>395452740</v>
      </c>
      <c r="W89" s="40">
        <f t="shared" si="2"/>
        <v>98516701.88</v>
      </c>
      <c r="X89" s="2"/>
      <c r="Y89" s="2"/>
      <c r="Z89" s="2"/>
    </row>
    <row r="90" ht="12.75" customHeight="1">
      <c r="A90" s="7"/>
      <c r="B90" s="8" t="s">
        <v>163</v>
      </c>
      <c r="C90" s="8" t="s">
        <v>27</v>
      </c>
      <c r="D90" s="8">
        <v>14.0</v>
      </c>
      <c r="E90" s="20">
        <v>35.0</v>
      </c>
      <c r="F90" s="20">
        <v>125.0</v>
      </c>
      <c r="G90" s="20">
        <v>0.0</v>
      </c>
      <c r="H90" s="20">
        <v>0.0</v>
      </c>
      <c r="I90" s="20">
        <v>98.0</v>
      </c>
      <c r="J90" s="20">
        <v>0.0</v>
      </c>
      <c r="K90" s="20">
        <v>98.0</v>
      </c>
      <c r="L90" s="20">
        <v>62.0</v>
      </c>
      <c r="M90" s="20">
        <v>44.6666666666667</v>
      </c>
      <c r="N90" s="22">
        <v>26.0</v>
      </c>
      <c r="O90" s="20">
        <v>11.850340136054431</v>
      </c>
      <c r="P90" s="39">
        <v>0.40229885057471265</v>
      </c>
      <c r="Q90" s="20">
        <v>0.0</v>
      </c>
      <c r="R90" s="20">
        <v>48.0</v>
      </c>
      <c r="S90" s="20">
        <v>0.0</v>
      </c>
      <c r="T90" s="2"/>
      <c r="U90" s="20">
        <v>1345865.0</v>
      </c>
      <c r="V90" s="40">
        <f t="shared" si="1"/>
        <v>131894770</v>
      </c>
      <c r="W90" s="40">
        <f t="shared" si="2"/>
        <v>60115303.33</v>
      </c>
      <c r="X90" s="2"/>
      <c r="Y90" s="2"/>
      <c r="Z90" s="2"/>
    </row>
    <row r="91" ht="12.75" customHeight="1">
      <c r="A91" s="7"/>
      <c r="B91" s="8" t="s">
        <v>94</v>
      </c>
      <c r="C91" s="8" t="s">
        <v>27</v>
      </c>
      <c r="D91" s="8">
        <v>14.0</v>
      </c>
      <c r="E91" s="20">
        <v>2.0</v>
      </c>
      <c r="F91" s="20">
        <v>0.0</v>
      </c>
      <c r="G91" s="20">
        <v>0.0</v>
      </c>
      <c r="H91" s="20">
        <v>0.0</v>
      </c>
      <c r="I91" s="20">
        <v>0.0</v>
      </c>
      <c r="J91" s="20">
        <v>0.0</v>
      </c>
      <c r="K91" s="20">
        <v>0.0</v>
      </c>
      <c r="L91" s="20">
        <v>2.0</v>
      </c>
      <c r="M91" s="20">
        <v>0.0</v>
      </c>
      <c r="N91" s="22">
        <v>26.0</v>
      </c>
      <c r="O91" s="20">
        <v>0.0</v>
      </c>
      <c r="P91" s="39">
        <v>0.006329113924050633</v>
      </c>
      <c r="Q91" s="20">
        <v>37.0</v>
      </c>
      <c r="R91" s="20">
        <v>0.0</v>
      </c>
      <c r="S91" s="20">
        <v>0.0</v>
      </c>
      <c r="T91" s="2"/>
      <c r="U91" s="20">
        <v>923955.0</v>
      </c>
      <c r="V91" s="40">
        <f t="shared" si="1"/>
        <v>0</v>
      </c>
      <c r="W91" s="40">
        <f t="shared" si="2"/>
        <v>0</v>
      </c>
      <c r="X91" s="2"/>
      <c r="Y91" s="2"/>
      <c r="Z91" s="2"/>
    </row>
    <row r="92" ht="12.75" customHeight="1">
      <c r="A92" s="7"/>
      <c r="B92" s="8" t="s">
        <v>141</v>
      </c>
      <c r="C92" s="8" t="s">
        <v>27</v>
      </c>
      <c r="D92" s="8">
        <v>14.0</v>
      </c>
      <c r="E92" s="20">
        <v>199.0</v>
      </c>
      <c r="F92" s="20">
        <v>986.0</v>
      </c>
      <c r="G92" s="20">
        <v>0.0</v>
      </c>
      <c r="H92" s="20">
        <v>0.0</v>
      </c>
      <c r="I92" s="20">
        <v>0.0</v>
      </c>
      <c r="J92" s="20">
        <v>954.0</v>
      </c>
      <c r="K92" s="20">
        <v>954.0</v>
      </c>
      <c r="L92" s="20">
        <v>231.0</v>
      </c>
      <c r="M92" s="20">
        <v>408.05263157894706</v>
      </c>
      <c r="N92" s="22">
        <v>26.0</v>
      </c>
      <c r="O92" s="20">
        <v>11.120931258965015</v>
      </c>
      <c r="P92" s="39">
        <v>0.30709876543209874</v>
      </c>
      <c r="Q92" s="20">
        <v>150.0</v>
      </c>
      <c r="R92" s="20">
        <v>556.0</v>
      </c>
      <c r="S92" s="20">
        <v>0.0</v>
      </c>
      <c r="T92" s="2"/>
      <c r="U92" s="20">
        <v>923955.0</v>
      </c>
      <c r="V92" s="40">
        <f t="shared" si="1"/>
        <v>881453070</v>
      </c>
      <c r="W92" s="40">
        <f t="shared" si="2"/>
        <v>377022269.2</v>
      </c>
      <c r="X92" s="2"/>
      <c r="Y92" s="2"/>
      <c r="Z92" s="2"/>
    </row>
    <row r="93" ht="12.75" customHeight="1">
      <c r="A93" s="7"/>
      <c r="B93" s="8" t="s">
        <v>167</v>
      </c>
      <c r="C93" s="8" t="s">
        <v>27</v>
      </c>
      <c r="D93" s="8">
        <v>14.0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2">
        <v>26.0</v>
      </c>
      <c r="O93" s="20">
        <v>0.0</v>
      </c>
      <c r="P93" s="39">
        <v>0.0</v>
      </c>
      <c r="Q93" s="20">
        <v>0.0</v>
      </c>
      <c r="R93" s="20">
        <v>0.0</v>
      </c>
      <c r="S93" s="20">
        <v>0.0</v>
      </c>
      <c r="T93" s="2"/>
      <c r="U93" s="20">
        <v>504525.0</v>
      </c>
      <c r="V93" s="40">
        <f t="shared" si="1"/>
        <v>0</v>
      </c>
      <c r="W93" s="40">
        <f t="shared" si="2"/>
        <v>0</v>
      </c>
      <c r="X93" s="2"/>
      <c r="Y93" s="2"/>
      <c r="Z93" s="2"/>
    </row>
    <row r="94" ht="12.75" customHeight="1">
      <c r="A94" s="7"/>
      <c r="B94" s="8" t="s">
        <v>142</v>
      </c>
      <c r="C94" s="8" t="s">
        <v>27</v>
      </c>
      <c r="D94" s="8">
        <v>14.0</v>
      </c>
      <c r="E94" s="20">
        <v>470.0</v>
      </c>
      <c r="F94" s="20">
        <v>100.0</v>
      </c>
      <c r="G94" s="20">
        <v>0.0</v>
      </c>
      <c r="H94" s="20">
        <v>0.0</v>
      </c>
      <c r="I94" s="20">
        <v>460.0</v>
      </c>
      <c r="J94" s="20">
        <v>0.0</v>
      </c>
      <c r="K94" s="20">
        <v>460.0</v>
      </c>
      <c r="L94" s="20">
        <v>110.0</v>
      </c>
      <c r="M94" s="20">
        <v>321.42857142857105</v>
      </c>
      <c r="N94" s="22">
        <v>26.0</v>
      </c>
      <c r="O94" s="20">
        <v>18.167701863354015</v>
      </c>
      <c r="P94" s="39">
        <v>0.6942392909896603</v>
      </c>
      <c r="Q94" s="20">
        <v>0.0</v>
      </c>
      <c r="R94" s="20">
        <v>200.0</v>
      </c>
      <c r="S94" s="20">
        <v>0.0</v>
      </c>
      <c r="T94" s="2"/>
      <c r="U94" s="20">
        <v>848935.0</v>
      </c>
      <c r="V94" s="40">
        <f t="shared" si="1"/>
        <v>390510100</v>
      </c>
      <c r="W94" s="40">
        <f t="shared" si="2"/>
        <v>272871964.3</v>
      </c>
      <c r="X94" s="4" t="s">
        <v>180</v>
      </c>
      <c r="Y94" s="2"/>
      <c r="Z94" s="2"/>
    </row>
    <row r="95" ht="18.75" customHeight="1">
      <c r="A95" s="31"/>
      <c r="B95" s="25" t="s">
        <v>98</v>
      </c>
      <c r="C95" s="26"/>
      <c r="D95" s="26"/>
      <c r="E95" s="27">
        <f t="shared" ref="E95:M95" si="3">SUM(E4:E94)</f>
        <v>16959.55</v>
      </c>
      <c r="F95" s="27">
        <f t="shared" si="3"/>
        <v>13116</v>
      </c>
      <c r="G95" s="27">
        <f t="shared" si="3"/>
        <v>0</v>
      </c>
      <c r="H95" s="27">
        <f t="shared" si="3"/>
        <v>0</v>
      </c>
      <c r="I95" s="27">
        <f t="shared" si="3"/>
        <v>9088</v>
      </c>
      <c r="J95" s="27">
        <f t="shared" si="3"/>
        <v>8449</v>
      </c>
      <c r="K95" s="27">
        <f t="shared" si="3"/>
        <v>17537</v>
      </c>
      <c r="L95" s="27">
        <f t="shared" si="3"/>
        <v>12538.55</v>
      </c>
      <c r="M95" s="27">
        <f t="shared" si="3"/>
        <v>14462.09222</v>
      </c>
      <c r="N95" s="28">
        <v>27.0</v>
      </c>
      <c r="O95" s="28">
        <f>(M95/(I95+J95))*N95</f>
        <v>22.26586588</v>
      </c>
      <c r="P95" s="41">
        <f>+L95/($I95+$J95)*$N$4</f>
        <v>18.58939956</v>
      </c>
      <c r="Q95" s="27">
        <f t="shared" ref="Q95:S95" si="4">SUM(Q4:Q94)</f>
        <v>753.5</v>
      </c>
      <c r="R95" s="27">
        <f t="shared" si="4"/>
        <v>9238.5</v>
      </c>
      <c r="S95" s="27">
        <f t="shared" si="4"/>
        <v>150</v>
      </c>
      <c r="T95" s="31"/>
      <c r="U95" s="2"/>
      <c r="V95" s="42">
        <f t="shared" ref="V95:W95" si="5">SUM(V4:V94)</f>
        <v>16195401127</v>
      </c>
      <c r="W95" s="42">
        <f t="shared" si="5"/>
        <v>12757236213</v>
      </c>
      <c r="X95" s="27">
        <f>(W95/V95)*N94</f>
        <v>20.48039063</v>
      </c>
      <c r="Y95" s="31"/>
      <c r="Z95" s="31"/>
    </row>
    <row r="96" ht="18.75" customHeight="1">
      <c r="A96" s="2"/>
      <c r="B96" s="1"/>
      <c r="C96" s="2"/>
      <c r="D96" s="2"/>
      <c r="E96" s="33"/>
      <c r="F96" s="33"/>
      <c r="G96" s="33"/>
      <c r="H96" s="33"/>
      <c r="I96" s="33"/>
      <c r="J96" s="33"/>
      <c r="K96" s="33"/>
      <c r="L96" s="33"/>
      <c r="M96" s="33"/>
      <c r="N96" s="3"/>
      <c r="O96" s="33"/>
      <c r="P96" s="33"/>
      <c r="Q96" s="34"/>
      <c r="R96" s="33"/>
      <c r="S96" s="33"/>
      <c r="T96" s="33"/>
      <c r="U96" s="2"/>
      <c r="V96" s="40"/>
      <c r="W96" s="40"/>
      <c r="X96" s="2"/>
      <c r="Y96" s="2"/>
      <c r="Z96" s="2"/>
    </row>
    <row r="97" ht="12.75" customHeight="1">
      <c r="A97" s="2"/>
      <c r="B97" s="2" t="s">
        <v>99</v>
      </c>
      <c r="C97" s="35">
        <v>24.9</v>
      </c>
      <c r="D97" s="2" t="s">
        <v>100</v>
      </c>
      <c r="E97" s="2"/>
      <c r="F97" s="2"/>
      <c r="G97" s="2"/>
      <c r="H97" s="2"/>
      <c r="I97" s="2"/>
      <c r="J97" s="2"/>
      <c r="K97" s="2"/>
      <c r="L97" s="2"/>
      <c r="M97" s="2"/>
      <c r="N97" s="3"/>
      <c r="O97" s="2"/>
      <c r="P97" s="2"/>
      <c r="Q97" s="2"/>
      <c r="R97" s="2"/>
      <c r="S97" s="2"/>
      <c r="T97" s="2"/>
      <c r="U97" s="2"/>
      <c r="V97" s="40"/>
      <c r="W97" s="40"/>
      <c r="X97" s="2"/>
      <c r="Y97" s="2"/>
      <c r="Z97" s="2"/>
    </row>
    <row r="98" ht="12.75" customHeight="1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2"/>
      <c r="P98" s="2"/>
      <c r="Q98" s="2"/>
      <c r="R98" s="2"/>
      <c r="S98" s="2"/>
      <c r="T98" s="2"/>
      <c r="U98" s="2"/>
      <c r="V98" s="40"/>
      <c r="W98" s="40"/>
      <c r="X98" s="2"/>
      <c r="Y98" s="2"/>
      <c r="Z98" s="2"/>
    </row>
    <row r="99" ht="12.75" customHeight="1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2"/>
      <c r="P99" s="2"/>
      <c r="Q99" s="2"/>
      <c r="R99" s="2"/>
      <c r="S99" s="2"/>
      <c r="T99" s="2"/>
      <c r="U99" s="2"/>
      <c r="V99" s="40"/>
      <c r="W99" s="40"/>
      <c r="X99" s="2"/>
      <c r="Y99" s="2"/>
      <c r="Z99" s="2"/>
    </row>
    <row r="100" ht="12.75" customHeight="1">
      <c r="A100" s="2"/>
      <c r="B100" s="1"/>
      <c r="C100" s="36"/>
      <c r="D100" s="36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2"/>
      <c r="P100" s="2"/>
      <c r="Q100" s="2"/>
      <c r="R100" s="2"/>
      <c r="S100" s="2"/>
      <c r="T100" s="2"/>
      <c r="U100" s="2"/>
      <c r="V100" s="40"/>
      <c r="W100" s="40"/>
      <c r="X100" s="2"/>
      <c r="Y100" s="2"/>
      <c r="Z100" s="2"/>
    </row>
    <row r="101" ht="12.75" customHeight="1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U$3:$X$95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2022-02-02T03:44:31Z</dcterms:created>
  <dc:creator>Ninis Sutopo</dc:creator>
</cp:coreProperties>
</file>