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Kerjaan\Project P36320824 (Multi-item Dynamic Economic Order Quantity)\"/>
    </mc:Choice>
  </mc:AlternateContent>
  <xr:revisionPtr revIDLastSave="0" documentId="13_ncr:1_{E0FE590D-EC4B-4B5D-B381-D3A1AFB9377E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ei" sheetId="5" r:id="rId5"/>
    <sheet name="Juni" sheetId="6" r:id="rId6"/>
    <sheet name="Juli" sheetId="7" r:id="rId7"/>
    <sheet name="Aug" sheetId="10" r:id="rId8"/>
    <sheet name="Inventory Cost" sheetId="8" r:id="rId9"/>
    <sheet name="Reject" sheetId="9" r:id="rId10"/>
  </sheets>
  <definedNames>
    <definedName name="_xlnm._FilterDatabase" localSheetId="3" hidden="1">Apr!$A$1:$C$140</definedName>
    <definedName name="_xlnm._FilterDatabase" localSheetId="1" hidden="1">Feb!$A$1:$C$141</definedName>
    <definedName name="_xlnm._FilterDatabase" localSheetId="0" hidden="1">Jan!$A$1:$C$128</definedName>
    <definedName name="_xlnm._FilterDatabase" localSheetId="6" hidden="1">Juli!$A$1:$B$138</definedName>
    <definedName name="_xlnm._FilterDatabase" localSheetId="5" hidden="1">Juni!$A$1:$C$138</definedName>
    <definedName name="_xlnm._FilterDatabase" localSheetId="2" hidden="1">Mar!$A$1:$C$137</definedName>
    <definedName name="_xlnm._FilterDatabase" localSheetId="4" hidden="1">Mei!$A$1:$C$139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DL9i5Xo6HXHFVgu1r6I3gVKJmbPme62/nog/WVnFqt4="/>
    </ext>
  </extLst>
</workbook>
</file>

<file path=xl/calcChain.xml><?xml version="1.0" encoding="utf-8"?>
<calcChain xmlns="http://schemas.openxmlformats.org/spreadsheetml/2006/main">
  <c r="D7" i="9" l="1"/>
  <c r="B6" i="9"/>
  <c r="E6" i="9" s="1"/>
  <c r="A6" i="9"/>
  <c r="B5" i="9"/>
  <c r="E5" i="9" s="1"/>
  <c r="A5" i="9"/>
  <c r="B4" i="9"/>
  <c r="E4" i="9" s="1"/>
  <c r="A4" i="9"/>
  <c r="B3" i="9"/>
  <c r="E3" i="9" s="1"/>
  <c r="A3" i="9"/>
  <c r="B2" i="9"/>
  <c r="B7" i="9" s="1"/>
  <c r="A2" i="9"/>
  <c r="E2" i="9" l="1"/>
  <c r="E7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======
ID#AAABVw7FHH4
Oreo Caramel    (2024-09-09 07:20:49)
Inventory Cost 1 PCS karton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qonr44SQmDY5c3QNCbZPaSaMpnA=="/>
    </ext>
  </extLst>
</comments>
</file>

<file path=xl/sharedStrings.xml><?xml version="1.0" encoding="utf-8"?>
<sst xmlns="http://schemas.openxmlformats.org/spreadsheetml/2006/main" count="1149" uniqueCount="190">
  <si>
    <t>UOM</t>
  </si>
  <si>
    <t>Karton A</t>
  </si>
  <si>
    <t>PCS</t>
  </si>
  <si>
    <t>Karton C</t>
  </si>
  <si>
    <t>Karton D</t>
  </si>
  <si>
    <t>Karton E</t>
  </si>
  <si>
    <t>Karton H</t>
  </si>
  <si>
    <t>Karton I</t>
  </si>
  <si>
    <t>Karton K</t>
  </si>
  <si>
    <t>Karton L</t>
  </si>
  <si>
    <t>Karton O</t>
  </si>
  <si>
    <t>Karton Q</t>
  </si>
  <si>
    <t>Karton S</t>
  </si>
  <si>
    <t>Karton T</t>
  </si>
  <si>
    <t>Karton U</t>
  </si>
  <si>
    <t>Karton V</t>
  </si>
  <si>
    <t>Karton W</t>
  </si>
  <si>
    <t>Karton X</t>
  </si>
  <si>
    <t>Karton Y</t>
  </si>
  <si>
    <t>Karton AA</t>
  </si>
  <si>
    <t>Karton AB</t>
  </si>
  <si>
    <t>Karton AC</t>
  </si>
  <si>
    <t>Karton AE</t>
  </si>
  <si>
    <t>Karton AF</t>
  </si>
  <si>
    <t>Karton AG</t>
  </si>
  <si>
    <t>Karton AH</t>
  </si>
  <si>
    <t>Karton AI</t>
  </si>
  <si>
    <t>Karton AJ</t>
  </si>
  <si>
    <t>Karton AM</t>
  </si>
  <si>
    <t>Karton AN</t>
  </si>
  <si>
    <t>Karton AO</t>
  </si>
  <si>
    <t>Karton AP</t>
  </si>
  <si>
    <t>Karton AQ</t>
  </si>
  <si>
    <t>Karton AR</t>
  </si>
  <si>
    <t>Karton AS</t>
  </si>
  <si>
    <t>Karton AT</t>
  </si>
  <si>
    <t>Karton AU</t>
  </si>
  <si>
    <t>Karton AV</t>
  </si>
  <si>
    <t>Karton AW</t>
  </si>
  <si>
    <t>Karton AY</t>
  </si>
  <si>
    <t>Karton AZ</t>
  </si>
  <si>
    <t>Karton BA</t>
  </si>
  <si>
    <t>Karton BB</t>
  </si>
  <si>
    <t>Karton BC</t>
  </si>
  <si>
    <t>Karton BD</t>
  </si>
  <si>
    <t>Karton BE</t>
  </si>
  <si>
    <t>Karton BF</t>
  </si>
  <si>
    <t>Karton BG</t>
  </si>
  <si>
    <t>Karton BH</t>
  </si>
  <si>
    <t>Karton BI</t>
  </si>
  <si>
    <t>Karton BJ</t>
  </si>
  <si>
    <t>Karton BK</t>
  </si>
  <si>
    <t>Karton BL</t>
  </si>
  <si>
    <t>Karton BN</t>
  </si>
  <si>
    <t>Karton BO</t>
  </si>
  <si>
    <t>Karton BP</t>
  </si>
  <si>
    <t>Karton BQ</t>
  </si>
  <si>
    <t>Karton BR</t>
  </si>
  <si>
    <t>Karton BS</t>
  </si>
  <si>
    <t>Karton BU</t>
  </si>
  <si>
    <t>Karton BV</t>
  </si>
  <si>
    <t>Karton BW</t>
  </si>
  <si>
    <t>Karton BX</t>
  </si>
  <si>
    <t>Karton BY</t>
  </si>
  <si>
    <t>Karton BZ</t>
  </si>
  <si>
    <t>Karton CB</t>
  </si>
  <si>
    <t>Karton CC</t>
  </si>
  <si>
    <t>Karton CD</t>
  </si>
  <si>
    <t>Karton CE</t>
  </si>
  <si>
    <t>Karton CG</t>
  </si>
  <si>
    <t>Karton CH</t>
  </si>
  <si>
    <t>Karton CI</t>
  </si>
  <si>
    <t>Karton CJ</t>
  </si>
  <si>
    <t>Karton CK</t>
  </si>
  <si>
    <t>Karton CL</t>
  </si>
  <si>
    <t>Karton CM</t>
  </si>
  <si>
    <t>Karton CN</t>
  </si>
  <si>
    <t>Karton CO</t>
  </si>
  <si>
    <t>Karton CP</t>
  </si>
  <si>
    <t>Karton CQ</t>
  </si>
  <si>
    <t>Karton CR</t>
  </si>
  <si>
    <t>Karton CS</t>
  </si>
  <si>
    <t>Karton CT</t>
  </si>
  <si>
    <t>Karton CU</t>
  </si>
  <si>
    <t>Karton CV</t>
  </si>
  <si>
    <t>Karton CW</t>
  </si>
  <si>
    <t>Karton CX</t>
  </si>
  <si>
    <t>Karton CY</t>
  </si>
  <si>
    <t>Karton CZ</t>
  </si>
  <si>
    <t>Karton DA</t>
  </si>
  <si>
    <t>Karton DB</t>
  </si>
  <si>
    <t>Karton DC</t>
  </si>
  <si>
    <t>Karton DD</t>
  </si>
  <si>
    <t>Karton DE</t>
  </si>
  <si>
    <t>Karton DF</t>
  </si>
  <si>
    <t>Karton DG</t>
  </si>
  <si>
    <t>Karton DH</t>
  </si>
  <si>
    <t>Karton DI</t>
  </si>
  <si>
    <t>Karton DJ</t>
  </si>
  <si>
    <t>Karton DK</t>
  </si>
  <si>
    <t>Karton DL</t>
  </si>
  <si>
    <t>Karton DM</t>
  </si>
  <si>
    <t>Karton DN</t>
  </si>
  <si>
    <t>Karton DO</t>
  </si>
  <si>
    <t>Karton DP</t>
  </si>
  <si>
    <t>Karton DQ</t>
  </si>
  <si>
    <t>Karton DR</t>
  </si>
  <si>
    <t>Karton DS</t>
  </si>
  <si>
    <t>Karton DT</t>
  </si>
  <si>
    <t>Karton DU</t>
  </si>
  <si>
    <t>Karton DV</t>
  </si>
  <si>
    <t>Karton DW</t>
  </si>
  <si>
    <t>Karton DX</t>
  </si>
  <si>
    <t>Karton DY</t>
  </si>
  <si>
    <t>Karton DZ</t>
  </si>
  <si>
    <t>Karton EA</t>
  </si>
  <si>
    <t>Karton EB</t>
  </si>
  <si>
    <t>Karton EC</t>
  </si>
  <si>
    <t>Karton ED</t>
  </si>
  <si>
    <t>Karton EE</t>
  </si>
  <si>
    <t>Karton EF</t>
  </si>
  <si>
    <t>Karton EG</t>
  </si>
  <si>
    <t>Karton EH</t>
  </si>
  <si>
    <t>Karton EI</t>
  </si>
  <si>
    <t>Karton EJ</t>
  </si>
  <si>
    <t>Karton EK</t>
  </si>
  <si>
    <t>Karton EL</t>
  </si>
  <si>
    <t>Karton EM</t>
  </si>
  <si>
    <t>Karton EN</t>
  </si>
  <si>
    <t>Karton EQ</t>
  </si>
  <si>
    <t>Karton ER</t>
  </si>
  <si>
    <t>Karton ES</t>
  </si>
  <si>
    <t>Karton ET</t>
  </si>
  <si>
    <t>Karton EU</t>
  </si>
  <si>
    <t>Karton EV</t>
  </si>
  <si>
    <t>Karton EW</t>
  </si>
  <si>
    <t>Karton EX</t>
  </si>
  <si>
    <t>Karton EY</t>
  </si>
  <si>
    <t>Karton FB</t>
  </si>
  <si>
    <t>Karton FC</t>
  </si>
  <si>
    <t>Karton FD</t>
  </si>
  <si>
    <t>Karton FE</t>
  </si>
  <si>
    <t>Karton FF</t>
  </si>
  <si>
    <t>Karton FG</t>
  </si>
  <si>
    <t>Karton FH</t>
  </si>
  <si>
    <t>Karton FI</t>
  </si>
  <si>
    <t>Karton FJ</t>
  </si>
  <si>
    <t>Karton FK</t>
  </si>
  <si>
    <t>Karton FL</t>
  </si>
  <si>
    <t>Karton FM</t>
  </si>
  <si>
    <t>Karton FN</t>
  </si>
  <si>
    <t>Karton FO</t>
  </si>
  <si>
    <t>Karton FP</t>
  </si>
  <si>
    <t>Karton FQ</t>
  </si>
  <si>
    <t>Karton FR</t>
  </si>
  <si>
    <t>Karton FS</t>
  </si>
  <si>
    <t>Karton FT</t>
  </si>
  <si>
    <t>Karton FU</t>
  </si>
  <si>
    <t>Karton FV</t>
  </si>
  <si>
    <t>Karton FW</t>
  </si>
  <si>
    <t>KARTON</t>
  </si>
  <si>
    <t>Januari</t>
  </si>
  <si>
    <t>Februari</t>
  </si>
  <si>
    <t>Maret</t>
  </si>
  <si>
    <t>April</t>
  </si>
  <si>
    <t>Mei</t>
  </si>
  <si>
    <t>Juni</t>
  </si>
  <si>
    <t>Juli</t>
  </si>
  <si>
    <t>Outbound (PCS)</t>
  </si>
  <si>
    <t>Outbound (IDR)</t>
  </si>
  <si>
    <t>AVERAGE</t>
  </si>
  <si>
    <t>Inventory Cost</t>
  </si>
  <si>
    <t>Ratio Inventory Cost</t>
  </si>
  <si>
    <t>Month</t>
  </si>
  <si>
    <t>Waste / Reject Operational</t>
  </si>
  <si>
    <t>Saldo rata-rata</t>
  </si>
  <si>
    <t>Persentase</t>
  </si>
  <si>
    <t>Average</t>
  </si>
  <si>
    <t>Item</t>
  </si>
  <si>
    <t>Saldo</t>
  </si>
  <si>
    <t>Ordering Cost</t>
  </si>
  <si>
    <t>Keluar</t>
  </si>
  <si>
    <t>Hari Kerja</t>
  </si>
  <si>
    <t>Karton G</t>
  </si>
  <si>
    <t>Karton GD</t>
  </si>
  <si>
    <t>Karton GE</t>
  </si>
  <si>
    <t>Karton GF</t>
  </si>
  <si>
    <t>Karton GG</t>
  </si>
  <si>
    <t>Karton GH</t>
  </si>
  <si>
    <t>Karton 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</si>
</sst>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p&quot;* #,##0.00_-;\-&quot;Rp&quot;* #,##0.00_-;_-&quot;Rp&quot;* &quot;-&quot;??_-;_-@_-"/>
    <numFmt numFmtId="164" formatCode="#,###\ "/>
    <numFmt numFmtId="165" formatCode="_-&quot;Rp&quot;* #,##0_-;\-&quot;Rp&quot;* #,##0_-;_-&quot;Rp&quot;* &quot;-&quot;??_-;_-@"/>
    <numFmt numFmtId="166" formatCode="_-* #,##0_-;\-* #,##0_-;_-* &quot;-&quot;??_-;_-@"/>
    <numFmt numFmtId="167" formatCode="0.000%"/>
    <numFmt numFmtId="168" formatCode="[$Rp]#,##0"/>
    <numFmt numFmtId="169" formatCode="_(* #,##0.00_);_(* \(#,##0.00\);_(* &quot;-&quot;??_);_(@_)"/>
    <numFmt numFmtId="171" formatCode="_-&quot;Rp&quot;* #,##0_-;\-&quot;Rp&quot;* #,##0_-;_-&quot;Rp&quot;* &quot;-&quot;??_-;_-@_-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3" fillId="0" borderId="0"/>
    <xf numFmtId="0" fontId="1" fillId="0" borderId="0"/>
    <xf numFmtId="16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168" fontId="4" fillId="5" borderId="2" xfId="0" applyNumberFormat="1" applyFont="1" applyFill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168" fontId="12" fillId="0" borderId="2" xfId="0" applyNumberFormat="1" applyFont="1" applyBorder="1" applyAlignment="1">
      <alignment horizontal="center" vertical="center"/>
    </xf>
    <xf numFmtId="0" fontId="1" fillId="0" borderId="0" xfId="2"/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horizontal="center"/>
    </xf>
    <xf numFmtId="1" fontId="14" fillId="0" borderId="0" xfId="2" applyNumberFormat="1" applyFont="1" applyAlignment="1">
      <alignment horizontal="center"/>
    </xf>
    <xf numFmtId="171" fontId="16" fillId="0" borderId="0" xfId="4" applyNumberFormat="1" applyFont="1" applyAlignment="1">
      <alignment horizontal="center"/>
    </xf>
    <xf numFmtId="0" fontId="3" fillId="0" borderId="0" xfId="2" applyFont="1"/>
    <xf numFmtId="0" fontId="16" fillId="0" borderId="0" xfId="2" applyFont="1" applyAlignment="1">
      <alignment horizontal="center"/>
    </xf>
  </cellXfs>
  <cellStyles count="6">
    <cellStyle name="Comma 2" xfId="3" xr:uid="{E3BBDA4C-1BA7-4D00-A9C0-5B3CD3E412C7}"/>
    <cellStyle name="Currency 2" xfId="4" xr:uid="{B378DB2F-12D7-46CF-806F-E2EC9F9F4E73}"/>
    <cellStyle name="Normal" xfId="0" builtinId="0"/>
    <cellStyle name="Normal 2" xfId="2" xr:uid="{3D0709BB-D353-414C-91CF-9321447D5230}"/>
    <cellStyle name="Normal 2 2" xfId="1" xr:uid="{59E157AE-A192-4040-AFBE-8EA2AD3E7B6E}"/>
    <cellStyle name="Percent 2" xfId="5" xr:uid="{4F4C0018-3F09-4190-93C5-642A5668F58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6"/>
  <sheetViews>
    <sheetView workbookViewId="0">
      <pane ySplit="1" topLeftCell="A120" activePane="bottomLeft" state="frozen"/>
      <selection pane="bottomLeft" activeCell="B103" sqref="B103"/>
    </sheetView>
  </sheetViews>
  <sheetFormatPr defaultColWidth="14.453125" defaultRowHeight="15" customHeight="1" x14ac:dyDescent="0.35"/>
  <cols>
    <col min="1" max="1" width="13.453125" customWidth="1"/>
    <col min="2" max="2" width="16.81640625" customWidth="1"/>
    <col min="3" max="3" width="14.54296875" customWidth="1"/>
    <col min="4" max="4" width="16.54296875" customWidth="1"/>
    <col min="5" max="11" width="8.7265625" customWidth="1"/>
  </cols>
  <sheetData>
    <row r="1" spans="1:11" thickBot="1" x14ac:dyDescent="0.4">
      <c r="A1" s="24" t="s">
        <v>178</v>
      </c>
      <c r="B1" s="25" t="s">
        <v>179</v>
      </c>
      <c r="C1" s="25" t="s">
        <v>180</v>
      </c>
      <c r="D1" s="26" t="s">
        <v>171</v>
      </c>
      <c r="E1" s="26" t="s">
        <v>181</v>
      </c>
      <c r="F1" s="26" t="s">
        <v>182</v>
      </c>
      <c r="G1" s="2"/>
      <c r="H1" s="2"/>
      <c r="I1" s="2"/>
      <c r="J1" s="2"/>
      <c r="K1" s="2"/>
    </row>
    <row r="2" spans="1:11" ht="14.5" x14ac:dyDescent="0.35">
      <c r="A2" s="3" t="s">
        <v>1</v>
      </c>
      <c r="B2" s="3">
        <v>31855.714285714297</v>
      </c>
      <c r="C2" s="4">
        <v>2129</v>
      </c>
      <c r="D2" s="27">
        <v>26.975269361747685</v>
      </c>
      <c r="E2" s="3">
        <v>169110</v>
      </c>
      <c r="F2" s="3">
        <v>26</v>
      </c>
      <c r="G2" s="3"/>
      <c r="H2" s="3"/>
      <c r="I2" s="3"/>
      <c r="J2" s="3"/>
      <c r="K2" s="3"/>
    </row>
    <row r="3" spans="1:11" ht="14.5" x14ac:dyDescent="0.35">
      <c r="A3" s="3" t="s">
        <v>3</v>
      </c>
      <c r="B3" s="3">
        <v>6396.1538461538494</v>
      </c>
      <c r="C3" s="4">
        <v>2129</v>
      </c>
      <c r="D3" s="27">
        <v>26.975269361747685</v>
      </c>
      <c r="E3" s="3">
        <v>16300</v>
      </c>
      <c r="F3" s="3">
        <v>26</v>
      </c>
      <c r="G3" s="3"/>
      <c r="H3" s="3"/>
      <c r="I3" s="3"/>
      <c r="J3" s="3"/>
      <c r="K3" s="3"/>
    </row>
    <row r="4" spans="1:11" ht="14.5" x14ac:dyDescent="0.35">
      <c r="A4" s="3" t="s">
        <v>4</v>
      </c>
      <c r="B4" s="3">
        <v>1183.3333333333301</v>
      </c>
      <c r="C4" s="4">
        <v>2131</v>
      </c>
      <c r="D4" s="27">
        <v>26.975269361747685</v>
      </c>
      <c r="E4" s="3">
        <v>1050</v>
      </c>
      <c r="F4" s="3">
        <v>26</v>
      </c>
      <c r="G4" s="3"/>
      <c r="H4" s="3"/>
      <c r="I4" s="3"/>
      <c r="J4" s="3"/>
      <c r="K4" s="3"/>
    </row>
    <row r="5" spans="1:11" ht="14.5" x14ac:dyDescent="0.35">
      <c r="A5" s="3" t="s">
        <v>5</v>
      </c>
      <c r="B5" s="3">
        <v>14523.666666666701</v>
      </c>
      <c r="C5" s="4">
        <v>2131</v>
      </c>
      <c r="D5" s="27">
        <v>26.975269361747685</v>
      </c>
      <c r="E5" s="3">
        <v>3625</v>
      </c>
      <c r="F5" s="3">
        <v>26</v>
      </c>
      <c r="G5" s="3"/>
      <c r="H5" s="3"/>
      <c r="I5" s="3"/>
      <c r="J5" s="3"/>
      <c r="K5" s="3"/>
    </row>
    <row r="6" spans="1:11" ht="14.5" x14ac:dyDescent="0.35">
      <c r="A6" s="3" t="s">
        <v>6</v>
      </c>
      <c r="B6" s="3">
        <v>18363.75</v>
      </c>
      <c r="C6" s="4">
        <v>2131</v>
      </c>
      <c r="D6" s="27">
        <v>26.975269361747685</v>
      </c>
      <c r="E6" s="3">
        <v>1700</v>
      </c>
      <c r="F6" s="3">
        <v>26</v>
      </c>
      <c r="G6" s="3"/>
      <c r="H6" s="3"/>
      <c r="I6" s="3"/>
      <c r="J6" s="3"/>
      <c r="K6" s="3"/>
    </row>
    <row r="7" spans="1:11" ht="14.5" x14ac:dyDescent="0.35">
      <c r="A7" s="3" t="s">
        <v>7</v>
      </c>
      <c r="B7" s="3">
        <v>5674</v>
      </c>
      <c r="C7" s="4">
        <v>2131</v>
      </c>
      <c r="D7" s="27">
        <v>26.975269361747685</v>
      </c>
      <c r="E7" s="3">
        <v>1150</v>
      </c>
      <c r="F7" s="3">
        <v>26</v>
      </c>
      <c r="G7" s="3"/>
      <c r="H7" s="3"/>
      <c r="I7" s="3"/>
      <c r="J7" s="3"/>
      <c r="K7" s="3"/>
    </row>
    <row r="8" spans="1:11" ht="14.5" x14ac:dyDescent="0.35">
      <c r="A8" s="3" t="s">
        <v>8</v>
      </c>
      <c r="B8" s="3">
        <v>34559.615384615405</v>
      </c>
      <c r="C8" s="4">
        <v>1694</v>
      </c>
      <c r="D8" s="27">
        <v>26.975269361747685</v>
      </c>
      <c r="E8" s="3">
        <v>407500</v>
      </c>
      <c r="F8" s="3">
        <v>26</v>
      </c>
      <c r="G8" s="3"/>
      <c r="H8" s="3"/>
      <c r="I8" s="3"/>
      <c r="J8" s="3"/>
      <c r="K8" s="3"/>
    </row>
    <row r="9" spans="1:11" ht="14.5" x14ac:dyDescent="0.35">
      <c r="A9" s="3" t="s">
        <v>9</v>
      </c>
      <c r="B9" s="3">
        <v>1641.6666666666702</v>
      </c>
      <c r="C9" s="4">
        <v>1694</v>
      </c>
      <c r="D9" s="27">
        <v>26.975269361747685</v>
      </c>
      <c r="E9" s="3">
        <v>9025</v>
      </c>
      <c r="F9" s="3">
        <v>26</v>
      </c>
      <c r="G9" s="3"/>
      <c r="H9" s="3"/>
      <c r="I9" s="3"/>
      <c r="J9" s="3"/>
      <c r="K9" s="3"/>
    </row>
    <row r="10" spans="1:11" ht="14.5" x14ac:dyDescent="0.35">
      <c r="A10" s="3" t="s">
        <v>10</v>
      </c>
      <c r="B10" s="3">
        <v>61236.730769230802</v>
      </c>
      <c r="C10" s="4">
        <v>2846</v>
      </c>
      <c r="D10" s="27">
        <v>26.975269361747685</v>
      </c>
      <c r="E10" s="3">
        <v>327240</v>
      </c>
      <c r="F10" s="3">
        <v>26</v>
      </c>
      <c r="G10" s="3"/>
      <c r="H10" s="3"/>
      <c r="I10" s="3"/>
      <c r="J10" s="3"/>
      <c r="K10" s="3"/>
    </row>
    <row r="11" spans="1:11" ht="14.5" x14ac:dyDescent="0.35">
      <c r="A11" s="3" t="s">
        <v>11</v>
      </c>
      <c r="B11" s="3">
        <v>3419</v>
      </c>
      <c r="C11" s="4">
        <v>2129</v>
      </c>
      <c r="D11" s="27">
        <v>26.975269361747685</v>
      </c>
      <c r="E11" s="3">
        <v>4634</v>
      </c>
      <c r="F11" s="3">
        <v>26</v>
      </c>
      <c r="G11" s="3"/>
      <c r="H11" s="3"/>
      <c r="I11" s="3"/>
      <c r="J11" s="3"/>
      <c r="K11" s="3"/>
    </row>
    <row r="12" spans="1:11" ht="14.5" x14ac:dyDescent="0.35">
      <c r="A12" s="3" t="s">
        <v>12</v>
      </c>
      <c r="B12" s="3">
        <v>24394.684210526299</v>
      </c>
      <c r="C12" s="4">
        <v>2263</v>
      </c>
      <c r="D12" s="27">
        <v>26.975269361747685</v>
      </c>
      <c r="E12" s="3">
        <v>46579</v>
      </c>
      <c r="F12" s="3">
        <v>26</v>
      </c>
      <c r="G12" s="3"/>
      <c r="H12" s="3"/>
      <c r="I12" s="3"/>
      <c r="J12" s="3"/>
      <c r="K12" s="3"/>
    </row>
    <row r="13" spans="1:11" ht="15.75" customHeight="1" x14ac:dyDescent="0.35">
      <c r="A13" s="3" t="s">
        <v>13</v>
      </c>
      <c r="B13" s="3">
        <v>2050</v>
      </c>
      <c r="C13" s="4">
        <v>2732</v>
      </c>
      <c r="D13" s="27">
        <v>26.975269361747685</v>
      </c>
      <c r="E13" s="3">
        <v>2000</v>
      </c>
      <c r="F13" s="3">
        <v>26</v>
      </c>
      <c r="G13" s="3"/>
      <c r="H13" s="3"/>
      <c r="I13" s="3"/>
      <c r="J13" s="3"/>
      <c r="K13" s="3"/>
    </row>
    <row r="14" spans="1:11" ht="15.75" customHeight="1" x14ac:dyDescent="0.35">
      <c r="A14" s="3" t="s">
        <v>14</v>
      </c>
      <c r="B14" s="3">
        <v>9160.3333333333303</v>
      </c>
      <c r="C14" s="4">
        <v>2962</v>
      </c>
      <c r="D14" s="27">
        <v>26.975269361747685</v>
      </c>
      <c r="E14" s="3">
        <v>4762</v>
      </c>
      <c r="F14" s="3">
        <v>26</v>
      </c>
      <c r="G14" s="3"/>
      <c r="H14" s="3"/>
      <c r="I14" s="3"/>
      <c r="J14" s="3"/>
      <c r="K14" s="3"/>
    </row>
    <row r="15" spans="1:11" ht="15.75" customHeight="1" x14ac:dyDescent="0.35">
      <c r="A15" s="3" t="s">
        <v>15</v>
      </c>
      <c r="B15" s="3">
        <v>124</v>
      </c>
      <c r="C15" s="4">
        <v>2263</v>
      </c>
      <c r="D15" s="27">
        <v>26.975269361747685</v>
      </c>
      <c r="E15" s="3">
        <v>0</v>
      </c>
      <c r="F15" s="3">
        <v>26</v>
      </c>
      <c r="G15" s="3"/>
      <c r="H15" s="3"/>
      <c r="I15" s="3"/>
      <c r="J15" s="3"/>
      <c r="K15" s="3"/>
    </row>
    <row r="16" spans="1:11" ht="15.75" customHeight="1" x14ac:dyDescent="0.35">
      <c r="A16" s="3" t="s">
        <v>16</v>
      </c>
      <c r="B16" s="3">
        <v>770</v>
      </c>
      <c r="C16" s="4">
        <v>2263</v>
      </c>
      <c r="D16" s="27">
        <v>26.975269361747685</v>
      </c>
      <c r="E16" s="3">
        <v>0</v>
      </c>
      <c r="F16" s="3">
        <v>26</v>
      </c>
      <c r="G16" s="3"/>
      <c r="H16" s="3"/>
      <c r="I16" s="3"/>
      <c r="J16" s="3"/>
      <c r="K16" s="3"/>
    </row>
    <row r="17" spans="1:11" ht="15.75" customHeight="1" x14ac:dyDescent="0.35">
      <c r="A17" s="3" t="s">
        <v>17</v>
      </c>
      <c r="B17" s="3">
        <v>17565</v>
      </c>
      <c r="C17" s="4">
        <v>2268</v>
      </c>
      <c r="D17" s="27">
        <v>26.975269361747685</v>
      </c>
      <c r="E17" s="3">
        <v>113750</v>
      </c>
      <c r="F17" s="3">
        <v>26</v>
      </c>
      <c r="G17" s="3"/>
      <c r="H17" s="3"/>
      <c r="I17" s="3"/>
      <c r="J17" s="3"/>
      <c r="K17" s="3"/>
    </row>
    <row r="18" spans="1:11" ht="15.75" customHeight="1" x14ac:dyDescent="0.35">
      <c r="A18" s="3" t="s">
        <v>18</v>
      </c>
      <c r="B18" s="3">
        <v>10366.5714285714</v>
      </c>
      <c r="C18" s="4">
        <v>1956</v>
      </c>
      <c r="D18" s="27">
        <v>26.975269361747685</v>
      </c>
      <c r="E18" s="3">
        <v>11833</v>
      </c>
      <c r="F18" s="3">
        <v>26</v>
      </c>
      <c r="G18" s="3"/>
      <c r="H18" s="3"/>
      <c r="I18" s="3"/>
      <c r="J18" s="3"/>
      <c r="K18" s="3"/>
    </row>
    <row r="19" spans="1:11" ht="15.75" customHeight="1" x14ac:dyDescent="0.35">
      <c r="A19" s="3" t="s">
        <v>19</v>
      </c>
      <c r="B19" s="3">
        <v>2015</v>
      </c>
      <c r="C19" s="4">
        <v>2179</v>
      </c>
      <c r="D19" s="27">
        <v>26.975269361747685</v>
      </c>
      <c r="E19" s="3">
        <v>50</v>
      </c>
      <c r="F19" s="3">
        <v>26</v>
      </c>
      <c r="G19" s="3"/>
      <c r="H19" s="3"/>
      <c r="I19" s="3"/>
      <c r="J19" s="3"/>
      <c r="K19" s="3"/>
    </row>
    <row r="20" spans="1:11" ht="15.75" customHeight="1" x14ac:dyDescent="0.35">
      <c r="A20" s="3" t="s">
        <v>20</v>
      </c>
      <c r="B20" s="3">
        <v>14628</v>
      </c>
      <c r="C20" s="4">
        <v>2179</v>
      </c>
      <c r="D20" s="27">
        <v>26.975269361747685</v>
      </c>
      <c r="E20" s="3">
        <v>14830</v>
      </c>
      <c r="F20" s="3">
        <v>26</v>
      </c>
      <c r="G20" s="3"/>
      <c r="H20" s="3"/>
      <c r="I20" s="3"/>
      <c r="J20" s="3"/>
      <c r="K20" s="3"/>
    </row>
    <row r="21" spans="1:11" ht="15.75" customHeight="1" x14ac:dyDescent="0.35">
      <c r="A21" s="3" t="s">
        <v>21</v>
      </c>
      <c r="B21" s="3">
        <v>1495</v>
      </c>
      <c r="C21" s="4">
        <v>2179</v>
      </c>
      <c r="D21" s="27">
        <v>26.975269361747685</v>
      </c>
      <c r="E21" s="3">
        <v>0</v>
      </c>
      <c r="F21" s="3">
        <v>26</v>
      </c>
      <c r="G21" s="3"/>
      <c r="H21" s="3"/>
      <c r="I21" s="3"/>
      <c r="J21" s="3"/>
      <c r="K21" s="3"/>
    </row>
    <row r="22" spans="1:11" ht="15.75" customHeight="1" x14ac:dyDescent="0.35">
      <c r="A22" s="3" t="s">
        <v>22</v>
      </c>
      <c r="B22" s="3">
        <v>57656</v>
      </c>
      <c r="C22" s="4">
        <v>2179</v>
      </c>
      <c r="D22" s="27">
        <v>26.975269361747685</v>
      </c>
      <c r="E22" s="3">
        <v>3000</v>
      </c>
      <c r="F22" s="3">
        <v>26</v>
      </c>
      <c r="G22" s="3"/>
      <c r="H22" s="3"/>
      <c r="I22" s="3"/>
      <c r="J22" s="3"/>
      <c r="K22" s="3"/>
    </row>
    <row r="23" spans="1:11" ht="15.75" customHeight="1" x14ac:dyDescent="0.35">
      <c r="A23" s="3" t="s">
        <v>23</v>
      </c>
      <c r="B23" s="3">
        <v>13333.2631578947</v>
      </c>
      <c r="C23" s="4">
        <v>2268</v>
      </c>
      <c r="D23" s="27">
        <v>26.975269361747685</v>
      </c>
      <c r="E23" s="3">
        <v>89450</v>
      </c>
      <c r="F23" s="3">
        <v>26</v>
      </c>
      <c r="G23" s="3"/>
      <c r="H23" s="3"/>
      <c r="I23" s="3"/>
      <c r="J23" s="3"/>
      <c r="K23" s="3"/>
    </row>
    <row r="24" spans="1:11" ht="15.75" customHeight="1" x14ac:dyDescent="0.35">
      <c r="A24" s="3" t="s">
        <v>24</v>
      </c>
      <c r="B24" s="3">
        <v>4527.25</v>
      </c>
      <c r="C24" s="4">
        <v>1956</v>
      </c>
      <c r="D24" s="27">
        <v>26.975269361747685</v>
      </c>
      <c r="E24" s="3">
        <v>3600</v>
      </c>
      <c r="F24" s="3">
        <v>26</v>
      </c>
      <c r="G24" s="3"/>
      <c r="H24" s="3"/>
      <c r="I24" s="3"/>
      <c r="J24" s="3"/>
      <c r="K24" s="3"/>
    </row>
    <row r="25" spans="1:11" ht="15.75" customHeight="1" x14ac:dyDescent="0.35">
      <c r="A25" s="3" t="s">
        <v>25</v>
      </c>
      <c r="B25" s="3">
        <v>18415</v>
      </c>
      <c r="C25" s="4">
        <v>2218</v>
      </c>
      <c r="D25" s="27">
        <v>26.975269361747685</v>
      </c>
      <c r="E25" s="3">
        <v>4790</v>
      </c>
      <c r="F25" s="3">
        <v>26</v>
      </c>
      <c r="G25" s="3"/>
      <c r="H25" s="3"/>
      <c r="I25" s="3"/>
      <c r="J25" s="3"/>
      <c r="K25" s="3"/>
    </row>
    <row r="26" spans="1:11" ht="15.75" customHeight="1" x14ac:dyDescent="0.35">
      <c r="A26" s="3" t="s">
        <v>26</v>
      </c>
      <c r="B26" s="3">
        <v>6410.2222222222199</v>
      </c>
      <c r="C26" s="4">
        <v>2218</v>
      </c>
      <c r="D26" s="27">
        <v>26.975269361747685</v>
      </c>
      <c r="E26" s="3">
        <v>15750</v>
      </c>
      <c r="F26" s="3">
        <v>26</v>
      </c>
      <c r="G26" s="3"/>
      <c r="H26" s="3"/>
      <c r="I26" s="3"/>
      <c r="J26" s="3"/>
      <c r="K26" s="3"/>
    </row>
    <row r="27" spans="1:11" ht="15.75" customHeight="1" x14ac:dyDescent="0.35">
      <c r="A27" s="3" t="s">
        <v>27</v>
      </c>
      <c r="B27" s="3">
        <v>150</v>
      </c>
      <c r="C27" s="4">
        <v>2245</v>
      </c>
      <c r="D27" s="27">
        <v>26.975269361747685</v>
      </c>
      <c r="E27" s="3">
        <v>0</v>
      </c>
      <c r="F27" s="3">
        <v>26</v>
      </c>
      <c r="G27" s="3"/>
      <c r="H27" s="3"/>
      <c r="I27" s="3"/>
      <c r="J27" s="3"/>
      <c r="K27" s="3"/>
    </row>
    <row r="28" spans="1:11" ht="15.75" customHeight="1" x14ac:dyDescent="0.35">
      <c r="A28" s="3" t="s">
        <v>28</v>
      </c>
      <c r="B28" s="3">
        <v>6134</v>
      </c>
      <c r="C28" s="4">
        <v>2765</v>
      </c>
      <c r="D28" s="27">
        <v>26.975269361747685</v>
      </c>
      <c r="E28" s="3">
        <v>0</v>
      </c>
      <c r="F28" s="3">
        <v>26</v>
      </c>
      <c r="G28" s="3"/>
      <c r="H28" s="3"/>
      <c r="I28" s="3"/>
      <c r="J28" s="3"/>
      <c r="K28" s="3"/>
    </row>
    <row r="29" spans="1:11" ht="15.75" customHeight="1" x14ac:dyDescent="0.35">
      <c r="A29" s="3" t="s">
        <v>29</v>
      </c>
      <c r="B29" s="3">
        <v>24112.5</v>
      </c>
      <c r="C29" s="4">
        <v>4592</v>
      </c>
      <c r="D29" s="27">
        <v>26.975269361747685</v>
      </c>
      <c r="E29" s="3">
        <v>9080</v>
      </c>
      <c r="F29" s="3">
        <v>26</v>
      </c>
      <c r="G29" s="3"/>
      <c r="H29" s="3"/>
      <c r="I29" s="3"/>
      <c r="J29" s="3"/>
      <c r="K29" s="3"/>
    </row>
    <row r="30" spans="1:11" ht="15.75" customHeight="1" x14ac:dyDescent="0.35">
      <c r="A30" s="3" t="s">
        <v>30</v>
      </c>
      <c r="B30" s="3">
        <v>19296</v>
      </c>
      <c r="C30" s="4">
        <v>2297</v>
      </c>
      <c r="D30" s="27">
        <v>26.975269361747685</v>
      </c>
      <c r="E30" s="3">
        <v>22778</v>
      </c>
      <c r="F30" s="3">
        <v>26</v>
      </c>
      <c r="G30" s="3"/>
      <c r="H30" s="3"/>
      <c r="I30" s="3"/>
      <c r="J30" s="3"/>
      <c r="K30" s="3"/>
    </row>
    <row r="31" spans="1:11" ht="15.75" customHeight="1" x14ac:dyDescent="0.35">
      <c r="A31" s="3" t="s">
        <v>31</v>
      </c>
      <c r="B31" s="3">
        <v>620</v>
      </c>
      <c r="C31" s="4">
        <v>2616</v>
      </c>
      <c r="D31" s="27">
        <v>26.975269361747685</v>
      </c>
      <c r="E31" s="3">
        <v>1350</v>
      </c>
      <c r="F31" s="3">
        <v>26</v>
      </c>
      <c r="G31" s="3"/>
      <c r="H31" s="3"/>
      <c r="I31" s="3"/>
      <c r="J31" s="3"/>
      <c r="K31" s="3"/>
    </row>
    <row r="32" spans="1:11" ht="15.75" customHeight="1" x14ac:dyDescent="0.35">
      <c r="A32" s="3" t="s">
        <v>32</v>
      </c>
      <c r="B32" s="3">
        <v>1300</v>
      </c>
      <c r="C32" s="4">
        <v>2616</v>
      </c>
      <c r="D32" s="27">
        <v>26.975269361747685</v>
      </c>
      <c r="E32" s="3">
        <v>8400</v>
      </c>
      <c r="F32" s="3">
        <v>26</v>
      </c>
      <c r="G32" s="3"/>
      <c r="H32" s="3"/>
      <c r="I32" s="3"/>
      <c r="J32" s="3"/>
      <c r="K32" s="3"/>
    </row>
    <row r="33" spans="1:11" ht="15.75" customHeight="1" x14ac:dyDescent="0.35">
      <c r="A33" s="3" t="s">
        <v>33</v>
      </c>
      <c r="B33" s="3">
        <v>20597.826086956498</v>
      </c>
      <c r="C33" s="4">
        <v>1968</v>
      </c>
      <c r="D33" s="27">
        <v>26.975269361747685</v>
      </c>
      <c r="E33" s="3">
        <v>70725</v>
      </c>
      <c r="F33" s="3">
        <v>26</v>
      </c>
      <c r="G33" s="3"/>
      <c r="H33" s="3"/>
      <c r="I33" s="3"/>
      <c r="J33" s="3"/>
      <c r="K33" s="3"/>
    </row>
    <row r="34" spans="1:11" ht="15.75" customHeight="1" x14ac:dyDescent="0.35">
      <c r="A34" s="3" t="s">
        <v>34</v>
      </c>
      <c r="B34" s="3">
        <v>6420</v>
      </c>
      <c r="C34" s="4">
        <v>2503</v>
      </c>
      <c r="D34" s="27">
        <v>26.975269361747685</v>
      </c>
      <c r="E34" s="3">
        <v>0</v>
      </c>
      <c r="F34" s="3">
        <v>26</v>
      </c>
      <c r="G34" s="3"/>
      <c r="H34" s="3"/>
      <c r="I34" s="3"/>
      <c r="J34" s="3"/>
      <c r="K34" s="3"/>
    </row>
    <row r="35" spans="1:11" ht="15.75" customHeight="1" x14ac:dyDescent="0.35">
      <c r="A35" s="3" t="s">
        <v>35</v>
      </c>
      <c r="B35" s="3">
        <v>26842.307692307699</v>
      </c>
      <c r="C35" s="4">
        <v>2503</v>
      </c>
      <c r="D35" s="27">
        <v>26.975269361747685</v>
      </c>
      <c r="E35" s="3">
        <v>116330</v>
      </c>
      <c r="F35" s="3">
        <v>26</v>
      </c>
      <c r="G35" s="3"/>
      <c r="H35" s="3"/>
      <c r="I35" s="3"/>
      <c r="J35" s="3"/>
      <c r="K35" s="3"/>
    </row>
    <row r="36" spans="1:11" ht="15.75" customHeight="1" x14ac:dyDescent="0.35">
      <c r="A36" s="3" t="s">
        <v>36</v>
      </c>
      <c r="B36" s="3">
        <v>17631.833333333303</v>
      </c>
      <c r="C36" s="4">
        <v>2103</v>
      </c>
      <c r="D36" s="27">
        <v>26.975269361747685</v>
      </c>
      <c r="E36" s="3">
        <v>19375</v>
      </c>
      <c r="F36" s="3">
        <v>26</v>
      </c>
      <c r="G36" s="3"/>
      <c r="H36" s="3"/>
      <c r="I36" s="3"/>
      <c r="J36" s="3"/>
      <c r="K36" s="3"/>
    </row>
    <row r="37" spans="1:11" ht="15.75" customHeight="1" x14ac:dyDescent="0.35">
      <c r="A37" s="3" t="s">
        <v>37</v>
      </c>
      <c r="B37" s="3">
        <v>15533.166666666701</v>
      </c>
      <c r="C37" s="4">
        <v>2802</v>
      </c>
      <c r="D37" s="27">
        <v>26.975269361747685</v>
      </c>
      <c r="E37" s="3">
        <v>19025</v>
      </c>
      <c r="F37" s="3">
        <v>26</v>
      </c>
      <c r="G37" s="3"/>
      <c r="H37" s="3"/>
      <c r="I37" s="3"/>
      <c r="J37" s="3"/>
      <c r="K37" s="3"/>
    </row>
    <row r="38" spans="1:11" ht="15.75" customHeight="1" x14ac:dyDescent="0.35">
      <c r="A38" s="3" t="s">
        <v>38</v>
      </c>
      <c r="B38" s="3">
        <v>22954.5454545455</v>
      </c>
      <c r="C38" s="4">
        <v>2126</v>
      </c>
      <c r="D38" s="27">
        <v>26.975269361747685</v>
      </c>
      <c r="E38" s="3">
        <v>113750</v>
      </c>
      <c r="F38" s="3">
        <v>26</v>
      </c>
      <c r="G38" s="3"/>
      <c r="H38" s="3"/>
      <c r="I38" s="3"/>
      <c r="J38" s="3"/>
      <c r="K38" s="3"/>
    </row>
    <row r="39" spans="1:11" ht="15.75" customHeight="1" x14ac:dyDescent="0.35">
      <c r="A39" s="3" t="s">
        <v>39</v>
      </c>
      <c r="B39" s="3">
        <v>6054.6666666666697</v>
      </c>
      <c r="C39" s="4">
        <v>2514</v>
      </c>
      <c r="D39" s="27">
        <v>26.975269361747685</v>
      </c>
      <c r="E39" s="3">
        <v>23589</v>
      </c>
      <c r="F39" s="3">
        <v>26</v>
      </c>
      <c r="G39" s="3"/>
      <c r="H39" s="3"/>
      <c r="I39" s="3"/>
      <c r="J39" s="3"/>
      <c r="K39" s="3"/>
    </row>
    <row r="40" spans="1:11" ht="15.75" customHeight="1" x14ac:dyDescent="0.35">
      <c r="A40" s="3" t="s">
        <v>40</v>
      </c>
      <c r="B40" s="3">
        <v>17117.1538461538</v>
      </c>
      <c r="C40" s="4">
        <v>1956</v>
      </c>
      <c r="D40" s="27">
        <v>26.975269361747685</v>
      </c>
      <c r="E40" s="3">
        <v>37327</v>
      </c>
      <c r="F40" s="3">
        <v>26</v>
      </c>
      <c r="G40" s="3"/>
      <c r="H40" s="3"/>
      <c r="I40" s="3"/>
      <c r="J40" s="3"/>
      <c r="K40" s="3"/>
    </row>
    <row r="41" spans="1:11" ht="15.75" customHeight="1" x14ac:dyDescent="0.35">
      <c r="A41" s="3" t="s">
        <v>41</v>
      </c>
      <c r="B41" s="3">
        <v>47637.684210526299</v>
      </c>
      <c r="C41" s="4">
        <v>3391</v>
      </c>
      <c r="D41" s="27">
        <v>26.975269361747685</v>
      </c>
      <c r="E41" s="3">
        <v>27425</v>
      </c>
      <c r="F41" s="3">
        <v>26</v>
      </c>
      <c r="G41" s="3"/>
      <c r="H41" s="3"/>
      <c r="I41" s="3"/>
      <c r="J41" s="3"/>
      <c r="K41" s="3"/>
    </row>
    <row r="42" spans="1:11" ht="15.75" customHeight="1" x14ac:dyDescent="0.35">
      <c r="A42" s="3" t="s">
        <v>42</v>
      </c>
      <c r="B42" s="3">
        <v>14231.8181818182</v>
      </c>
      <c r="C42" s="4">
        <v>3549</v>
      </c>
      <c r="D42" s="27">
        <v>26.975269361747685</v>
      </c>
      <c r="E42" s="3">
        <v>33375</v>
      </c>
      <c r="F42" s="3">
        <v>26</v>
      </c>
      <c r="G42" s="3"/>
      <c r="H42" s="3"/>
      <c r="I42" s="3"/>
      <c r="J42" s="3"/>
      <c r="K42" s="3"/>
    </row>
    <row r="43" spans="1:11" ht="15.75" customHeight="1" x14ac:dyDescent="0.35">
      <c r="A43" s="3" t="s">
        <v>43</v>
      </c>
      <c r="B43" s="3">
        <v>25428.888888888898</v>
      </c>
      <c r="C43" s="4">
        <v>2129</v>
      </c>
      <c r="D43" s="27">
        <v>26.975269361747685</v>
      </c>
      <c r="E43" s="3">
        <v>34417</v>
      </c>
      <c r="F43" s="3">
        <v>26</v>
      </c>
      <c r="G43" s="3"/>
      <c r="H43" s="3"/>
      <c r="I43" s="3"/>
      <c r="J43" s="3"/>
      <c r="K43" s="3"/>
    </row>
    <row r="44" spans="1:11" ht="15.75" customHeight="1" x14ac:dyDescent="0.35">
      <c r="A44" s="3" t="s">
        <v>44</v>
      </c>
      <c r="B44" s="3">
        <v>11897.666666666701</v>
      </c>
      <c r="C44" s="4">
        <v>2129</v>
      </c>
      <c r="D44" s="27">
        <v>26.975269361747685</v>
      </c>
      <c r="E44" s="3">
        <v>16174</v>
      </c>
      <c r="F44" s="3">
        <v>26</v>
      </c>
      <c r="G44" s="3"/>
      <c r="H44" s="3"/>
      <c r="I44" s="3"/>
      <c r="J44" s="3"/>
      <c r="K44" s="3"/>
    </row>
    <row r="45" spans="1:11" ht="15.75" customHeight="1" x14ac:dyDescent="0.35">
      <c r="A45" s="3" t="s">
        <v>45</v>
      </c>
      <c r="B45" s="3">
        <v>556.66666666666708</v>
      </c>
      <c r="C45" s="4">
        <v>2131</v>
      </c>
      <c r="D45" s="27">
        <v>26.975269361747685</v>
      </c>
      <c r="E45" s="3">
        <v>200</v>
      </c>
      <c r="F45" s="3">
        <v>26</v>
      </c>
      <c r="G45" s="3"/>
      <c r="H45" s="3"/>
      <c r="I45" s="3"/>
      <c r="J45" s="3"/>
      <c r="K45" s="3"/>
    </row>
    <row r="46" spans="1:11" ht="15.75" customHeight="1" x14ac:dyDescent="0.35">
      <c r="A46" s="3" t="s">
        <v>46</v>
      </c>
      <c r="B46" s="3">
        <v>4116.6000000000004</v>
      </c>
      <c r="C46" s="4">
        <v>2131</v>
      </c>
      <c r="D46" s="27">
        <v>26.975269361747685</v>
      </c>
      <c r="E46" s="3">
        <v>3126</v>
      </c>
      <c r="F46" s="3">
        <v>26</v>
      </c>
      <c r="G46" s="3"/>
      <c r="H46" s="3"/>
      <c r="I46" s="3"/>
      <c r="J46" s="3"/>
      <c r="K46" s="3"/>
    </row>
    <row r="47" spans="1:11" ht="15.75" customHeight="1" x14ac:dyDescent="0.35">
      <c r="A47" s="3" t="s">
        <v>47</v>
      </c>
      <c r="B47" s="3">
        <v>26070.388888888898</v>
      </c>
      <c r="C47" s="4">
        <v>2245</v>
      </c>
      <c r="D47" s="27">
        <v>26.975269361747685</v>
      </c>
      <c r="E47" s="3">
        <v>40425</v>
      </c>
      <c r="F47" s="3">
        <v>26</v>
      </c>
      <c r="G47" s="3"/>
      <c r="H47" s="3"/>
      <c r="I47" s="3"/>
      <c r="J47" s="3"/>
      <c r="K47" s="3"/>
    </row>
    <row r="48" spans="1:11" ht="15.75" customHeight="1" x14ac:dyDescent="0.35">
      <c r="A48" s="3" t="s">
        <v>48</v>
      </c>
      <c r="B48" s="3">
        <v>25322.333333333303</v>
      </c>
      <c r="C48" s="4">
        <v>2121</v>
      </c>
      <c r="D48" s="27">
        <v>26.975269361747685</v>
      </c>
      <c r="E48" s="3">
        <v>37530</v>
      </c>
      <c r="F48" s="3">
        <v>26</v>
      </c>
      <c r="G48" s="3"/>
      <c r="H48" s="3"/>
      <c r="I48" s="3"/>
      <c r="J48" s="3"/>
      <c r="K48" s="3"/>
    </row>
    <row r="49" spans="1:11" ht="15.75" customHeight="1" x14ac:dyDescent="0.35">
      <c r="A49" s="3" t="s">
        <v>49</v>
      </c>
      <c r="B49" s="3">
        <v>857.66666666666708</v>
      </c>
      <c r="C49" s="4">
        <v>2131</v>
      </c>
      <c r="D49" s="27">
        <v>26.975269361747685</v>
      </c>
      <c r="E49" s="3">
        <v>1474</v>
      </c>
      <c r="F49" s="3">
        <v>26</v>
      </c>
      <c r="G49" s="3"/>
      <c r="H49" s="3"/>
      <c r="I49" s="3"/>
      <c r="J49" s="3"/>
      <c r="K49" s="3"/>
    </row>
    <row r="50" spans="1:11" ht="15.75" customHeight="1" x14ac:dyDescent="0.35">
      <c r="A50" s="3" t="s">
        <v>50</v>
      </c>
      <c r="B50" s="3">
        <v>2974.3333333333298</v>
      </c>
      <c r="C50" s="4">
        <v>4592</v>
      </c>
      <c r="D50" s="27">
        <v>26.975269361747685</v>
      </c>
      <c r="E50" s="3">
        <v>600</v>
      </c>
      <c r="F50" s="3">
        <v>26</v>
      </c>
      <c r="G50" s="3"/>
      <c r="H50" s="3"/>
      <c r="I50" s="3"/>
      <c r="J50" s="3"/>
      <c r="K50" s="3"/>
    </row>
    <row r="51" spans="1:11" ht="15.75" customHeight="1" x14ac:dyDescent="0.35">
      <c r="A51" s="3" t="s">
        <v>51</v>
      </c>
      <c r="B51" s="3">
        <v>15176.1</v>
      </c>
      <c r="C51" s="4">
        <v>2297</v>
      </c>
      <c r="D51" s="27">
        <v>26.975269361747685</v>
      </c>
      <c r="E51" s="3">
        <v>7375</v>
      </c>
      <c r="F51" s="3">
        <v>26</v>
      </c>
      <c r="G51" s="3"/>
      <c r="H51" s="3"/>
      <c r="I51" s="3"/>
      <c r="J51" s="3"/>
      <c r="K51" s="3"/>
    </row>
    <row r="52" spans="1:11" ht="15.75" customHeight="1" x14ac:dyDescent="0.35">
      <c r="A52" s="3" t="s">
        <v>52</v>
      </c>
      <c r="B52" s="3">
        <v>733.33333333333303</v>
      </c>
      <c r="C52" s="4">
        <v>4592</v>
      </c>
      <c r="D52" s="27">
        <v>26.975269361747685</v>
      </c>
      <c r="E52" s="3">
        <v>675</v>
      </c>
      <c r="F52" s="3">
        <v>26</v>
      </c>
      <c r="G52" s="3"/>
      <c r="H52" s="3"/>
      <c r="I52" s="3"/>
      <c r="J52" s="3"/>
      <c r="K52" s="3"/>
    </row>
    <row r="53" spans="1:11" ht="15.75" customHeight="1" x14ac:dyDescent="0.35">
      <c r="A53" s="3" t="s">
        <v>53</v>
      </c>
      <c r="B53" s="3">
        <v>5410</v>
      </c>
      <c r="C53" s="4">
        <v>4592</v>
      </c>
      <c r="D53" s="27">
        <v>26.975269361747685</v>
      </c>
      <c r="E53" s="3">
        <v>0</v>
      </c>
      <c r="F53" s="3">
        <v>26</v>
      </c>
      <c r="G53" s="3"/>
      <c r="H53" s="3"/>
      <c r="I53" s="3"/>
      <c r="J53" s="3"/>
      <c r="K53" s="3"/>
    </row>
    <row r="54" spans="1:11" ht="15.75" customHeight="1" x14ac:dyDescent="0.35">
      <c r="A54" s="3" t="s">
        <v>54</v>
      </c>
      <c r="B54" s="3">
        <v>2587.5</v>
      </c>
      <c r="C54" s="4">
        <v>2103</v>
      </c>
      <c r="D54" s="27">
        <v>26.975269361747685</v>
      </c>
      <c r="E54" s="3">
        <v>5075</v>
      </c>
      <c r="F54" s="3">
        <v>26</v>
      </c>
      <c r="G54" s="3"/>
      <c r="H54" s="3"/>
      <c r="I54" s="3"/>
      <c r="J54" s="3"/>
      <c r="K54" s="3"/>
    </row>
    <row r="55" spans="1:11" ht="15.75" customHeight="1" x14ac:dyDescent="0.35">
      <c r="A55" s="3" t="s">
        <v>55</v>
      </c>
      <c r="B55" s="3">
        <v>18800</v>
      </c>
      <c r="C55" s="4">
        <v>2103</v>
      </c>
      <c r="D55" s="27">
        <v>26.975269361747685</v>
      </c>
      <c r="E55" s="3">
        <v>7750</v>
      </c>
      <c r="F55" s="3">
        <v>26</v>
      </c>
      <c r="G55" s="3"/>
      <c r="H55" s="3"/>
      <c r="I55" s="3"/>
      <c r="J55" s="3"/>
      <c r="K55" s="3"/>
    </row>
    <row r="56" spans="1:11" ht="15.75" customHeight="1" x14ac:dyDescent="0.35">
      <c r="A56" s="3" t="s">
        <v>56</v>
      </c>
      <c r="B56" s="3">
        <v>2659</v>
      </c>
      <c r="C56" s="4">
        <v>4592</v>
      </c>
      <c r="D56" s="27">
        <v>26.975269361747685</v>
      </c>
      <c r="E56" s="3">
        <v>1704</v>
      </c>
      <c r="F56" s="3">
        <v>26</v>
      </c>
      <c r="G56" s="3"/>
      <c r="H56" s="3"/>
      <c r="I56" s="3"/>
      <c r="J56" s="3"/>
      <c r="K56" s="3"/>
    </row>
    <row r="57" spans="1:11" ht="15.75" customHeight="1" x14ac:dyDescent="0.35">
      <c r="A57" s="3" t="s">
        <v>57</v>
      </c>
      <c r="B57" s="3">
        <v>1157.8</v>
      </c>
      <c r="C57" s="4">
        <v>2297</v>
      </c>
      <c r="D57" s="27">
        <v>26.975269361747685</v>
      </c>
      <c r="E57" s="3">
        <v>2914</v>
      </c>
      <c r="F57" s="3">
        <v>26</v>
      </c>
      <c r="G57" s="3"/>
      <c r="H57" s="3"/>
      <c r="I57" s="3"/>
      <c r="J57" s="3"/>
      <c r="K57" s="3"/>
    </row>
    <row r="58" spans="1:11" ht="15.75" customHeight="1" x14ac:dyDescent="0.35">
      <c r="A58" s="3" t="s">
        <v>58</v>
      </c>
      <c r="B58" s="3">
        <v>625</v>
      </c>
      <c r="C58" s="4">
        <v>2616</v>
      </c>
      <c r="D58" s="27">
        <v>26.975269361747685</v>
      </c>
      <c r="E58" s="3">
        <v>150</v>
      </c>
      <c r="F58" s="3">
        <v>26</v>
      </c>
      <c r="G58" s="3"/>
      <c r="H58" s="3"/>
      <c r="I58" s="3"/>
      <c r="J58" s="3"/>
      <c r="K58" s="3"/>
    </row>
    <row r="59" spans="1:11" ht="15.75" customHeight="1" x14ac:dyDescent="0.35">
      <c r="A59" s="3" t="s">
        <v>59</v>
      </c>
      <c r="B59" s="3">
        <v>2436.3333333333298</v>
      </c>
      <c r="C59" s="4">
        <v>2616</v>
      </c>
      <c r="D59" s="27">
        <v>26.975269361747685</v>
      </c>
      <c r="E59" s="3">
        <v>305</v>
      </c>
      <c r="F59" s="3">
        <v>26</v>
      </c>
      <c r="G59" s="3"/>
      <c r="H59" s="3"/>
      <c r="I59" s="3"/>
      <c r="J59" s="3"/>
      <c r="K59" s="3"/>
    </row>
    <row r="60" spans="1:11" ht="15.75" customHeight="1" x14ac:dyDescent="0.35">
      <c r="A60" s="3" t="s">
        <v>60</v>
      </c>
      <c r="B60" s="3">
        <v>360</v>
      </c>
      <c r="C60" s="4">
        <v>7550</v>
      </c>
      <c r="D60" s="27">
        <v>26.975269361747685</v>
      </c>
      <c r="E60" s="3">
        <v>0</v>
      </c>
      <c r="F60" s="3">
        <v>26</v>
      </c>
      <c r="G60" s="3"/>
      <c r="H60" s="3"/>
      <c r="I60" s="3"/>
      <c r="J60" s="3"/>
      <c r="K60" s="3"/>
    </row>
    <row r="61" spans="1:11" ht="15.75" customHeight="1" x14ac:dyDescent="0.35">
      <c r="A61" s="3" t="s">
        <v>61</v>
      </c>
      <c r="B61" s="3">
        <v>29909.583333333303</v>
      </c>
      <c r="C61" s="4">
        <v>7550</v>
      </c>
      <c r="D61" s="27">
        <v>26.975269361747685</v>
      </c>
      <c r="E61" s="3">
        <v>43550</v>
      </c>
      <c r="F61" s="3">
        <v>26</v>
      </c>
      <c r="G61" s="3"/>
      <c r="H61" s="3"/>
      <c r="I61" s="3"/>
      <c r="J61" s="3"/>
      <c r="K61" s="3"/>
    </row>
    <row r="62" spans="1:11" ht="15.75" customHeight="1" x14ac:dyDescent="0.35">
      <c r="A62" s="3" t="s">
        <v>62</v>
      </c>
      <c r="B62" s="3">
        <v>7130.4000000000005</v>
      </c>
      <c r="C62" s="4">
        <v>4592</v>
      </c>
      <c r="D62" s="27">
        <v>26.975269361747685</v>
      </c>
      <c r="E62" s="3">
        <v>2340</v>
      </c>
      <c r="F62" s="3">
        <v>26</v>
      </c>
      <c r="G62" s="3"/>
      <c r="H62" s="3"/>
      <c r="I62" s="3"/>
      <c r="J62" s="3"/>
      <c r="K62" s="3"/>
    </row>
    <row r="63" spans="1:11" ht="15.75" customHeight="1" x14ac:dyDescent="0.35">
      <c r="A63" s="3" t="s">
        <v>63</v>
      </c>
      <c r="B63" s="3">
        <v>2450.4545454545505</v>
      </c>
      <c r="C63" s="4">
        <v>2297</v>
      </c>
      <c r="D63" s="27">
        <v>26.975269361747685</v>
      </c>
      <c r="E63" s="3">
        <v>11700</v>
      </c>
      <c r="F63" s="3">
        <v>26</v>
      </c>
      <c r="G63" s="3"/>
      <c r="H63" s="3"/>
      <c r="I63" s="3"/>
      <c r="J63" s="3"/>
      <c r="K63" s="3"/>
    </row>
    <row r="64" spans="1:11" ht="15.75" customHeight="1" x14ac:dyDescent="0.35">
      <c r="A64" s="3" t="s">
        <v>64</v>
      </c>
      <c r="B64" s="3">
        <v>708.33333333333303</v>
      </c>
      <c r="C64" s="4">
        <v>2616</v>
      </c>
      <c r="D64" s="27">
        <v>26.975269361747685</v>
      </c>
      <c r="E64" s="3">
        <v>850</v>
      </c>
      <c r="F64" s="3">
        <v>26</v>
      </c>
      <c r="G64" s="3"/>
      <c r="H64" s="3"/>
      <c r="I64" s="3"/>
      <c r="J64" s="3"/>
      <c r="K64" s="3"/>
    </row>
    <row r="65" spans="1:11" ht="15.75" customHeight="1" x14ac:dyDescent="0.35">
      <c r="A65" s="3" t="s">
        <v>65</v>
      </c>
      <c r="B65" s="3">
        <v>2836</v>
      </c>
      <c r="C65" s="4">
        <v>2616</v>
      </c>
      <c r="D65" s="27">
        <v>26.975269361747685</v>
      </c>
      <c r="E65" s="3">
        <v>0</v>
      </c>
      <c r="F65" s="3">
        <v>26</v>
      </c>
      <c r="G65" s="3"/>
      <c r="H65" s="3"/>
      <c r="I65" s="3"/>
      <c r="J65" s="3"/>
      <c r="K65" s="3"/>
    </row>
    <row r="66" spans="1:11" ht="15.75" customHeight="1" x14ac:dyDescent="0.35">
      <c r="A66" s="3" t="s">
        <v>66</v>
      </c>
      <c r="B66" s="3">
        <v>1126</v>
      </c>
      <c r="C66" s="4">
        <v>4592</v>
      </c>
      <c r="D66" s="27">
        <v>26.975269361747685</v>
      </c>
      <c r="E66" s="3">
        <v>1232</v>
      </c>
      <c r="F66" s="3">
        <v>26</v>
      </c>
      <c r="G66" s="3"/>
      <c r="H66" s="3"/>
      <c r="I66" s="3"/>
      <c r="J66" s="3"/>
      <c r="K66" s="3"/>
    </row>
    <row r="67" spans="1:11" ht="15.75" customHeight="1" x14ac:dyDescent="0.35">
      <c r="A67" s="3" t="s">
        <v>67</v>
      </c>
      <c r="B67" s="3">
        <v>18998.333333333303</v>
      </c>
      <c r="C67" s="4">
        <v>2297</v>
      </c>
      <c r="D67" s="27">
        <v>26.975269361747685</v>
      </c>
      <c r="E67" s="3">
        <v>3300</v>
      </c>
      <c r="F67" s="3">
        <v>26</v>
      </c>
      <c r="G67" s="3"/>
      <c r="H67" s="3"/>
      <c r="I67" s="3"/>
      <c r="J67" s="3"/>
      <c r="K67" s="3"/>
    </row>
    <row r="68" spans="1:11" ht="15.75" customHeight="1" x14ac:dyDescent="0.35">
      <c r="A68" s="3" t="s">
        <v>68</v>
      </c>
      <c r="B68" s="3">
        <v>950</v>
      </c>
      <c r="C68" s="4">
        <v>2616</v>
      </c>
      <c r="D68" s="27">
        <v>26.975269361747685</v>
      </c>
      <c r="E68" s="3">
        <v>500</v>
      </c>
      <c r="F68" s="3">
        <v>26</v>
      </c>
      <c r="G68" s="3"/>
      <c r="H68" s="3"/>
      <c r="I68" s="3"/>
      <c r="J68" s="3"/>
      <c r="K68" s="3"/>
    </row>
    <row r="69" spans="1:11" ht="15.75" customHeight="1" x14ac:dyDescent="0.35">
      <c r="A69" s="3" t="s">
        <v>69</v>
      </c>
      <c r="B69" s="3">
        <v>1141.5</v>
      </c>
      <c r="C69" s="4">
        <v>1419</v>
      </c>
      <c r="D69" s="27">
        <v>26.975269361747685</v>
      </c>
      <c r="E69" s="3">
        <v>705</v>
      </c>
      <c r="F69" s="3">
        <v>26</v>
      </c>
      <c r="G69" s="3"/>
      <c r="H69" s="3"/>
      <c r="I69" s="3"/>
      <c r="J69" s="3"/>
      <c r="K69" s="3"/>
    </row>
    <row r="70" spans="1:11" ht="15.75" customHeight="1" x14ac:dyDescent="0.35">
      <c r="A70" s="3" t="s">
        <v>70</v>
      </c>
      <c r="B70" s="3">
        <v>12207.666666666701</v>
      </c>
      <c r="C70" s="4">
        <v>1968</v>
      </c>
      <c r="D70" s="27">
        <v>26.975269361747685</v>
      </c>
      <c r="E70" s="3">
        <v>24964</v>
      </c>
      <c r="F70" s="3">
        <v>26</v>
      </c>
      <c r="G70" s="3"/>
      <c r="H70" s="3"/>
      <c r="I70" s="3"/>
      <c r="J70" s="3"/>
      <c r="K70" s="3"/>
    </row>
    <row r="71" spans="1:11" ht="15.75" customHeight="1" x14ac:dyDescent="0.35">
      <c r="A71" s="3" t="s">
        <v>71</v>
      </c>
      <c r="B71" s="3">
        <v>512.75</v>
      </c>
      <c r="C71" s="4">
        <v>2129</v>
      </c>
      <c r="D71" s="27">
        <v>26.975269361747685</v>
      </c>
      <c r="E71" s="3">
        <v>2413</v>
      </c>
      <c r="F71" s="3">
        <v>26</v>
      </c>
      <c r="G71" s="3"/>
      <c r="H71" s="3"/>
      <c r="I71" s="3"/>
      <c r="J71" s="3"/>
      <c r="K71" s="3"/>
    </row>
    <row r="72" spans="1:11" ht="15.75" customHeight="1" x14ac:dyDescent="0.35">
      <c r="A72" s="3" t="s">
        <v>72</v>
      </c>
      <c r="B72" s="3">
        <v>110</v>
      </c>
      <c r="C72" s="4">
        <v>2129</v>
      </c>
      <c r="D72" s="27">
        <v>26.975269361747685</v>
      </c>
      <c r="E72" s="3">
        <v>0</v>
      </c>
      <c r="F72" s="3">
        <v>26</v>
      </c>
      <c r="G72" s="3"/>
      <c r="H72" s="3"/>
      <c r="I72" s="3"/>
      <c r="J72" s="3"/>
      <c r="K72" s="3"/>
    </row>
    <row r="73" spans="1:11" ht="15.75" customHeight="1" x14ac:dyDescent="0.35">
      <c r="A73" s="3" t="s">
        <v>73</v>
      </c>
      <c r="B73" s="3">
        <v>14139.1111111111</v>
      </c>
      <c r="C73" s="4">
        <v>1968</v>
      </c>
      <c r="D73" s="27">
        <v>26.975269361747685</v>
      </c>
      <c r="E73" s="3">
        <v>10500</v>
      </c>
      <c r="F73" s="3">
        <v>26</v>
      </c>
      <c r="G73" s="3"/>
      <c r="H73" s="3"/>
      <c r="I73" s="3"/>
      <c r="J73" s="3"/>
      <c r="K73" s="3"/>
    </row>
    <row r="74" spans="1:11" ht="15.75" customHeight="1" x14ac:dyDescent="0.35">
      <c r="A74" s="3" t="s">
        <v>74</v>
      </c>
      <c r="B74" s="3">
        <v>8059.1</v>
      </c>
      <c r="C74" s="4">
        <v>2157</v>
      </c>
      <c r="D74" s="27">
        <v>26.975269361747685</v>
      </c>
      <c r="E74" s="3">
        <v>13462</v>
      </c>
      <c r="F74" s="3">
        <v>26</v>
      </c>
      <c r="G74" s="3"/>
      <c r="H74" s="3"/>
      <c r="I74" s="3"/>
      <c r="J74" s="3"/>
      <c r="K74" s="3"/>
    </row>
    <row r="75" spans="1:11" ht="15.75" customHeight="1" x14ac:dyDescent="0.35">
      <c r="A75" s="3" t="s">
        <v>75</v>
      </c>
      <c r="B75" s="3">
        <v>14734.333333333299</v>
      </c>
      <c r="C75" s="4">
        <v>2031</v>
      </c>
      <c r="D75" s="27">
        <v>26.975269361747685</v>
      </c>
      <c r="E75" s="3">
        <v>8654</v>
      </c>
      <c r="F75" s="3">
        <v>26</v>
      </c>
      <c r="G75" s="3"/>
      <c r="H75" s="3"/>
      <c r="I75" s="3"/>
      <c r="J75" s="3"/>
      <c r="K75" s="3"/>
    </row>
    <row r="76" spans="1:11" ht="15.75" customHeight="1" x14ac:dyDescent="0.35">
      <c r="A76" s="3" t="s">
        <v>76</v>
      </c>
      <c r="B76" s="3">
        <v>13202.5</v>
      </c>
      <c r="C76" s="4">
        <v>2031</v>
      </c>
      <c r="D76" s="27">
        <v>26.975269361747685</v>
      </c>
      <c r="E76" s="3">
        <v>15844</v>
      </c>
      <c r="F76" s="3">
        <v>26</v>
      </c>
      <c r="G76" s="3"/>
      <c r="H76" s="3"/>
      <c r="I76" s="3"/>
      <c r="J76" s="3"/>
      <c r="K76" s="3"/>
    </row>
    <row r="77" spans="1:11" ht="15.75" customHeight="1" x14ac:dyDescent="0.35">
      <c r="A77" s="3" t="s">
        <v>77</v>
      </c>
      <c r="B77" s="3">
        <v>1787.5</v>
      </c>
      <c r="C77" s="4">
        <v>2642</v>
      </c>
      <c r="D77" s="27">
        <v>26.975269361747685</v>
      </c>
      <c r="E77" s="3">
        <v>1625</v>
      </c>
      <c r="F77" s="3">
        <v>26</v>
      </c>
      <c r="G77" s="3"/>
      <c r="H77" s="3"/>
      <c r="I77" s="3"/>
      <c r="J77" s="3"/>
      <c r="K77" s="3"/>
    </row>
    <row r="78" spans="1:11" ht="15.75" customHeight="1" x14ac:dyDescent="0.35">
      <c r="A78" s="3" t="s">
        <v>78</v>
      </c>
      <c r="B78" s="3">
        <v>1615</v>
      </c>
      <c r="C78" s="4">
        <v>2642</v>
      </c>
      <c r="D78" s="27">
        <v>26.975269361747685</v>
      </c>
      <c r="E78" s="3">
        <v>2000</v>
      </c>
      <c r="F78" s="3">
        <v>26</v>
      </c>
      <c r="G78" s="3"/>
      <c r="H78" s="3"/>
      <c r="I78" s="3"/>
      <c r="J78" s="3"/>
      <c r="K78" s="3"/>
    </row>
    <row r="79" spans="1:11" ht="15.75" customHeight="1" x14ac:dyDescent="0.35">
      <c r="A79" s="3" t="s">
        <v>79</v>
      </c>
      <c r="B79" s="3">
        <v>387.5</v>
      </c>
      <c r="C79" s="4">
        <v>2488</v>
      </c>
      <c r="D79" s="27">
        <v>26.975269361747685</v>
      </c>
      <c r="E79" s="3">
        <v>225</v>
      </c>
      <c r="F79" s="3">
        <v>26</v>
      </c>
      <c r="G79" s="3"/>
      <c r="H79" s="3"/>
      <c r="I79" s="3"/>
      <c r="J79" s="3"/>
      <c r="K79" s="3"/>
    </row>
    <row r="80" spans="1:11" ht="15.75" customHeight="1" x14ac:dyDescent="0.35">
      <c r="A80" s="3" t="s">
        <v>80</v>
      </c>
      <c r="B80" s="3">
        <v>2590</v>
      </c>
      <c r="C80" s="4">
        <v>2431</v>
      </c>
      <c r="D80" s="27">
        <v>26.975269361747685</v>
      </c>
      <c r="E80" s="3">
        <v>3250</v>
      </c>
      <c r="F80" s="3">
        <v>26</v>
      </c>
      <c r="G80" s="3"/>
      <c r="H80" s="3"/>
      <c r="I80" s="3"/>
      <c r="J80" s="3"/>
      <c r="K80" s="3"/>
    </row>
    <row r="81" spans="1:11" ht="15.75" customHeight="1" x14ac:dyDescent="0.35">
      <c r="A81" s="3" t="s">
        <v>81</v>
      </c>
      <c r="B81" s="3">
        <v>2998.4</v>
      </c>
      <c r="C81" s="4">
        <v>4592</v>
      </c>
      <c r="D81" s="27">
        <v>26.975269361747685</v>
      </c>
      <c r="E81" s="3">
        <v>2976</v>
      </c>
      <c r="F81" s="3">
        <v>26</v>
      </c>
      <c r="G81" s="3"/>
      <c r="H81" s="3"/>
      <c r="I81" s="3"/>
      <c r="J81" s="3"/>
      <c r="K81" s="3"/>
    </row>
    <row r="82" spans="1:11" ht="15.75" customHeight="1" x14ac:dyDescent="0.35">
      <c r="A82" s="3" t="s">
        <v>82</v>
      </c>
      <c r="B82" s="3">
        <v>1765</v>
      </c>
      <c r="C82" s="4">
        <v>2297</v>
      </c>
      <c r="D82" s="27">
        <v>26.975269361747685</v>
      </c>
      <c r="E82" s="3">
        <v>1700</v>
      </c>
      <c r="F82" s="3">
        <v>26</v>
      </c>
      <c r="G82" s="3"/>
      <c r="H82" s="3"/>
      <c r="I82" s="3"/>
      <c r="J82" s="3"/>
      <c r="K82" s="3"/>
    </row>
    <row r="83" spans="1:11" ht="15.75" customHeight="1" x14ac:dyDescent="0.35">
      <c r="A83" s="3" t="s">
        <v>83</v>
      </c>
      <c r="B83" s="3">
        <v>1141.6666666666702</v>
      </c>
      <c r="C83" s="4">
        <v>2616</v>
      </c>
      <c r="D83" s="27">
        <v>26.975269361747685</v>
      </c>
      <c r="E83" s="3">
        <v>425</v>
      </c>
      <c r="F83" s="3">
        <v>26</v>
      </c>
      <c r="G83" s="3"/>
      <c r="H83" s="3"/>
      <c r="I83" s="3"/>
      <c r="J83" s="3"/>
      <c r="K83" s="3"/>
    </row>
    <row r="84" spans="1:11" ht="15.75" customHeight="1" x14ac:dyDescent="0.35">
      <c r="A84" s="3" t="s">
        <v>84</v>
      </c>
      <c r="B84" s="3">
        <v>6438.9285714285697</v>
      </c>
      <c r="C84" s="4">
        <v>1419</v>
      </c>
      <c r="D84" s="27">
        <v>26.975269361747685</v>
      </c>
      <c r="E84" s="3">
        <v>16040</v>
      </c>
      <c r="F84" s="3">
        <v>26</v>
      </c>
      <c r="G84" s="3"/>
      <c r="H84" s="3"/>
      <c r="I84" s="3"/>
      <c r="J84" s="3"/>
      <c r="K84" s="3"/>
    </row>
    <row r="85" spans="1:11" ht="15.75" customHeight="1" x14ac:dyDescent="0.35">
      <c r="A85" s="3" t="s">
        <v>85</v>
      </c>
      <c r="B85" s="3">
        <v>1125</v>
      </c>
      <c r="C85" s="4">
        <v>2616</v>
      </c>
      <c r="D85" s="27">
        <v>26.975269361747685</v>
      </c>
      <c r="E85" s="3">
        <v>400</v>
      </c>
      <c r="F85" s="3">
        <v>26</v>
      </c>
      <c r="G85" s="3"/>
      <c r="H85" s="3"/>
      <c r="I85" s="3"/>
      <c r="J85" s="3"/>
      <c r="K85" s="3"/>
    </row>
    <row r="86" spans="1:11" ht="15.75" customHeight="1" x14ac:dyDescent="0.35">
      <c r="A86" s="3" t="s">
        <v>86</v>
      </c>
      <c r="B86" s="3">
        <v>4211.3333333333303</v>
      </c>
      <c r="C86" s="4">
        <v>2246</v>
      </c>
      <c r="D86" s="27">
        <v>26.975269361747685</v>
      </c>
      <c r="E86" s="3">
        <v>8434</v>
      </c>
      <c r="F86" s="3">
        <v>26</v>
      </c>
      <c r="G86" s="3"/>
      <c r="H86" s="3"/>
      <c r="I86" s="3"/>
      <c r="J86" s="3"/>
      <c r="K86" s="3"/>
    </row>
    <row r="87" spans="1:11" ht="15.75" customHeight="1" x14ac:dyDescent="0.35">
      <c r="A87" s="3" t="s">
        <v>87</v>
      </c>
      <c r="B87" s="3">
        <v>6657.2</v>
      </c>
      <c r="C87" s="4">
        <v>2355</v>
      </c>
      <c r="D87" s="27">
        <v>26.975269361747685</v>
      </c>
      <c r="E87" s="3">
        <v>5974</v>
      </c>
      <c r="F87" s="3">
        <v>26</v>
      </c>
      <c r="G87" s="3"/>
      <c r="H87" s="3"/>
      <c r="I87" s="3"/>
      <c r="J87" s="3"/>
      <c r="K87" s="3"/>
    </row>
    <row r="88" spans="1:11" ht="15.75" customHeight="1" x14ac:dyDescent="0.35">
      <c r="A88" s="3" t="s">
        <v>88</v>
      </c>
      <c r="B88" s="3">
        <v>3995.5</v>
      </c>
      <c r="C88" s="4">
        <v>2031</v>
      </c>
      <c r="D88" s="27">
        <v>26.975269361747685</v>
      </c>
      <c r="E88" s="3">
        <v>10474</v>
      </c>
      <c r="F88" s="3">
        <v>26</v>
      </c>
      <c r="G88" s="3"/>
      <c r="H88" s="3"/>
      <c r="I88" s="3"/>
      <c r="J88" s="3"/>
      <c r="K88" s="3"/>
    </row>
    <row r="89" spans="1:11" ht="15.75" customHeight="1" x14ac:dyDescent="0.35">
      <c r="A89" s="3" t="s">
        <v>89</v>
      </c>
      <c r="B89" s="3">
        <v>3125</v>
      </c>
      <c r="C89" s="4">
        <v>2108</v>
      </c>
      <c r="D89" s="27">
        <v>26.975269361747685</v>
      </c>
      <c r="E89" s="3">
        <v>3500</v>
      </c>
      <c r="F89" s="3">
        <v>26</v>
      </c>
      <c r="G89" s="3"/>
      <c r="H89" s="3"/>
      <c r="I89" s="3"/>
      <c r="J89" s="3"/>
      <c r="K89" s="3"/>
    </row>
    <row r="90" spans="1:11" ht="15.75" customHeight="1" x14ac:dyDescent="0.35">
      <c r="A90" s="3" t="s">
        <v>90</v>
      </c>
      <c r="B90" s="3">
        <v>790</v>
      </c>
      <c r="C90" s="4">
        <v>2173</v>
      </c>
      <c r="D90" s="27">
        <v>26.975269361747685</v>
      </c>
      <c r="E90" s="3">
        <v>1450</v>
      </c>
      <c r="F90" s="3">
        <v>26</v>
      </c>
      <c r="G90" s="3"/>
      <c r="H90" s="3"/>
      <c r="I90" s="3"/>
      <c r="J90" s="3"/>
      <c r="K90" s="3"/>
    </row>
    <row r="91" spans="1:11" ht="15.75" customHeight="1" x14ac:dyDescent="0.35">
      <c r="A91" s="3" t="s">
        <v>91</v>
      </c>
      <c r="B91" s="3">
        <v>3800</v>
      </c>
      <c r="C91" s="4">
        <v>2356</v>
      </c>
      <c r="D91" s="27">
        <v>26.975269361747685</v>
      </c>
      <c r="E91" s="3">
        <v>5300</v>
      </c>
      <c r="F91" s="3">
        <v>26</v>
      </c>
      <c r="G91" s="3"/>
      <c r="H91" s="3"/>
      <c r="I91" s="3"/>
      <c r="J91" s="3"/>
      <c r="K91" s="3"/>
    </row>
    <row r="92" spans="1:11" ht="15.75" customHeight="1" x14ac:dyDescent="0.35">
      <c r="A92" s="3" t="s">
        <v>92</v>
      </c>
      <c r="B92" s="3">
        <v>575</v>
      </c>
      <c r="C92" s="4">
        <v>1993</v>
      </c>
      <c r="D92" s="27">
        <v>26.975269361747685</v>
      </c>
      <c r="E92" s="3">
        <v>250</v>
      </c>
      <c r="F92" s="3">
        <v>26</v>
      </c>
      <c r="G92" s="3"/>
      <c r="H92" s="3"/>
      <c r="I92" s="3"/>
      <c r="J92" s="3"/>
      <c r="K92" s="3"/>
    </row>
    <row r="93" spans="1:11" ht="15.75" customHeight="1" x14ac:dyDescent="0.35">
      <c r="A93" s="3" t="s">
        <v>93</v>
      </c>
      <c r="B93" s="3">
        <v>799.66666666666708</v>
      </c>
      <c r="C93" s="4">
        <v>2205</v>
      </c>
      <c r="D93" s="27">
        <v>26.975269361747685</v>
      </c>
      <c r="E93" s="3">
        <v>900</v>
      </c>
      <c r="F93" s="3">
        <v>26</v>
      </c>
      <c r="G93" s="3"/>
      <c r="H93" s="3"/>
      <c r="I93" s="3"/>
      <c r="J93" s="3"/>
      <c r="K93" s="3"/>
    </row>
    <row r="94" spans="1:11" ht="15.75" customHeight="1" x14ac:dyDescent="0.35">
      <c r="A94" s="3" t="s">
        <v>94</v>
      </c>
      <c r="B94" s="3">
        <v>3063.2000000000003</v>
      </c>
      <c r="C94" s="4">
        <v>2503</v>
      </c>
      <c r="D94" s="27">
        <v>26.975269361747685</v>
      </c>
      <c r="E94" s="3">
        <v>4192</v>
      </c>
      <c r="F94" s="3">
        <v>26</v>
      </c>
      <c r="G94" s="3"/>
      <c r="H94" s="3"/>
      <c r="I94" s="3"/>
      <c r="J94" s="3"/>
      <c r="K94" s="3"/>
    </row>
    <row r="95" spans="1:11" ht="15.75" customHeight="1" x14ac:dyDescent="0.35">
      <c r="A95" s="3" t="s">
        <v>95</v>
      </c>
      <c r="B95" s="3">
        <v>2435</v>
      </c>
      <c r="C95" s="4">
        <v>2355</v>
      </c>
      <c r="D95" s="27">
        <v>26.975269361747685</v>
      </c>
      <c r="E95" s="3">
        <v>4800</v>
      </c>
      <c r="F95" s="3">
        <v>26</v>
      </c>
      <c r="G95" s="3"/>
      <c r="H95" s="3"/>
      <c r="I95" s="3"/>
      <c r="J95" s="3"/>
      <c r="K95" s="3"/>
    </row>
    <row r="96" spans="1:11" ht="15.75" customHeight="1" x14ac:dyDescent="0.35">
      <c r="A96" s="3" t="s">
        <v>96</v>
      </c>
      <c r="B96" s="3">
        <v>2333.75</v>
      </c>
      <c r="C96" s="4">
        <v>2216</v>
      </c>
      <c r="D96" s="27">
        <v>26.975269361747685</v>
      </c>
      <c r="E96" s="3">
        <v>3615</v>
      </c>
      <c r="F96" s="3">
        <v>26</v>
      </c>
      <c r="G96" s="3"/>
      <c r="H96" s="3"/>
      <c r="I96" s="3"/>
      <c r="J96" s="3"/>
      <c r="K96" s="3"/>
    </row>
    <row r="97" spans="1:11" ht="15.75" customHeight="1" x14ac:dyDescent="0.35">
      <c r="A97" s="3" t="s">
        <v>97</v>
      </c>
      <c r="B97" s="3">
        <v>3193</v>
      </c>
      <c r="C97" s="4">
        <v>1968</v>
      </c>
      <c r="D97" s="27">
        <v>26.975269361747685</v>
      </c>
      <c r="E97" s="3">
        <v>900</v>
      </c>
      <c r="F97" s="3">
        <v>26</v>
      </c>
      <c r="G97" s="3"/>
      <c r="H97" s="3"/>
      <c r="I97" s="3"/>
      <c r="J97" s="3"/>
      <c r="K97" s="3"/>
    </row>
    <row r="98" spans="1:11" ht="15.75" customHeight="1" x14ac:dyDescent="0.35">
      <c r="A98" s="3" t="s">
        <v>98</v>
      </c>
      <c r="B98" s="3">
        <v>3275</v>
      </c>
      <c r="C98" s="4">
        <v>2297</v>
      </c>
      <c r="D98" s="27">
        <v>26.975269361747685</v>
      </c>
      <c r="E98" s="3">
        <v>950</v>
      </c>
      <c r="F98" s="3">
        <v>26</v>
      </c>
      <c r="G98" s="3"/>
      <c r="H98" s="3"/>
      <c r="I98" s="3"/>
      <c r="J98" s="3"/>
      <c r="K98" s="3"/>
    </row>
    <row r="99" spans="1:11" ht="15.75" customHeight="1" x14ac:dyDescent="0.35">
      <c r="A99" s="3" t="s">
        <v>99</v>
      </c>
      <c r="B99" s="3">
        <v>212.5</v>
      </c>
      <c r="C99" s="4">
        <v>2616</v>
      </c>
      <c r="D99" s="27">
        <v>26.975269361747685</v>
      </c>
      <c r="E99" s="3">
        <v>150</v>
      </c>
      <c r="F99" s="3">
        <v>26</v>
      </c>
      <c r="G99" s="3"/>
      <c r="H99" s="3"/>
      <c r="I99" s="3"/>
      <c r="J99" s="3"/>
      <c r="K99" s="3"/>
    </row>
    <row r="100" spans="1:11" ht="15.75" customHeight="1" x14ac:dyDescent="0.35">
      <c r="A100" s="3" t="s">
        <v>100</v>
      </c>
      <c r="B100" s="3">
        <v>3540</v>
      </c>
      <c r="C100" s="4">
        <v>1419</v>
      </c>
      <c r="D100" s="27">
        <v>26.975269361747685</v>
      </c>
      <c r="E100" s="3">
        <v>4325</v>
      </c>
      <c r="F100" s="3">
        <v>26</v>
      </c>
      <c r="G100" s="3"/>
      <c r="H100" s="3"/>
      <c r="I100" s="3"/>
      <c r="J100" s="3"/>
      <c r="K100" s="3"/>
    </row>
    <row r="101" spans="1:11" ht="15.75" customHeight="1" x14ac:dyDescent="0.35">
      <c r="A101" s="3" t="s">
        <v>101</v>
      </c>
      <c r="B101" s="3">
        <v>10.5</v>
      </c>
      <c r="C101" s="4">
        <v>2355</v>
      </c>
      <c r="D101" s="27">
        <v>26.975269361747685</v>
      </c>
      <c r="E101" s="3">
        <v>1575</v>
      </c>
      <c r="F101" s="3">
        <v>26</v>
      </c>
      <c r="G101" s="3"/>
      <c r="H101" s="3"/>
      <c r="I101" s="3"/>
      <c r="J101" s="3"/>
      <c r="K101" s="3"/>
    </row>
    <row r="102" spans="1:11" ht="15.75" customHeight="1" x14ac:dyDescent="0.35">
      <c r="A102" s="3" t="s">
        <v>102</v>
      </c>
      <c r="B102" s="3">
        <v>2900</v>
      </c>
      <c r="C102" s="4">
        <v>2372</v>
      </c>
      <c r="D102" s="27">
        <v>26.975269361747685</v>
      </c>
      <c r="E102" s="3">
        <v>0</v>
      </c>
      <c r="F102" s="3">
        <v>26</v>
      </c>
      <c r="G102" s="3"/>
      <c r="H102" s="3"/>
      <c r="I102" s="3"/>
      <c r="J102" s="3"/>
      <c r="K102" s="3"/>
    </row>
    <row r="103" spans="1:11" ht="15.75" customHeight="1" x14ac:dyDescent="0.35">
      <c r="A103" s="3" t="s">
        <v>103</v>
      </c>
      <c r="B103" s="3">
        <v>750</v>
      </c>
      <c r="C103" s="4">
        <v>3482</v>
      </c>
      <c r="D103" s="27">
        <v>26.975269361747685</v>
      </c>
      <c r="E103" s="3">
        <v>0</v>
      </c>
      <c r="F103" s="3">
        <v>26</v>
      </c>
      <c r="G103" s="3"/>
      <c r="H103" s="3"/>
      <c r="I103" s="3"/>
      <c r="J103" s="3"/>
      <c r="K103" s="3"/>
    </row>
    <row r="104" spans="1:11" ht="15.75" customHeight="1" x14ac:dyDescent="0.35">
      <c r="A104" s="3" t="s">
        <v>104</v>
      </c>
      <c r="B104" s="3">
        <v>1375</v>
      </c>
      <c r="C104" s="4">
        <v>2555</v>
      </c>
      <c r="D104" s="27">
        <v>26.975269361747685</v>
      </c>
      <c r="E104" s="3">
        <v>625</v>
      </c>
      <c r="F104" s="3">
        <v>26</v>
      </c>
      <c r="G104" s="3"/>
      <c r="H104" s="3"/>
      <c r="I104" s="3"/>
      <c r="J104" s="3"/>
      <c r="K104" s="3"/>
    </row>
    <row r="105" spans="1:11" ht="15.75" customHeight="1" x14ac:dyDescent="0.35">
      <c r="A105" s="3" t="s">
        <v>105</v>
      </c>
      <c r="B105" s="3">
        <v>1012.5</v>
      </c>
      <c r="C105" s="4">
        <v>3665</v>
      </c>
      <c r="D105" s="27">
        <v>26.975269361747685</v>
      </c>
      <c r="E105" s="3">
        <v>1250</v>
      </c>
      <c r="F105" s="3">
        <v>26</v>
      </c>
      <c r="G105" s="3"/>
      <c r="H105" s="3"/>
      <c r="I105" s="3"/>
      <c r="J105" s="3"/>
      <c r="K105" s="3"/>
    </row>
    <row r="106" spans="1:11" ht="15.75" customHeight="1" x14ac:dyDescent="0.35">
      <c r="A106" s="3" t="s">
        <v>106</v>
      </c>
      <c r="B106" s="3">
        <v>1781.2</v>
      </c>
      <c r="C106" s="4">
        <v>1904</v>
      </c>
      <c r="D106" s="27">
        <v>26.975269361747685</v>
      </c>
      <c r="E106" s="3">
        <v>1389</v>
      </c>
      <c r="F106" s="3">
        <v>26</v>
      </c>
      <c r="G106" s="3"/>
      <c r="H106" s="3"/>
      <c r="I106" s="3"/>
      <c r="J106" s="3"/>
      <c r="K106" s="3"/>
    </row>
    <row r="107" spans="1:11" ht="15.75" customHeight="1" x14ac:dyDescent="0.35">
      <c r="A107" s="3" t="s">
        <v>107</v>
      </c>
      <c r="B107" s="3">
        <v>1543.75</v>
      </c>
      <c r="C107" s="4">
        <v>994</v>
      </c>
      <c r="D107" s="27">
        <v>26.975269361747685</v>
      </c>
      <c r="E107" s="3">
        <v>2375</v>
      </c>
      <c r="F107" s="3">
        <v>26</v>
      </c>
      <c r="G107" s="3"/>
      <c r="H107" s="3"/>
      <c r="I107" s="3"/>
      <c r="J107" s="3"/>
      <c r="K107" s="3"/>
    </row>
    <row r="108" spans="1:11" ht="15.75" customHeight="1" x14ac:dyDescent="0.35">
      <c r="A108" s="3" t="s">
        <v>108</v>
      </c>
      <c r="B108" s="3">
        <v>1955</v>
      </c>
      <c r="C108" s="4">
        <v>994</v>
      </c>
      <c r="D108" s="27">
        <v>26.975269361747685</v>
      </c>
      <c r="E108" s="3">
        <v>3500</v>
      </c>
      <c r="F108" s="3">
        <v>26</v>
      </c>
      <c r="G108" s="3"/>
      <c r="H108" s="3"/>
      <c r="I108" s="3"/>
      <c r="J108" s="3"/>
      <c r="K108" s="3"/>
    </row>
    <row r="109" spans="1:11" ht="15.75" customHeight="1" x14ac:dyDescent="0.35">
      <c r="A109" s="3" t="s">
        <v>109</v>
      </c>
      <c r="B109" s="3">
        <v>1530</v>
      </c>
      <c r="C109" s="4">
        <v>3489</v>
      </c>
      <c r="D109" s="27">
        <v>26.975269361747685</v>
      </c>
      <c r="E109" s="3">
        <v>400</v>
      </c>
      <c r="F109" s="3">
        <v>26</v>
      </c>
      <c r="G109" s="3"/>
      <c r="H109" s="3"/>
      <c r="I109" s="3"/>
      <c r="J109" s="3"/>
      <c r="K109" s="3"/>
    </row>
    <row r="110" spans="1:11" ht="15.75" customHeight="1" x14ac:dyDescent="0.35">
      <c r="A110" s="3" t="s">
        <v>110</v>
      </c>
      <c r="B110" s="3">
        <v>2024.42857142857</v>
      </c>
      <c r="C110" s="4">
        <v>6112</v>
      </c>
      <c r="D110" s="27">
        <v>26.975269361747685</v>
      </c>
      <c r="E110" s="3">
        <v>4681</v>
      </c>
      <c r="F110" s="3">
        <v>26</v>
      </c>
      <c r="G110" s="3"/>
      <c r="H110" s="3"/>
      <c r="I110" s="3"/>
      <c r="J110" s="3"/>
      <c r="K110" s="3"/>
    </row>
    <row r="111" spans="1:11" ht="15.75" customHeight="1" x14ac:dyDescent="0.35">
      <c r="A111" s="3" t="s">
        <v>111</v>
      </c>
      <c r="B111" s="3">
        <v>4691</v>
      </c>
      <c r="C111" s="4">
        <v>6112</v>
      </c>
      <c r="D111" s="27">
        <v>26.975269361747685</v>
      </c>
      <c r="E111" s="3">
        <v>6714</v>
      </c>
      <c r="F111" s="3">
        <v>26</v>
      </c>
      <c r="G111" s="3"/>
      <c r="H111" s="3"/>
      <c r="I111" s="3"/>
      <c r="J111" s="3"/>
      <c r="K111" s="3"/>
    </row>
    <row r="112" spans="1:11" ht="15.75" customHeight="1" x14ac:dyDescent="0.35">
      <c r="A112" s="3" t="s">
        <v>112</v>
      </c>
      <c r="B112" s="3">
        <v>2187</v>
      </c>
      <c r="C112" s="4">
        <v>2392</v>
      </c>
      <c r="D112" s="27">
        <v>26.975269361747685</v>
      </c>
      <c r="E112" s="3">
        <v>325</v>
      </c>
      <c r="F112" s="3">
        <v>26</v>
      </c>
      <c r="G112" s="3"/>
      <c r="H112" s="3"/>
      <c r="I112" s="3"/>
      <c r="J112" s="3"/>
      <c r="K112" s="3"/>
    </row>
    <row r="113" spans="1:11" ht="15.75" customHeight="1" x14ac:dyDescent="0.35">
      <c r="A113" s="3" t="s">
        <v>113</v>
      </c>
      <c r="B113" s="3">
        <v>1022.75</v>
      </c>
      <c r="C113" s="4">
        <v>2651</v>
      </c>
      <c r="D113" s="27">
        <v>26.975269361747685</v>
      </c>
      <c r="E113" s="3">
        <v>545</v>
      </c>
      <c r="F113" s="3">
        <v>26</v>
      </c>
      <c r="G113" s="3"/>
      <c r="H113" s="3"/>
      <c r="I113" s="3"/>
      <c r="J113" s="3"/>
      <c r="K113" s="3"/>
    </row>
    <row r="114" spans="1:11" ht="15.75" customHeight="1" x14ac:dyDescent="0.35">
      <c r="A114" s="3" t="s">
        <v>114</v>
      </c>
      <c r="B114" s="3">
        <v>1719.3333333333301</v>
      </c>
      <c r="C114" s="4">
        <v>4343</v>
      </c>
      <c r="D114" s="27">
        <v>26.975269361747685</v>
      </c>
      <c r="E114" s="3">
        <v>380</v>
      </c>
      <c r="F114" s="3">
        <v>26</v>
      </c>
      <c r="G114" s="3"/>
      <c r="H114" s="3"/>
      <c r="I114" s="3"/>
      <c r="J114" s="3"/>
      <c r="K114" s="3"/>
    </row>
    <row r="115" spans="1:11" ht="15.75" customHeight="1" x14ac:dyDescent="0.35">
      <c r="A115" s="3" t="s">
        <v>115</v>
      </c>
      <c r="B115" s="3">
        <v>1188.8</v>
      </c>
      <c r="C115" s="4">
        <v>2970</v>
      </c>
      <c r="D115" s="27">
        <v>26.975269361747685</v>
      </c>
      <c r="E115" s="3">
        <v>734</v>
      </c>
      <c r="F115" s="3">
        <v>26</v>
      </c>
      <c r="G115" s="3"/>
      <c r="H115" s="3"/>
      <c r="I115" s="3"/>
      <c r="J115" s="3"/>
      <c r="K115" s="3"/>
    </row>
    <row r="116" spans="1:11" ht="15.75" customHeight="1" x14ac:dyDescent="0.35">
      <c r="A116" s="3" t="s">
        <v>116</v>
      </c>
      <c r="B116" s="3">
        <v>2331.1428571428601</v>
      </c>
      <c r="C116" s="4">
        <v>2970</v>
      </c>
      <c r="D116" s="27">
        <v>26.975269361747685</v>
      </c>
      <c r="E116" s="3">
        <v>1116</v>
      </c>
      <c r="F116" s="3">
        <v>26</v>
      </c>
      <c r="G116" s="3"/>
      <c r="H116" s="3"/>
      <c r="I116" s="3"/>
      <c r="J116" s="3"/>
      <c r="K116" s="3"/>
    </row>
    <row r="117" spans="1:11" ht="15.75" customHeight="1" x14ac:dyDescent="0.35">
      <c r="A117" s="3" t="s">
        <v>117</v>
      </c>
      <c r="B117" s="3">
        <v>1230</v>
      </c>
      <c r="C117" s="4">
        <v>2607</v>
      </c>
      <c r="D117" s="27">
        <v>26.975269361747685</v>
      </c>
      <c r="E117" s="3">
        <v>70</v>
      </c>
      <c r="F117" s="3">
        <v>26</v>
      </c>
      <c r="G117" s="3"/>
      <c r="H117" s="3"/>
      <c r="I117" s="3"/>
      <c r="J117" s="3"/>
      <c r="K117" s="3"/>
    </row>
    <row r="118" spans="1:11" ht="15.75" customHeight="1" x14ac:dyDescent="0.35">
      <c r="A118" s="3" t="s">
        <v>118</v>
      </c>
      <c r="B118" s="3">
        <v>1367.8571428571402</v>
      </c>
      <c r="C118" s="4">
        <v>1928</v>
      </c>
      <c r="D118" s="27">
        <v>26.975269361747685</v>
      </c>
      <c r="E118" s="3">
        <v>1925</v>
      </c>
      <c r="F118" s="3">
        <v>26</v>
      </c>
      <c r="G118" s="3"/>
      <c r="H118" s="3"/>
      <c r="I118" s="3"/>
      <c r="J118" s="3"/>
      <c r="K118" s="3"/>
    </row>
    <row r="119" spans="1:11" ht="15.75" customHeight="1" x14ac:dyDescent="0.35">
      <c r="A119" s="3" t="s">
        <v>119</v>
      </c>
      <c r="B119" s="3">
        <v>10579.166666666701</v>
      </c>
      <c r="C119" s="4">
        <v>2129</v>
      </c>
      <c r="D119" s="27">
        <v>26.975269361747685</v>
      </c>
      <c r="E119" s="3">
        <v>8825</v>
      </c>
      <c r="F119" s="3">
        <v>26</v>
      </c>
      <c r="G119" s="3"/>
      <c r="H119" s="3"/>
      <c r="I119" s="3"/>
      <c r="J119" s="3"/>
      <c r="K119" s="3"/>
    </row>
    <row r="120" spans="1:11" ht="15.75" customHeight="1" x14ac:dyDescent="0.35">
      <c r="A120" s="3" t="s">
        <v>120</v>
      </c>
      <c r="B120" s="3">
        <v>41642</v>
      </c>
      <c r="C120" s="4">
        <v>2177</v>
      </c>
      <c r="D120" s="27">
        <v>26.975269361747685</v>
      </c>
      <c r="E120" s="3">
        <v>4075</v>
      </c>
      <c r="F120" s="3">
        <v>26</v>
      </c>
      <c r="G120" s="3"/>
      <c r="H120" s="3"/>
      <c r="I120" s="3"/>
      <c r="J120" s="3"/>
      <c r="K120" s="3"/>
    </row>
    <row r="121" spans="1:11" ht="15.75" customHeight="1" x14ac:dyDescent="0.35">
      <c r="A121" s="3" t="s">
        <v>121</v>
      </c>
      <c r="B121" s="3">
        <v>6200.4545454545505</v>
      </c>
      <c r="C121" s="4">
        <v>2177</v>
      </c>
      <c r="D121" s="27">
        <v>26.975269361747685</v>
      </c>
      <c r="E121" s="3">
        <v>22295</v>
      </c>
      <c r="F121" s="3">
        <v>26</v>
      </c>
      <c r="G121" s="3"/>
      <c r="H121" s="3"/>
      <c r="I121" s="3"/>
      <c r="J121" s="3"/>
      <c r="K121" s="3"/>
    </row>
    <row r="122" spans="1:11" ht="15.75" customHeight="1" x14ac:dyDescent="0.35">
      <c r="A122" s="3" t="s">
        <v>122</v>
      </c>
      <c r="B122" s="3">
        <v>13311.666666666701</v>
      </c>
      <c r="C122" s="4">
        <v>2177</v>
      </c>
      <c r="D122" s="27">
        <v>26.975269361747685</v>
      </c>
      <c r="E122" s="3">
        <v>14750</v>
      </c>
      <c r="F122" s="3">
        <v>26</v>
      </c>
      <c r="G122" s="3"/>
      <c r="H122" s="3"/>
      <c r="I122" s="3"/>
      <c r="J122" s="3"/>
      <c r="K122" s="3"/>
    </row>
    <row r="123" spans="1:11" ht="15.75" customHeight="1" x14ac:dyDescent="0.35">
      <c r="A123" s="3" t="s">
        <v>123</v>
      </c>
      <c r="B123" s="3">
        <v>3706.25</v>
      </c>
      <c r="C123" s="4">
        <v>1948</v>
      </c>
      <c r="D123" s="27">
        <v>26.975269361747685</v>
      </c>
      <c r="E123" s="3">
        <v>8363</v>
      </c>
      <c r="F123" s="3">
        <v>26</v>
      </c>
      <c r="G123" s="3"/>
      <c r="H123" s="3"/>
      <c r="I123" s="3"/>
      <c r="J123" s="3"/>
      <c r="K123" s="3"/>
    </row>
    <row r="124" spans="1:11" ht="15.75" customHeight="1" x14ac:dyDescent="0.35">
      <c r="A124" s="3" t="s">
        <v>124</v>
      </c>
      <c r="B124" s="3">
        <v>4440</v>
      </c>
      <c r="C124" s="4">
        <v>1989</v>
      </c>
      <c r="D124" s="27">
        <v>26.975269361747685</v>
      </c>
      <c r="E124" s="3">
        <v>5575</v>
      </c>
      <c r="F124" s="3">
        <v>26</v>
      </c>
      <c r="G124" s="3"/>
      <c r="H124" s="3"/>
      <c r="I124" s="3"/>
      <c r="J124" s="3"/>
      <c r="K124" s="3"/>
    </row>
    <row r="125" spans="1:11" ht="15.75" customHeight="1" x14ac:dyDescent="0.35">
      <c r="A125" s="3" t="s">
        <v>125</v>
      </c>
      <c r="B125" s="3">
        <v>12127.083333333299</v>
      </c>
      <c r="C125" s="4">
        <v>2181</v>
      </c>
      <c r="D125" s="27">
        <v>26.975269361747685</v>
      </c>
      <c r="E125" s="3">
        <v>19425</v>
      </c>
      <c r="F125" s="3">
        <v>26</v>
      </c>
      <c r="G125" s="3"/>
      <c r="H125" s="3"/>
      <c r="I125" s="3"/>
      <c r="J125" s="3"/>
      <c r="K125" s="3"/>
    </row>
    <row r="126" spans="1:11" ht="15.75" customHeight="1" x14ac:dyDescent="0.35">
      <c r="A126" s="3" t="s">
        <v>126</v>
      </c>
      <c r="B126" s="3">
        <v>26353.200000000001</v>
      </c>
      <c r="C126" s="4">
        <v>2208</v>
      </c>
      <c r="D126" s="27">
        <v>26.975269361747685</v>
      </c>
      <c r="E126" s="3">
        <v>188220</v>
      </c>
      <c r="F126" s="3">
        <v>26</v>
      </c>
      <c r="G126" s="3"/>
      <c r="H126" s="3"/>
      <c r="I126" s="3"/>
      <c r="J126" s="3"/>
      <c r="K126" s="3"/>
    </row>
    <row r="127" spans="1:11" ht="15.75" customHeight="1" x14ac:dyDescent="0.35">
      <c r="A127" s="3" t="s">
        <v>127</v>
      </c>
      <c r="B127" s="3">
        <v>3490.1538461538503</v>
      </c>
      <c r="C127" s="4">
        <v>2245</v>
      </c>
      <c r="D127" s="27">
        <v>26.975269361747685</v>
      </c>
      <c r="E127" s="3">
        <v>29059</v>
      </c>
      <c r="F127" s="3">
        <v>26</v>
      </c>
      <c r="G127" s="3"/>
      <c r="H127" s="3"/>
      <c r="I127" s="3"/>
      <c r="J127" s="3"/>
      <c r="K127" s="3"/>
    </row>
    <row r="128" spans="1:11" ht="15.75" customHeight="1" x14ac:dyDescent="0.35">
      <c r="A128" s="3" t="s">
        <v>128</v>
      </c>
      <c r="B128" s="3">
        <v>11051</v>
      </c>
      <c r="C128" s="4">
        <v>2355</v>
      </c>
      <c r="D128" s="27">
        <v>26.975269361747685</v>
      </c>
      <c r="E128" s="3">
        <v>43700</v>
      </c>
      <c r="F128" s="3">
        <v>26</v>
      </c>
      <c r="G128" s="3"/>
      <c r="H128" s="3"/>
      <c r="I128" s="3"/>
      <c r="J128" s="3"/>
      <c r="K128" s="3"/>
    </row>
    <row r="129" spans="1:11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</sheetData>
  <autoFilter ref="A1:C128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59"/>
  <sheetViews>
    <sheetView workbookViewId="0">
      <pane ySplit="1" topLeftCell="A131" activePane="bottomLeft" state="frozen"/>
      <selection pane="bottomLeft" activeCell="B73" sqref="B73"/>
    </sheetView>
  </sheetViews>
  <sheetFormatPr defaultColWidth="14.453125" defaultRowHeight="15" customHeight="1" x14ac:dyDescent="0.35"/>
  <cols>
    <col min="1" max="1" width="16" customWidth="1"/>
    <col min="2" max="2" width="11.7265625" customWidth="1"/>
    <col min="3" max="3" width="15.54296875" customWidth="1"/>
    <col min="4" max="12" width="8.7265625" customWidth="1"/>
  </cols>
  <sheetData>
    <row r="1" spans="1:12" ht="14.5" x14ac:dyDescent="0.35">
      <c r="A1" s="24" t="s">
        <v>178</v>
      </c>
      <c r="B1" s="25" t="s">
        <v>179</v>
      </c>
      <c r="C1" s="25" t="s">
        <v>180</v>
      </c>
      <c r="D1" s="26" t="s">
        <v>171</v>
      </c>
      <c r="E1" s="26" t="s">
        <v>181</v>
      </c>
      <c r="F1" s="26" t="s">
        <v>182</v>
      </c>
      <c r="G1" s="5"/>
      <c r="H1" s="5"/>
      <c r="I1" s="5"/>
      <c r="J1" s="5"/>
      <c r="K1" s="5"/>
      <c r="L1" s="5"/>
    </row>
    <row r="2" spans="1:12" ht="15.5" x14ac:dyDescent="0.35">
      <c r="A2" s="3" t="s">
        <v>1</v>
      </c>
      <c r="B2" s="7">
        <v>2410</v>
      </c>
      <c r="C2" s="4">
        <v>2129</v>
      </c>
      <c r="D2" s="15">
        <v>24.693116227222184</v>
      </c>
      <c r="E2" s="5">
        <v>0</v>
      </c>
      <c r="F2" s="5">
        <v>23</v>
      </c>
      <c r="G2" s="5"/>
      <c r="H2" s="5"/>
      <c r="I2" s="5"/>
      <c r="J2" s="5"/>
      <c r="K2" s="5"/>
      <c r="L2" s="5"/>
    </row>
    <row r="3" spans="1:12" ht="15.5" x14ac:dyDescent="0.35">
      <c r="A3" s="3" t="s">
        <v>3</v>
      </c>
      <c r="B3" s="7">
        <v>3035.4285714285702</v>
      </c>
      <c r="C3" s="4">
        <v>2129</v>
      </c>
      <c r="D3" s="15">
        <v>24.693116227222184</v>
      </c>
      <c r="E3" s="5">
        <v>20954</v>
      </c>
      <c r="F3" s="5">
        <v>23</v>
      </c>
      <c r="G3" s="5"/>
      <c r="H3" s="5"/>
      <c r="I3" s="5"/>
      <c r="J3" s="5"/>
      <c r="K3" s="5"/>
      <c r="L3" s="5"/>
    </row>
    <row r="4" spans="1:12" ht="15.5" x14ac:dyDescent="0.35">
      <c r="A4" s="3" t="s">
        <v>4</v>
      </c>
      <c r="B4" s="7">
        <v>1575</v>
      </c>
      <c r="C4" s="4">
        <v>2131</v>
      </c>
      <c r="D4" s="15">
        <v>24.693116227222184</v>
      </c>
      <c r="E4" s="5">
        <v>100</v>
      </c>
      <c r="F4" s="5">
        <v>23</v>
      </c>
      <c r="G4" s="5"/>
      <c r="H4" s="5"/>
      <c r="I4" s="5"/>
      <c r="J4" s="5"/>
      <c r="K4" s="5"/>
      <c r="L4" s="5"/>
    </row>
    <row r="5" spans="1:12" ht="15.5" x14ac:dyDescent="0.35">
      <c r="A5" s="3" t="s">
        <v>5</v>
      </c>
      <c r="B5" s="7">
        <v>12243.857142857099</v>
      </c>
      <c r="C5" s="4">
        <v>2131</v>
      </c>
      <c r="D5" s="15">
        <v>24.693116227222184</v>
      </c>
      <c r="E5" s="5">
        <v>10307</v>
      </c>
      <c r="F5" s="5">
        <v>23</v>
      </c>
      <c r="G5" s="5"/>
      <c r="H5" s="5"/>
      <c r="I5" s="5"/>
      <c r="J5" s="5"/>
      <c r="K5" s="5"/>
      <c r="L5" s="5"/>
    </row>
    <row r="6" spans="1:12" ht="15.5" x14ac:dyDescent="0.35">
      <c r="A6" s="3" t="s">
        <v>6</v>
      </c>
      <c r="B6" s="7">
        <v>11644.090909090901</v>
      </c>
      <c r="C6" s="4">
        <v>2131</v>
      </c>
      <c r="D6" s="15">
        <v>24.693116227222184</v>
      </c>
      <c r="E6" s="5">
        <v>15000</v>
      </c>
      <c r="F6" s="5">
        <v>23</v>
      </c>
      <c r="G6" s="5"/>
      <c r="H6" s="5"/>
      <c r="I6" s="5"/>
      <c r="J6" s="5"/>
      <c r="K6" s="5"/>
      <c r="L6" s="5"/>
    </row>
    <row r="7" spans="1:12" ht="15.5" x14ac:dyDescent="0.35">
      <c r="A7" s="3" t="s">
        <v>7</v>
      </c>
      <c r="B7" s="7">
        <v>4854.2</v>
      </c>
      <c r="C7" s="4">
        <v>2131</v>
      </c>
      <c r="D7" s="15">
        <v>24.693116227222184</v>
      </c>
      <c r="E7" s="5">
        <v>937</v>
      </c>
      <c r="F7" s="5">
        <v>23</v>
      </c>
      <c r="G7" s="5"/>
      <c r="H7" s="5"/>
      <c r="I7" s="5"/>
      <c r="J7" s="5"/>
      <c r="K7" s="5"/>
      <c r="L7" s="5"/>
    </row>
    <row r="8" spans="1:12" ht="15.5" x14ac:dyDescent="0.35">
      <c r="A8" s="3" t="s">
        <v>8</v>
      </c>
      <c r="B8" s="7">
        <v>39410.454545454508</v>
      </c>
      <c r="C8" s="4">
        <v>1694</v>
      </c>
      <c r="D8" s="15">
        <v>24.693116227222184</v>
      </c>
      <c r="E8" s="5">
        <v>363770</v>
      </c>
      <c r="F8" s="5">
        <v>23</v>
      </c>
      <c r="G8" s="5"/>
      <c r="H8" s="5"/>
      <c r="I8" s="5"/>
      <c r="J8" s="5"/>
      <c r="K8" s="5"/>
      <c r="L8" s="5"/>
    </row>
    <row r="9" spans="1:12" ht="15.5" x14ac:dyDescent="0.35">
      <c r="A9" s="3" t="s">
        <v>9</v>
      </c>
      <c r="B9" s="7">
        <v>2259.5</v>
      </c>
      <c r="C9" s="4">
        <v>1694</v>
      </c>
      <c r="D9" s="15">
        <v>24.693116227222184</v>
      </c>
      <c r="E9" s="5">
        <v>7056</v>
      </c>
      <c r="F9" s="5">
        <v>23</v>
      </c>
      <c r="G9" s="5"/>
      <c r="H9" s="5"/>
      <c r="I9" s="5"/>
      <c r="J9" s="5"/>
      <c r="K9" s="5"/>
      <c r="L9" s="5"/>
    </row>
    <row r="10" spans="1:12" ht="15.5" x14ac:dyDescent="0.35">
      <c r="A10" s="3" t="s">
        <v>10</v>
      </c>
      <c r="B10" s="7">
        <v>56168.181818181802</v>
      </c>
      <c r="C10" s="4">
        <v>2846</v>
      </c>
      <c r="D10" s="15">
        <v>24.693116227222184</v>
      </c>
      <c r="E10" s="5">
        <v>270855</v>
      </c>
      <c r="F10" s="5">
        <v>23</v>
      </c>
      <c r="G10" s="5"/>
      <c r="H10" s="5"/>
      <c r="I10" s="5"/>
      <c r="J10" s="5"/>
      <c r="K10" s="5"/>
      <c r="L10" s="5"/>
    </row>
    <row r="11" spans="1:12" ht="15.5" x14ac:dyDescent="0.35">
      <c r="A11" s="3" t="s">
        <v>11</v>
      </c>
      <c r="B11" s="7">
        <v>1525</v>
      </c>
      <c r="C11" s="4">
        <v>2129</v>
      </c>
      <c r="D11" s="15">
        <v>24.693116227222184</v>
      </c>
      <c r="E11" s="5">
        <v>4750</v>
      </c>
      <c r="F11" s="5">
        <v>23</v>
      </c>
      <c r="G11" s="5"/>
      <c r="H11" s="5"/>
      <c r="I11" s="5"/>
      <c r="J11" s="5"/>
      <c r="K11" s="5"/>
      <c r="L11" s="5"/>
    </row>
    <row r="12" spans="1:12" ht="15.75" customHeight="1" x14ac:dyDescent="0.35">
      <c r="A12" s="3" t="s">
        <v>12</v>
      </c>
      <c r="B12" s="7">
        <v>23900.65</v>
      </c>
      <c r="C12" s="4">
        <v>2263</v>
      </c>
      <c r="D12" s="15">
        <v>24.693116227222184</v>
      </c>
      <c r="E12" s="5">
        <v>51020</v>
      </c>
      <c r="F12" s="5">
        <v>23</v>
      </c>
      <c r="G12" s="5"/>
      <c r="H12" s="5"/>
      <c r="I12" s="5"/>
      <c r="J12" s="5"/>
      <c r="K12" s="5"/>
      <c r="L12" s="5"/>
    </row>
    <row r="13" spans="1:12" ht="15.75" customHeight="1" x14ac:dyDescent="0.35">
      <c r="A13" s="3" t="s">
        <v>13</v>
      </c>
      <c r="B13" s="7">
        <v>1300</v>
      </c>
      <c r="C13" s="4">
        <v>2732</v>
      </c>
      <c r="D13" s="15">
        <v>24.693116227222184</v>
      </c>
      <c r="E13" s="5">
        <v>2000</v>
      </c>
      <c r="F13" s="5">
        <v>23</v>
      </c>
      <c r="G13" s="5"/>
      <c r="H13" s="5"/>
      <c r="I13" s="5"/>
      <c r="J13" s="5"/>
      <c r="K13" s="5"/>
      <c r="L13" s="5"/>
    </row>
    <row r="14" spans="1:12" ht="15.75" customHeight="1" x14ac:dyDescent="0.35">
      <c r="A14" s="3" t="s">
        <v>14</v>
      </c>
      <c r="B14" s="7">
        <v>10234</v>
      </c>
      <c r="C14" s="4">
        <v>2962</v>
      </c>
      <c r="D14" s="15">
        <v>24.693116227222184</v>
      </c>
      <c r="E14" s="5">
        <v>19451</v>
      </c>
      <c r="F14" s="5">
        <v>23</v>
      </c>
      <c r="G14" s="5"/>
      <c r="H14" s="5"/>
      <c r="I14" s="5"/>
      <c r="J14" s="5"/>
      <c r="K14" s="5"/>
      <c r="L14" s="5"/>
    </row>
    <row r="15" spans="1:12" ht="15.75" customHeight="1" x14ac:dyDescent="0.35">
      <c r="A15" s="3" t="s">
        <v>15</v>
      </c>
      <c r="B15" s="7">
        <v>124</v>
      </c>
      <c r="C15" s="4">
        <v>2263</v>
      </c>
      <c r="D15" s="15">
        <v>24.693116227222184</v>
      </c>
      <c r="E15" s="5">
        <v>0</v>
      </c>
      <c r="F15" s="5">
        <v>23</v>
      </c>
      <c r="G15" s="5"/>
      <c r="H15" s="5"/>
      <c r="I15" s="5"/>
      <c r="J15" s="5"/>
      <c r="K15" s="5"/>
      <c r="L15" s="5"/>
    </row>
    <row r="16" spans="1:12" ht="15.75" customHeight="1" x14ac:dyDescent="0.35">
      <c r="A16" s="3" t="s">
        <v>16</v>
      </c>
      <c r="B16" s="7">
        <v>770</v>
      </c>
      <c r="C16" s="4">
        <v>2263</v>
      </c>
      <c r="D16" s="15">
        <v>24.693116227222184</v>
      </c>
      <c r="E16" s="5">
        <v>0</v>
      </c>
      <c r="F16" s="5">
        <v>23</v>
      </c>
      <c r="G16" s="5"/>
      <c r="H16" s="5"/>
      <c r="I16" s="5"/>
      <c r="J16" s="5"/>
      <c r="K16" s="5"/>
      <c r="L16" s="5"/>
    </row>
    <row r="17" spans="1:12" ht="15.75" customHeight="1" x14ac:dyDescent="0.35">
      <c r="A17" s="3" t="s">
        <v>17</v>
      </c>
      <c r="B17" s="7">
        <v>10150</v>
      </c>
      <c r="C17" s="4">
        <v>2268</v>
      </c>
      <c r="D17" s="15">
        <v>24.693116227222184</v>
      </c>
      <c r="E17" s="5">
        <v>24275</v>
      </c>
      <c r="F17" s="5">
        <v>23</v>
      </c>
      <c r="G17" s="5"/>
      <c r="H17" s="5"/>
      <c r="I17" s="5"/>
      <c r="J17" s="5"/>
      <c r="K17" s="5"/>
      <c r="L17" s="5"/>
    </row>
    <row r="18" spans="1:12" ht="15.75" customHeight="1" x14ac:dyDescent="0.35">
      <c r="A18" s="3" t="s">
        <v>18</v>
      </c>
      <c r="B18" s="7">
        <v>6977.25</v>
      </c>
      <c r="C18" s="4">
        <v>1956</v>
      </c>
      <c r="D18" s="15">
        <v>24.693116227222184</v>
      </c>
      <c r="E18" s="5">
        <v>13450</v>
      </c>
      <c r="F18" s="5">
        <v>23</v>
      </c>
      <c r="G18" s="5"/>
      <c r="H18" s="5"/>
      <c r="I18" s="5"/>
      <c r="J18" s="5"/>
      <c r="K18" s="5"/>
      <c r="L18" s="5"/>
    </row>
    <row r="19" spans="1:12" ht="15.75" customHeight="1" x14ac:dyDescent="0.35">
      <c r="A19" s="3" t="s">
        <v>19</v>
      </c>
      <c r="B19" s="7">
        <v>2965</v>
      </c>
      <c r="C19" s="4">
        <v>2179</v>
      </c>
      <c r="D19" s="15">
        <v>24.693116227222184</v>
      </c>
      <c r="E19" s="5">
        <v>200</v>
      </c>
      <c r="F19" s="5">
        <v>23</v>
      </c>
      <c r="G19" s="5"/>
      <c r="H19" s="5"/>
      <c r="I19" s="5"/>
      <c r="J19" s="5"/>
      <c r="K19" s="5"/>
      <c r="L19" s="5"/>
    </row>
    <row r="20" spans="1:12" ht="15.75" customHeight="1" x14ac:dyDescent="0.35">
      <c r="A20" s="3" t="s">
        <v>20</v>
      </c>
      <c r="B20" s="7">
        <v>6758</v>
      </c>
      <c r="C20" s="4">
        <v>2179</v>
      </c>
      <c r="D20" s="15">
        <v>24.693116227222184</v>
      </c>
      <c r="E20" s="5">
        <v>3030</v>
      </c>
      <c r="F20" s="5">
        <v>23</v>
      </c>
      <c r="G20" s="5"/>
      <c r="H20" s="5"/>
      <c r="I20" s="5"/>
      <c r="J20" s="5"/>
      <c r="K20" s="5"/>
      <c r="L20" s="5"/>
    </row>
    <row r="21" spans="1:12" ht="15.75" customHeight="1" x14ac:dyDescent="0.35">
      <c r="A21" s="3" t="s">
        <v>21</v>
      </c>
      <c r="B21" s="7">
        <v>1495</v>
      </c>
      <c r="C21" s="4">
        <v>2179</v>
      </c>
      <c r="D21" s="15">
        <v>24.693116227222184</v>
      </c>
      <c r="E21" s="5">
        <v>0</v>
      </c>
      <c r="F21" s="5">
        <v>23</v>
      </c>
      <c r="G21" s="5"/>
      <c r="H21" s="5"/>
      <c r="I21" s="5"/>
      <c r="J21" s="5"/>
      <c r="K21" s="5"/>
      <c r="L21" s="5"/>
    </row>
    <row r="22" spans="1:12" ht="15.75" customHeight="1" x14ac:dyDescent="0.35">
      <c r="A22" s="3" t="s">
        <v>129</v>
      </c>
      <c r="B22" s="7">
        <v>725</v>
      </c>
      <c r="C22" s="4">
        <v>3145</v>
      </c>
      <c r="D22" s="15">
        <v>24.693116227222184</v>
      </c>
      <c r="E22" s="5">
        <v>700</v>
      </c>
      <c r="F22" s="5">
        <v>23</v>
      </c>
      <c r="G22" s="5"/>
      <c r="H22" s="5"/>
      <c r="I22" s="5"/>
      <c r="J22" s="5"/>
      <c r="K22" s="5"/>
      <c r="L22" s="5"/>
    </row>
    <row r="23" spans="1:12" ht="15.75" customHeight="1" x14ac:dyDescent="0.35">
      <c r="A23" s="3" t="s">
        <v>22</v>
      </c>
      <c r="B23" s="7">
        <v>39712.181818181802</v>
      </c>
      <c r="C23" s="4">
        <v>2179</v>
      </c>
      <c r="D23" s="15">
        <v>24.693116227222184</v>
      </c>
      <c r="E23" s="5">
        <v>31744</v>
      </c>
      <c r="F23" s="5">
        <v>23</v>
      </c>
      <c r="G23" s="5"/>
      <c r="H23" s="5"/>
      <c r="I23" s="5"/>
      <c r="J23" s="5"/>
      <c r="K23" s="5"/>
      <c r="L23" s="5"/>
    </row>
    <row r="24" spans="1:12" ht="15.75" customHeight="1" x14ac:dyDescent="0.35">
      <c r="A24" s="3" t="s">
        <v>23</v>
      </c>
      <c r="B24" s="7">
        <v>9759.25</v>
      </c>
      <c r="C24" s="4">
        <v>2268</v>
      </c>
      <c r="D24" s="15">
        <v>24.693116227222184</v>
      </c>
      <c r="E24" s="5">
        <v>16750</v>
      </c>
      <c r="F24" s="5">
        <v>23</v>
      </c>
      <c r="G24" s="5"/>
      <c r="H24" s="5"/>
      <c r="I24" s="5"/>
      <c r="J24" s="5"/>
      <c r="K24" s="5"/>
      <c r="L24" s="5"/>
    </row>
    <row r="25" spans="1:12" ht="15.75" customHeight="1" x14ac:dyDescent="0.35">
      <c r="A25" s="3" t="s">
        <v>130</v>
      </c>
      <c r="B25" s="7">
        <v>9375</v>
      </c>
      <c r="C25" s="4">
        <v>2268</v>
      </c>
      <c r="D25" s="15">
        <v>24.693116227222184</v>
      </c>
      <c r="E25" s="5">
        <v>11250</v>
      </c>
      <c r="F25" s="5">
        <v>23</v>
      </c>
      <c r="G25" s="5"/>
      <c r="H25" s="5"/>
      <c r="I25" s="5"/>
      <c r="J25" s="5"/>
      <c r="K25" s="5"/>
      <c r="L25" s="5"/>
    </row>
    <row r="26" spans="1:12" ht="15.75" customHeight="1" x14ac:dyDescent="0.35">
      <c r="A26" s="3" t="s">
        <v>24</v>
      </c>
      <c r="B26" s="7">
        <v>6858.5</v>
      </c>
      <c r="C26" s="4">
        <v>1956</v>
      </c>
      <c r="D26" s="15">
        <v>24.693116227222184</v>
      </c>
      <c r="E26" s="5">
        <v>1868</v>
      </c>
      <c r="F26" s="5">
        <v>23</v>
      </c>
      <c r="G26" s="5"/>
      <c r="H26" s="5"/>
      <c r="I26" s="5"/>
      <c r="J26" s="5"/>
      <c r="K26" s="5"/>
      <c r="L26" s="5"/>
    </row>
    <row r="27" spans="1:12" ht="15.75" customHeight="1" x14ac:dyDescent="0.35">
      <c r="A27" s="3" t="s">
        <v>25</v>
      </c>
      <c r="B27" s="7">
        <v>13093.333333333299</v>
      </c>
      <c r="C27" s="4">
        <v>2218</v>
      </c>
      <c r="D27" s="15">
        <v>24.693116227222184</v>
      </c>
      <c r="E27" s="5">
        <v>8675</v>
      </c>
      <c r="F27" s="5">
        <v>23</v>
      </c>
      <c r="G27" s="5"/>
      <c r="H27" s="5"/>
      <c r="I27" s="5"/>
      <c r="J27" s="5"/>
      <c r="K27" s="5"/>
      <c r="L27" s="5"/>
    </row>
    <row r="28" spans="1:12" ht="15.75" customHeight="1" x14ac:dyDescent="0.35">
      <c r="A28" s="3" t="s">
        <v>131</v>
      </c>
      <c r="B28" s="7">
        <v>2775</v>
      </c>
      <c r="C28" s="4">
        <v>2218</v>
      </c>
      <c r="D28" s="15">
        <v>24.693116227222184</v>
      </c>
      <c r="E28" s="5">
        <v>4725</v>
      </c>
      <c r="F28" s="5">
        <v>23</v>
      </c>
      <c r="G28" s="5"/>
      <c r="H28" s="5"/>
      <c r="I28" s="5"/>
      <c r="J28" s="5"/>
      <c r="K28" s="5"/>
      <c r="L28" s="5"/>
    </row>
    <row r="29" spans="1:12" ht="15.75" customHeight="1" x14ac:dyDescent="0.35">
      <c r="A29" s="3" t="s">
        <v>26</v>
      </c>
      <c r="B29" s="7">
        <v>3083.6666666666702</v>
      </c>
      <c r="C29" s="4">
        <v>2218</v>
      </c>
      <c r="D29" s="15">
        <v>24.693116227222184</v>
      </c>
      <c r="E29" s="5">
        <v>8600</v>
      </c>
      <c r="F29" s="5">
        <v>23</v>
      </c>
      <c r="G29" s="5"/>
      <c r="H29" s="5"/>
      <c r="I29" s="5"/>
      <c r="J29" s="5"/>
      <c r="K29" s="5"/>
      <c r="L29" s="5"/>
    </row>
    <row r="30" spans="1:12" ht="15.75" customHeight="1" x14ac:dyDescent="0.35">
      <c r="A30" s="3" t="s">
        <v>27</v>
      </c>
      <c r="B30" s="7">
        <v>150</v>
      </c>
      <c r="C30" s="4">
        <v>2245</v>
      </c>
      <c r="D30" s="15">
        <v>24.693116227222184</v>
      </c>
      <c r="E30" s="5">
        <v>0</v>
      </c>
      <c r="F30" s="5">
        <v>23</v>
      </c>
      <c r="G30" s="5"/>
      <c r="H30" s="5"/>
      <c r="I30" s="5"/>
      <c r="J30" s="5"/>
      <c r="K30" s="5"/>
      <c r="L30" s="5"/>
    </row>
    <row r="31" spans="1:12" ht="15.75" customHeight="1" x14ac:dyDescent="0.35">
      <c r="A31" s="3" t="s">
        <v>28</v>
      </c>
      <c r="B31" s="7">
        <v>3634</v>
      </c>
      <c r="C31" s="4">
        <v>2765</v>
      </c>
      <c r="D31" s="15">
        <v>24.693116227222184</v>
      </c>
      <c r="E31" s="5">
        <v>3750</v>
      </c>
      <c r="F31" s="5">
        <v>23</v>
      </c>
      <c r="G31" s="5"/>
      <c r="H31" s="5"/>
      <c r="I31" s="5"/>
      <c r="J31" s="5"/>
      <c r="K31" s="5"/>
      <c r="L31" s="5"/>
    </row>
    <row r="32" spans="1:12" ht="15.75" customHeight="1" x14ac:dyDescent="0.35">
      <c r="A32" s="3" t="s">
        <v>29</v>
      </c>
      <c r="B32" s="7">
        <v>36690.375</v>
      </c>
      <c r="C32" s="4">
        <v>4592</v>
      </c>
      <c r="D32" s="15">
        <v>24.693116227222184</v>
      </c>
      <c r="E32" s="5">
        <v>21179</v>
      </c>
      <c r="F32" s="5">
        <v>23</v>
      </c>
      <c r="G32" s="5"/>
      <c r="H32" s="5"/>
      <c r="I32" s="5"/>
      <c r="J32" s="5"/>
      <c r="K32" s="5"/>
      <c r="L32" s="5"/>
    </row>
    <row r="33" spans="1:12" ht="15.75" customHeight="1" x14ac:dyDescent="0.35">
      <c r="A33" s="3" t="s">
        <v>30</v>
      </c>
      <c r="B33" s="7">
        <v>23207.75</v>
      </c>
      <c r="C33" s="4">
        <v>2297</v>
      </c>
      <c r="D33" s="15">
        <v>24.693116227222184</v>
      </c>
      <c r="E33" s="5">
        <v>37550</v>
      </c>
      <c r="F33" s="5">
        <v>23</v>
      </c>
      <c r="G33" s="5"/>
      <c r="H33" s="5"/>
      <c r="I33" s="5"/>
      <c r="J33" s="5"/>
      <c r="K33" s="5"/>
      <c r="L33" s="5"/>
    </row>
    <row r="34" spans="1:12" ht="15.75" customHeight="1" x14ac:dyDescent="0.35">
      <c r="A34" s="3" t="s">
        <v>31</v>
      </c>
      <c r="B34" s="7">
        <v>1025</v>
      </c>
      <c r="C34" s="4">
        <v>2616</v>
      </c>
      <c r="D34" s="15">
        <v>24.693116227222184</v>
      </c>
      <c r="E34" s="5">
        <v>975</v>
      </c>
      <c r="F34" s="5">
        <v>23</v>
      </c>
      <c r="G34" s="5"/>
      <c r="H34" s="5"/>
      <c r="I34" s="5"/>
      <c r="J34" s="5"/>
      <c r="K34" s="5"/>
      <c r="L34" s="5"/>
    </row>
    <row r="35" spans="1:12" ht="15.75" customHeight="1" x14ac:dyDescent="0.35">
      <c r="A35" s="3" t="s">
        <v>33</v>
      </c>
      <c r="B35" s="7">
        <v>17975</v>
      </c>
      <c r="C35" s="4">
        <v>1968</v>
      </c>
      <c r="D35" s="15">
        <v>24.693116227222184</v>
      </c>
      <c r="E35" s="5">
        <v>67500</v>
      </c>
      <c r="F35" s="5">
        <v>23</v>
      </c>
      <c r="G35" s="5"/>
      <c r="H35" s="5"/>
      <c r="I35" s="5"/>
      <c r="J35" s="5"/>
      <c r="K35" s="5"/>
      <c r="L35" s="5"/>
    </row>
    <row r="36" spans="1:12" ht="15.75" customHeight="1" x14ac:dyDescent="0.35">
      <c r="A36" s="3" t="s">
        <v>34</v>
      </c>
      <c r="B36" s="7">
        <v>6420</v>
      </c>
      <c r="C36" s="4">
        <v>2503</v>
      </c>
      <c r="D36" s="15">
        <v>24.693116227222184</v>
      </c>
      <c r="E36" s="5">
        <v>0</v>
      </c>
      <c r="F36" s="5">
        <v>23</v>
      </c>
      <c r="G36" s="5"/>
      <c r="H36" s="5"/>
      <c r="I36" s="5"/>
      <c r="J36" s="5"/>
      <c r="K36" s="5"/>
      <c r="L36" s="5"/>
    </row>
    <row r="37" spans="1:12" ht="15.75" customHeight="1" x14ac:dyDescent="0.35">
      <c r="A37" s="3" t="s">
        <v>35</v>
      </c>
      <c r="B37" s="7">
        <v>33757.727272727301</v>
      </c>
      <c r="C37" s="4">
        <v>2503</v>
      </c>
      <c r="D37" s="15">
        <v>24.693116227222184</v>
      </c>
      <c r="E37" s="5">
        <v>168780</v>
      </c>
      <c r="F37" s="5">
        <v>23</v>
      </c>
      <c r="G37" s="5"/>
      <c r="H37" s="5"/>
      <c r="I37" s="5"/>
      <c r="J37" s="5"/>
      <c r="K37" s="5"/>
      <c r="L37" s="5"/>
    </row>
    <row r="38" spans="1:12" ht="15.75" customHeight="1" x14ac:dyDescent="0.35">
      <c r="A38" s="3" t="s">
        <v>36</v>
      </c>
      <c r="B38" s="7">
        <v>3940.625</v>
      </c>
      <c r="C38" s="4">
        <v>2103</v>
      </c>
      <c r="D38" s="15">
        <v>24.693116227222184</v>
      </c>
      <c r="E38" s="5">
        <v>9550</v>
      </c>
      <c r="F38" s="5">
        <v>23</v>
      </c>
      <c r="G38" s="5"/>
      <c r="H38" s="5"/>
      <c r="I38" s="5"/>
      <c r="J38" s="5"/>
      <c r="K38" s="5"/>
      <c r="L38" s="5"/>
    </row>
    <row r="39" spans="1:12" ht="15.75" customHeight="1" x14ac:dyDescent="0.35">
      <c r="A39" s="3" t="s">
        <v>37</v>
      </c>
      <c r="B39" s="7">
        <v>14291.5</v>
      </c>
      <c r="C39" s="4">
        <v>2802</v>
      </c>
      <c r="D39" s="15">
        <v>24.693116227222184</v>
      </c>
      <c r="E39" s="5">
        <v>10000</v>
      </c>
      <c r="F39" s="5">
        <v>23</v>
      </c>
      <c r="G39" s="5"/>
      <c r="H39" s="5"/>
      <c r="I39" s="5"/>
      <c r="J39" s="5"/>
      <c r="K39" s="5"/>
      <c r="L39" s="5"/>
    </row>
    <row r="40" spans="1:12" ht="15.75" customHeight="1" x14ac:dyDescent="0.35">
      <c r="A40" s="3" t="s">
        <v>38</v>
      </c>
      <c r="B40" s="7">
        <v>25687.5</v>
      </c>
      <c r="C40" s="4">
        <v>2126</v>
      </c>
      <c r="D40" s="15">
        <v>24.693116227222184</v>
      </c>
      <c r="E40" s="5">
        <v>86250</v>
      </c>
      <c r="F40" s="5">
        <v>23</v>
      </c>
      <c r="G40" s="5"/>
      <c r="H40" s="5"/>
      <c r="I40" s="5"/>
      <c r="J40" s="5"/>
      <c r="K40" s="5"/>
      <c r="L40" s="5"/>
    </row>
    <row r="41" spans="1:12" ht="15.75" customHeight="1" x14ac:dyDescent="0.35">
      <c r="A41" s="3" t="s">
        <v>39</v>
      </c>
      <c r="B41" s="7">
        <v>2773.1428571428601</v>
      </c>
      <c r="C41" s="4">
        <v>2514</v>
      </c>
      <c r="D41" s="15">
        <v>24.693116227222184</v>
      </c>
      <c r="E41" s="5">
        <v>14164</v>
      </c>
      <c r="F41" s="5">
        <v>23</v>
      </c>
      <c r="G41" s="5"/>
      <c r="H41" s="5"/>
      <c r="I41" s="5"/>
      <c r="J41" s="5"/>
      <c r="K41" s="5"/>
      <c r="L41" s="5"/>
    </row>
    <row r="42" spans="1:12" ht="15.75" customHeight="1" x14ac:dyDescent="0.35">
      <c r="A42" s="3" t="s">
        <v>40</v>
      </c>
      <c r="B42" s="7">
        <v>10520.625</v>
      </c>
      <c r="C42" s="4">
        <v>1956</v>
      </c>
      <c r="D42" s="15">
        <v>24.693116227222184</v>
      </c>
      <c r="E42" s="5">
        <v>25395</v>
      </c>
      <c r="F42" s="5">
        <v>23</v>
      </c>
      <c r="G42" s="5"/>
      <c r="H42" s="5"/>
      <c r="I42" s="5"/>
      <c r="J42" s="5"/>
      <c r="K42" s="5"/>
      <c r="L42" s="5"/>
    </row>
    <row r="43" spans="1:12" ht="15.75" customHeight="1" x14ac:dyDescent="0.35">
      <c r="A43" s="3" t="s">
        <v>41</v>
      </c>
      <c r="B43" s="7">
        <v>45918.8947368421</v>
      </c>
      <c r="C43" s="4">
        <v>3391</v>
      </c>
      <c r="D43" s="15">
        <v>24.693116227222184</v>
      </c>
      <c r="E43" s="5">
        <v>36500</v>
      </c>
      <c r="F43" s="5">
        <v>23</v>
      </c>
      <c r="G43" s="5"/>
      <c r="H43" s="5"/>
      <c r="I43" s="5"/>
      <c r="J43" s="5"/>
      <c r="K43" s="5"/>
      <c r="L43" s="5"/>
    </row>
    <row r="44" spans="1:12" ht="15.75" customHeight="1" x14ac:dyDescent="0.35">
      <c r="A44" s="3" t="s">
        <v>42</v>
      </c>
      <c r="B44" s="7">
        <v>7075</v>
      </c>
      <c r="C44" s="4">
        <v>3549</v>
      </c>
      <c r="D44" s="15">
        <v>24.693116227222184</v>
      </c>
      <c r="E44" s="5">
        <v>20475</v>
      </c>
      <c r="F44" s="5">
        <v>23</v>
      </c>
      <c r="G44" s="5"/>
      <c r="H44" s="5"/>
      <c r="I44" s="5"/>
      <c r="J44" s="5"/>
      <c r="K44" s="5"/>
      <c r="L44" s="5"/>
    </row>
    <row r="45" spans="1:12" ht="15.75" customHeight="1" x14ac:dyDescent="0.35">
      <c r="A45" s="3" t="s">
        <v>43</v>
      </c>
      <c r="B45" s="7">
        <v>21259.933333333302</v>
      </c>
      <c r="C45" s="4">
        <v>2129</v>
      </c>
      <c r="D45" s="15">
        <v>24.693116227222184</v>
      </c>
      <c r="E45" s="5">
        <v>46033</v>
      </c>
      <c r="F45" s="5">
        <v>23</v>
      </c>
      <c r="G45" s="5"/>
      <c r="H45" s="5"/>
      <c r="I45" s="5"/>
      <c r="J45" s="5"/>
      <c r="K45" s="5"/>
      <c r="L45" s="5"/>
    </row>
    <row r="46" spans="1:12" ht="15.75" customHeight="1" x14ac:dyDescent="0.35">
      <c r="A46" s="3" t="s">
        <v>44</v>
      </c>
      <c r="B46" s="7">
        <v>5033.5555555555602</v>
      </c>
      <c r="C46" s="4">
        <v>2129</v>
      </c>
      <c r="D46" s="15">
        <v>24.693116227222184</v>
      </c>
      <c r="E46" s="5">
        <v>20117</v>
      </c>
      <c r="F46" s="5">
        <v>23</v>
      </c>
      <c r="G46" s="5"/>
      <c r="H46" s="5"/>
      <c r="I46" s="5"/>
      <c r="J46" s="5"/>
      <c r="K46" s="5"/>
      <c r="L46" s="5"/>
    </row>
    <row r="47" spans="1:12" ht="15.75" customHeight="1" x14ac:dyDescent="0.35">
      <c r="A47" s="3" t="s">
        <v>45</v>
      </c>
      <c r="B47" s="7">
        <v>1614</v>
      </c>
      <c r="C47" s="4">
        <v>2131</v>
      </c>
      <c r="D47" s="15">
        <v>24.693116227222184</v>
      </c>
      <c r="E47" s="5">
        <v>613</v>
      </c>
      <c r="F47" s="5">
        <v>23</v>
      </c>
      <c r="G47" s="5"/>
      <c r="H47" s="5"/>
      <c r="I47" s="5"/>
      <c r="J47" s="5"/>
      <c r="K47" s="5"/>
      <c r="L47" s="5"/>
    </row>
    <row r="48" spans="1:12" ht="15.75" customHeight="1" x14ac:dyDescent="0.35">
      <c r="A48" s="3" t="s">
        <v>46</v>
      </c>
      <c r="B48" s="7">
        <v>6681.6</v>
      </c>
      <c r="C48" s="4">
        <v>2131</v>
      </c>
      <c r="D48" s="15">
        <v>24.693116227222184</v>
      </c>
      <c r="E48" s="5">
        <v>3748</v>
      </c>
      <c r="F48" s="5">
        <v>23</v>
      </c>
      <c r="G48" s="5"/>
      <c r="H48" s="5"/>
      <c r="I48" s="5"/>
      <c r="J48" s="5"/>
      <c r="K48" s="5"/>
      <c r="L48" s="5"/>
    </row>
    <row r="49" spans="1:12" ht="15.75" customHeight="1" x14ac:dyDescent="0.35">
      <c r="A49" s="3" t="s">
        <v>47</v>
      </c>
      <c r="B49" s="7">
        <v>23150.95</v>
      </c>
      <c r="C49" s="4">
        <v>2245</v>
      </c>
      <c r="D49" s="15">
        <v>24.693116227222184</v>
      </c>
      <c r="E49" s="5">
        <v>44020</v>
      </c>
      <c r="F49" s="5">
        <v>23</v>
      </c>
      <c r="G49" s="5"/>
      <c r="H49" s="5"/>
      <c r="I49" s="5"/>
      <c r="J49" s="5"/>
      <c r="K49" s="5"/>
      <c r="L49" s="5"/>
    </row>
    <row r="50" spans="1:12" ht="15.75" customHeight="1" x14ac:dyDescent="0.35">
      <c r="A50" s="3" t="s">
        <v>48</v>
      </c>
      <c r="B50" s="7">
        <v>13760.5</v>
      </c>
      <c r="C50" s="4">
        <v>2121</v>
      </c>
      <c r="D50" s="15">
        <v>24.693116227222184</v>
      </c>
      <c r="E50" s="5">
        <v>39780</v>
      </c>
      <c r="F50" s="5">
        <v>23</v>
      </c>
      <c r="G50" s="5"/>
      <c r="H50" s="5"/>
      <c r="I50" s="5"/>
      <c r="J50" s="5"/>
      <c r="K50" s="5"/>
      <c r="L50" s="5"/>
    </row>
    <row r="51" spans="1:12" ht="15.75" customHeight="1" x14ac:dyDescent="0.35">
      <c r="A51" s="3" t="s">
        <v>49</v>
      </c>
      <c r="B51" s="7">
        <v>1046.6666666666702</v>
      </c>
      <c r="C51" s="4">
        <v>2131</v>
      </c>
      <c r="D51" s="15">
        <v>24.693116227222184</v>
      </c>
      <c r="E51" s="5">
        <v>1890</v>
      </c>
      <c r="F51" s="5">
        <v>23</v>
      </c>
      <c r="G51" s="5"/>
      <c r="H51" s="5"/>
      <c r="I51" s="5"/>
      <c r="J51" s="5"/>
      <c r="K51" s="5"/>
      <c r="L51" s="5"/>
    </row>
    <row r="52" spans="1:12" ht="15.75" customHeight="1" x14ac:dyDescent="0.35">
      <c r="A52" s="3" t="s">
        <v>50</v>
      </c>
      <c r="B52" s="7">
        <v>2261</v>
      </c>
      <c r="C52" s="4">
        <v>4592</v>
      </c>
      <c r="D52" s="15">
        <v>24.693116227222184</v>
      </c>
      <c r="E52" s="5">
        <v>1400</v>
      </c>
      <c r="F52" s="5">
        <v>23</v>
      </c>
      <c r="G52" s="5"/>
      <c r="H52" s="5"/>
      <c r="I52" s="5"/>
      <c r="J52" s="5"/>
      <c r="K52" s="5"/>
      <c r="L52" s="5"/>
    </row>
    <row r="53" spans="1:12" ht="15.75" customHeight="1" x14ac:dyDescent="0.35">
      <c r="A53" s="3" t="s">
        <v>51</v>
      </c>
      <c r="B53" s="7">
        <v>18007.75</v>
      </c>
      <c r="C53" s="4">
        <v>2297</v>
      </c>
      <c r="D53" s="15">
        <v>24.693116227222184</v>
      </c>
      <c r="E53" s="5">
        <v>8665</v>
      </c>
      <c r="F53" s="5">
        <v>23</v>
      </c>
      <c r="G53" s="5"/>
      <c r="H53" s="5"/>
      <c r="I53" s="5"/>
      <c r="J53" s="5"/>
      <c r="K53" s="5"/>
      <c r="L53" s="5"/>
    </row>
    <row r="54" spans="1:12" ht="15.75" customHeight="1" x14ac:dyDescent="0.35">
      <c r="A54" s="3" t="s">
        <v>52</v>
      </c>
      <c r="B54" s="7">
        <v>1300</v>
      </c>
      <c r="C54" s="4">
        <v>4592</v>
      </c>
      <c r="D54" s="15">
        <v>24.693116227222184</v>
      </c>
      <c r="E54" s="5">
        <v>400</v>
      </c>
      <c r="F54" s="5">
        <v>23</v>
      </c>
      <c r="G54" s="5"/>
      <c r="H54" s="5"/>
      <c r="I54" s="5"/>
      <c r="J54" s="5"/>
      <c r="K54" s="5"/>
      <c r="L54" s="5"/>
    </row>
    <row r="55" spans="1:12" ht="15.75" customHeight="1" x14ac:dyDescent="0.35">
      <c r="A55" s="3" t="s">
        <v>53</v>
      </c>
      <c r="B55" s="7">
        <v>5410</v>
      </c>
      <c r="C55" s="4">
        <v>4592</v>
      </c>
      <c r="D55" s="15">
        <v>24.693116227222184</v>
      </c>
      <c r="E55" s="5">
        <v>0</v>
      </c>
      <c r="F55" s="5">
        <v>23</v>
      </c>
      <c r="G55" s="5"/>
      <c r="H55" s="5"/>
      <c r="I55" s="5"/>
      <c r="J55" s="5"/>
      <c r="K55" s="5"/>
      <c r="L55" s="5"/>
    </row>
    <row r="56" spans="1:12" ht="15.75" customHeight="1" x14ac:dyDescent="0.35">
      <c r="A56" s="3" t="s">
        <v>54</v>
      </c>
      <c r="B56" s="7">
        <v>0</v>
      </c>
      <c r="C56" s="4">
        <v>2103</v>
      </c>
      <c r="D56" s="15">
        <v>24.693116227222184</v>
      </c>
      <c r="E56" s="5">
        <v>1350</v>
      </c>
      <c r="F56" s="5">
        <v>23</v>
      </c>
      <c r="G56" s="5"/>
      <c r="H56" s="5"/>
      <c r="I56" s="5"/>
      <c r="J56" s="5"/>
      <c r="K56" s="5"/>
      <c r="L56" s="5"/>
    </row>
    <row r="57" spans="1:12" ht="15.75" customHeight="1" x14ac:dyDescent="0.35">
      <c r="A57" s="3" t="s">
        <v>55</v>
      </c>
      <c r="B57" s="7">
        <v>22890</v>
      </c>
      <c r="C57" s="4">
        <v>2103</v>
      </c>
      <c r="D57" s="15">
        <v>24.693116227222184</v>
      </c>
      <c r="E57" s="5">
        <v>3750</v>
      </c>
      <c r="F57" s="5">
        <v>23</v>
      </c>
      <c r="G57" s="5"/>
      <c r="H57" s="5"/>
      <c r="I57" s="5"/>
      <c r="J57" s="5"/>
      <c r="K57" s="5"/>
      <c r="L57" s="5"/>
    </row>
    <row r="58" spans="1:12" ht="15.75" customHeight="1" x14ac:dyDescent="0.35">
      <c r="A58" s="3" t="s">
        <v>56</v>
      </c>
      <c r="B58" s="7">
        <v>2689</v>
      </c>
      <c r="C58" s="4">
        <v>4592</v>
      </c>
      <c r="D58" s="15">
        <v>24.693116227222184</v>
      </c>
      <c r="E58" s="5">
        <v>2060</v>
      </c>
      <c r="F58" s="5">
        <v>23</v>
      </c>
      <c r="G58" s="5"/>
      <c r="H58" s="5"/>
      <c r="I58" s="5"/>
      <c r="J58" s="5"/>
      <c r="K58" s="5"/>
      <c r="L58" s="5"/>
    </row>
    <row r="59" spans="1:12" ht="15.75" customHeight="1" x14ac:dyDescent="0.35">
      <c r="A59" s="3" t="s">
        <v>57</v>
      </c>
      <c r="B59" s="7">
        <v>2188</v>
      </c>
      <c r="C59" s="4">
        <v>2297</v>
      </c>
      <c r="D59" s="15">
        <v>24.693116227222184</v>
      </c>
      <c r="E59" s="5">
        <v>2750</v>
      </c>
      <c r="F59" s="5">
        <v>23</v>
      </c>
      <c r="G59" s="5"/>
      <c r="H59" s="5"/>
      <c r="I59" s="5"/>
      <c r="J59" s="5"/>
      <c r="K59" s="5"/>
      <c r="L59" s="5"/>
    </row>
    <row r="60" spans="1:12" ht="15.75" customHeight="1" x14ac:dyDescent="0.35">
      <c r="A60" s="3" t="s">
        <v>58</v>
      </c>
      <c r="B60" s="7">
        <v>1512</v>
      </c>
      <c r="C60" s="4">
        <v>2616</v>
      </c>
      <c r="D60" s="15">
        <v>24.693116227222184</v>
      </c>
      <c r="E60" s="5">
        <v>300</v>
      </c>
      <c r="F60" s="5">
        <v>23</v>
      </c>
      <c r="G60" s="5"/>
      <c r="H60" s="5"/>
      <c r="I60" s="5"/>
      <c r="J60" s="5"/>
      <c r="K60" s="5"/>
      <c r="L60" s="5"/>
    </row>
    <row r="61" spans="1:12" ht="15.75" customHeight="1" x14ac:dyDescent="0.35">
      <c r="A61" s="3" t="s">
        <v>59</v>
      </c>
      <c r="B61" s="7">
        <v>2274.6666666666702</v>
      </c>
      <c r="C61" s="4">
        <v>2616</v>
      </c>
      <c r="D61" s="15">
        <v>24.693116227222184</v>
      </c>
      <c r="E61" s="5">
        <v>825</v>
      </c>
      <c r="F61" s="5">
        <v>23</v>
      </c>
      <c r="G61" s="5"/>
      <c r="H61" s="5"/>
      <c r="I61" s="5"/>
      <c r="J61" s="5"/>
      <c r="K61" s="5"/>
      <c r="L61" s="5"/>
    </row>
    <row r="62" spans="1:12" ht="15.75" customHeight="1" x14ac:dyDescent="0.35">
      <c r="A62" s="3" t="s">
        <v>60</v>
      </c>
      <c r="B62" s="7">
        <v>360</v>
      </c>
      <c r="C62" s="4">
        <v>7550</v>
      </c>
      <c r="D62" s="15">
        <v>24.693116227222184</v>
      </c>
      <c r="E62" s="5">
        <v>0</v>
      </c>
      <c r="F62" s="5">
        <v>23</v>
      </c>
      <c r="G62" s="5"/>
      <c r="H62" s="5"/>
      <c r="I62" s="5"/>
      <c r="J62" s="5"/>
      <c r="K62" s="5"/>
      <c r="L62" s="5"/>
    </row>
    <row r="63" spans="1:12" ht="15.75" customHeight="1" x14ac:dyDescent="0.35">
      <c r="A63" s="3" t="s">
        <v>61</v>
      </c>
      <c r="B63" s="7">
        <v>7168.8636363636406</v>
      </c>
      <c r="C63" s="4">
        <v>7550</v>
      </c>
      <c r="D63" s="15">
        <v>24.693116227222184</v>
      </c>
      <c r="E63" s="5">
        <v>58580</v>
      </c>
      <c r="F63" s="5">
        <v>23</v>
      </c>
      <c r="G63" s="5"/>
      <c r="H63" s="5"/>
      <c r="I63" s="5"/>
      <c r="J63" s="5"/>
      <c r="K63" s="5"/>
      <c r="L63" s="5"/>
    </row>
    <row r="64" spans="1:12" ht="15.75" customHeight="1" x14ac:dyDescent="0.35">
      <c r="A64" s="3" t="s">
        <v>62</v>
      </c>
      <c r="B64" s="7">
        <v>6059</v>
      </c>
      <c r="C64" s="4">
        <v>4592</v>
      </c>
      <c r="D64" s="15">
        <v>24.693116227222184</v>
      </c>
      <c r="E64" s="5">
        <v>2410</v>
      </c>
      <c r="F64" s="5">
        <v>23</v>
      </c>
      <c r="G64" s="5"/>
      <c r="H64" s="5"/>
      <c r="I64" s="5"/>
      <c r="J64" s="5"/>
      <c r="K64" s="5"/>
      <c r="L64" s="5"/>
    </row>
    <row r="65" spans="1:12" ht="15.75" customHeight="1" x14ac:dyDescent="0.35">
      <c r="A65" s="3" t="s">
        <v>63</v>
      </c>
      <c r="B65" s="7">
        <v>1578.2</v>
      </c>
      <c r="C65" s="4">
        <v>2297</v>
      </c>
      <c r="D65" s="15">
        <v>24.693116227222184</v>
      </c>
      <c r="E65" s="5">
        <v>4710</v>
      </c>
      <c r="F65" s="5">
        <v>23</v>
      </c>
      <c r="G65" s="5"/>
      <c r="H65" s="5"/>
      <c r="I65" s="5"/>
      <c r="J65" s="5"/>
      <c r="K65" s="5"/>
      <c r="L65" s="5"/>
    </row>
    <row r="66" spans="1:12" ht="15.75" customHeight="1" x14ac:dyDescent="0.35">
      <c r="A66" s="3" t="s">
        <v>64</v>
      </c>
      <c r="B66" s="7">
        <v>500</v>
      </c>
      <c r="C66" s="4">
        <v>2616</v>
      </c>
      <c r="D66" s="15">
        <v>24.693116227222184</v>
      </c>
      <c r="E66" s="5">
        <v>250</v>
      </c>
      <c r="F66" s="5">
        <v>23</v>
      </c>
      <c r="G66" s="5"/>
      <c r="H66" s="5"/>
      <c r="I66" s="5"/>
      <c r="J66" s="5"/>
      <c r="K66" s="5"/>
      <c r="L66" s="5"/>
    </row>
    <row r="67" spans="1:12" ht="15.75" customHeight="1" x14ac:dyDescent="0.35">
      <c r="A67" s="3" t="s">
        <v>65</v>
      </c>
      <c r="B67" s="7">
        <v>2527.6666666666702</v>
      </c>
      <c r="C67" s="4">
        <v>2616</v>
      </c>
      <c r="D67" s="15">
        <v>24.693116227222184</v>
      </c>
      <c r="E67" s="5">
        <v>425</v>
      </c>
      <c r="F67" s="5">
        <v>23</v>
      </c>
      <c r="G67" s="5"/>
      <c r="H67" s="5"/>
      <c r="I67" s="5"/>
      <c r="J67" s="5"/>
      <c r="K67" s="5"/>
      <c r="L67" s="5"/>
    </row>
    <row r="68" spans="1:12" ht="15.75" customHeight="1" x14ac:dyDescent="0.35">
      <c r="A68" s="3" t="s">
        <v>66</v>
      </c>
      <c r="B68" s="7">
        <v>2175</v>
      </c>
      <c r="C68" s="4">
        <v>4592</v>
      </c>
      <c r="D68" s="15">
        <v>24.693116227222184</v>
      </c>
      <c r="E68" s="5">
        <v>600</v>
      </c>
      <c r="F68" s="5">
        <v>23</v>
      </c>
      <c r="G68" s="5"/>
      <c r="H68" s="5"/>
      <c r="I68" s="5"/>
      <c r="J68" s="5"/>
      <c r="K68" s="5"/>
      <c r="L68" s="5"/>
    </row>
    <row r="69" spans="1:12" ht="15.75" customHeight="1" x14ac:dyDescent="0.35">
      <c r="A69" s="3" t="s">
        <v>67</v>
      </c>
      <c r="B69" s="7">
        <v>18165</v>
      </c>
      <c r="C69" s="4">
        <v>2297</v>
      </c>
      <c r="D69" s="15">
        <v>24.693116227222184</v>
      </c>
      <c r="E69" s="5">
        <v>0</v>
      </c>
      <c r="F69" s="5">
        <v>23</v>
      </c>
      <c r="G69" s="5"/>
      <c r="H69" s="5"/>
      <c r="I69" s="5"/>
      <c r="J69" s="5"/>
      <c r="K69" s="5"/>
      <c r="L69" s="5"/>
    </row>
    <row r="70" spans="1:12" ht="15.75" customHeight="1" x14ac:dyDescent="0.35">
      <c r="A70" s="3" t="s">
        <v>68</v>
      </c>
      <c r="B70" s="7">
        <v>1175</v>
      </c>
      <c r="C70" s="4">
        <v>2616</v>
      </c>
      <c r="D70" s="15">
        <v>24.693116227222184</v>
      </c>
      <c r="E70" s="5">
        <v>350</v>
      </c>
      <c r="F70" s="5">
        <v>23</v>
      </c>
      <c r="G70" s="5"/>
      <c r="H70" s="5"/>
      <c r="I70" s="5"/>
      <c r="J70" s="5"/>
      <c r="K70" s="5"/>
      <c r="L70" s="5"/>
    </row>
    <row r="71" spans="1:12" ht="15.75" customHeight="1" x14ac:dyDescent="0.35">
      <c r="A71" s="3" t="s">
        <v>69</v>
      </c>
      <c r="B71" s="7">
        <v>839</v>
      </c>
      <c r="C71" s="4">
        <v>1419</v>
      </c>
      <c r="D71" s="15">
        <v>24.693116227222184</v>
      </c>
      <c r="E71" s="5">
        <v>350</v>
      </c>
      <c r="F71" s="5">
        <v>23</v>
      </c>
      <c r="G71" s="5"/>
      <c r="H71" s="5"/>
      <c r="I71" s="5"/>
      <c r="J71" s="5"/>
      <c r="K71" s="5"/>
      <c r="L71" s="5"/>
    </row>
    <row r="72" spans="1:12" ht="15.75" customHeight="1" x14ac:dyDescent="0.35">
      <c r="A72" s="3" t="s">
        <v>70</v>
      </c>
      <c r="B72" s="7">
        <v>7761.8181818181802</v>
      </c>
      <c r="C72" s="4">
        <v>1968</v>
      </c>
      <c r="D72" s="15">
        <v>24.693116227222184</v>
      </c>
      <c r="E72" s="5">
        <v>25017</v>
      </c>
      <c r="F72" s="5">
        <v>23</v>
      </c>
      <c r="G72" s="5"/>
      <c r="H72" s="5"/>
      <c r="I72" s="5"/>
      <c r="J72" s="5"/>
      <c r="K72" s="5"/>
      <c r="L72" s="5"/>
    </row>
    <row r="73" spans="1:12" ht="15.75" customHeight="1" x14ac:dyDescent="0.35">
      <c r="A73" s="3" t="s">
        <v>71</v>
      </c>
      <c r="B73" s="7">
        <v>25</v>
      </c>
      <c r="C73" s="4">
        <v>2129</v>
      </c>
      <c r="D73" s="15">
        <v>24.693116227222184</v>
      </c>
      <c r="E73" s="5">
        <v>0</v>
      </c>
      <c r="F73" s="5">
        <v>23</v>
      </c>
      <c r="G73" s="5"/>
      <c r="H73" s="5"/>
      <c r="I73" s="5"/>
      <c r="J73" s="5"/>
      <c r="K73" s="5"/>
      <c r="L73" s="5"/>
    </row>
    <row r="74" spans="1:12" ht="15.75" customHeight="1" x14ac:dyDescent="0.35">
      <c r="A74" s="3" t="s">
        <v>72</v>
      </c>
      <c r="B74" s="7">
        <v>0</v>
      </c>
      <c r="C74" s="4">
        <v>2129</v>
      </c>
      <c r="D74" s="15">
        <v>24.693116227222184</v>
      </c>
      <c r="E74" s="5">
        <v>110</v>
      </c>
      <c r="F74" s="5">
        <v>23</v>
      </c>
      <c r="G74" s="5"/>
      <c r="H74" s="5"/>
      <c r="I74" s="5"/>
      <c r="J74" s="5"/>
      <c r="K74" s="5"/>
      <c r="L74" s="5"/>
    </row>
    <row r="75" spans="1:12" ht="15.75" customHeight="1" x14ac:dyDescent="0.35">
      <c r="A75" s="3" t="s">
        <v>73</v>
      </c>
      <c r="B75" s="7">
        <v>14553.75</v>
      </c>
      <c r="C75" s="4">
        <v>1968</v>
      </c>
      <c r="D75" s="15">
        <v>24.693116227222184</v>
      </c>
      <c r="E75" s="5">
        <v>16983</v>
      </c>
      <c r="F75" s="5">
        <v>23</v>
      </c>
      <c r="G75" s="5"/>
      <c r="H75" s="5"/>
      <c r="I75" s="5"/>
      <c r="J75" s="5"/>
      <c r="K75" s="5"/>
      <c r="L75" s="5"/>
    </row>
    <row r="76" spans="1:12" ht="15.75" customHeight="1" x14ac:dyDescent="0.35">
      <c r="A76" s="3" t="s">
        <v>74</v>
      </c>
      <c r="B76" s="7">
        <v>1112</v>
      </c>
      <c r="C76" s="4">
        <v>2157</v>
      </c>
      <c r="D76" s="15">
        <v>24.693116227222184</v>
      </c>
      <c r="E76" s="5">
        <v>4984</v>
      </c>
      <c r="F76" s="5">
        <v>23</v>
      </c>
      <c r="G76" s="5"/>
      <c r="H76" s="5"/>
      <c r="I76" s="5"/>
      <c r="J76" s="5"/>
      <c r="K76" s="5"/>
      <c r="L76" s="5"/>
    </row>
    <row r="77" spans="1:12" ht="15.75" customHeight="1" x14ac:dyDescent="0.35">
      <c r="A77" s="3" t="s">
        <v>75</v>
      </c>
      <c r="B77" s="7">
        <v>16428.142857142899</v>
      </c>
      <c r="C77" s="4">
        <v>2031</v>
      </c>
      <c r="D77" s="15">
        <v>24.693116227222184</v>
      </c>
      <c r="E77" s="5">
        <v>10261</v>
      </c>
      <c r="F77" s="5">
        <v>23</v>
      </c>
      <c r="G77" s="5"/>
      <c r="H77" s="5"/>
      <c r="I77" s="5"/>
      <c r="J77" s="5"/>
      <c r="K77" s="5"/>
      <c r="L77" s="5"/>
    </row>
    <row r="78" spans="1:12" ht="15.75" customHeight="1" x14ac:dyDescent="0.35">
      <c r="A78" s="3" t="s">
        <v>76</v>
      </c>
      <c r="B78" s="7">
        <v>12596.857142857099</v>
      </c>
      <c r="C78" s="4">
        <v>2031</v>
      </c>
      <c r="D78" s="15">
        <v>24.693116227222184</v>
      </c>
      <c r="E78" s="5">
        <v>8594</v>
      </c>
      <c r="F78" s="5">
        <v>23</v>
      </c>
      <c r="G78" s="5"/>
      <c r="H78" s="5"/>
      <c r="I78" s="5"/>
      <c r="J78" s="5"/>
      <c r="K78" s="5"/>
      <c r="L78" s="5"/>
    </row>
    <row r="79" spans="1:12" ht="15.75" customHeight="1" x14ac:dyDescent="0.35">
      <c r="A79" s="3" t="s">
        <v>77</v>
      </c>
      <c r="B79" s="7">
        <v>1025</v>
      </c>
      <c r="C79" s="4">
        <v>2642</v>
      </c>
      <c r="D79" s="15">
        <v>24.693116227222184</v>
      </c>
      <c r="E79" s="5">
        <v>1550</v>
      </c>
      <c r="F79" s="5">
        <v>23</v>
      </c>
      <c r="G79" s="5"/>
      <c r="H79" s="5"/>
      <c r="I79" s="5"/>
      <c r="J79" s="5"/>
      <c r="K79" s="5"/>
      <c r="L79" s="5"/>
    </row>
    <row r="80" spans="1:12" ht="15.75" customHeight="1" x14ac:dyDescent="0.35">
      <c r="A80" s="3" t="s">
        <v>78</v>
      </c>
      <c r="B80" s="7">
        <v>1196.25</v>
      </c>
      <c r="C80" s="4">
        <v>2642</v>
      </c>
      <c r="D80" s="15">
        <v>24.693116227222184</v>
      </c>
      <c r="E80" s="5">
        <v>4095</v>
      </c>
      <c r="F80" s="5">
        <v>23</v>
      </c>
      <c r="G80" s="5"/>
      <c r="H80" s="5"/>
      <c r="I80" s="5"/>
      <c r="J80" s="5"/>
      <c r="K80" s="5"/>
      <c r="L80" s="5"/>
    </row>
    <row r="81" spans="1:12" ht="15.75" customHeight="1" x14ac:dyDescent="0.35">
      <c r="A81" s="3" t="s">
        <v>79</v>
      </c>
      <c r="B81" s="7">
        <v>408.33333333333303</v>
      </c>
      <c r="C81" s="4">
        <v>2488</v>
      </c>
      <c r="D81" s="15">
        <v>24.693116227222184</v>
      </c>
      <c r="E81" s="5">
        <v>325</v>
      </c>
      <c r="F81" s="5">
        <v>23</v>
      </c>
      <c r="G81" s="5"/>
      <c r="H81" s="5"/>
      <c r="I81" s="5"/>
      <c r="J81" s="5"/>
      <c r="K81" s="5"/>
      <c r="L81" s="5"/>
    </row>
    <row r="82" spans="1:12" ht="15.75" customHeight="1" x14ac:dyDescent="0.35">
      <c r="A82" s="3" t="s">
        <v>80</v>
      </c>
      <c r="B82" s="7">
        <v>1612.5</v>
      </c>
      <c r="C82" s="4">
        <v>2431</v>
      </c>
      <c r="D82" s="15">
        <v>24.693116227222184</v>
      </c>
      <c r="E82" s="5">
        <v>1950</v>
      </c>
      <c r="F82" s="5">
        <v>23</v>
      </c>
      <c r="G82" s="5"/>
      <c r="H82" s="5"/>
      <c r="I82" s="5"/>
      <c r="J82" s="5"/>
      <c r="K82" s="5"/>
      <c r="L82" s="5"/>
    </row>
    <row r="83" spans="1:12" ht="15.75" customHeight="1" x14ac:dyDescent="0.35">
      <c r="A83" s="3" t="s">
        <v>81</v>
      </c>
      <c r="B83" s="7">
        <v>2690</v>
      </c>
      <c r="C83" s="4">
        <v>4592</v>
      </c>
      <c r="D83" s="15">
        <v>24.693116227222184</v>
      </c>
      <c r="E83" s="5">
        <v>3950</v>
      </c>
      <c r="F83" s="5">
        <v>23</v>
      </c>
      <c r="G83" s="5"/>
      <c r="H83" s="5"/>
      <c r="I83" s="5"/>
      <c r="J83" s="5"/>
      <c r="K83" s="5"/>
      <c r="L83" s="5"/>
    </row>
    <row r="84" spans="1:12" ht="15.75" customHeight="1" x14ac:dyDescent="0.35">
      <c r="A84" s="3" t="s">
        <v>82</v>
      </c>
      <c r="B84" s="7">
        <v>900</v>
      </c>
      <c r="C84" s="4">
        <v>2297</v>
      </c>
      <c r="D84" s="15">
        <v>24.693116227222184</v>
      </c>
      <c r="E84" s="5">
        <v>1500</v>
      </c>
      <c r="F84" s="5">
        <v>23</v>
      </c>
      <c r="G84" s="5"/>
      <c r="H84" s="5"/>
      <c r="I84" s="5"/>
      <c r="J84" s="5"/>
      <c r="K84" s="5"/>
      <c r="L84" s="5"/>
    </row>
    <row r="85" spans="1:12" ht="15.75" customHeight="1" x14ac:dyDescent="0.35">
      <c r="A85" s="3" t="s">
        <v>83</v>
      </c>
      <c r="B85" s="7">
        <v>550</v>
      </c>
      <c r="C85" s="4">
        <v>2616</v>
      </c>
      <c r="D85" s="15">
        <v>24.693116227222184</v>
      </c>
      <c r="E85" s="5">
        <v>400</v>
      </c>
      <c r="F85" s="5">
        <v>23</v>
      </c>
      <c r="G85" s="5"/>
      <c r="H85" s="5"/>
      <c r="I85" s="5"/>
      <c r="J85" s="5"/>
      <c r="K85" s="5"/>
      <c r="L85" s="5"/>
    </row>
    <row r="86" spans="1:12" ht="15.75" customHeight="1" x14ac:dyDescent="0.35">
      <c r="A86" s="3" t="s">
        <v>84</v>
      </c>
      <c r="B86" s="7">
        <v>7201</v>
      </c>
      <c r="C86" s="4">
        <v>1419</v>
      </c>
      <c r="D86" s="15">
        <v>24.693116227222184</v>
      </c>
      <c r="E86" s="5">
        <v>14850</v>
      </c>
      <c r="F86" s="5">
        <v>23</v>
      </c>
      <c r="G86" s="5"/>
      <c r="H86" s="5"/>
      <c r="I86" s="5"/>
      <c r="J86" s="5"/>
      <c r="K86" s="5"/>
      <c r="L86" s="5"/>
    </row>
    <row r="87" spans="1:12" ht="15.75" customHeight="1" x14ac:dyDescent="0.35">
      <c r="A87" s="3" t="s">
        <v>85</v>
      </c>
      <c r="B87" s="7">
        <v>1522.3333333333301</v>
      </c>
      <c r="C87" s="4">
        <v>2616</v>
      </c>
      <c r="D87" s="15">
        <v>24.693116227222184</v>
      </c>
      <c r="E87" s="5">
        <v>242</v>
      </c>
      <c r="F87" s="5">
        <v>23</v>
      </c>
      <c r="G87" s="5"/>
      <c r="H87" s="5"/>
      <c r="I87" s="5"/>
      <c r="J87" s="5"/>
      <c r="K87" s="5"/>
      <c r="L87" s="5"/>
    </row>
    <row r="88" spans="1:12" ht="15.75" customHeight="1" x14ac:dyDescent="0.35">
      <c r="A88" s="3" t="s">
        <v>86</v>
      </c>
      <c r="B88" s="7">
        <v>4116.8888888888905</v>
      </c>
      <c r="C88" s="4">
        <v>2246</v>
      </c>
      <c r="D88" s="15">
        <v>24.693116227222184</v>
      </c>
      <c r="E88" s="5">
        <v>8228</v>
      </c>
      <c r="F88" s="5">
        <v>23</v>
      </c>
      <c r="G88" s="5"/>
      <c r="H88" s="5"/>
      <c r="I88" s="5"/>
      <c r="J88" s="5"/>
      <c r="K88" s="5"/>
      <c r="L88" s="5"/>
    </row>
    <row r="89" spans="1:12" ht="15.75" customHeight="1" x14ac:dyDescent="0.35">
      <c r="A89" s="3" t="s">
        <v>87</v>
      </c>
      <c r="B89" s="7">
        <v>10591</v>
      </c>
      <c r="C89" s="4">
        <v>2355</v>
      </c>
      <c r="D89" s="15">
        <v>24.693116227222184</v>
      </c>
      <c r="E89" s="5">
        <v>200</v>
      </c>
      <c r="F89" s="5">
        <v>23</v>
      </c>
      <c r="G89" s="5"/>
      <c r="H89" s="5"/>
      <c r="I89" s="5"/>
      <c r="J89" s="5"/>
      <c r="K89" s="5"/>
      <c r="L89" s="5"/>
    </row>
    <row r="90" spans="1:12" ht="15.75" customHeight="1" x14ac:dyDescent="0.35">
      <c r="A90" s="3" t="s">
        <v>88</v>
      </c>
      <c r="B90" s="7">
        <v>2279.5555555555597</v>
      </c>
      <c r="C90" s="4">
        <v>2031</v>
      </c>
      <c r="D90" s="15">
        <v>24.693116227222184</v>
      </c>
      <c r="E90" s="5">
        <v>8950</v>
      </c>
      <c r="F90" s="5">
        <v>23</v>
      </c>
      <c r="G90" s="5"/>
      <c r="H90" s="5"/>
      <c r="I90" s="5"/>
      <c r="J90" s="5"/>
      <c r="K90" s="5"/>
      <c r="L90" s="5"/>
    </row>
    <row r="91" spans="1:12" ht="15.75" customHeight="1" x14ac:dyDescent="0.35">
      <c r="A91" s="3" t="s">
        <v>89</v>
      </c>
      <c r="B91" s="7">
        <v>3433.3333333333298</v>
      </c>
      <c r="C91" s="4">
        <v>2108</v>
      </c>
      <c r="D91" s="15">
        <v>24.693116227222184</v>
      </c>
      <c r="E91" s="5">
        <v>3975</v>
      </c>
      <c r="F91" s="5">
        <v>23</v>
      </c>
      <c r="G91" s="5"/>
      <c r="H91" s="5"/>
      <c r="I91" s="5"/>
      <c r="J91" s="5"/>
      <c r="K91" s="5"/>
      <c r="L91" s="5"/>
    </row>
    <row r="92" spans="1:12" ht="15.75" customHeight="1" x14ac:dyDescent="0.35">
      <c r="A92" s="3" t="s">
        <v>90</v>
      </c>
      <c r="B92" s="7">
        <v>1666.6666666666702</v>
      </c>
      <c r="C92" s="4">
        <v>2173</v>
      </c>
      <c r="D92" s="15">
        <v>24.693116227222184</v>
      </c>
      <c r="E92" s="5">
        <v>1275</v>
      </c>
      <c r="F92" s="5">
        <v>23</v>
      </c>
      <c r="G92" s="5"/>
      <c r="H92" s="5"/>
      <c r="I92" s="5"/>
      <c r="J92" s="5"/>
      <c r="K92" s="5"/>
      <c r="L92" s="5"/>
    </row>
    <row r="93" spans="1:12" ht="15.75" customHeight="1" x14ac:dyDescent="0.35">
      <c r="A93" s="3" t="s">
        <v>91</v>
      </c>
      <c r="B93" s="7">
        <v>2400</v>
      </c>
      <c r="C93" s="4">
        <v>2356</v>
      </c>
      <c r="D93" s="15">
        <v>24.693116227222184</v>
      </c>
      <c r="E93" s="5">
        <v>0</v>
      </c>
      <c r="F93" s="5">
        <v>23</v>
      </c>
      <c r="G93" s="5"/>
      <c r="H93" s="5"/>
      <c r="I93" s="5"/>
      <c r="J93" s="5"/>
      <c r="K93" s="5"/>
      <c r="L93" s="5"/>
    </row>
    <row r="94" spans="1:12" ht="15.75" customHeight="1" x14ac:dyDescent="0.35">
      <c r="A94" s="3" t="s">
        <v>92</v>
      </c>
      <c r="B94" s="7">
        <v>175</v>
      </c>
      <c r="C94" s="4">
        <v>1993</v>
      </c>
      <c r="D94" s="15">
        <v>24.693116227222184</v>
      </c>
      <c r="E94" s="5">
        <v>325</v>
      </c>
      <c r="F94" s="5">
        <v>23</v>
      </c>
      <c r="G94" s="5"/>
      <c r="H94" s="5"/>
      <c r="I94" s="5"/>
      <c r="J94" s="5"/>
      <c r="K94" s="5"/>
      <c r="L94" s="5"/>
    </row>
    <row r="95" spans="1:12" ht="15.75" customHeight="1" x14ac:dyDescent="0.35">
      <c r="A95" s="3" t="s">
        <v>93</v>
      </c>
      <c r="B95" s="7">
        <v>1316.6666666666702</v>
      </c>
      <c r="C95" s="4">
        <v>2205</v>
      </c>
      <c r="D95" s="15">
        <v>24.693116227222184</v>
      </c>
      <c r="E95" s="5">
        <v>1025</v>
      </c>
      <c r="F95" s="5">
        <v>23</v>
      </c>
      <c r="G95" s="5"/>
      <c r="H95" s="5"/>
      <c r="I95" s="5"/>
      <c r="J95" s="5"/>
      <c r="K95" s="5"/>
      <c r="L95" s="5"/>
    </row>
    <row r="96" spans="1:12" ht="15.75" customHeight="1" x14ac:dyDescent="0.35">
      <c r="A96" s="3" t="s">
        <v>94</v>
      </c>
      <c r="B96" s="7">
        <v>1129.6000000000001</v>
      </c>
      <c r="C96" s="4">
        <v>2503</v>
      </c>
      <c r="D96" s="15">
        <v>24.693116227222184</v>
      </c>
      <c r="E96" s="5">
        <v>5066</v>
      </c>
      <c r="F96" s="5">
        <v>23</v>
      </c>
      <c r="G96" s="5"/>
      <c r="H96" s="5"/>
      <c r="I96" s="5"/>
      <c r="J96" s="5"/>
      <c r="K96" s="5"/>
      <c r="L96" s="5"/>
    </row>
    <row r="97" spans="1:12" ht="15.75" customHeight="1" x14ac:dyDescent="0.35">
      <c r="A97" s="3" t="s">
        <v>95</v>
      </c>
      <c r="B97" s="7">
        <v>4625</v>
      </c>
      <c r="C97" s="4">
        <v>2355</v>
      </c>
      <c r="D97" s="15">
        <v>24.693116227222184</v>
      </c>
      <c r="E97" s="5">
        <v>1250</v>
      </c>
      <c r="F97" s="5">
        <v>23</v>
      </c>
      <c r="G97" s="5"/>
      <c r="H97" s="5"/>
      <c r="I97" s="5"/>
      <c r="J97" s="5"/>
      <c r="K97" s="5"/>
      <c r="L97" s="5"/>
    </row>
    <row r="98" spans="1:12" ht="15.75" customHeight="1" x14ac:dyDescent="0.35">
      <c r="A98" s="3" t="s">
        <v>96</v>
      </c>
      <c r="B98" s="7">
        <v>2493.6</v>
      </c>
      <c r="C98" s="4">
        <v>2216</v>
      </c>
      <c r="D98" s="15">
        <v>24.693116227222184</v>
      </c>
      <c r="E98" s="5">
        <v>2750</v>
      </c>
      <c r="F98" s="5">
        <v>23</v>
      </c>
      <c r="G98" s="5"/>
      <c r="H98" s="5"/>
      <c r="I98" s="5"/>
      <c r="J98" s="5"/>
      <c r="K98" s="5"/>
      <c r="L98" s="5"/>
    </row>
    <row r="99" spans="1:12" ht="15.75" customHeight="1" x14ac:dyDescent="0.35">
      <c r="A99" s="3" t="s">
        <v>97</v>
      </c>
      <c r="B99" s="7">
        <v>1651.3333333333301</v>
      </c>
      <c r="C99" s="4">
        <v>1968</v>
      </c>
      <c r="D99" s="15">
        <v>24.693116227222184</v>
      </c>
      <c r="E99" s="5">
        <v>2672</v>
      </c>
      <c r="F99" s="5">
        <v>23</v>
      </c>
      <c r="G99" s="5"/>
      <c r="H99" s="5"/>
      <c r="I99" s="5"/>
      <c r="J99" s="5"/>
      <c r="K99" s="5"/>
      <c r="L99" s="5"/>
    </row>
    <row r="100" spans="1:12" ht="15.75" customHeight="1" x14ac:dyDescent="0.35">
      <c r="A100" s="3" t="s">
        <v>98</v>
      </c>
      <c r="B100" s="7">
        <v>2345</v>
      </c>
      <c r="C100" s="4">
        <v>2297</v>
      </c>
      <c r="D100" s="15">
        <v>24.693116227222184</v>
      </c>
      <c r="E100" s="5">
        <v>1500</v>
      </c>
      <c r="F100" s="5">
        <v>23</v>
      </c>
      <c r="G100" s="5"/>
      <c r="H100" s="5"/>
      <c r="I100" s="5"/>
      <c r="J100" s="5"/>
      <c r="K100" s="5"/>
      <c r="L100" s="5"/>
    </row>
    <row r="101" spans="1:12" ht="15.75" customHeight="1" x14ac:dyDescent="0.35">
      <c r="A101" s="3" t="s">
        <v>99</v>
      </c>
      <c r="B101" s="7">
        <v>37.5</v>
      </c>
      <c r="C101" s="4">
        <v>2616</v>
      </c>
      <c r="D101" s="15">
        <v>24.693116227222184</v>
      </c>
      <c r="E101" s="5">
        <v>175</v>
      </c>
      <c r="F101" s="5">
        <v>23</v>
      </c>
      <c r="G101" s="5"/>
      <c r="H101" s="5"/>
      <c r="I101" s="5"/>
      <c r="J101" s="5"/>
      <c r="K101" s="5"/>
      <c r="L101" s="5"/>
    </row>
    <row r="102" spans="1:12" ht="15.75" customHeight="1" x14ac:dyDescent="0.35">
      <c r="A102" s="3" t="s">
        <v>100</v>
      </c>
      <c r="B102" s="7">
        <v>700</v>
      </c>
      <c r="C102" s="4">
        <v>1419</v>
      </c>
      <c r="D102" s="15">
        <v>24.693116227222184</v>
      </c>
      <c r="E102" s="5">
        <v>2900</v>
      </c>
      <c r="F102" s="5">
        <v>23</v>
      </c>
      <c r="G102" s="5"/>
      <c r="H102" s="5"/>
      <c r="I102" s="5"/>
      <c r="J102" s="5"/>
      <c r="K102" s="5"/>
      <c r="L102" s="5"/>
    </row>
    <row r="103" spans="1:12" ht="15.75" customHeight="1" x14ac:dyDescent="0.35">
      <c r="A103" s="3" t="s">
        <v>101</v>
      </c>
      <c r="B103" s="7">
        <v>1546</v>
      </c>
      <c r="C103" s="4">
        <v>2355</v>
      </c>
      <c r="D103" s="15">
        <v>24.693116227222184</v>
      </c>
      <c r="E103" s="5">
        <v>600</v>
      </c>
      <c r="F103" s="5">
        <v>23</v>
      </c>
      <c r="G103" s="5"/>
      <c r="H103" s="5"/>
      <c r="I103" s="5"/>
      <c r="J103" s="5"/>
      <c r="K103" s="5"/>
      <c r="L103" s="5"/>
    </row>
    <row r="104" spans="1:12" ht="15.75" customHeight="1" x14ac:dyDescent="0.35">
      <c r="A104" s="3" t="s">
        <v>102</v>
      </c>
      <c r="B104" s="7">
        <v>2387.5</v>
      </c>
      <c r="C104" s="4">
        <v>2372</v>
      </c>
      <c r="D104" s="15">
        <v>24.693116227222184</v>
      </c>
      <c r="E104" s="5">
        <v>775</v>
      </c>
      <c r="F104" s="5">
        <v>23</v>
      </c>
      <c r="G104" s="5"/>
      <c r="H104" s="5"/>
      <c r="I104" s="5"/>
      <c r="J104" s="5"/>
      <c r="K104" s="5"/>
      <c r="L104" s="5"/>
    </row>
    <row r="105" spans="1:12" ht="15.75" customHeight="1" x14ac:dyDescent="0.35">
      <c r="A105" s="3" t="s">
        <v>103</v>
      </c>
      <c r="B105" s="7">
        <v>340</v>
      </c>
      <c r="C105" s="4">
        <v>3482</v>
      </c>
      <c r="D105" s="15">
        <v>24.693116227222184</v>
      </c>
      <c r="E105" s="5">
        <v>1600</v>
      </c>
      <c r="F105" s="5">
        <v>23</v>
      </c>
      <c r="G105" s="5"/>
      <c r="H105" s="5"/>
      <c r="I105" s="5"/>
      <c r="J105" s="5"/>
      <c r="K105" s="5"/>
      <c r="L105" s="5"/>
    </row>
    <row r="106" spans="1:12" ht="15.75" customHeight="1" x14ac:dyDescent="0.35">
      <c r="A106" s="3" t="s">
        <v>104</v>
      </c>
      <c r="B106" s="7">
        <v>1533.3333333333301</v>
      </c>
      <c r="C106" s="4">
        <v>2555</v>
      </c>
      <c r="D106" s="15">
        <v>24.693116227222184</v>
      </c>
      <c r="E106" s="5">
        <v>1775</v>
      </c>
      <c r="F106" s="5">
        <v>23</v>
      </c>
      <c r="G106" s="5"/>
      <c r="H106" s="5"/>
      <c r="I106" s="5"/>
      <c r="J106" s="5"/>
      <c r="K106" s="5"/>
      <c r="L106" s="5"/>
    </row>
    <row r="107" spans="1:12" ht="15.75" customHeight="1" x14ac:dyDescent="0.35">
      <c r="A107" s="3" t="s">
        <v>105</v>
      </c>
      <c r="B107" s="7">
        <v>1675</v>
      </c>
      <c r="C107" s="4">
        <v>3665</v>
      </c>
      <c r="D107" s="15">
        <v>24.693116227222184</v>
      </c>
      <c r="E107" s="5">
        <v>1050</v>
      </c>
      <c r="F107" s="5">
        <v>23</v>
      </c>
      <c r="G107" s="5"/>
      <c r="H107" s="5"/>
      <c r="I107" s="5"/>
      <c r="J107" s="5"/>
      <c r="K107" s="5"/>
      <c r="L107" s="5"/>
    </row>
    <row r="108" spans="1:12" ht="15.75" customHeight="1" x14ac:dyDescent="0.35">
      <c r="A108" s="3" t="s">
        <v>106</v>
      </c>
      <c r="B108" s="7">
        <v>1731.25</v>
      </c>
      <c r="C108" s="4">
        <v>1904</v>
      </c>
      <c r="D108" s="15">
        <v>24.693116227222184</v>
      </c>
      <c r="E108" s="5">
        <v>4575</v>
      </c>
      <c r="F108" s="5">
        <v>23</v>
      </c>
      <c r="G108" s="5"/>
      <c r="H108" s="5"/>
      <c r="I108" s="5"/>
      <c r="J108" s="5"/>
      <c r="K108" s="5"/>
      <c r="L108" s="5"/>
    </row>
    <row r="109" spans="1:12" ht="15.75" customHeight="1" x14ac:dyDescent="0.35">
      <c r="A109" s="3" t="s">
        <v>107</v>
      </c>
      <c r="B109" s="7">
        <v>3650</v>
      </c>
      <c r="C109" s="4">
        <v>994</v>
      </c>
      <c r="D109" s="15">
        <v>24.693116227222184</v>
      </c>
      <c r="E109" s="5">
        <v>0</v>
      </c>
      <c r="F109" s="5">
        <v>23</v>
      </c>
      <c r="G109" s="5"/>
      <c r="H109" s="5"/>
      <c r="I109" s="5"/>
      <c r="J109" s="5"/>
      <c r="K109" s="5"/>
      <c r="L109" s="5"/>
    </row>
    <row r="110" spans="1:12" ht="15.75" customHeight="1" x14ac:dyDescent="0.35">
      <c r="A110" s="3" t="s">
        <v>108</v>
      </c>
      <c r="B110" s="7">
        <v>1450</v>
      </c>
      <c r="C110" s="4">
        <v>994</v>
      </c>
      <c r="D110" s="15">
        <v>24.693116227222184</v>
      </c>
      <c r="E110" s="5">
        <v>1500</v>
      </c>
      <c r="F110" s="5">
        <v>23</v>
      </c>
      <c r="G110" s="5"/>
      <c r="H110" s="5"/>
      <c r="I110" s="5"/>
      <c r="J110" s="5"/>
      <c r="K110" s="5"/>
      <c r="L110" s="5"/>
    </row>
    <row r="111" spans="1:12" ht="15.75" customHeight="1" x14ac:dyDescent="0.35">
      <c r="A111" s="3" t="s">
        <v>109</v>
      </c>
      <c r="B111" s="7">
        <v>1370</v>
      </c>
      <c r="C111" s="4">
        <v>3489</v>
      </c>
      <c r="D111" s="15">
        <v>24.693116227222184</v>
      </c>
      <c r="E111" s="5">
        <v>1020</v>
      </c>
      <c r="F111" s="5">
        <v>23</v>
      </c>
      <c r="G111" s="5"/>
      <c r="H111" s="5"/>
      <c r="I111" s="5"/>
      <c r="J111" s="5"/>
      <c r="K111" s="5"/>
      <c r="L111" s="5"/>
    </row>
    <row r="112" spans="1:12" ht="15.75" customHeight="1" x14ac:dyDescent="0.35">
      <c r="A112" s="3" t="s">
        <v>132</v>
      </c>
      <c r="B112" s="7">
        <v>900</v>
      </c>
      <c r="C112" s="4">
        <v>3162</v>
      </c>
      <c r="D112" s="15">
        <v>24.693116227222184</v>
      </c>
      <c r="E112" s="5">
        <v>175</v>
      </c>
      <c r="F112" s="5">
        <v>23</v>
      </c>
      <c r="G112" s="5"/>
      <c r="H112" s="5"/>
      <c r="I112" s="5"/>
      <c r="J112" s="5"/>
      <c r="K112" s="5"/>
      <c r="L112" s="5"/>
    </row>
    <row r="113" spans="1:12" ht="15.75" customHeight="1" x14ac:dyDescent="0.35">
      <c r="A113" s="3" t="s">
        <v>133</v>
      </c>
      <c r="B113" s="7">
        <v>2207.6923076923104</v>
      </c>
      <c r="C113" s="4">
        <v>3567</v>
      </c>
      <c r="D113" s="15">
        <v>24.693116227222184</v>
      </c>
      <c r="E113" s="5">
        <v>4225</v>
      </c>
      <c r="F113" s="5">
        <v>23</v>
      </c>
      <c r="G113" s="5"/>
      <c r="H113" s="5"/>
      <c r="I113" s="5"/>
      <c r="J113" s="5"/>
      <c r="K113" s="5"/>
      <c r="L113" s="5"/>
    </row>
    <row r="114" spans="1:12" ht="15.75" customHeight="1" x14ac:dyDescent="0.35">
      <c r="A114" s="3" t="s">
        <v>134</v>
      </c>
      <c r="B114" s="7">
        <v>1075</v>
      </c>
      <c r="C114" s="4">
        <v>3850</v>
      </c>
      <c r="D114" s="15">
        <v>24.693116227222184</v>
      </c>
      <c r="E114" s="5">
        <v>200</v>
      </c>
      <c r="F114" s="5">
        <v>23</v>
      </c>
      <c r="G114" s="5"/>
      <c r="H114" s="5"/>
      <c r="I114" s="5"/>
      <c r="J114" s="5"/>
      <c r="K114" s="5"/>
      <c r="L114" s="5"/>
    </row>
    <row r="115" spans="1:12" ht="15.75" customHeight="1" x14ac:dyDescent="0.35">
      <c r="A115" s="3" t="s">
        <v>135</v>
      </c>
      <c r="B115" s="7">
        <v>750</v>
      </c>
      <c r="C115" s="4">
        <v>1402</v>
      </c>
      <c r="D115" s="15">
        <v>24.693116227222184</v>
      </c>
      <c r="E115" s="5">
        <v>1000</v>
      </c>
      <c r="F115" s="5">
        <v>23</v>
      </c>
      <c r="G115" s="5"/>
      <c r="H115" s="5"/>
      <c r="I115" s="5"/>
      <c r="J115" s="5"/>
      <c r="K115" s="5"/>
      <c r="L115" s="5"/>
    </row>
    <row r="116" spans="1:12" ht="15.75" customHeight="1" x14ac:dyDescent="0.35">
      <c r="A116" s="3" t="s">
        <v>111</v>
      </c>
      <c r="B116" s="7">
        <v>1990.9333333333302</v>
      </c>
      <c r="C116" s="4">
        <v>6112</v>
      </c>
      <c r="D116" s="15">
        <v>24.693116227222184</v>
      </c>
      <c r="E116" s="5">
        <v>12444</v>
      </c>
      <c r="F116" s="5">
        <v>23</v>
      </c>
      <c r="G116" s="5"/>
      <c r="H116" s="5"/>
      <c r="I116" s="5"/>
      <c r="J116" s="5"/>
      <c r="K116" s="5"/>
      <c r="L116" s="5"/>
    </row>
    <row r="117" spans="1:12" ht="15.75" customHeight="1" x14ac:dyDescent="0.35">
      <c r="A117" s="3" t="s">
        <v>112</v>
      </c>
      <c r="B117" s="7">
        <v>1713.6666666666702</v>
      </c>
      <c r="C117" s="4">
        <v>2392</v>
      </c>
      <c r="D117" s="15">
        <v>24.693116227222184</v>
      </c>
      <c r="E117" s="5">
        <v>1100</v>
      </c>
      <c r="F117" s="5">
        <v>23</v>
      </c>
      <c r="G117" s="5"/>
      <c r="H117" s="5"/>
      <c r="I117" s="5"/>
      <c r="J117" s="5"/>
      <c r="K117" s="5"/>
      <c r="L117" s="5"/>
    </row>
    <row r="118" spans="1:12" ht="15.75" customHeight="1" x14ac:dyDescent="0.35">
      <c r="A118" s="3" t="s">
        <v>113</v>
      </c>
      <c r="B118" s="7">
        <v>534</v>
      </c>
      <c r="C118" s="4">
        <v>2651</v>
      </c>
      <c r="D118" s="15">
        <v>24.693116227222184</v>
      </c>
      <c r="E118" s="5">
        <v>775</v>
      </c>
      <c r="F118" s="5">
        <v>23</v>
      </c>
      <c r="G118" s="5"/>
      <c r="H118" s="5"/>
      <c r="I118" s="5"/>
      <c r="J118" s="5"/>
      <c r="K118" s="5"/>
      <c r="L118" s="5"/>
    </row>
    <row r="119" spans="1:12" ht="15.75" customHeight="1" x14ac:dyDescent="0.35">
      <c r="A119" s="3" t="s">
        <v>114</v>
      </c>
      <c r="B119" s="7">
        <v>1546</v>
      </c>
      <c r="C119" s="4">
        <v>4343</v>
      </c>
      <c r="D119" s="15">
        <v>24.693116227222184</v>
      </c>
      <c r="E119" s="5">
        <v>500</v>
      </c>
      <c r="F119" s="5">
        <v>23</v>
      </c>
      <c r="G119" s="5"/>
      <c r="H119" s="5"/>
      <c r="I119" s="5"/>
      <c r="J119" s="5"/>
      <c r="K119" s="5"/>
      <c r="L119" s="5"/>
    </row>
    <row r="120" spans="1:12" ht="15.75" customHeight="1" x14ac:dyDescent="0.35">
      <c r="A120" s="3" t="s">
        <v>115</v>
      </c>
      <c r="B120" s="7">
        <v>2021</v>
      </c>
      <c r="C120" s="4">
        <v>2970</v>
      </c>
      <c r="D120" s="15">
        <v>24.693116227222184</v>
      </c>
      <c r="E120" s="5">
        <v>700</v>
      </c>
      <c r="F120" s="5">
        <v>23</v>
      </c>
      <c r="G120" s="5"/>
      <c r="H120" s="5"/>
      <c r="I120" s="5"/>
      <c r="J120" s="5"/>
      <c r="K120" s="5"/>
      <c r="L120" s="5"/>
    </row>
    <row r="121" spans="1:12" ht="15.75" customHeight="1" x14ac:dyDescent="0.35">
      <c r="A121" s="3" t="s">
        <v>116</v>
      </c>
      <c r="B121" s="7">
        <v>1655</v>
      </c>
      <c r="C121" s="4">
        <v>2970</v>
      </c>
      <c r="D121" s="15">
        <v>24.693116227222184</v>
      </c>
      <c r="E121" s="5">
        <v>1075</v>
      </c>
      <c r="F121" s="5">
        <v>23</v>
      </c>
      <c r="G121" s="5"/>
      <c r="H121" s="5"/>
      <c r="I121" s="5"/>
      <c r="J121" s="5"/>
      <c r="K121" s="5"/>
      <c r="L121" s="5"/>
    </row>
    <row r="122" spans="1:12" ht="15.75" customHeight="1" x14ac:dyDescent="0.35">
      <c r="A122" s="3" t="s">
        <v>117</v>
      </c>
      <c r="B122" s="7">
        <v>1155</v>
      </c>
      <c r="C122" s="4">
        <v>2607</v>
      </c>
      <c r="D122" s="15">
        <v>24.693116227222184</v>
      </c>
      <c r="E122" s="5">
        <v>100</v>
      </c>
      <c r="F122" s="5">
        <v>23</v>
      </c>
      <c r="G122" s="5"/>
      <c r="H122" s="5"/>
      <c r="I122" s="5"/>
      <c r="J122" s="5"/>
      <c r="K122" s="5"/>
      <c r="L122" s="5"/>
    </row>
    <row r="123" spans="1:12" ht="15.75" customHeight="1" x14ac:dyDescent="0.35">
      <c r="A123" s="3" t="s">
        <v>118</v>
      </c>
      <c r="B123" s="7">
        <v>3312.5</v>
      </c>
      <c r="C123" s="4">
        <v>1928</v>
      </c>
      <c r="D123" s="15">
        <v>24.693116227222184</v>
      </c>
      <c r="E123" s="5">
        <v>1825</v>
      </c>
      <c r="F123" s="5">
        <v>23</v>
      </c>
      <c r="G123" s="5"/>
      <c r="H123" s="5"/>
      <c r="I123" s="5"/>
      <c r="J123" s="5"/>
      <c r="K123" s="5"/>
      <c r="L123" s="5"/>
    </row>
    <row r="124" spans="1:12" ht="15.75" customHeight="1" x14ac:dyDescent="0.35">
      <c r="A124" s="3" t="s">
        <v>119</v>
      </c>
      <c r="B124" s="7">
        <v>3675</v>
      </c>
      <c r="C124" s="4">
        <v>2129</v>
      </c>
      <c r="D124" s="15">
        <v>24.693116227222184</v>
      </c>
      <c r="E124" s="5">
        <v>2500</v>
      </c>
      <c r="F124" s="5">
        <v>23</v>
      </c>
      <c r="G124" s="5"/>
      <c r="H124" s="5"/>
      <c r="I124" s="5"/>
      <c r="J124" s="5"/>
      <c r="K124" s="5"/>
      <c r="L124" s="5"/>
    </row>
    <row r="125" spans="1:12" ht="15.75" customHeight="1" x14ac:dyDescent="0.35">
      <c r="A125" s="3" t="s">
        <v>120</v>
      </c>
      <c r="B125" s="7">
        <v>45632</v>
      </c>
      <c r="C125" s="4">
        <v>2177</v>
      </c>
      <c r="D125" s="15">
        <v>24.693116227222184</v>
      </c>
      <c r="E125" s="5">
        <v>4500</v>
      </c>
      <c r="F125" s="5">
        <v>23</v>
      </c>
      <c r="G125" s="5"/>
      <c r="H125" s="5"/>
      <c r="I125" s="5"/>
      <c r="J125" s="5"/>
      <c r="K125" s="5"/>
      <c r="L125" s="5"/>
    </row>
    <row r="126" spans="1:12" ht="15.75" customHeight="1" x14ac:dyDescent="0.35">
      <c r="A126" s="3" t="s">
        <v>121</v>
      </c>
      <c r="B126" s="7">
        <v>4770.909090909091</v>
      </c>
      <c r="C126" s="4">
        <v>2177</v>
      </c>
      <c r="D126" s="15">
        <v>24.693116227222184</v>
      </c>
      <c r="E126" s="5">
        <v>22505</v>
      </c>
      <c r="F126" s="5">
        <v>23</v>
      </c>
      <c r="G126" s="5"/>
      <c r="H126" s="5"/>
      <c r="I126" s="5"/>
      <c r="J126" s="5"/>
      <c r="K126" s="5"/>
      <c r="L126" s="5"/>
    </row>
    <row r="127" spans="1:12" ht="15.75" customHeight="1" x14ac:dyDescent="0.35">
      <c r="A127" s="3" t="s">
        <v>122</v>
      </c>
      <c r="B127" s="7">
        <v>13399.6</v>
      </c>
      <c r="C127" s="4">
        <v>2177</v>
      </c>
      <c r="D127" s="15">
        <v>24.693116227222184</v>
      </c>
      <c r="E127" s="5">
        <v>6809</v>
      </c>
      <c r="F127" s="5">
        <v>23</v>
      </c>
      <c r="G127" s="5"/>
      <c r="H127" s="5"/>
      <c r="I127" s="5"/>
      <c r="J127" s="5"/>
      <c r="K127" s="5"/>
      <c r="L127" s="5"/>
    </row>
    <row r="128" spans="1:12" ht="15.75" customHeight="1" x14ac:dyDescent="0.35">
      <c r="A128" s="3" t="s">
        <v>123</v>
      </c>
      <c r="B128" s="7">
        <v>3929.3333333333298</v>
      </c>
      <c r="C128" s="4">
        <v>1948</v>
      </c>
      <c r="D128" s="15">
        <v>24.693116227222184</v>
      </c>
      <c r="E128" s="5">
        <v>9450</v>
      </c>
      <c r="F128" s="5">
        <v>23</v>
      </c>
      <c r="G128" s="5"/>
      <c r="H128" s="5"/>
      <c r="I128" s="5"/>
      <c r="J128" s="5"/>
      <c r="K128" s="5"/>
      <c r="L128" s="5"/>
    </row>
    <row r="129" spans="1:12" ht="15.75" customHeight="1" x14ac:dyDescent="0.35">
      <c r="A129" s="3" t="s">
        <v>124</v>
      </c>
      <c r="B129" s="7">
        <v>2275</v>
      </c>
      <c r="C129" s="4">
        <v>1989</v>
      </c>
      <c r="D129" s="15">
        <v>24.693116227222184</v>
      </c>
      <c r="E129" s="5">
        <v>1425</v>
      </c>
      <c r="F129" s="5">
        <v>23</v>
      </c>
      <c r="G129" s="5"/>
      <c r="H129" s="5"/>
      <c r="I129" s="5"/>
      <c r="J129" s="5"/>
      <c r="K129" s="5"/>
      <c r="L129" s="5"/>
    </row>
    <row r="130" spans="1:12" ht="15.75" customHeight="1" x14ac:dyDescent="0.35">
      <c r="A130" s="3" t="s">
        <v>125</v>
      </c>
      <c r="B130" s="7">
        <v>7977.7777777777801</v>
      </c>
      <c r="C130" s="4">
        <v>2181</v>
      </c>
      <c r="D130" s="15">
        <v>24.693116227222184</v>
      </c>
      <c r="E130" s="5">
        <v>14725</v>
      </c>
      <c r="F130" s="5">
        <v>23</v>
      </c>
      <c r="G130" s="5"/>
      <c r="H130" s="5"/>
      <c r="I130" s="5"/>
      <c r="J130" s="5"/>
      <c r="K130" s="5"/>
      <c r="L130" s="5"/>
    </row>
    <row r="131" spans="1:12" ht="15.75" customHeight="1" x14ac:dyDescent="0.35">
      <c r="A131" s="3" t="s">
        <v>136</v>
      </c>
      <c r="B131" s="7">
        <v>9032.6923076923104</v>
      </c>
      <c r="C131" s="4">
        <v>2181</v>
      </c>
      <c r="D131" s="15">
        <v>24.693116227222184</v>
      </c>
      <c r="E131" s="5">
        <v>18675</v>
      </c>
      <c r="F131" s="5">
        <v>23</v>
      </c>
      <c r="G131" s="5"/>
      <c r="H131" s="5"/>
      <c r="I131" s="5"/>
      <c r="J131" s="5"/>
      <c r="K131" s="5"/>
      <c r="L131" s="5"/>
    </row>
    <row r="132" spans="1:12" ht="15.75" customHeight="1" x14ac:dyDescent="0.35">
      <c r="A132" s="3" t="s">
        <v>137</v>
      </c>
      <c r="B132" s="7">
        <v>14275</v>
      </c>
      <c r="C132" s="4">
        <v>2181</v>
      </c>
      <c r="D132" s="15">
        <v>24.693116227222184</v>
      </c>
      <c r="E132" s="5">
        <v>6800</v>
      </c>
      <c r="F132" s="5">
        <v>23</v>
      </c>
      <c r="G132" s="5"/>
      <c r="H132" s="5"/>
      <c r="I132" s="5"/>
      <c r="J132" s="5"/>
      <c r="K132" s="5"/>
      <c r="L132" s="5"/>
    </row>
    <row r="133" spans="1:12" ht="15.75" customHeight="1" x14ac:dyDescent="0.35">
      <c r="A133" s="3" t="s">
        <v>126</v>
      </c>
      <c r="B133" s="7">
        <v>1804.2</v>
      </c>
      <c r="C133" s="4">
        <v>2208</v>
      </c>
      <c r="D133" s="15">
        <v>24.693116227222184</v>
      </c>
      <c r="E133" s="5">
        <v>17809</v>
      </c>
      <c r="F133" s="5">
        <v>23</v>
      </c>
      <c r="G133" s="5"/>
      <c r="H133" s="5"/>
      <c r="I133" s="5"/>
      <c r="J133" s="5"/>
      <c r="K133" s="5"/>
      <c r="L133" s="5"/>
    </row>
    <row r="134" spans="1:12" ht="15.75" customHeight="1" x14ac:dyDescent="0.35">
      <c r="A134" s="3" t="s">
        <v>127</v>
      </c>
      <c r="B134" s="7">
        <v>0</v>
      </c>
      <c r="C134" s="4">
        <v>2245</v>
      </c>
      <c r="D134" s="15">
        <v>24.693116227222184</v>
      </c>
      <c r="E134" s="5">
        <v>1478</v>
      </c>
      <c r="F134" s="5">
        <v>23</v>
      </c>
      <c r="G134" s="5"/>
      <c r="H134" s="5"/>
      <c r="I134" s="5"/>
      <c r="J134" s="5"/>
      <c r="K134" s="5"/>
      <c r="L134" s="5"/>
    </row>
    <row r="135" spans="1:12" ht="15.75" customHeight="1" x14ac:dyDescent="0.35">
      <c r="A135" s="3" t="s">
        <v>128</v>
      </c>
      <c r="B135" s="7">
        <v>9697.5454545454504</v>
      </c>
      <c r="C135" s="4">
        <v>2355</v>
      </c>
      <c r="D135" s="15">
        <v>24.693116227222184</v>
      </c>
      <c r="E135" s="5">
        <v>66265</v>
      </c>
      <c r="F135" s="5">
        <v>23</v>
      </c>
      <c r="G135" s="5"/>
      <c r="H135" s="5"/>
      <c r="I135" s="5"/>
      <c r="J135" s="5"/>
      <c r="K135" s="5"/>
      <c r="L135" s="5"/>
    </row>
    <row r="136" spans="1:12" ht="15.75" customHeight="1" x14ac:dyDescent="0.35">
      <c r="A136" s="3" t="s">
        <v>138</v>
      </c>
      <c r="B136" s="7">
        <v>4098.6666666666697</v>
      </c>
      <c r="C136" s="4">
        <v>2021</v>
      </c>
      <c r="D136" s="15">
        <v>24.693116227222184</v>
      </c>
      <c r="E136" s="5">
        <v>6150</v>
      </c>
      <c r="F136" s="5">
        <v>23</v>
      </c>
      <c r="G136" s="5"/>
      <c r="H136" s="5"/>
      <c r="I136" s="5"/>
      <c r="J136" s="5"/>
      <c r="K136" s="5"/>
      <c r="L136" s="5"/>
    </row>
    <row r="137" spans="1:12" ht="15.75" customHeight="1" x14ac:dyDescent="0.35">
      <c r="A137" s="3" t="s">
        <v>139</v>
      </c>
      <c r="B137" s="7">
        <v>8205.5</v>
      </c>
      <c r="C137" s="4">
        <v>2021</v>
      </c>
      <c r="D137" s="15">
        <v>24.693116227222184</v>
      </c>
      <c r="E137" s="5">
        <v>2825</v>
      </c>
      <c r="F137" s="5">
        <v>23</v>
      </c>
      <c r="G137" s="5"/>
      <c r="H137" s="5"/>
      <c r="I137" s="5"/>
      <c r="J137" s="5"/>
      <c r="K137" s="5"/>
      <c r="L137" s="5"/>
    </row>
    <row r="138" spans="1:12" ht="15.75" customHeight="1" x14ac:dyDescent="0.35">
      <c r="A138" s="3" t="s">
        <v>140</v>
      </c>
      <c r="B138" s="7">
        <v>10453.888888888901</v>
      </c>
      <c r="C138" s="4">
        <v>2021</v>
      </c>
      <c r="D138" s="15">
        <v>24.693116227222184</v>
      </c>
      <c r="E138" s="5">
        <v>11195</v>
      </c>
      <c r="F138" s="5">
        <v>23</v>
      </c>
      <c r="G138" s="5"/>
      <c r="H138" s="5"/>
      <c r="I138" s="5"/>
      <c r="J138" s="5"/>
      <c r="K138" s="5"/>
      <c r="L138" s="5"/>
    </row>
    <row r="139" spans="1:12" ht="15.75" customHeight="1" x14ac:dyDescent="0.35">
      <c r="A139" s="3" t="s">
        <v>141</v>
      </c>
      <c r="B139" s="7">
        <v>4300</v>
      </c>
      <c r="C139" s="4">
        <v>2846</v>
      </c>
      <c r="D139" s="15">
        <v>24.693116227222184</v>
      </c>
      <c r="E139" s="5">
        <v>12444</v>
      </c>
      <c r="F139" s="5">
        <v>23</v>
      </c>
      <c r="G139" s="5"/>
      <c r="H139" s="5"/>
      <c r="I139" s="5"/>
      <c r="J139" s="5"/>
      <c r="K139" s="5"/>
      <c r="L139" s="5"/>
    </row>
    <row r="140" spans="1:12" ht="15.75" customHeight="1" x14ac:dyDescent="0.35">
      <c r="A140" s="3" t="s">
        <v>142</v>
      </c>
      <c r="B140" s="7">
        <v>3558</v>
      </c>
      <c r="C140" s="4">
        <v>7550</v>
      </c>
      <c r="D140" s="15">
        <v>24.693116227222184</v>
      </c>
      <c r="E140" s="5">
        <v>13014</v>
      </c>
      <c r="F140" s="5">
        <v>23</v>
      </c>
      <c r="G140" s="5"/>
      <c r="H140" s="5"/>
      <c r="I140" s="5"/>
      <c r="J140" s="5"/>
      <c r="K140" s="5"/>
      <c r="L140" s="5"/>
    </row>
    <row r="141" spans="1:12" ht="15.75" customHeight="1" x14ac:dyDescent="0.35">
      <c r="A141" s="3" t="s">
        <v>143</v>
      </c>
      <c r="B141" s="7">
        <v>1780</v>
      </c>
      <c r="C141" s="4">
        <v>2658</v>
      </c>
      <c r="D141" s="15">
        <v>24.693116227222184</v>
      </c>
      <c r="E141" s="5">
        <v>2425</v>
      </c>
      <c r="F141" s="5">
        <v>23</v>
      </c>
      <c r="G141" s="5"/>
      <c r="H141" s="5"/>
      <c r="I141" s="5"/>
      <c r="J141" s="5"/>
      <c r="K141" s="5"/>
      <c r="L141" s="5"/>
    </row>
    <row r="142" spans="1:12" ht="15.75" customHeight="1" x14ac:dyDescent="0.35">
      <c r="A142" s="3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75" customHeight="1" x14ac:dyDescent="0.35">
      <c r="A143" s="3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75" customHeight="1" x14ac:dyDescent="0.35">
      <c r="A144" s="3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75" customHeight="1" x14ac:dyDescent="0.35">
      <c r="A145" s="3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75" customHeight="1" x14ac:dyDescent="0.35">
      <c r="A146" s="3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75" customHeight="1" x14ac:dyDescent="0.35">
      <c r="A147" s="3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75" customHeight="1" x14ac:dyDescent="0.35">
      <c r="A148" s="3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75" customHeight="1" x14ac:dyDescent="0.35">
      <c r="A149" s="3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75" customHeight="1" x14ac:dyDescent="0.35">
      <c r="A150" s="3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75" customHeight="1" x14ac:dyDescent="0.35">
      <c r="A151" s="3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75" customHeight="1" x14ac:dyDescent="0.35">
      <c r="A152" s="3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75" customHeight="1" x14ac:dyDescent="0.35">
      <c r="A153" s="3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75" customHeight="1" x14ac:dyDescent="0.35">
      <c r="A154" s="3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75" customHeight="1" x14ac:dyDescent="0.35">
      <c r="A155" s="3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75" customHeight="1" x14ac:dyDescent="0.35">
      <c r="A156" s="3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75" customHeight="1" x14ac:dyDescent="0.35">
      <c r="A157" s="3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75" customHeight="1" x14ac:dyDescent="0.35">
      <c r="A158" s="3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75" customHeight="1" x14ac:dyDescent="0.35">
      <c r="A159" s="3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75" customHeight="1" x14ac:dyDescent="0.35">
      <c r="A160" s="3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75" customHeight="1" x14ac:dyDescent="0.35">
      <c r="A161" s="3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75" customHeight="1" x14ac:dyDescent="0.35">
      <c r="A162" s="3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75" customHeight="1" x14ac:dyDescent="0.35">
      <c r="A163" s="3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75" customHeight="1" x14ac:dyDescent="0.35">
      <c r="A164" s="3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75" customHeight="1" x14ac:dyDescent="0.35">
      <c r="A165" s="3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75" customHeight="1" x14ac:dyDescent="0.35">
      <c r="A166" s="3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75" customHeight="1" x14ac:dyDescent="0.35">
      <c r="A167" s="3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75" customHeight="1" x14ac:dyDescent="0.35">
      <c r="A168" s="3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75" customHeight="1" x14ac:dyDescent="0.35">
      <c r="A169" s="3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75" customHeight="1" x14ac:dyDescent="0.35">
      <c r="A170" s="3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75" customHeight="1" x14ac:dyDescent="0.35">
      <c r="A171" s="3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75" customHeight="1" x14ac:dyDescent="0.35">
      <c r="A172" s="3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75" customHeight="1" x14ac:dyDescent="0.35">
      <c r="A173" s="3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75" customHeight="1" x14ac:dyDescent="0.35">
      <c r="A174" s="3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75" customHeight="1" x14ac:dyDescent="0.35">
      <c r="A175" s="3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75" customHeight="1" x14ac:dyDescent="0.35">
      <c r="A176" s="3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75" customHeight="1" x14ac:dyDescent="0.35">
      <c r="A177" s="3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75" customHeight="1" x14ac:dyDescent="0.35">
      <c r="A178" s="3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75" customHeight="1" x14ac:dyDescent="0.35">
      <c r="A179" s="3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75" customHeight="1" x14ac:dyDescent="0.35">
      <c r="A180" s="3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75" customHeight="1" x14ac:dyDescent="0.35">
      <c r="A181" s="3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75" customHeight="1" x14ac:dyDescent="0.35">
      <c r="A182" s="3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75" customHeight="1" x14ac:dyDescent="0.35">
      <c r="A183" s="3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75" customHeight="1" x14ac:dyDescent="0.35">
      <c r="A184" s="3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75" customHeight="1" x14ac:dyDescent="0.35">
      <c r="A185" s="3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75" customHeight="1" x14ac:dyDescent="0.35">
      <c r="A186" s="3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75" customHeight="1" x14ac:dyDescent="0.35">
      <c r="A187" s="3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75" customHeight="1" x14ac:dyDescent="0.35">
      <c r="A188" s="3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75" customHeight="1" x14ac:dyDescent="0.35">
      <c r="A189" s="3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75" customHeight="1" x14ac:dyDescent="0.35">
      <c r="A190" s="3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75" customHeight="1" x14ac:dyDescent="0.35">
      <c r="A191" s="3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75" customHeight="1" x14ac:dyDescent="0.35">
      <c r="A192" s="3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75" customHeight="1" x14ac:dyDescent="0.35">
      <c r="A193" s="3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75" customHeight="1" x14ac:dyDescent="0.35">
      <c r="A194" s="3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75" customHeight="1" x14ac:dyDescent="0.35">
      <c r="A195" s="3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75" customHeight="1" x14ac:dyDescent="0.35">
      <c r="A196" s="3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75" customHeight="1" x14ac:dyDescent="0.35">
      <c r="A197" s="3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75" customHeight="1" x14ac:dyDescent="0.35">
      <c r="A198" s="3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75" customHeight="1" x14ac:dyDescent="0.35">
      <c r="A199" s="3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75" customHeight="1" x14ac:dyDescent="0.35">
      <c r="A200" s="3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75" customHeight="1" x14ac:dyDescent="0.35">
      <c r="A201" s="3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75" customHeight="1" x14ac:dyDescent="0.35">
      <c r="A202" s="3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75" customHeight="1" x14ac:dyDescent="0.35">
      <c r="A203" s="3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75" customHeight="1" x14ac:dyDescent="0.35">
      <c r="A204" s="3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75" customHeight="1" x14ac:dyDescent="0.35">
      <c r="A205" s="3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75" customHeight="1" x14ac:dyDescent="0.35">
      <c r="A206" s="3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75" customHeight="1" x14ac:dyDescent="0.35">
      <c r="A207" s="3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75" customHeight="1" x14ac:dyDescent="0.35">
      <c r="A208" s="3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75" customHeight="1" x14ac:dyDescent="0.35">
      <c r="A209" s="3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75" customHeight="1" x14ac:dyDescent="0.35">
      <c r="A210" s="3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75" customHeight="1" x14ac:dyDescent="0.35">
      <c r="A211" s="3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75" customHeight="1" x14ac:dyDescent="0.35">
      <c r="A212" s="3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75" customHeight="1" x14ac:dyDescent="0.35">
      <c r="A213" s="3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75" customHeight="1" x14ac:dyDescent="0.35">
      <c r="A214" s="3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75" customHeight="1" x14ac:dyDescent="0.35">
      <c r="A215" s="3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75" customHeight="1" x14ac:dyDescent="0.35">
      <c r="A216" s="3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75" customHeight="1" x14ac:dyDescent="0.35">
      <c r="A217" s="3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75" customHeight="1" x14ac:dyDescent="0.35">
      <c r="A218" s="3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75" customHeight="1" x14ac:dyDescent="0.35">
      <c r="A219" s="3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75" customHeight="1" x14ac:dyDescent="0.35">
      <c r="A220" s="3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75" customHeight="1" x14ac:dyDescent="0.35">
      <c r="A221" s="3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75" customHeight="1" x14ac:dyDescent="0.35">
      <c r="A222" s="3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75" customHeight="1" x14ac:dyDescent="0.35">
      <c r="A223" s="3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75" customHeight="1" x14ac:dyDescent="0.35">
      <c r="A224" s="3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75" customHeight="1" x14ac:dyDescent="0.35">
      <c r="A225" s="3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75" customHeight="1" x14ac:dyDescent="0.35">
      <c r="A226" s="3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75" customHeight="1" x14ac:dyDescent="0.35">
      <c r="A227" s="3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75" customHeight="1" x14ac:dyDescent="0.35">
      <c r="A228" s="3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75" customHeight="1" x14ac:dyDescent="0.35">
      <c r="A229" s="3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75" customHeight="1" x14ac:dyDescent="0.35">
      <c r="A230" s="3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75" customHeight="1" x14ac:dyDescent="0.35">
      <c r="A231" s="3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75" customHeight="1" x14ac:dyDescent="0.35">
      <c r="A232" s="3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75" customHeight="1" x14ac:dyDescent="0.35">
      <c r="A233" s="3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75" customHeight="1" x14ac:dyDescent="0.35">
      <c r="A234" s="3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75" customHeight="1" x14ac:dyDescent="0.35">
      <c r="A235" s="3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75" customHeight="1" x14ac:dyDescent="0.35">
      <c r="A236" s="3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75" customHeight="1" x14ac:dyDescent="0.35">
      <c r="A237" s="3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75" customHeight="1" x14ac:dyDescent="0.35">
      <c r="A238" s="3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75" customHeight="1" x14ac:dyDescent="0.35">
      <c r="A239" s="3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75" customHeight="1" x14ac:dyDescent="0.35">
      <c r="A240" s="3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75" customHeight="1" x14ac:dyDescent="0.35">
      <c r="A241" s="3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75" customHeight="1" x14ac:dyDescent="0.35">
      <c r="A242" s="3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75" customHeight="1" x14ac:dyDescent="0.35">
      <c r="A243" s="3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75" customHeight="1" x14ac:dyDescent="0.35">
      <c r="A244" s="3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75" customHeight="1" x14ac:dyDescent="0.35">
      <c r="A245" s="3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75" customHeight="1" x14ac:dyDescent="0.35">
      <c r="A246" s="3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75" customHeight="1" x14ac:dyDescent="0.35">
      <c r="A247" s="3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75" customHeight="1" x14ac:dyDescent="0.35">
      <c r="A248" s="3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75" customHeight="1" x14ac:dyDescent="0.35">
      <c r="A249" s="3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75" customHeight="1" x14ac:dyDescent="0.35">
      <c r="A250" s="3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75" customHeight="1" x14ac:dyDescent="0.35">
      <c r="A251" s="3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75" customHeight="1" x14ac:dyDescent="0.35">
      <c r="A252" s="3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75" customHeight="1" x14ac:dyDescent="0.35">
      <c r="A253" s="3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75" customHeight="1" x14ac:dyDescent="0.35">
      <c r="A254" s="3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75" customHeight="1" x14ac:dyDescent="0.35">
      <c r="A255" s="3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75" customHeight="1" x14ac:dyDescent="0.35">
      <c r="A256" s="3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75" customHeight="1" x14ac:dyDescent="0.35">
      <c r="A257" s="3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75" customHeight="1" x14ac:dyDescent="0.35">
      <c r="A258" s="3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75" customHeight="1" x14ac:dyDescent="0.35">
      <c r="A259" s="3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75" customHeight="1" x14ac:dyDescent="0.35">
      <c r="A260" s="3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75" customHeight="1" x14ac:dyDescent="0.35">
      <c r="A261" s="3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75" customHeight="1" x14ac:dyDescent="0.35">
      <c r="A262" s="3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75" customHeight="1" x14ac:dyDescent="0.35">
      <c r="A263" s="3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75" customHeight="1" x14ac:dyDescent="0.35">
      <c r="A264" s="3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75" customHeight="1" x14ac:dyDescent="0.35">
      <c r="A265" s="3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75" customHeight="1" x14ac:dyDescent="0.35">
      <c r="A266" s="3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75" customHeight="1" x14ac:dyDescent="0.35">
      <c r="A267" s="3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75" customHeight="1" x14ac:dyDescent="0.35">
      <c r="A268" s="3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75" customHeight="1" x14ac:dyDescent="0.35">
      <c r="A269" s="3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75" customHeight="1" x14ac:dyDescent="0.35">
      <c r="A270" s="3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75" customHeight="1" x14ac:dyDescent="0.35">
      <c r="A271" s="3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75" customHeight="1" x14ac:dyDescent="0.35">
      <c r="A272" s="3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75" customHeight="1" x14ac:dyDescent="0.35">
      <c r="A273" s="3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75" customHeight="1" x14ac:dyDescent="0.35">
      <c r="A274" s="3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75" customHeight="1" x14ac:dyDescent="0.35">
      <c r="A275" s="3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75" customHeight="1" x14ac:dyDescent="0.35">
      <c r="A276" s="3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75" customHeight="1" x14ac:dyDescent="0.35">
      <c r="A277" s="3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75" customHeight="1" x14ac:dyDescent="0.35">
      <c r="A278" s="3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75" customHeight="1" x14ac:dyDescent="0.35">
      <c r="A279" s="3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75" customHeight="1" x14ac:dyDescent="0.35">
      <c r="A280" s="3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75" customHeight="1" x14ac:dyDescent="0.35">
      <c r="A281" s="3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75" customHeight="1" x14ac:dyDescent="0.35">
      <c r="A282" s="3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75" customHeight="1" x14ac:dyDescent="0.35">
      <c r="A283" s="3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75" customHeight="1" x14ac:dyDescent="0.35">
      <c r="A284" s="3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75" customHeight="1" x14ac:dyDescent="0.35">
      <c r="A285" s="3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75" customHeight="1" x14ac:dyDescent="0.35">
      <c r="A286" s="3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75" customHeight="1" x14ac:dyDescent="0.35">
      <c r="A287" s="3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75" customHeight="1" x14ac:dyDescent="0.35">
      <c r="A288" s="3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75" customHeight="1" x14ac:dyDescent="0.35">
      <c r="A289" s="3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75" customHeight="1" x14ac:dyDescent="0.35">
      <c r="A290" s="3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75" customHeight="1" x14ac:dyDescent="0.35">
      <c r="A291" s="3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75" customHeight="1" x14ac:dyDescent="0.35">
      <c r="A292" s="3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75" customHeight="1" x14ac:dyDescent="0.35">
      <c r="A293" s="3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75" customHeight="1" x14ac:dyDescent="0.35">
      <c r="A294" s="3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75" customHeight="1" x14ac:dyDescent="0.35">
      <c r="A295" s="3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75" customHeight="1" x14ac:dyDescent="0.35">
      <c r="A296" s="3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75" customHeight="1" x14ac:dyDescent="0.35">
      <c r="A297" s="3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75" customHeight="1" x14ac:dyDescent="0.35">
      <c r="A298" s="3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75" customHeight="1" x14ac:dyDescent="0.35">
      <c r="A299" s="3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75" customHeight="1" x14ac:dyDescent="0.35">
      <c r="A300" s="3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75" customHeight="1" x14ac:dyDescent="0.35">
      <c r="A301" s="3"/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75" customHeight="1" x14ac:dyDescent="0.35">
      <c r="A302" s="3"/>
      <c r="B302" s="5"/>
      <c r="C302" s="6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75" customHeight="1" x14ac:dyDescent="0.35">
      <c r="A303" s="3"/>
      <c r="B303" s="5"/>
      <c r="C303" s="6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75" customHeight="1" x14ac:dyDescent="0.35">
      <c r="A304" s="3"/>
      <c r="B304" s="5"/>
      <c r="C304" s="6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75" customHeight="1" x14ac:dyDescent="0.35">
      <c r="A305" s="3"/>
      <c r="B305" s="5"/>
      <c r="C305" s="6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75" customHeight="1" x14ac:dyDescent="0.35">
      <c r="A306" s="3"/>
      <c r="B306" s="5"/>
      <c r="C306" s="6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75" customHeight="1" x14ac:dyDescent="0.35">
      <c r="A307" s="3"/>
      <c r="B307" s="5"/>
      <c r="C307" s="6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75" customHeight="1" x14ac:dyDescent="0.35">
      <c r="A308" s="3"/>
      <c r="B308" s="5"/>
      <c r="C308" s="6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75" customHeight="1" x14ac:dyDescent="0.35">
      <c r="A309" s="3"/>
      <c r="B309" s="5"/>
      <c r="C309" s="6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75" customHeight="1" x14ac:dyDescent="0.35">
      <c r="A310" s="3"/>
      <c r="B310" s="5"/>
      <c r="C310" s="6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75" customHeight="1" x14ac:dyDescent="0.35">
      <c r="A311" s="3"/>
      <c r="B311" s="5"/>
      <c r="C311" s="6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75" customHeight="1" x14ac:dyDescent="0.35">
      <c r="A312" s="3"/>
      <c r="B312" s="5"/>
      <c r="C312" s="6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75" customHeight="1" x14ac:dyDescent="0.35">
      <c r="A313" s="3"/>
      <c r="B313" s="5"/>
      <c r="C313" s="6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75" customHeight="1" x14ac:dyDescent="0.35">
      <c r="A314" s="3"/>
      <c r="B314" s="5"/>
      <c r="C314" s="6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75" customHeight="1" x14ac:dyDescent="0.35">
      <c r="A315" s="3"/>
      <c r="B315" s="5"/>
      <c r="C315" s="6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75" customHeight="1" x14ac:dyDescent="0.35">
      <c r="A316" s="3"/>
      <c r="B316" s="5"/>
      <c r="C316" s="6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75" customHeight="1" x14ac:dyDescent="0.35">
      <c r="A317" s="3"/>
      <c r="B317" s="5"/>
      <c r="C317" s="6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75" customHeight="1" x14ac:dyDescent="0.35">
      <c r="A318" s="3"/>
      <c r="B318" s="5"/>
      <c r="C318" s="6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75" customHeight="1" x14ac:dyDescent="0.35">
      <c r="A319" s="3"/>
      <c r="B319" s="5"/>
      <c r="C319" s="6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75" customHeight="1" x14ac:dyDescent="0.35">
      <c r="A320" s="3"/>
      <c r="B320" s="5"/>
      <c r="C320" s="6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75" customHeight="1" x14ac:dyDescent="0.35">
      <c r="A321" s="3"/>
      <c r="B321" s="5"/>
      <c r="C321" s="6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75" customHeight="1" x14ac:dyDescent="0.35">
      <c r="A322" s="3"/>
      <c r="B322" s="5"/>
      <c r="C322" s="6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75" customHeight="1" x14ac:dyDescent="0.35">
      <c r="A323" s="3"/>
      <c r="B323" s="5"/>
      <c r="C323" s="6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75" customHeight="1" x14ac:dyDescent="0.35">
      <c r="A324" s="3"/>
      <c r="B324" s="5"/>
      <c r="C324" s="6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75" customHeight="1" x14ac:dyDescent="0.35">
      <c r="A325" s="3"/>
      <c r="B325" s="5"/>
      <c r="C325" s="6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75" customHeight="1" x14ac:dyDescent="0.35">
      <c r="A326" s="3"/>
      <c r="B326" s="5"/>
      <c r="C326" s="6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75" customHeight="1" x14ac:dyDescent="0.35">
      <c r="A327" s="3"/>
      <c r="B327" s="5"/>
      <c r="C327" s="6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75" customHeight="1" x14ac:dyDescent="0.35">
      <c r="A328" s="3"/>
      <c r="B328" s="5"/>
      <c r="C328" s="6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75" customHeight="1" x14ac:dyDescent="0.35">
      <c r="A329" s="3"/>
      <c r="B329" s="5"/>
      <c r="C329" s="6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75" customHeight="1" x14ac:dyDescent="0.35">
      <c r="A330" s="3"/>
      <c r="B330" s="5"/>
      <c r="C330" s="6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75" customHeight="1" x14ac:dyDescent="0.35">
      <c r="A331" s="3"/>
      <c r="B331" s="5"/>
      <c r="C331" s="6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75" customHeight="1" x14ac:dyDescent="0.35">
      <c r="A332" s="3"/>
      <c r="B332" s="5"/>
      <c r="C332" s="6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75" customHeight="1" x14ac:dyDescent="0.35">
      <c r="A333" s="3"/>
      <c r="B333" s="5"/>
      <c r="C333" s="6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75" customHeight="1" x14ac:dyDescent="0.35">
      <c r="A334" s="3"/>
      <c r="B334" s="5"/>
      <c r="C334" s="6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75" customHeight="1" x14ac:dyDescent="0.35">
      <c r="A335" s="3"/>
      <c r="B335" s="5"/>
      <c r="C335" s="6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75" customHeight="1" x14ac:dyDescent="0.35">
      <c r="A336" s="3"/>
      <c r="B336" s="5"/>
      <c r="C336" s="6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75" customHeight="1" x14ac:dyDescent="0.35">
      <c r="A337" s="3"/>
      <c r="B337" s="5"/>
      <c r="C337" s="6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75" customHeight="1" x14ac:dyDescent="0.35">
      <c r="A338" s="3"/>
      <c r="B338" s="5"/>
      <c r="C338" s="6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75" customHeight="1" x14ac:dyDescent="0.35">
      <c r="A339" s="3"/>
      <c r="B339" s="5"/>
      <c r="C339" s="6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75" customHeight="1" x14ac:dyDescent="0.35">
      <c r="A340" s="3"/>
      <c r="B340" s="5"/>
      <c r="C340" s="6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75" customHeight="1" x14ac:dyDescent="0.35">
      <c r="A341" s="3"/>
      <c r="B341" s="5"/>
      <c r="C341" s="6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75" customHeight="1" x14ac:dyDescent="0.35">
      <c r="A342" s="3"/>
      <c r="B342" s="5"/>
      <c r="C342" s="6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75" customHeight="1" x14ac:dyDescent="0.35">
      <c r="A343" s="3"/>
      <c r="B343" s="5"/>
      <c r="C343" s="6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75" customHeight="1" x14ac:dyDescent="0.35">
      <c r="A344" s="3"/>
      <c r="B344" s="5"/>
      <c r="C344" s="6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75" customHeight="1" x14ac:dyDescent="0.35">
      <c r="A345" s="3"/>
      <c r="B345" s="5"/>
      <c r="C345" s="6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75" customHeight="1" x14ac:dyDescent="0.35">
      <c r="A346" s="3"/>
      <c r="B346" s="5"/>
      <c r="C346" s="6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75" customHeight="1" x14ac:dyDescent="0.35">
      <c r="A347" s="3"/>
      <c r="B347" s="5"/>
      <c r="C347" s="6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75" customHeight="1" x14ac:dyDescent="0.35">
      <c r="A348" s="3"/>
      <c r="B348" s="5"/>
      <c r="C348" s="6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75" customHeight="1" x14ac:dyDescent="0.35">
      <c r="A349" s="3"/>
      <c r="B349" s="5"/>
      <c r="C349" s="6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75" customHeight="1" x14ac:dyDescent="0.35">
      <c r="A350" s="3"/>
      <c r="B350" s="5"/>
      <c r="C350" s="6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75" customHeight="1" x14ac:dyDescent="0.35">
      <c r="A351" s="3"/>
      <c r="B351" s="5"/>
      <c r="C351" s="6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75" customHeight="1" x14ac:dyDescent="0.35">
      <c r="A352" s="3"/>
      <c r="B352" s="5"/>
      <c r="C352" s="6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75" customHeight="1" x14ac:dyDescent="0.35">
      <c r="A353" s="3"/>
      <c r="B353" s="5"/>
      <c r="C353" s="6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75" customHeight="1" x14ac:dyDescent="0.35">
      <c r="A354" s="3"/>
      <c r="B354" s="5"/>
      <c r="C354" s="6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75" customHeight="1" x14ac:dyDescent="0.35">
      <c r="A355" s="3"/>
      <c r="B355" s="5"/>
      <c r="C355" s="6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75" customHeight="1" x14ac:dyDescent="0.35">
      <c r="A356" s="3"/>
      <c r="B356" s="5"/>
      <c r="C356" s="6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75" customHeight="1" x14ac:dyDescent="0.35">
      <c r="A357" s="3"/>
      <c r="B357" s="5"/>
      <c r="C357" s="6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75" customHeight="1" x14ac:dyDescent="0.35">
      <c r="A358" s="3"/>
      <c r="B358" s="5"/>
      <c r="C358" s="6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75" customHeight="1" x14ac:dyDescent="0.35">
      <c r="A359" s="3"/>
      <c r="B359" s="5"/>
      <c r="C359" s="6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75" customHeight="1" x14ac:dyDescent="0.35">
      <c r="A360" s="3"/>
      <c r="B360" s="5"/>
      <c r="C360" s="6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75" customHeight="1" x14ac:dyDescent="0.35">
      <c r="A361" s="3"/>
      <c r="B361" s="5"/>
      <c r="C361" s="6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75" customHeight="1" x14ac:dyDescent="0.35">
      <c r="A362" s="3"/>
      <c r="B362" s="5"/>
      <c r="C362" s="6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75" customHeight="1" x14ac:dyDescent="0.35">
      <c r="A363" s="3"/>
      <c r="B363" s="5"/>
      <c r="C363" s="6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75" customHeight="1" x14ac:dyDescent="0.35">
      <c r="A364" s="3"/>
      <c r="B364" s="5"/>
      <c r="C364" s="6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75" customHeight="1" x14ac:dyDescent="0.35">
      <c r="A365" s="3"/>
      <c r="B365" s="5"/>
      <c r="C365" s="6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75" customHeight="1" x14ac:dyDescent="0.35">
      <c r="A366" s="3"/>
      <c r="B366" s="5"/>
      <c r="C366" s="6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75" customHeight="1" x14ac:dyDescent="0.35">
      <c r="A367" s="3"/>
      <c r="B367" s="5"/>
      <c r="C367" s="6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75" customHeight="1" x14ac:dyDescent="0.35">
      <c r="A368" s="3"/>
      <c r="B368" s="5"/>
      <c r="C368" s="6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75" customHeight="1" x14ac:dyDescent="0.35">
      <c r="A369" s="3"/>
      <c r="B369" s="5"/>
      <c r="C369" s="6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75" customHeight="1" x14ac:dyDescent="0.35">
      <c r="A370" s="3"/>
      <c r="B370" s="5"/>
      <c r="C370" s="6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75" customHeight="1" x14ac:dyDescent="0.35">
      <c r="A371" s="3"/>
      <c r="B371" s="5"/>
      <c r="C371" s="6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75" customHeight="1" x14ac:dyDescent="0.35">
      <c r="A372" s="3"/>
      <c r="B372" s="5"/>
      <c r="C372" s="6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75" customHeight="1" x14ac:dyDescent="0.35">
      <c r="A373" s="3"/>
      <c r="B373" s="5"/>
      <c r="C373" s="6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75" customHeight="1" x14ac:dyDescent="0.35">
      <c r="A374" s="3"/>
      <c r="B374" s="5"/>
      <c r="C374" s="6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75" customHeight="1" x14ac:dyDescent="0.35">
      <c r="A375" s="3"/>
      <c r="B375" s="5"/>
      <c r="C375" s="6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75" customHeight="1" x14ac:dyDescent="0.35">
      <c r="A376" s="3"/>
      <c r="B376" s="5"/>
      <c r="C376" s="6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75" customHeight="1" x14ac:dyDescent="0.35">
      <c r="A377" s="3"/>
      <c r="B377" s="5"/>
      <c r="C377" s="6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75" customHeight="1" x14ac:dyDescent="0.35">
      <c r="A378" s="3"/>
      <c r="B378" s="5"/>
      <c r="C378" s="6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75" customHeight="1" x14ac:dyDescent="0.35">
      <c r="A379" s="3"/>
      <c r="B379" s="5"/>
      <c r="C379" s="6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75" customHeight="1" x14ac:dyDescent="0.35">
      <c r="A380" s="3"/>
      <c r="B380" s="5"/>
      <c r="C380" s="6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75" customHeight="1" x14ac:dyDescent="0.35">
      <c r="A381" s="3"/>
      <c r="B381" s="5"/>
      <c r="C381" s="6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75" customHeight="1" x14ac:dyDescent="0.35">
      <c r="A382" s="3"/>
      <c r="B382" s="5"/>
      <c r="C382" s="6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75" customHeight="1" x14ac:dyDescent="0.35">
      <c r="A383" s="3"/>
      <c r="B383" s="5"/>
      <c r="C383" s="6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75" customHeight="1" x14ac:dyDescent="0.35">
      <c r="A384" s="3"/>
      <c r="B384" s="5"/>
      <c r="C384" s="6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75" customHeight="1" x14ac:dyDescent="0.35">
      <c r="A385" s="3"/>
      <c r="B385" s="5"/>
      <c r="C385" s="6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75" customHeight="1" x14ac:dyDescent="0.35">
      <c r="A386" s="3"/>
      <c r="B386" s="5"/>
      <c r="C386" s="6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75" customHeight="1" x14ac:dyDescent="0.35">
      <c r="A387" s="3"/>
      <c r="B387" s="5"/>
      <c r="C387" s="6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75" customHeight="1" x14ac:dyDescent="0.35">
      <c r="A388" s="3"/>
      <c r="B388" s="5"/>
      <c r="C388" s="6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75" customHeight="1" x14ac:dyDescent="0.35">
      <c r="A389" s="3"/>
      <c r="B389" s="5"/>
      <c r="C389" s="6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75" customHeight="1" x14ac:dyDescent="0.35">
      <c r="A390" s="3"/>
      <c r="B390" s="5"/>
      <c r="C390" s="6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75" customHeight="1" x14ac:dyDescent="0.35">
      <c r="A391" s="3"/>
      <c r="B391" s="5"/>
      <c r="C391" s="6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75" customHeight="1" x14ac:dyDescent="0.35">
      <c r="A392" s="3"/>
      <c r="B392" s="5"/>
      <c r="C392" s="6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75" customHeight="1" x14ac:dyDescent="0.35">
      <c r="A393" s="3"/>
      <c r="B393" s="5"/>
      <c r="C393" s="6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75" customHeight="1" x14ac:dyDescent="0.35">
      <c r="A394" s="3"/>
      <c r="B394" s="5"/>
      <c r="C394" s="6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75" customHeight="1" x14ac:dyDescent="0.35">
      <c r="A395" s="3"/>
      <c r="B395" s="5"/>
      <c r="C395" s="6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75" customHeight="1" x14ac:dyDescent="0.35">
      <c r="A396" s="3"/>
      <c r="B396" s="5"/>
      <c r="C396" s="6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75" customHeight="1" x14ac:dyDescent="0.35">
      <c r="A397" s="3"/>
      <c r="B397" s="5"/>
      <c r="C397" s="6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75" customHeight="1" x14ac:dyDescent="0.35">
      <c r="A398" s="3"/>
      <c r="B398" s="5"/>
      <c r="C398" s="6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75" customHeight="1" x14ac:dyDescent="0.35">
      <c r="A399" s="3"/>
      <c r="B399" s="5"/>
      <c r="C399" s="6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75" customHeight="1" x14ac:dyDescent="0.35">
      <c r="A400" s="3"/>
      <c r="B400" s="5"/>
      <c r="C400" s="6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75" customHeight="1" x14ac:dyDescent="0.35">
      <c r="A401" s="3"/>
      <c r="B401" s="5"/>
      <c r="C401" s="6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75" customHeight="1" x14ac:dyDescent="0.35">
      <c r="A402" s="3"/>
      <c r="B402" s="5"/>
      <c r="C402" s="6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75" customHeight="1" x14ac:dyDescent="0.35">
      <c r="A403" s="3"/>
      <c r="B403" s="5"/>
      <c r="C403" s="6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75" customHeight="1" x14ac:dyDescent="0.35">
      <c r="A404" s="3"/>
      <c r="B404" s="5"/>
      <c r="C404" s="6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75" customHeight="1" x14ac:dyDescent="0.35">
      <c r="A405" s="3"/>
      <c r="B405" s="5"/>
      <c r="C405" s="6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75" customHeight="1" x14ac:dyDescent="0.35">
      <c r="A406" s="3"/>
      <c r="B406" s="5"/>
      <c r="C406" s="6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75" customHeight="1" x14ac:dyDescent="0.35">
      <c r="A407" s="3"/>
      <c r="B407" s="5"/>
      <c r="C407" s="6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75" customHeight="1" x14ac:dyDescent="0.35">
      <c r="A408" s="3"/>
      <c r="B408" s="5"/>
      <c r="C408" s="6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75" customHeight="1" x14ac:dyDescent="0.35">
      <c r="A409" s="3"/>
      <c r="B409" s="5"/>
      <c r="C409" s="6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75" customHeight="1" x14ac:dyDescent="0.35">
      <c r="A410" s="3"/>
      <c r="B410" s="5"/>
      <c r="C410" s="6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75" customHeight="1" x14ac:dyDescent="0.35">
      <c r="A411" s="3"/>
      <c r="B411" s="5"/>
      <c r="C411" s="6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75" customHeight="1" x14ac:dyDescent="0.35">
      <c r="A412" s="3"/>
      <c r="B412" s="5"/>
      <c r="C412" s="6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75" customHeight="1" x14ac:dyDescent="0.35">
      <c r="A413" s="3"/>
      <c r="B413" s="5"/>
      <c r="C413" s="6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75" customHeight="1" x14ac:dyDescent="0.35">
      <c r="A414" s="3"/>
      <c r="B414" s="5"/>
      <c r="C414" s="6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75" customHeight="1" x14ac:dyDescent="0.35">
      <c r="A415" s="3"/>
      <c r="B415" s="5"/>
      <c r="C415" s="6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75" customHeight="1" x14ac:dyDescent="0.35">
      <c r="A416" s="3"/>
      <c r="B416" s="5"/>
      <c r="C416" s="6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75" customHeight="1" x14ac:dyDescent="0.35">
      <c r="A417" s="3"/>
      <c r="B417" s="5"/>
      <c r="C417" s="6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75" customHeight="1" x14ac:dyDescent="0.35">
      <c r="A418" s="3"/>
      <c r="B418" s="5"/>
      <c r="C418" s="6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75" customHeight="1" x14ac:dyDescent="0.35">
      <c r="A419" s="3"/>
      <c r="B419" s="5"/>
      <c r="C419" s="6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75" customHeight="1" x14ac:dyDescent="0.35">
      <c r="A420" s="3"/>
      <c r="B420" s="5"/>
      <c r="C420" s="6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75" customHeight="1" x14ac:dyDescent="0.35">
      <c r="A421" s="3"/>
      <c r="B421" s="5"/>
      <c r="C421" s="6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75" customHeight="1" x14ac:dyDescent="0.35">
      <c r="A422" s="3"/>
      <c r="B422" s="5"/>
      <c r="C422" s="6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75" customHeight="1" x14ac:dyDescent="0.35">
      <c r="A423" s="3"/>
      <c r="B423" s="5"/>
      <c r="C423" s="6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75" customHeight="1" x14ac:dyDescent="0.35">
      <c r="A424" s="3"/>
      <c r="B424" s="5"/>
      <c r="C424" s="6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75" customHeight="1" x14ac:dyDescent="0.35">
      <c r="A425" s="3"/>
      <c r="B425" s="5"/>
      <c r="C425" s="6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75" customHeight="1" x14ac:dyDescent="0.35">
      <c r="A426" s="3"/>
      <c r="B426" s="5"/>
      <c r="C426" s="6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75" customHeight="1" x14ac:dyDescent="0.35">
      <c r="A427" s="3"/>
      <c r="B427" s="5"/>
      <c r="C427" s="6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75" customHeight="1" x14ac:dyDescent="0.35">
      <c r="A428" s="3"/>
      <c r="B428" s="5"/>
      <c r="C428" s="6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75" customHeight="1" x14ac:dyDescent="0.35">
      <c r="A429" s="3"/>
      <c r="B429" s="5"/>
      <c r="C429" s="6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75" customHeight="1" x14ac:dyDescent="0.35">
      <c r="A430" s="3"/>
      <c r="B430" s="5"/>
      <c r="C430" s="6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75" customHeight="1" x14ac:dyDescent="0.35">
      <c r="A431" s="3"/>
      <c r="B431" s="5"/>
      <c r="C431" s="6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75" customHeight="1" x14ac:dyDescent="0.35">
      <c r="A432" s="3"/>
      <c r="B432" s="5"/>
      <c r="C432" s="6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75" customHeight="1" x14ac:dyDescent="0.35">
      <c r="A433" s="3"/>
      <c r="B433" s="5"/>
      <c r="C433" s="6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75" customHeight="1" x14ac:dyDescent="0.35">
      <c r="A434" s="3"/>
      <c r="B434" s="5"/>
      <c r="C434" s="6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75" customHeight="1" x14ac:dyDescent="0.35">
      <c r="A435" s="3"/>
      <c r="B435" s="5"/>
      <c r="C435" s="6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75" customHeight="1" x14ac:dyDescent="0.35">
      <c r="A436" s="3"/>
      <c r="B436" s="5"/>
      <c r="C436" s="6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75" customHeight="1" x14ac:dyDescent="0.35">
      <c r="A437" s="3"/>
      <c r="B437" s="5"/>
      <c r="C437" s="6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75" customHeight="1" x14ac:dyDescent="0.35">
      <c r="A438" s="3"/>
      <c r="B438" s="5"/>
      <c r="C438" s="6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75" customHeight="1" x14ac:dyDescent="0.35">
      <c r="A439" s="3"/>
      <c r="B439" s="5"/>
      <c r="C439" s="6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75" customHeight="1" x14ac:dyDescent="0.35">
      <c r="A440" s="3"/>
      <c r="B440" s="5"/>
      <c r="C440" s="6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75" customHeight="1" x14ac:dyDescent="0.35">
      <c r="A441" s="3"/>
      <c r="B441" s="5"/>
      <c r="C441" s="6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75" customHeight="1" x14ac:dyDescent="0.35">
      <c r="A442" s="3"/>
      <c r="B442" s="5"/>
      <c r="C442" s="6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75" customHeight="1" x14ac:dyDescent="0.35">
      <c r="A443" s="3"/>
      <c r="B443" s="5"/>
      <c r="C443" s="6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75" customHeight="1" x14ac:dyDescent="0.35">
      <c r="A444" s="3"/>
      <c r="B444" s="5"/>
      <c r="C444" s="6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75" customHeight="1" x14ac:dyDescent="0.35">
      <c r="A445" s="3"/>
      <c r="B445" s="5"/>
      <c r="C445" s="6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75" customHeight="1" x14ac:dyDescent="0.35">
      <c r="A446" s="3"/>
      <c r="B446" s="5"/>
      <c r="C446" s="6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75" customHeight="1" x14ac:dyDescent="0.35">
      <c r="A447" s="3"/>
      <c r="B447" s="5"/>
      <c r="C447" s="6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75" customHeight="1" x14ac:dyDescent="0.35">
      <c r="A448" s="3"/>
      <c r="B448" s="5"/>
      <c r="C448" s="6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75" customHeight="1" x14ac:dyDescent="0.35">
      <c r="A449" s="3"/>
      <c r="B449" s="5"/>
      <c r="C449" s="6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75" customHeight="1" x14ac:dyDescent="0.35">
      <c r="A450" s="3"/>
      <c r="B450" s="5"/>
      <c r="C450" s="6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75" customHeight="1" x14ac:dyDescent="0.35">
      <c r="A451" s="3"/>
      <c r="B451" s="5"/>
      <c r="C451" s="6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75" customHeight="1" x14ac:dyDescent="0.35">
      <c r="A452" s="3"/>
      <c r="B452" s="5"/>
      <c r="C452" s="6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75" customHeight="1" x14ac:dyDescent="0.35">
      <c r="A453" s="3"/>
      <c r="B453" s="5"/>
      <c r="C453" s="6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75" customHeight="1" x14ac:dyDescent="0.35">
      <c r="A454" s="3"/>
      <c r="B454" s="5"/>
      <c r="C454" s="6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75" customHeight="1" x14ac:dyDescent="0.35">
      <c r="A455" s="3"/>
      <c r="B455" s="5"/>
      <c r="C455" s="6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75" customHeight="1" x14ac:dyDescent="0.35">
      <c r="A456" s="3"/>
      <c r="B456" s="5"/>
      <c r="C456" s="6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75" customHeight="1" x14ac:dyDescent="0.35">
      <c r="A457" s="3"/>
      <c r="B457" s="5"/>
      <c r="C457" s="6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75" customHeight="1" x14ac:dyDescent="0.35">
      <c r="A458" s="3"/>
      <c r="B458" s="5"/>
      <c r="C458" s="6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75" customHeight="1" x14ac:dyDescent="0.35">
      <c r="A459" s="3"/>
      <c r="B459" s="5"/>
      <c r="C459" s="6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75" customHeight="1" x14ac:dyDescent="0.35">
      <c r="A460" s="3"/>
      <c r="B460" s="5"/>
      <c r="C460" s="6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75" customHeight="1" x14ac:dyDescent="0.35">
      <c r="A461" s="3"/>
      <c r="B461" s="5"/>
      <c r="C461" s="6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75" customHeight="1" x14ac:dyDescent="0.35">
      <c r="A462" s="3"/>
      <c r="B462" s="5"/>
      <c r="C462" s="6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75" customHeight="1" x14ac:dyDescent="0.35">
      <c r="A463" s="3"/>
      <c r="B463" s="5"/>
      <c r="C463" s="6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75" customHeight="1" x14ac:dyDescent="0.35">
      <c r="A464" s="3"/>
      <c r="B464" s="5"/>
      <c r="C464" s="6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75" customHeight="1" x14ac:dyDescent="0.35">
      <c r="A465" s="3"/>
      <c r="B465" s="5"/>
      <c r="C465" s="6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75" customHeight="1" x14ac:dyDescent="0.35">
      <c r="A466" s="3"/>
      <c r="B466" s="5"/>
      <c r="C466" s="6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75" customHeight="1" x14ac:dyDescent="0.35">
      <c r="A467" s="3"/>
      <c r="B467" s="5"/>
      <c r="C467" s="6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75" customHeight="1" x14ac:dyDescent="0.35">
      <c r="A468" s="3"/>
      <c r="B468" s="5"/>
      <c r="C468" s="6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75" customHeight="1" x14ac:dyDescent="0.35">
      <c r="A469" s="3"/>
      <c r="B469" s="5"/>
      <c r="C469" s="6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75" customHeight="1" x14ac:dyDescent="0.35">
      <c r="A470" s="3"/>
      <c r="B470" s="5"/>
      <c r="C470" s="6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75" customHeight="1" x14ac:dyDescent="0.35">
      <c r="A471" s="3"/>
      <c r="B471" s="5"/>
      <c r="C471" s="6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75" customHeight="1" x14ac:dyDescent="0.35">
      <c r="A472" s="3"/>
      <c r="B472" s="5"/>
      <c r="C472" s="6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75" customHeight="1" x14ac:dyDescent="0.35">
      <c r="A473" s="3"/>
      <c r="B473" s="5"/>
      <c r="C473" s="6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75" customHeight="1" x14ac:dyDescent="0.35">
      <c r="A474" s="3"/>
      <c r="B474" s="5"/>
      <c r="C474" s="6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75" customHeight="1" x14ac:dyDescent="0.35">
      <c r="A475" s="3"/>
      <c r="B475" s="5"/>
      <c r="C475" s="6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75" customHeight="1" x14ac:dyDescent="0.35">
      <c r="A476" s="3"/>
      <c r="B476" s="5"/>
      <c r="C476" s="6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75" customHeight="1" x14ac:dyDescent="0.35">
      <c r="A477" s="3"/>
      <c r="B477" s="5"/>
      <c r="C477" s="6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75" customHeight="1" x14ac:dyDescent="0.35">
      <c r="A478" s="3"/>
      <c r="B478" s="5"/>
      <c r="C478" s="6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75" customHeight="1" x14ac:dyDescent="0.35">
      <c r="A479" s="3"/>
      <c r="B479" s="5"/>
      <c r="C479" s="6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75" customHeight="1" x14ac:dyDescent="0.35">
      <c r="A480" s="3"/>
      <c r="B480" s="5"/>
      <c r="C480" s="6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75" customHeight="1" x14ac:dyDescent="0.35">
      <c r="A481" s="3"/>
      <c r="B481" s="5"/>
      <c r="C481" s="6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75" customHeight="1" x14ac:dyDescent="0.35">
      <c r="A482" s="3"/>
      <c r="B482" s="5"/>
      <c r="C482" s="6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75" customHeight="1" x14ac:dyDescent="0.35">
      <c r="A483" s="3"/>
      <c r="B483" s="5"/>
      <c r="C483" s="6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75" customHeight="1" x14ac:dyDescent="0.35">
      <c r="A484" s="3"/>
      <c r="B484" s="5"/>
      <c r="C484" s="6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75" customHeight="1" x14ac:dyDescent="0.35">
      <c r="A485" s="3"/>
      <c r="B485" s="5"/>
      <c r="C485" s="6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75" customHeight="1" x14ac:dyDescent="0.35">
      <c r="A486" s="3"/>
      <c r="B486" s="5"/>
      <c r="C486" s="6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75" customHeight="1" x14ac:dyDescent="0.35">
      <c r="A487" s="3"/>
      <c r="B487" s="5"/>
      <c r="C487" s="6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75" customHeight="1" x14ac:dyDescent="0.35">
      <c r="A488" s="3"/>
      <c r="B488" s="5"/>
      <c r="C488" s="6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75" customHeight="1" x14ac:dyDescent="0.35">
      <c r="A489" s="3"/>
      <c r="B489" s="5"/>
      <c r="C489" s="6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75" customHeight="1" x14ac:dyDescent="0.35">
      <c r="A490" s="3"/>
      <c r="B490" s="5"/>
      <c r="C490" s="6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75" customHeight="1" x14ac:dyDescent="0.35">
      <c r="A491" s="3"/>
      <c r="B491" s="5"/>
      <c r="C491" s="6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75" customHeight="1" x14ac:dyDescent="0.35">
      <c r="A492" s="3"/>
      <c r="B492" s="5"/>
      <c r="C492" s="6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75" customHeight="1" x14ac:dyDescent="0.35">
      <c r="A493" s="3"/>
      <c r="B493" s="5"/>
      <c r="C493" s="6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75" customHeight="1" x14ac:dyDescent="0.35">
      <c r="A494" s="3"/>
      <c r="B494" s="5"/>
      <c r="C494" s="6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75" customHeight="1" x14ac:dyDescent="0.35">
      <c r="A495" s="3"/>
      <c r="B495" s="5"/>
      <c r="C495" s="6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75" customHeight="1" x14ac:dyDescent="0.35">
      <c r="A496" s="3"/>
      <c r="B496" s="5"/>
      <c r="C496" s="6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75" customHeight="1" x14ac:dyDescent="0.35">
      <c r="A497" s="3"/>
      <c r="B497" s="5"/>
      <c r="C497" s="6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75" customHeight="1" x14ac:dyDescent="0.35">
      <c r="A498" s="3"/>
      <c r="B498" s="5"/>
      <c r="C498" s="6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75" customHeight="1" x14ac:dyDescent="0.35">
      <c r="A499" s="3"/>
      <c r="B499" s="5"/>
      <c r="C499" s="6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75" customHeight="1" x14ac:dyDescent="0.35">
      <c r="A500" s="3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75" customHeight="1" x14ac:dyDescent="0.35">
      <c r="A501" s="3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75" customHeight="1" x14ac:dyDescent="0.35">
      <c r="A502" s="3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75" customHeight="1" x14ac:dyDescent="0.35">
      <c r="A503" s="3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75" customHeight="1" x14ac:dyDescent="0.35">
      <c r="A504" s="3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75" customHeight="1" x14ac:dyDescent="0.35">
      <c r="A505" s="3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75" customHeight="1" x14ac:dyDescent="0.35">
      <c r="A506" s="3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75" customHeight="1" x14ac:dyDescent="0.35">
      <c r="A507" s="3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75" customHeight="1" x14ac:dyDescent="0.35">
      <c r="A508" s="3"/>
      <c r="B508" s="5"/>
      <c r="C508" s="6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75" customHeight="1" x14ac:dyDescent="0.35">
      <c r="A509" s="3"/>
      <c r="B509" s="5"/>
      <c r="C509" s="6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75" customHeight="1" x14ac:dyDescent="0.35">
      <c r="A510" s="3"/>
      <c r="B510" s="5"/>
      <c r="C510" s="6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75" customHeight="1" x14ac:dyDescent="0.35">
      <c r="A511" s="3"/>
      <c r="B511" s="5"/>
      <c r="C511" s="6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75" customHeight="1" x14ac:dyDescent="0.35">
      <c r="A512" s="3"/>
      <c r="B512" s="5"/>
      <c r="C512" s="6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75" customHeight="1" x14ac:dyDescent="0.35">
      <c r="A513" s="3"/>
      <c r="B513" s="5"/>
      <c r="C513" s="6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75" customHeight="1" x14ac:dyDescent="0.35">
      <c r="A514" s="3"/>
      <c r="B514" s="5"/>
      <c r="C514" s="6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75" customHeight="1" x14ac:dyDescent="0.35">
      <c r="A515" s="3"/>
      <c r="B515" s="5"/>
      <c r="C515" s="6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75" customHeight="1" x14ac:dyDescent="0.35">
      <c r="A516" s="3"/>
      <c r="B516" s="5"/>
      <c r="C516" s="6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75" customHeight="1" x14ac:dyDescent="0.35">
      <c r="A517" s="3"/>
      <c r="B517" s="5"/>
      <c r="C517" s="6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75" customHeight="1" x14ac:dyDescent="0.35">
      <c r="A518" s="3"/>
      <c r="B518" s="5"/>
      <c r="C518" s="6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75" customHeight="1" x14ac:dyDescent="0.35">
      <c r="A519" s="3"/>
      <c r="B519" s="5"/>
      <c r="C519" s="6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75" customHeight="1" x14ac:dyDescent="0.35">
      <c r="A520" s="3"/>
      <c r="B520" s="5"/>
      <c r="C520" s="6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75" customHeight="1" x14ac:dyDescent="0.35">
      <c r="A521" s="3"/>
      <c r="B521" s="5"/>
      <c r="C521" s="6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75" customHeight="1" x14ac:dyDescent="0.35">
      <c r="A522" s="3"/>
      <c r="B522" s="5"/>
      <c r="C522" s="6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75" customHeight="1" x14ac:dyDescent="0.35">
      <c r="A523" s="3"/>
      <c r="B523" s="5"/>
      <c r="C523" s="6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75" customHeight="1" x14ac:dyDescent="0.35">
      <c r="A524" s="3"/>
      <c r="B524" s="5"/>
      <c r="C524" s="6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75" customHeight="1" x14ac:dyDescent="0.35">
      <c r="A525" s="3"/>
      <c r="B525" s="5"/>
      <c r="C525" s="6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75" customHeight="1" x14ac:dyDescent="0.35">
      <c r="A526" s="3"/>
      <c r="B526" s="5"/>
      <c r="C526" s="6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75" customHeight="1" x14ac:dyDescent="0.35">
      <c r="A527" s="3"/>
      <c r="B527" s="5"/>
      <c r="C527" s="6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75" customHeight="1" x14ac:dyDescent="0.35">
      <c r="A528" s="3"/>
      <c r="B528" s="5"/>
      <c r="C528" s="6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75" customHeight="1" x14ac:dyDescent="0.35">
      <c r="A529" s="3"/>
      <c r="B529" s="5"/>
      <c r="C529" s="6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75" customHeight="1" x14ac:dyDescent="0.35">
      <c r="A530" s="3"/>
      <c r="B530" s="5"/>
      <c r="C530" s="6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75" customHeight="1" x14ac:dyDescent="0.35">
      <c r="A531" s="3"/>
      <c r="B531" s="5"/>
      <c r="C531" s="6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75" customHeight="1" x14ac:dyDescent="0.35">
      <c r="A532" s="3"/>
      <c r="B532" s="5"/>
      <c r="C532" s="6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75" customHeight="1" x14ac:dyDescent="0.35">
      <c r="A533" s="3"/>
      <c r="B533" s="5"/>
      <c r="C533" s="6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75" customHeight="1" x14ac:dyDescent="0.35">
      <c r="A534" s="3"/>
      <c r="B534" s="5"/>
      <c r="C534" s="6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75" customHeight="1" x14ac:dyDescent="0.35">
      <c r="A535" s="3"/>
      <c r="B535" s="5"/>
      <c r="C535" s="6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75" customHeight="1" x14ac:dyDescent="0.35">
      <c r="A536" s="3"/>
      <c r="B536" s="5"/>
      <c r="C536" s="6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75" customHeight="1" x14ac:dyDescent="0.35">
      <c r="A537" s="3"/>
      <c r="B537" s="5"/>
      <c r="C537" s="6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75" customHeight="1" x14ac:dyDescent="0.35">
      <c r="A538" s="3"/>
      <c r="B538" s="5"/>
      <c r="C538" s="6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75" customHeight="1" x14ac:dyDescent="0.35">
      <c r="A539" s="3"/>
      <c r="B539" s="5"/>
      <c r="C539" s="6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75" customHeight="1" x14ac:dyDescent="0.35">
      <c r="A540" s="3"/>
      <c r="B540" s="5"/>
      <c r="C540" s="6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75" customHeight="1" x14ac:dyDescent="0.35">
      <c r="A541" s="3"/>
      <c r="B541" s="5"/>
      <c r="C541" s="6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75" customHeight="1" x14ac:dyDescent="0.35">
      <c r="A542" s="3"/>
      <c r="B542" s="5"/>
      <c r="C542" s="6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75" customHeight="1" x14ac:dyDescent="0.35">
      <c r="A543" s="3"/>
      <c r="B543" s="5"/>
      <c r="C543" s="6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75" customHeight="1" x14ac:dyDescent="0.35">
      <c r="A544" s="3"/>
      <c r="B544" s="5"/>
      <c r="C544" s="6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75" customHeight="1" x14ac:dyDescent="0.35">
      <c r="A545" s="3"/>
      <c r="B545" s="5"/>
      <c r="C545" s="6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75" customHeight="1" x14ac:dyDescent="0.35">
      <c r="A546" s="3"/>
      <c r="B546" s="5"/>
      <c r="C546" s="6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75" customHeight="1" x14ac:dyDescent="0.35">
      <c r="A547" s="3"/>
      <c r="B547" s="5"/>
      <c r="C547" s="6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75" customHeight="1" x14ac:dyDescent="0.35">
      <c r="A548" s="3"/>
      <c r="B548" s="5"/>
      <c r="C548" s="6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75" customHeight="1" x14ac:dyDescent="0.35">
      <c r="A549" s="3"/>
      <c r="B549" s="5"/>
      <c r="C549" s="6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75" customHeight="1" x14ac:dyDescent="0.35">
      <c r="A550" s="3"/>
      <c r="B550" s="5"/>
      <c r="C550" s="6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75" customHeight="1" x14ac:dyDescent="0.35">
      <c r="A551" s="3"/>
      <c r="B551" s="5"/>
      <c r="C551" s="6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75" customHeight="1" x14ac:dyDescent="0.35">
      <c r="A552" s="3"/>
      <c r="B552" s="5"/>
      <c r="C552" s="6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75" customHeight="1" x14ac:dyDescent="0.35">
      <c r="A553" s="3"/>
      <c r="B553" s="5"/>
      <c r="C553" s="6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75" customHeight="1" x14ac:dyDescent="0.35">
      <c r="A554" s="3"/>
      <c r="B554" s="5"/>
      <c r="C554" s="6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75" customHeight="1" x14ac:dyDescent="0.35">
      <c r="A555" s="3"/>
      <c r="B555" s="5"/>
      <c r="C555" s="6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75" customHeight="1" x14ac:dyDescent="0.35">
      <c r="A556" s="3"/>
      <c r="B556" s="5"/>
      <c r="C556" s="6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75" customHeight="1" x14ac:dyDescent="0.35">
      <c r="A557" s="3"/>
      <c r="B557" s="5"/>
      <c r="C557" s="6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75" customHeight="1" x14ac:dyDescent="0.35">
      <c r="A558" s="3"/>
      <c r="B558" s="5"/>
      <c r="C558" s="6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75" customHeight="1" x14ac:dyDescent="0.35">
      <c r="A559" s="3"/>
      <c r="B559" s="5"/>
      <c r="C559" s="6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75" customHeight="1" x14ac:dyDescent="0.35">
      <c r="A560" s="3"/>
      <c r="B560" s="5"/>
      <c r="C560" s="6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75" customHeight="1" x14ac:dyDescent="0.35">
      <c r="A561" s="3"/>
      <c r="B561" s="5"/>
      <c r="C561" s="6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75" customHeight="1" x14ac:dyDescent="0.35">
      <c r="A562" s="3"/>
      <c r="B562" s="5"/>
      <c r="C562" s="6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75" customHeight="1" x14ac:dyDescent="0.35">
      <c r="A563" s="3"/>
      <c r="B563" s="5"/>
      <c r="C563" s="6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75" customHeight="1" x14ac:dyDescent="0.35">
      <c r="A564" s="3"/>
      <c r="B564" s="5"/>
      <c r="C564" s="6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75" customHeight="1" x14ac:dyDescent="0.35">
      <c r="A565" s="3"/>
      <c r="B565" s="5"/>
      <c r="C565" s="6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75" customHeight="1" x14ac:dyDescent="0.35">
      <c r="A566" s="3"/>
      <c r="B566" s="5"/>
      <c r="C566" s="6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75" customHeight="1" x14ac:dyDescent="0.35">
      <c r="A567" s="3"/>
      <c r="B567" s="5"/>
      <c r="C567" s="6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75" customHeight="1" x14ac:dyDescent="0.35">
      <c r="A568" s="3"/>
      <c r="B568" s="5"/>
      <c r="C568" s="6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75" customHeight="1" x14ac:dyDescent="0.35">
      <c r="A569" s="3"/>
      <c r="B569" s="5"/>
      <c r="C569" s="6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75" customHeight="1" x14ac:dyDescent="0.35">
      <c r="A570" s="3"/>
      <c r="B570" s="5"/>
      <c r="C570" s="6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75" customHeight="1" x14ac:dyDescent="0.35">
      <c r="A571" s="3"/>
      <c r="B571" s="5"/>
      <c r="C571" s="6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75" customHeight="1" x14ac:dyDescent="0.35">
      <c r="A572" s="3"/>
      <c r="B572" s="5"/>
      <c r="C572" s="6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75" customHeight="1" x14ac:dyDescent="0.35">
      <c r="A573" s="3"/>
      <c r="B573" s="5"/>
      <c r="C573" s="6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75" customHeight="1" x14ac:dyDescent="0.35">
      <c r="A574" s="3"/>
      <c r="B574" s="5"/>
      <c r="C574" s="6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75" customHeight="1" x14ac:dyDescent="0.35">
      <c r="A575" s="3"/>
      <c r="B575" s="5"/>
      <c r="C575" s="6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75" customHeight="1" x14ac:dyDescent="0.35">
      <c r="A576" s="3"/>
      <c r="B576" s="5"/>
      <c r="C576" s="6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75" customHeight="1" x14ac:dyDescent="0.35">
      <c r="A577" s="3"/>
      <c r="B577" s="5"/>
      <c r="C577" s="6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75" customHeight="1" x14ac:dyDescent="0.35">
      <c r="A578" s="3"/>
      <c r="B578" s="5"/>
      <c r="C578" s="6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75" customHeight="1" x14ac:dyDescent="0.35">
      <c r="A579" s="3"/>
      <c r="B579" s="5"/>
      <c r="C579" s="6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75" customHeight="1" x14ac:dyDescent="0.35">
      <c r="A580" s="3"/>
      <c r="B580" s="5"/>
      <c r="C580" s="6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75" customHeight="1" x14ac:dyDescent="0.35">
      <c r="A581" s="3"/>
      <c r="B581" s="5"/>
      <c r="C581" s="6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75" customHeight="1" x14ac:dyDescent="0.35">
      <c r="A582" s="3"/>
      <c r="B582" s="5"/>
      <c r="C582" s="6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75" customHeight="1" x14ac:dyDescent="0.35">
      <c r="A583" s="3"/>
      <c r="B583" s="5"/>
      <c r="C583" s="6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75" customHeight="1" x14ac:dyDescent="0.35">
      <c r="A584" s="3"/>
      <c r="B584" s="5"/>
      <c r="C584" s="6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75" customHeight="1" x14ac:dyDescent="0.35">
      <c r="A585" s="3"/>
      <c r="B585" s="5"/>
      <c r="C585" s="6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75" customHeight="1" x14ac:dyDescent="0.35">
      <c r="A586" s="3"/>
      <c r="B586" s="5"/>
      <c r="C586" s="6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75" customHeight="1" x14ac:dyDescent="0.35">
      <c r="A587" s="3"/>
      <c r="B587" s="5"/>
      <c r="C587" s="6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75" customHeight="1" x14ac:dyDescent="0.35">
      <c r="A588" s="3"/>
      <c r="B588" s="5"/>
      <c r="C588" s="6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75" customHeight="1" x14ac:dyDescent="0.35">
      <c r="A589" s="3"/>
      <c r="B589" s="5"/>
      <c r="C589" s="6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75" customHeight="1" x14ac:dyDescent="0.35">
      <c r="A590" s="3"/>
      <c r="B590" s="5"/>
      <c r="C590" s="6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75" customHeight="1" x14ac:dyDescent="0.35">
      <c r="A591" s="3"/>
      <c r="B591" s="5"/>
      <c r="C591" s="6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75" customHeight="1" x14ac:dyDescent="0.35">
      <c r="A592" s="3"/>
      <c r="B592" s="5"/>
      <c r="C592" s="6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75" customHeight="1" x14ac:dyDescent="0.35">
      <c r="A593" s="3"/>
      <c r="B593" s="5"/>
      <c r="C593" s="6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75" customHeight="1" x14ac:dyDescent="0.35">
      <c r="A594" s="3"/>
      <c r="B594" s="5"/>
      <c r="C594" s="6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75" customHeight="1" x14ac:dyDescent="0.35">
      <c r="A595" s="3"/>
      <c r="B595" s="5"/>
      <c r="C595" s="6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75" customHeight="1" x14ac:dyDescent="0.35">
      <c r="A596" s="3"/>
      <c r="B596" s="5"/>
      <c r="C596" s="6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75" customHeight="1" x14ac:dyDescent="0.35">
      <c r="A597" s="3"/>
      <c r="B597" s="5"/>
      <c r="C597" s="6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75" customHeight="1" x14ac:dyDescent="0.35">
      <c r="A598" s="3"/>
      <c r="B598" s="5"/>
      <c r="C598" s="6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75" customHeight="1" x14ac:dyDescent="0.35">
      <c r="A599" s="3"/>
      <c r="B599" s="5"/>
      <c r="C599" s="6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75" customHeight="1" x14ac:dyDescent="0.35">
      <c r="A600" s="3"/>
      <c r="B600" s="5"/>
      <c r="C600" s="6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75" customHeight="1" x14ac:dyDescent="0.35">
      <c r="A601" s="3"/>
      <c r="B601" s="5"/>
      <c r="C601" s="6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75" customHeight="1" x14ac:dyDescent="0.35">
      <c r="A602" s="3"/>
      <c r="B602" s="5"/>
      <c r="C602" s="6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75" customHeight="1" x14ac:dyDescent="0.35">
      <c r="A603" s="3"/>
      <c r="B603" s="5"/>
      <c r="C603" s="6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75" customHeight="1" x14ac:dyDescent="0.35">
      <c r="A604" s="3"/>
      <c r="B604" s="5"/>
      <c r="C604" s="6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75" customHeight="1" x14ac:dyDescent="0.35">
      <c r="A605" s="3"/>
      <c r="B605" s="5"/>
      <c r="C605" s="6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75" customHeight="1" x14ac:dyDescent="0.35">
      <c r="A606" s="3"/>
      <c r="B606" s="5"/>
      <c r="C606" s="6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75" customHeight="1" x14ac:dyDescent="0.35">
      <c r="A607" s="3"/>
      <c r="B607" s="5"/>
      <c r="C607" s="6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75" customHeight="1" x14ac:dyDescent="0.35">
      <c r="A608" s="3"/>
      <c r="B608" s="5"/>
      <c r="C608" s="6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75" customHeight="1" x14ac:dyDescent="0.35">
      <c r="A609" s="3"/>
      <c r="B609" s="5"/>
      <c r="C609" s="6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75" customHeight="1" x14ac:dyDescent="0.35">
      <c r="A610" s="3"/>
      <c r="B610" s="5"/>
      <c r="C610" s="6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75" customHeight="1" x14ac:dyDescent="0.35">
      <c r="A611" s="3"/>
      <c r="B611" s="5"/>
      <c r="C611" s="6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75" customHeight="1" x14ac:dyDescent="0.35">
      <c r="A612" s="3"/>
      <c r="B612" s="5"/>
      <c r="C612" s="6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75" customHeight="1" x14ac:dyDescent="0.35">
      <c r="A613" s="3"/>
      <c r="B613" s="5"/>
      <c r="C613" s="6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75" customHeight="1" x14ac:dyDescent="0.35">
      <c r="A614" s="3"/>
      <c r="B614" s="5"/>
      <c r="C614" s="6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75" customHeight="1" x14ac:dyDescent="0.35">
      <c r="A615" s="3"/>
      <c r="B615" s="5"/>
      <c r="C615" s="6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75" customHeight="1" x14ac:dyDescent="0.35">
      <c r="A616" s="3"/>
      <c r="B616" s="5"/>
      <c r="C616" s="6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75" customHeight="1" x14ac:dyDescent="0.35">
      <c r="A617" s="3"/>
      <c r="B617" s="5"/>
      <c r="C617" s="6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75" customHeight="1" x14ac:dyDescent="0.35">
      <c r="A618" s="3"/>
      <c r="B618" s="5"/>
      <c r="C618" s="6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75" customHeight="1" x14ac:dyDescent="0.35">
      <c r="A619" s="3"/>
      <c r="B619" s="5"/>
      <c r="C619" s="6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75" customHeight="1" x14ac:dyDescent="0.35">
      <c r="A620" s="3"/>
      <c r="B620" s="5"/>
      <c r="C620" s="6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75" customHeight="1" x14ac:dyDescent="0.35">
      <c r="A621" s="3"/>
      <c r="B621" s="5"/>
      <c r="C621" s="6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75" customHeight="1" x14ac:dyDescent="0.35">
      <c r="A622" s="3"/>
      <c r="B622" s="5"/>
      <c r="C622" s="6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75" customHeight="1" x14ac:dyDescent="0.35">
      <c r="A623" s="3"/>
      <c r="B623" s="5"/>
      <c r="C623" s="6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75" customHeight="1" x14ac:dyDescent="0.35">
      <c r="A624" s="3"/>
      <c r="B624" s="5"/>
      <c r="C624" s="6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75" customHeight="1" x14ac:dyDescent="0.35">
      <c r="A625" s="3"/>
      <c r="B625" s="5"/>
      <c r="C625" s="6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75" customHeight="1" x14ac:dyDescent="0.35">
      <c r="A626" s="3"/>
      <c r="B626" s="5"/>
      <c r="C626" s="6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75" customHeight="1" x14ac:dyDescent="0.35">
      <c r="A627" s="3"/>
      <c r="B627" s="5"/>
      <c r="C627" s="6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75" customHeight="1" x14ac:dyDescent="0.35">
      <c r="A628" s="3"/>
      <c r="B628" s="5"/>
      <c r="C628" s="6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75" customHeight="1" x14ac:dyDescent="0.35">
      <c r="A629" s="3"/>
      <c r="B629" s="5"/>
      <c r="C629" s="6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75" customHeight="1" x14ac:dyDescent="0.35">
      <c r="A630" s="3"/>
      <c r="B630" s="5"/>
      <c r="C630" s="6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75" customHeight="1" x14ac:dyDescent="0.35">
      <c r="A631" s="3"/>
      <c r="B631" s="5"/>
      <c r="C631" s="6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75" customHeight="1" x14ac:dyDescent="0.35">
      <c r="A632" s="3"/>
      <c r="B632" s="5"/>
      <c r="C632" s="6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75" customHeight="1" x14ac:dyDescent="0.35">
      <c r="A633" s="3"/>
      <c r="B633" s="5"/>
      <c r="C633" s="6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75" customHeight="1" x14ac:dyDescent="0.35">
      <c r="A634" s="3"/>
      <c r="B634" s="5"/>
      <c r="C634" s="6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75" customHeight="1" x14ac:dyDescent="0.35">
      <c r="A635" s="3"/>
      <c r="B635" s="5"/>
      <c r="C635" s="6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75" customHeight="1" x14ac:dyDescent="0.35">
      <c r="A636" s="3"/>
      <c r="B636" s="5"/>
      <c r="C636" s="6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75" customHeight="1" x14ac:dyDescent="0.35">
      <c r="A637" s="3"/>
      <c r="B637" s="5"/>
      <c r="C637" s="6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75" customHeight="1" x14ac:dyDescent="0.35">
      <c r="A638" s="3"/>
      <c r="B638" s="5"/>
      <c r="C638" s="6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75" customHeight="1" x14ac:dyDescent="0.35">
      <c r="A639" s="3"/>
      <c r="B639" s="5"/>
      <c r="C639" s="6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75" customHeight="1" x14ac:dyDescent="0.35">
      <c r="A640" s="3"/>
      <c r="B640" s="5"/>
      <c r="C640" s="6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75" customHeight="1" x14ac:dyDescent="0.35">
      <c r="A641" s="3"/>
      <c r="B641" s="5"/>
      <c r="C641" s="6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75" customHeight="1" x14ac:dyDescent="0.35">
      <c r="A642" s="3"/>
      <c r="B642" s="5"/>
      <c r="C642" s="6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75" customHeight="1" x14ac:dyDescent="0.35">
      <c r="A643" s="3"/>
      <c r="B643" s="5"/>
      <c r="C643" s="6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75" customHeight="1" x14ac:dyDescent="0.35">
      <c r="A644" s="3"/>
      <c r="B644" s="5"/>
      <c r="C644" s="6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75" customHeight="1" x14ac:dyDescent="0.35">
      <c r="A645" s="3"/>
      <c r="B645" s="5"/>
      <c r="C645" s="6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75" customHeight="1" x14ac:dyDescent="0.35">
      <c r="A646" s="3"/>
      <c r="B646" s="5"/>
      <c r="C646" s="6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75" customHeight="1" x14ac:dyDescent="0.35">
      <c r="A647" s="3"/>
      <c r="B647" s="5"/>
      <c r="C647" s="6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75" customHeight="1" x14ac:dyDescent="0.35">
      <c r="A648" s="3"/>
      <c r="B648" s="5"/>
      <c r="C648" s="6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75" customHeight="1" x14ac:dyDescent="0.35">
      <c r="A649" s="3"/>
      <c r="B649" s="5"/>
      <c r="C649" s="6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75" customHeight="1" x14ac:dyDescent="0.35">
      <c r="A650" s="3"/>
      <c r="B650" s="5"/>
      <c r="C650" s="6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75" customHeight="1" x14ac:dyDescent="0.35">
      <c r="A651" s="3"/>
      <c r="B651" s="5"/>
      <c r="C651" s="6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75" customHeight="1" x14ac:dyDescent="0.35">
      <c r="A652" s="3"/>
      <c r="B652" s="5"/>
      <c r="C652" s="6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75" customHeight="1" x14ac:dyDescent="0.35">
      <c r="A653" s="3"/>
      <c r="B653" s="5"/>
      <c r="C653" s="6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75" customHeight="1" x14ac:dyDescent="0.35">
      <c r="A654" s="3"/>
      <c r="B654" s="5"/>
      <c r="C654" s="6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75" customHeight="1" x14ac:dyDescent="0.35">
      <c r="A655" s="3"/>
      <c r="B655" s="5"/>
      <c r="C655" s="6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75" customHeight="1" x14ac:dyDescent="0.35">
      <c r="A656" s="3"/>
      <c r="B656" s="5"/>
      <c r="C656" s="6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75" customHeight="1" x14ac:dyDescent="0.35">
      <c r="A657" s="3"/>
      <c r="B657" s="5"/>
      <c r="C657" s="6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75" customHeight="1" x14ac:dyDescent="0.35">
      <c r="A658" s="3"/>
      <c r="B658" s="5"/>
      <c r="C658" s="6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75" customHeight="1" x14ac:dyDescent="0.35">
      <c r="A659" s="3"/>
      <c r="B659" s="5"/>
      <c r="C659" s="6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75" customHeight="1" x14ac:dyDescent="0.35">
      <c r="A660" s="3"/>
      <c r="B660" s="5"/>
      <c r="C660" s="6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75" customHeight="1" x14ac:dyDescent="0.35">
      <c r="A661" s="3"/>
      <c r="B661" s="5"/>
      <c r="C661" s="6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75" customHeight="1" x14ac:dyDescent="0.35">
      <c r="A662" s="3"/>
      <c r="B662" s="5"/>
      <c r="C662" s="6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75" customHeight="1" x14ac:dyDescent="0.35">
      <c r="A663" s="3"/>
      <c r="B663" s="5"/>
      <c r="C663" s="6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75" customHeight="1" x14ac:dyDescent="0.35">
      <c r="A664" s="3"/>
      <c r="B664" s="5"/>
      <c r="C664" s="6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75" customHeight="1" x14ac:dyDescent="0.35">
      <c r="A665" s="3"/>
      <c r="B665" s="5"/>
      <c r="C665" s="6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75" customHeight="1" x14ac:dyDescent="0.35">
      <c r="A666" s="3"/>
      <c r="B666" s="5"/>
      <c r="C666" s="6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75" customHeight="1" x14ac:dyDescent="0.35">
      <c r="A667" s="3"/>
      <c r="B667" s="5"/>
      <c r="C667" s="6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75" customHeight="1" x14ac:dyDescent="0.35">
      <c r="A668" s="3"/>
      <c r="B668" s="5"/>
      <c r="C668" s="6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75" customHeight="1" x14ac:dyDescent="0.35">
      <c r="A669" s="3"/>
      <c r="B669" s="5"/>
      <c r="C669" s="6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75" customHeight="1" x14ac:dyDescent="0.35">
      <c r="A670" s="3"/>
      <c r="B670" s="5"/>
      <c r="C670" s="6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75" customHeight="1" x14ac:dyDescent="0.35">
      <c r="A671" s="3"/>
      <c r="B671" s="5"/>
      <c r="C671" s="6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75" customHeight="1" x14ac:dyDescent="0.35">
      <c r="A672" s="3"/>
      <c r="B672" s="5"/>
      <c r="C672" s="6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75" customHeight="1" x14ac:dyDescent="0.35">
      <c r="A673" s="3"/>
      <c r="B673" s="5"/>
      <c r="C673" s="6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75" customHeight="1" x14ac:dyDescent="0.35">
      <c r="A674" s="3"/>
      <c r="B674" s="5"/>
      <c r="C674" s="6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75" customHeight="1" x14ac:dyDescent="0.35">
      <c r="A675" s="3"/>
      <c r="B675" s="5"/>
      <c r="C675" s="6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75" customHeight="1" x14ac:dyDescent="0.35">
      <c r="A676" s="3"/>
      <c r="B676" s="5"/>
      <c r="C676" s="6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75" customHeight="1" x14ac:dyDescent="0.35">
      <c r="A677" s="3"/>
      <c r="B677" s="5"/>
      <c r="C677" s="6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75" customHeight="1" x14ac:dyDescent="0.35">
      <c r="A678" s="3"/>
      <c r="B678" s="5"/>
      <c r="C678" s="6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75" customHeight="1" x14ac:dyDescent="0.35">
      <c r="A679" s="3"/>
      <c r="B679" s="5"/>
      <c r="C679" s="6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75" customHeight="1" x14ac:dyDescent="0.35">
      <c r="A680" s="3"/>
      <c r="B680" s="5"/>
      <c r="C680" s="6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75" customHeight="1" x14ac:dyDescent="0.35">
      <c r="A681" s="3"/>
      <c r="B681" s="5"/>
      <c r="C681" s="6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75" customHeight="1" x14ac:dyDescent="0.35">
      <c r="A682" s="3"/>
      <c r="B682" s="5"/>
      <c r="C682" s="6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75" customHeight="1" x14ac:dyDescent="0.35">
      <c r="A683" s="3"/>
      <c r="B683" s="5"/>
      <c r="C683" s="6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75" customHeight="1" x14ac:dyDescent="0.35">
      <c r="A684" s="3"/>
      <c r="B684" s="5"/>
      <c r="C684" s="6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75" customHeight="1" x14ac:dyDescent="0.35">
      <c r="A685" s="3"/>
      <c r="B685" s="5"/>
      <c r="C685" s="6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75" customHeight="1" x14ac:dyDescent="0.35">
      <c r="A686" s="3"/>
      <c r="B686" s="5"/>
      <c r="C686" s="6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75" customHeight="1" x14ac:dyDescent="0.35">
      <c r="A687" s="3"/>
      <c r="B687" s="5"/>
      <c r="C687" s="6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75" customHeight="1" x14ac:dyDescent="0.35">
      <c r="A688" s="3"/>
      <c r="B688" s="5"/>
      <c r="C688" s="6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75" customHeight="1" x14ac:dyDescent="0.35">
      <c r="A689" s="3"/>
      <c r="B689" s="5"/>
      <c r="C689" s="6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75" customHeight="1" x14ac:dyDescent="0.35">
      <c r="A690" s="3"/>
      <c r="B690" s="5"/>
      <c r="C690" s="6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75" customHeight="1" x14ac:dyDescent="0.35">
      <c r="A691" s="3"/>
      <c r="B691" s="5"/>
      <c r="C691" s="6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75" customHeight="1" x14ac:dyDescent="0.35">
      <c r="A692" s="3"/>
      <c r="B692" s="5"/>
      <c r="C692" s="6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75" customHeight="1" x14ac:dyDescent="0.35">
      <c r="A693" s="3"/>
      <c r="B693" s="5"/>
      <c r="C693" s="6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75" customHeight="1" x14ac:dyDescent="0.35">
      <c r="A694" s="3"/>
      <c r="B694" s="5"/>
      <c r="C694" s="6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75" customHeight="1" x14ac:dyDescent="0.35">
      <c r="A695" s="3"/>
      <c r="B695" s="5"/>
      <c r="C695" s="6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75" customHeight="1" x14ac:dyDescent="0.35">
      <c r="A696" s="3"/>
      <c r="B696" s="5"/>
      <c r="C696" s="6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75" customHeight="1" x14ac:dyDescent="0.35">
      <c r="A697" s="3"/>
      <c r="B697" s="5"/>
      <c r="C697" s="6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75" customHeight="1" x14ac:dyDescent="0.35">
      <c r="A698" s="3"/>
      <c r="B698" s="5"/>
      <c r="C698" s="6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75" customHeight="1" x14ac:dyDescent="0.35">
      <c r="A699" s="3"/>
      <c r="B699" s="5"/>
      <c r="C699" s="6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75" customHeight="1" x14ac:dyDescent="0.35">
      <c r="A700" s="3"/>
      <c r="B700" s="5"/>
      <c r="C700" s="6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75" customHeight="1" x14ac:dyDescent="0.35">
      <c r="A701" s="3"/>
      <c r="B701" s="5"/>
      <c r="C701" s="6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75" customHeight="1" x14ac:dyDescent="0.35">
      <c r="A702" s="3"/>
      <c r="B702" s="5"/>
      <c r="C702" s="6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75" customHeight="1" x14ac:dyDescent="0.35">
      <c r="A703" s="3"/>
      <c r="B703" s="5"/>
      <c r="C703" s="6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75" customHeight="1" x14ac:dyDescent="0.35">
      <c r="A704" s="3"/>
      <c r="B704" s="5"/>
      <c r="C704" s="6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75" customHeight="1" x14ac:dyDescent="0.35">
      <c r="A705" s="3"/>
      <c r="B705" s="5"/>
      <c r="C705" s="6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75" customHeight="1" x14ac:dyDescent="0.35">
      <c r="A706" s="3"/>
      <c r="B706" s="5"/>
      <c r="C706" s="6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75" customHeight="1" x14ac:dyDescent="0.35">
      <c r="A707" s="3"/>
      <c r="B707" s="5"/>
      <c r="C707" s="6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75" customHeight="1" x14ac:dyDescent="0.35">
      <c r="A708" s="3"/>
      <c r="B708" s="5"/>
      <c r="C708" s="6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75" customHeight="1" x14ac:dyDescent="0.35">
      <c r="A709" s="3"/>
      <c r="B709" s="5"/>
      <c r="C709" s="6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75" customHeight="1" x14ac:dyDescent="0.35">
      <c r="A710" s="3"/>
      <c r="B710" s="5"/>
      <c r="C710" s="6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75" customHeight="1" x14ac:dyDescent="0.35">
      <c r="A711" s="3"/>
      <c r="B711" s="5"/>
      <c r="C711" s="6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75" customHeight="1" x14ac:dyDescent="0.35">
      <c r="A712" s="3"/>
      <c r="B712" s="5"/>
      <c r="C712" s="6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75" customHeight="1" x14ac:dyDescent="0.35">
      <c r="A713" s="3"/>
      <c r="B713" s="5"/>
      <c r="C713" s="6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75" customHeight="1" x14ac:dyDescent="0.35">
      <c r="A714" s="3"/>
      <c r="B714" s="5"/>
      <c r="C714" s="6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75" customHeight="1" x14ac:dyDescent="0.35">
      <c r="A715" s="3"/>
      <c r="B715" s="5"/>
      <c r="C715" s="6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75" customHeight="1" x14ac:dyDescent="0.35">
      <c r="A716" s="3"/>
      <c r="B716" s="5"/>
      <c r="C716" s="6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75" customHeight="1" x14ac:dyDescent="0.35">
      <c r="A717" s="3"/>
      <c r="B717" s="5"/>
      <c r="C717" s="6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75" customHeight="1" x14ac:dyDescent="0.35">
      <c r="A718" s="3"/>
      <c r="B718" s="5"/>
      <c r="C718" s="6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75" customHeight="1" x14ac:dyDescent="0.35">
      <c r="A719" s="3"/>
      <c r="B719" s="5"/>
      <c r="C719" s="6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75" customHeight="1" x14ac:dyDescent="0.35">
      <c r="A720" s="3"/>
      <c r="B720" s="5"/>
      <c r="C720" s="6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75" customHeight="1" x14ac:dyDescent="0.35">
      <c r="A721" s="3"/>
      <c r="B721" s="5"/>
      <c r="C721" s="6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75" customHeight="1" x14ac:dyDescent="0.35">
      <c r="A722" s="3"/>
      <c r="B722" s="5"/>
      <c r="C722" s="6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75" customHeight="1" x14ac:dyDescent="0.35">
      <c r="A723" s="3"/>
      <c r="B723" s="5"/>
      <c r="C723" s="6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75" customHeight="1" x14ac:dyDescent="0.35">
      <c r="A724" s="3"/>
      <c r="B724" s="5"/>
      <c r="C724" s="6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75" customHeight="1" x14ac:dyDescent="0.35">
      <c r="A725" s="3"/>
      <c r="B725" s="5"/>
      <c r="C725" s="6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75" customHeight="1" x14ac:dyDescent="0.35">
      <c r="A726" s="3"/>
      <c r="B726" s="5"/>
      <c r="C726" s="6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75" customHeight="1" x14ac:dyDescent="0.35">
      <c r="A727" s="3"/>
      <c r="B727" s="5"/>
      <c r="C727" s="6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75" customHeight="1" x14ac:dyDescent="0.35">
      <c r="A728" s="3"/>
      <c r="B728" s="5"/>
      <c r="C728" s="6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75" customHeight="1" x14ac:dyDescent="0.35">
      <c r="A729" s="3"/>
      <c r="B729" s="5"/>
      <c r="C729" s="6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75" customHeight="1" x14ac:dyDescent="0.35">
      <c r="A730" s="3"/>
      <c r="B730" s="5"/>
      <c r="C730" s="6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75" customHeight="1" x14ac:dyDescent="0.35">
      <c r="A731" s="3"/>
      <c r="B731" s="5"/>
      <c r="C731" s="6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75" customHeight="1" x14ac:dyDescent="0.35">
      <c r="A732" s="3"/>
      <c r="B732" s="5"/>
      <c r="C732" s="6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75" customHeight="1" x14ac:dyDescent="0.35">
      <c r="A733" s="3"/>
      <c r="B733" s="5"/>
      <c r="C733" s="6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75" customHeight="1" x14ac:dyDescent="0.35">
      <c r="A734" s="3"/>
      <c r="B734" s="5"/>
      <c r="C734" s="6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75" customHeight="1" x14ac:dyDescent="0.35">
      <c r="A735" s="3"/>
      <c r="B735" s="5"/>
      <c r="C735" s="6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75" customHeight="1" x14ac:dyDescent="0.35">
      <c r="A736" s="3"/>
      <c r="B736" s="5"/>
      <c r="C736" s="6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75" customHeight="1" x14ac:dyDescent="0.35">
      <c r="A737" s="3"/>
      <c r="B737" s="5"/>
      <c r="C737" s="6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75" customHeight="1" x14ac:dyDescent="0.35">
      <c r="A738" s="3"/>
      <c r="B738" s="5"/>
      <c r="C738" s="6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75" customHeight="1" x14ac:dyDescent="0.35">
      <c r="A739" s="3"/>
      <c r="B739" s="5"/>
      <c r="C739" s="6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75" customHeight="1" x14ac:dyDescent="0.35">
      <c r="A740" s="3"/>
      <c r="B740" s="5"/>
      <c r="C740" s="6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75" customHeight="1" x14ac:dyDescent="0.35">
      <c r="A741" s="3"/>
      <c r="B741" s="5"/>
      <c r="C741" s="6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75" customHeight="1" x14ac:dyDescent="0.35">
      <c r="A742" s="3"/>
      <c r="B742" s="5"/>
      <c r="C742" s="6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75" customHeight="1" x14ac:dyDescent="0.35">
      <c r="A743" s="3"/>
      <c r="B743" s="5"/>
      <c r="C743" s="6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75" customHeight="1" x14ac:dyDescent="0.35">
      <c r="A744" s="3"/>
      <c r="B744" s="5"/>
      <c r="C744" s="6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75" customHeight="1" x14ac:dyDescent="0.35">
      <c r="A745" s="3"/>
      <c r="B745" s="5"/>
      <c r="C745" s="6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75" customHeight="1" x14ac:dyDescent="0.35">
      <c r="A746" s="3"/>
      <c r="B746" s="5"/>
      <c r="C746" s="6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75" customHeight="1" x14ac:dyDescent="0.35">
      <c r="A747" s="3"/>
      <c r="B747" s="5"/>
      <c r="C747" s="6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75" customHeight="1" x14ac:dyDescent="0.35">
      <c r="A748" s="3"/>
      <c r="B748" s="5"/>
      <c r="C748" s="6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75" customHeight="1" x14ac:dyDescent="0.35">
      <c r="A749" s="3"/>
      <c r="B749" s="5"/>
      <c r="C749" s="6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75" customHeight="1" x14ac:dyDescent="0.35">
      <c r="A750" s="3"/>
      <c r="B750" s="5"/>
      <c r="C750" s="6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75" customHeight="1" x14ac:dyDescent="0.35">
      <c r="A751" s="3"/>
      <c r="B751" s="5"/>
      <c r="C751" s="6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75" customHeight="1" x14ac:dyDescent="0.35">
      <c r="A752" s="3"/>
      <c r="B752" s="5"/>
      <c r="C752" s="6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75" customHeight="1" x14ac:dyDescent="0.35">
      <c r="A753" s="3"/>
      <c r="B753" s="5"/>
      <c r="C753" s="6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75" customHeight="1" x14ac:dyDescent="0.35">
      <c r="A754" s="3"/>
      <c r="B754" s="5"/>
      <c r="C754" s="6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75" customHeight="1" x14ac:dyDescent="0.35">
      <c r="A755" s="3"/>
      <c r="B755" s="5"/>
      <c r="C755" s="6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75" customHeight="1" x14ac:dyDescent="0.35">
      <c r="A756" s="3"/>
      <c r="B756" s="5"/>
      <c r="C756" s="6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75" customHeight="1" x14ac:dyDescent="0.35">
      <c r="A757" s="3"/>
      <c r="B757" s="5"/>
      <c r="C757" s="6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75" customHeight="1" x14ac:dyDescent="0.35">
      <c r="A758" s="3"/>
      <c r="B758" s="5"/>
      <c r="C758" s="6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75" customHeight="1" x14ac:dyDescent="0.35">
      <c r="A759" s="3"/>
      <c r="B759" s="5"/>
      <c r="C759" s="6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75" customHeight="1" x14ac:dyDescent="0.35">
      <c r="A760" s="3"/>
      <c r="B760" s="5"/>
      <c r="C760" s="6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75" customHeight="1" x14ac:dyDescent="0.35">
      <c r="A761" s="3"/>
      <c r="B761" s="5"/>
      <c r="C761" s="6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75" customHeight="1" x14ac:dyDescent="0.35">
      <c r="A762" s="3"/>
      <c r="B762" s="5"/>
      <c r="C762" s="6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75" customHeight="1" x14ac:dyDescent="0.35">
      <c r="A763" s="3"/>
      <c r="B763" s="5"/>
      <c r="C763" s="6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75" customHeight="1" x14ac:dyDescent="0.35">
      <c r="A764" s="3"/>
      <c r="B764" s="5"/>
      <c r="C764" s="6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75" customHeight="1" x14ac:dyDescent="0.35">
      <c r="A765" s="3"/>
      <c r="B765" s="5"/>
      <c r="C765" s="6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75" customHeight="1" x14ac:dyDescent="0.35">
      <c r="A766" s="3"/>
      <c r="B766" s="5"/>
      <c r="C766" s="6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75" customHeight="1" x14ac:dyDescent="0.35">
      <c r="A767" s="3"/>
      <c r="B767" s="5"/>
      <c r="C767" s="6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75" customHeight="1" x14ac:dyDescent="0.35">
      <c r="A768" s="3"/>
      <c r="B768" s="5"/>
      <c r="C768" s="6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75" customHeight="1" x14ac:dyDescent="0.35">
      <c r="A769" s="3"/>
      <c r="B769" s="5"/>
      <c r="C769" s="6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75" customHeight="1" x14ac:dyDescent="0.35">
      <c r="A770" s="3"/>
      <c r="B770" s="5"/>
      <c r="C770" s="6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75" customHeight="1" x14ac:dyDescent="0.35">
      <c r="A771" s="3"/>
      <c r="B771" s="5"/>
      <c r="C771" s="6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75" customHeight="1" x14ac:dyDescent="0.35">
      <c r="A772" s="3"/>
      <c r="B772" s="5"/>
      <c r="C772" s="6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75" customHeight="1" x14ac:dyDescent="0.35">
      <c r="A773" s="3"/>
      <c r="B773" s="5"/>
      <c r="C773" s="6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75" customHeight="1" x14ac:dyDescent="0.35">
      <c r="A774" s="3"/>
      <c r="B774" s="5"/>
      <c r="C774" s="6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75" customHeight="1" x14ac:dyDescent="0.35">
      <c r="A775" s="3"/>
      <c r="B775" s="5"/>
      <c r="C775" s="6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75" customHeight="1" x14ac:dyDescent="0.35">
      <c r="A776" s="3"/>
      <c r="B776" s="5"/>
      <c r="C776" s="6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75" customHeight="1" x14ac:dyDescent="0.35">
      <c r="A777" s="3"/>
      <c r="B777" s="5"/>
      <c r="C777" s="6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75" customHeight="1" x14ac:dyDescent="0.35">
      <c r="A778" s="3"/>
      <c r="B778" s="5"/>
      <c r="C778" s="6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75" customHeight="1" x14ac:dyDescent="0.35">
      <c r="A779" s="3"/>
      <c r="B779" s="5"/>
      <c r="C779" s="6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75" customHeight="1" x14ac:dyDescent="0.35">
      <c r="A780" s="3"/>
      <c r="B780" s="5"/>
      <c r="C780" s="6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75" customHeight="1" x14ac:dyDescent="0.35">
      <c r="A781" s="3"/>
      <c r="B781" s="5"/>
      <c r="C781" s="6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75" customHeight="1" x14ac:dyDescent="0.35">
      <c r="A782" s="3"/>
      <c r="B782" s="5"/>
      <c r="C782" s="6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75" customHeight="1" x14ac:dyDescent="0.35">
      <c r="A783" s="3"/>
      <c r="B783" s="5"/>
      <c r="C783" s="6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75" customHeight="1" x14ac:dyDescent="0.35">
      <c r="A784" s="3"/>
      <c r="B784" s="5"/>
      <c r="C784" s="6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75" customHeight="1" x14ac:dyDescent="0.35">
      <c r="A785" s="3"/>
      <c r="B785" s="5"/>
      <c r="C785" s="6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75" customHeight="1" x14ac:dyDescent="0.35">
      <c r="A786" s="3"/>
      <c r="B786" s="5"/>
      <c r="C786" s="6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75" customHeight="1" x14ac:dyDescent="0.35">
      <c r="A787" s="3"/>
      <c r="B787" s="5"/>
      <c r="C787" s="6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75" customHeight="1" x14ac:dyDescent="0.35">
      <c r="A788" s="3"/>
      <c r="B788" s="5"/>
      <c r="C788" s="6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75" customHeight="1" x14ac:dyDescent="0.35">
      <c r="A789" s="3"/>
      <c r="B789" s="5"/>
      <c r="C789" s="6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75" customHeight="1" x14ac:dyDescent="0.35">
      <c r="A790" s="3"/>
      <c r="B790" s="5"/>
      <c r="C790" s="6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75" customHeight="1" x14ac:dyDescent="0.35">
      <c r="A791" s="3"/>
      <c r="B791" s="5"/>
      <c r="C791" s="6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75" customHeight="1" x14ac:dyDescent="0.35">
      <c r="A792" s="3"/>
      <c r="B792" s="5"/>
      <c r="C792" s="6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75" customHeight="1" x14ac:dyDescent="0.35">
      <c r="A793" s="3"/>
      <c r="B793" s="5"/>
      <c r="C793" s="6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75" customHeight="1" x14ac:dyDescent="0.35">
      <c r="A794" s="3"/>
      <c r="B794" s="5"/>
      <c r="C794" s="6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75" customHeight="1" x14ac:dyDescent="0.35">
      <c r="A795" s="3"/>
      <c r="B795" s="5"/>
      <c r="C795" s="6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75" customHeight="1" x14ac:dyDescent="0.35">
      <c r="A796" s="3"/>
      <c r="B796" s="5"/>
      <c r="C796" s="6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75" customHeight="1" x14ac:dyDescent="0.35">
      <c r="A797" s="3"/>
      <c r="B797" s="5"/>
      <c r="C797" s="6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75" customHeight="1" x14ac:dyDescent="0.35">
      <c r="A798" s="3"/>
      <c r="B798" s="5"/>
      <c r="C798" s="6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75" customHeight="1" x14ac:dyDescent="0.35">
      <c r="A799" s="3"/>
      <c r="B799" s="5"/>
      <c r="C799" s="6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75" customHeight="1" x14ac:dyDescent="0.35">
      <c r="A800" s="3"/>
      <c r="B800" s="5"/>
      <c r="C800" s="6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75" customHeight="1" x14ac:dyDescent="0.35">
      <c r="A801" s="3"/>
      <c r="B801" s="5"/>
      <c r="C801" s="6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75" customHeight="1" x14ac:dyDescent="0.35">
      <c r="A802" s="3"/>
      <c r="B802" s="5"/>
      <c r="C802" s="6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75" customHeight="1" x14ac:dyDescent="0.35">
      <c r="A803" s="3"/>
      <c r="B803" s="5"/>
      <c r="C803" s="6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75" customHeight="1" x14ac:dyDescent="0.35">
      <c r="A804" s="3"/>
      <c r="B804" s="5"/>
      <c r="C804" s="6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75" customHeight="1" x14ac:dyDescent="0.35">
      <c r="A805" s="3"/>
      <c r="B805" s="5"/>
      <c r="C805" s="6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75" customHeight="1" x14ac:dyDescent="0.35">
      <c r="A806" s="3"/>
      <c r="B806" s="5"/>
      <c r="C806" s="6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75" customHeight="1" x14ac:dyDescent="0.35">
      <c r="A807" s="3"/>
      <c r="B807" s="5"/>
      <c r="C807" s="6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75" customHeight="1" x14ac:dyDescent="0.35">
      <c r="A808" s="3"/>
      <c r="B808" s="5"/>
      <c r="C808" s="6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75" customHeight="1" x14ac:dyDescent="0.35">
      <c r="A809" s="3"/>
      <c r="B809" s="5"/>
      <c r="C809" s="6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75" customHeight="1" x14ac:dyDescent="0.35">
      <c r="A810" s="3"/>
      <c r="B810" s="5"/>
      <c r="C810" s="6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75" customHeight="1" x14ac:dyDescent="0.35">
      <c r="A811" s="3"/>
      <c r="B811" s="5"/>
      <c r="C811" s="6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75" customHeight="1" x14ac:dyDescent="0.35">
      <c r="A812" s="3"/>
      <c r="B812" s="5"/>
      <c r="C812" s="6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75" customHeight="1" x14ac:dyDescent="0.35">
      <c r="A813" s="3"/>
      <c r="B813" s="5"/>
      <c r="C813" s="6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75" customHeight="1" x14ac:dyDescent="0.35">
      <c r="A814" s="3"/>
      <c r="B814" s="5"/>
      <c r="C814" s="6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75" customHeight="1" x14ac:dyDescent="0.35">
      <c r="A815" s="3"/>
      <c r="B815" s="5"/>
      <c r="C815" s="6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75" customHeight="1" x14ac:dyDescent="0.35">
      <c r="A816" s="3"/>
      <c r="B816" s="5"/>
      <c r="C816" s="6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75" customHeight="1" x14ac:dyDescent="0.35">
      <c r="A817" s="3"/>
      <c r="B817" s="5"/>
      <c r="C817" s="6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75" customHeight="1" x14ac:dyDescent="0.35">
      <c r="A818" s="3"/>
      <c r="B818" s="5"/>
      <c r="C818" s="6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75" customHeight="1" x14ac:dyDescent="0.35">
      <c r="A819" s="3"/>
      <c r="B819" s="5"/>
      <c r="C819" s="6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75" customHeight="1" x14ac:dyDescent="0.35">
      <c r="A820" s="3"/>
      <c r="B820" s="5"/>
      <c r="C820" s="6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75" customHeight="1" x14ac:dyDescent="0.35">
      <c r="A821" s="3"/>
      <c r="B821" s="5"/>
      <c r="C821" s="6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75" customHeight="1" x14ac:dyDescent="0.35">
      <c r="A822" s="3"/>
      <c r="B822" s="5"/>
      <c r="C822" s="6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75" customHeight="1" x14ac:dyDescent="0.35">
      <c r="A823" s="3"/>
      <c r="B823" s="5"/>
      <c r="C823" s="6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75" customHeight="1" x14ac:dyDescent="0.35">
      <c r="A824" s="3"/>
      <c r="B824" s="5"/>
      <c r="C824" s="6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75" customHeight="1" x14ac:dyDescent="0.35">
      <c r="A825" s="3"/>
      <c r="B825" s="5"/>
      <c r="C825" s="6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75" customHeight="1" x14ac:dyDescent="0.35">
      <c r="A826" s="3"/>
      <c r="B826" s="5"/>
      <c r="C826" s="6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75" customHeight="1" x14ac:dyDescent="0.35">
      <c r="A827" s="3"/>
      <c r="B827" s="5"/>
      <c r="C827" s="6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75" customHeight="1" x14ac:dyDescent="0.35">
      <c r="A828" s="3"/>
      <c r="B828" s="5"/>
      <c r="C828" s="6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75" customHeight="1" x14ac:dyDescent="0.35">
      <c r="A829" s="3"/>
      <c r="B829" s="5"/>
      <c r="C829" s="6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75" customHeight="1" x14ac:dyDescent="0.35">
      <c r="A830" s="3"/>
      <c r="B830" s="5"/>
      <c r="C830" s="6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75" customHeight="1" x14ac:dyDescent="0.35">
      <c r="A831" s="3"/>
      <c r="B831" s="5"/>
      <c r="C831" s="6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75" customHeight="1" x14ac:dyDescent="0.35">
      <c r="A832" s="3"/>
      <c r="B832" s="5"/>
      <c r="C832" s="6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75" customHeight="1" x14ac:dyDescent="0.35">
      <c r="A833" s="3"/>
      <c r="B833" s="5"/>
      <c r="C833" s="6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75" customHeight="1" x14ac:dyDescent="0.35">
      <c r="A834" s="3"/>
      <c r="B834" s="5"/>
      <c r="C834" s="6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75" customHeight="1" x14ac:dyDescent="0.35">
      <c r="A835" s="3"/>
      <c r="B835" s="5"/>
      <c r="C835" s="6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75" customHeight="1" x14ac:dyDescent="0.35">
      <c r="A836" s="3"/>
      <c r="B836" s="5"/>
      <c r="C836" s="6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75" customHeight="1" x14ac:dyDescent="0.35">
      <c r="A837" s="3"/>
      <c r="B837" s="5"/>
      <c r="C837" s="6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75" customHeight="1" x14ac:dyDescent="0.35">
      <c r="A838" s="3"/>
      <c r="B838" s="5"/>
      <c r="C838" s="6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75" customHeight="1" x14ac:dyDescent="0.35">
      <c r="A839" s="3"/>
      <c r="B839" s="5"/>
      <c r="C839" s="6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75" customHeight="1" x14ac:dyDescent="0.35">
      <c r="A840" s="3"/>
      <c r="B840" s="5"/>
      <c r="C840" s="6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75" customHeight="1" x14ac:dyDescent="0.35">
      <c r="A841" s="3"/>
      <c r="B841" s="5"/>
      <c r="C841" s="6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75" customHeight="1" x14ac:dyDescent="0.35">
      <c r="A842" s="3"/>
      <c r="B842" s="5"/>
      <c r="C842" s="6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75" customHeight="1" x14ac:dyDescent="0.35">
      <c r="A843" s="3"/>
      <c r="B843" s="5"/>
      <c r="C843" s="6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75" customHeight="1" x14ac:dyDescent="0.35">
      <c r="A844" s="3"/>
      <c r="B844" s="5"/>
      <c r="C844" s="6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75" customHeight="1" x14ac:dyDescent="0.35">
      <c r="A845" s="3"/>
      <c r="B845" s="5"/>
      <c r="C845" s="6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75" customHeight="1" x14ac:dyDescent="0.35">
      <c r="A846" s="3"/>
      <c r="B846" s="5"/>
      <c r="C846" s="6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75" customHeight="1" x14ac:dyDescent="0.35">
      <c r="A847" s="3"/>
      <c r="B847" s="5"/>
      <c r="C847" s="6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75" customHeight="1" x14ac:dyDescent="0.35">
      <c r="A848" s="3"/>
      <c r="B848" s="5"/>
      <c r="C848" s="6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75" customHeight="1" x14ac:dyDescent="0.35">
      <c r="A849" s="3"/>
      <c r="B849" s="5"/>
      <c r="C849" s="6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75" customHeight="1" x14ac:dyDescent="0.35">
      <c r="A850" s="3"/>
      <c r="B850" s="5"/>
      <c r="C850" s="6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75" customHeight="1" x14ac:dyDescent="0.35">
      <c r="A851" s="3"/>
      <c r="B851" s="5"/>
      <c r="C851" s="6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75" customHeight="1" x14ac:dyDescent="0.35">
      <c r="A852" s="3"/>
      <c r="B852" s="5"/>
      <c r="C852" s="6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75" customHeight="1" x14ac:dyDescent="0.35">
      <c r="A853" s="3"/>
      <c r="B853" s="5"/>
      <c r="C853" s="6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75" customHeight="1" x14ac:dyDescent="0.35">
      <c r="A854" s="3"/>
      <c r="B854" s="5"/>
      <c r="C854" s="6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75" customHeight="1" x14ac:dyDescent="0.35">
      <c r="A855" s="3"/>
      <c r="B855" s="5"/>
      <c r="C855" s="6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75" customHeight="1" x14ac:dyDescent="0.35">
      <c r="A856" s="3"/>
      <c r="B856" s="5"/>
      <c r="C856" s="6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75" customHeight="1" x14ac:dyDescent="0.35">
      <c r="A857" s="3"/>
      <c r="B857" s="5"/>
      <c r="C857" s="6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75" customHeight="1" x14ac:dyDescent="0.35">
      <c r="A858" s="3"/>
      <c r="B858" s="5"/>
      <c r="C858" s="6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75" customHeight="1" x14ac:dyDescent="0.35">
      <c r="A859" s="3"/>
      <c r="B859" s="5"/>
      <c r="C859" s="6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75" customHeight="1" x14ac:dyDescent="0.35">
      <c r="A860" s="3"/>
      <c r="B860" s="5"/>
      <c r="C860" s="6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75" customHeight="1" x14ac:dyDescent="0.35">
      <c r="A861" s="3"/>
      <c r="B861" s="5"/>
      <c r="C861" s="6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75" customHeight="1" x14ac:dyDescent="0.35">
      <c r="A862" s="3"/>
      <c r="B862" s="5"/>
      <c r="C862" s="6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75" customHeight="1" x14ac:dyDescent="0.35">
      <c r="A863" s="3"/>
      <c r="B863" s="5"/>
      <c r="C863" s="6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75" customHeight="1" x14ac:dyDescent="0.35">
      <c r="A864" s="3"/>
      <c r="B864" s="5"/>
      <c r="C864" s="6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75" customHeight="1" x14ac:dyDescent="0.35">
      <c r="A865" s="3"/>
      <c r="B865" s="5"/>
      <c r="C865" s="6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75" customHeight="1" x14ac:dyDescent="0.35">
      <c r="A866" s="3"/>
      <c r="B866" s="5"/>
      <c r="C866" s="6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75" customHeight="1" x14ac:dyDescent="0.35">
      <c r="A867" s="3"/>
      <c r="B867" s="5"/>
      <c r="C867" s="6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75" customHeight="1" x14ac:dyDescent="0.35">
      <c r="A868" s="3"/>
      <c r="B868" s="5"/>
      <c r="C868" s="6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75" customHeight="1" x14ac:dyDescent="0.35">
      <c r="A869" s="3"/>
      <c r="B869" s="5"/>
      <c r="C869" s="6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75" customHeight="1" x14ac:dyDescent="0.35">
      <c r="A870" s="3"/>
      <c r="B870" s="5"/>
      <c r="C870" s="6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75" customHeight="1" x14ac:dyDescent="0.35">
      <c r="A871" s="3"/>
      <c r="B871" s="5"/>
      <c r="C871" s="6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75" customHeight="1" x14ac:dyDescent="0.35">
      <c r="A872" s="3"/>
      <c r="B872" s="5"/>
      <c r="C872" s="6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75" customHeight="1" x14ac:dyDescent="0.35">
      <c r="A873" s="3"/>
      <c r="B873" s="5"/>
      <c r="C873" s="6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75" customHeight="1" x14ac:dyDescent="0.35">
      <c r="A874" s="3"/>
      <c r="B874" s="5"/>
      <c r="C874" s="6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75" customHeight="1" x14ac:dyDescent="0.35">
      <c r="A875" s="3"/>
      <c r="B875" s="5"/>
      <c r="C875" s="6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75" customHeight="1" x14ac:dyDescent="0.35">
      <c r="A876" s="3"/>
      <c r="B876" s="5"/>
      <c r="C876" s="6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75" customHeight="1" x14ac:dyDescent="0.35">
      <c r="A877" s="3"/>
      <c r="B877" s="5"/>
      <c r="C877" s="6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75" customHeight="1" x14ac:dyDescent="0.35">
      <c r="A878" s="3"/>
      <c r="B878" s="5"/>
      <c r="C878" s="6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75" customHeight="1" x14ac:dyDescent="0.35">
      <c r="A879" s="3"/>
      <c r="B879" s="5"/>
      <c r="C879" s="6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75" customHeight="1" x14ac:dyDescent="0.35">
      <c r="A880" s="3"/>
      <c r="B880" s="5"/>
      <c r="C880" s="6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75" customHeight="1" x14ac:dyDescent="0.35">
      <c r="A881" s="3"/>
      <c r="B881" s="5"/>
      <c r="C881" s="6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75" customHeight="1" x14ac:dyDescent="0.35">
      <c r="A882" s="3"/>
      <c r="B882" s="5"/>
      <c r="C882" s="6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75" customHeight="1" x14ac:dyDescent="0.35">
      <c r="A883" s="3"/>
      <c r="B883" s="5"/>
      <c r="C883" s="6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75" customHeight="1" x14ac:dyDescent="0.35">
      <c r="A884" s="3"/>
      <c r="B884" s="5"/>
      <c r="C884" s="6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75" customHeight="1" x14ac:dyDescent="0.35">
      <c r="A885" s="3"/>
      <c r="B885" s="5"/>
      <c r="C885" s="6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75" customHeight="1" x14ac:dyDescent="0.35">
      <c r="A886" s="3"/>
      <c r="B886" s="5"/>
      <c r="C886" s="6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75" customHeight="1" x14ac:dyDescent="0.35">
      <c r="A887" s="3"/>
      <c r="B887" s="5"/>
      <c r="C887" s="6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75" customHeight="1" x14ac:dyDescent="0.35">
      <c r="A888" s="3"/>
      <c r="B888" s="5"/>
      <c r="C888" s="6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75" customHeight="1" x14ac:dyDescent="0.35">
      <c r="A889" s="3"/>
      <c r="B889" s="5"/>
      <c r="C889" s="6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75" customHeight="1" x14ac:dyDescent="0.35">
      <c r="A890" s="3"/>
      <c r="B890" s="5"/>
      <c r="C890" s="6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75" customHeight="1" x14ac:dyDescent="0.35">
      <c r="A891" s="3"/>
      <c r="B891" s="5"/>
      <c r="C891" s="6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75" customHeight="1" x14ac:dyDescent="0.35">
      <c r="A892" s="3"/>
      <c r="B892" s="5"/>
      <c r="C892" s="6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75" customHeight="1" x14ac:dyDescent="0.35">
      <c r="A893" s="3"/>
      <c r="B893" s="5"/>
      <c r="C893" s="6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75" customHeight="1" x14ac:dyDescent="0.35">
      <c r="A894" s="3"/>
      <c r="B894" s="5"/>
      <c r="C894" s="6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75" customHeight="1" x14ac:dyDescent="0.35">
      <c r="A895" s="3"/>
      <c r="B895" s="5"/>
      <c r="C895" s="6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75" customHeight="1" x14ac:dyDescent="0.35">
      <c r="A896" s="3"/>
      <c r="B896" s="5"/>
      <c r="C896" s="6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75" customHeight="1" x14ac:dyDescent="0.35">
      <c r="A897" s="3"/>
      <c r="B897" s="5"/>
      <c r="C897" s="6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75" customHeight="1" x14ac:dyDescent="0.35">
      <c r="A898" s="3"/>
      <c r="B898" s="5"/>
      <c r="C898" s="6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75" customHeight="1" x14ac:dyDescent="0.35">
      <c r="A899" s="3"/>
      <c r="B899" s="5"/>
      <c r="C899" s="6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75" customHeight="1" x14ac:dyDescent="0.35">
      <c r="A900" s="3"/>
      <c r="B900" s="5"/>
      <c r="C900" s="6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75" customHeight="1" x14ac:dyDescent="0.35">
      <c r="A901" s="3"/>
      <c r="B901" s="5"/>
      <c r="C901" s="6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75" customHeight="1" x14ac:dyDescent="0.35">
      <c r="A902" s="3"/>
      <c r="B902" s="5"/>
      <c r="C902" s="6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75" customHeight="1" x14ac:dyDescent="0.35">
      <c r="A903" s="3"/>
      <c r="B903" s="5"/>
      <c r="C903" s="6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75" customHeight="1" x14ac:dyDescent="0.35">
      <c r="A904" s="3"/>
      <c r="B904" s="5"/>
      <c r="C904" s="6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75" customHeight="1" x14ac:dyDescent="0.35">
      <c r="A905" s="3"/>
      <c r="B905" s="5"/>
      <c r="C905" s="6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75" customHeight="1" x14ac:dyDescent="0.35">
      <c r="A906" s="3"/>
      <c r="B906" s="5"/>
      <c r="C906" s="6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75" customHeight="1" x14ac:dyDescent="0.35">
      <c r="A907" s="3"/>
      <c r="B907" s="5"/>
      <c r="C907" s="6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75" customHeight="1" x14ac:dyDescent="0.35">
      <c r="A908" s="3"/>
      <c r="B908" s="5"/>
      <c r="C908" s="6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75" customHeight="1" x14ac:dyDescent="0.35">
      <c r="A909" s="3"/>
      <c r="B909" s="5"/>
      <c r="C909" s="6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75" customHeight="1" x14ac:dyDescent="0.35">
      <c r="A910" s="3"/>
      <c r="B910" s="5"/>
      <c r="C910" s="6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75" customHeight="1" x14ac:dyDescent="0.35">
      <c r="A911" s="3"/>
      <c r="B911" s="5"/>
      <c r="C911" s="6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75" customHeight="1" x14ac:dyDescent="0.35">
      <c r="A912" s="3"/>
      <c r="B912" s="5"/>
      <c r="C912" s="6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75" customHeight="1" x14ac:dyDescent="0.35">
      <c r="A913" s="3"/>
      <c r="B913" s="5"/>
      <c r="C913" s="6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75" customHeight="1" x14ac:dyDescent="0.35">
      <c r="A914" s="3"/>
      <c r="B914" s="5"/>
      <c r="C914" s="6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75" customHeight="1" x14ac:dyDescent="0.35">
      <c r="A915" s="3"/>
      <c r="B915" s="5"/>
      <c r="C915" s="6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75" customHeight="1" x14ac:dyDescent="0.35">
      <c r="A916" s="3"/>
      <c r="B916" s="5"/>
      <c r="C916" s="6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75" customHeight="1" x14ac:dyDescent="0.35">
      <c r="A917" s="3"/>
      <c r="B917" s="5"/>
      <c r="C917" s="6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75" customHeight="1" x14ac:dyDescent="0.35">
      <c r="A918" s="3"/>
      <c r="B918" s="5"/>
      <c r="C918" s="6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75" customHeight="1" x14ac:dyDescent="0.35">
      <c r="A919" s="3"/>
      <c r="B919" s="5"/>
      <c r="C919" s="6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75" customHeight="1" x14ac:dyDescent="0.35">
      <c r="A920" s="3"/>
      <c r="B920" s="5"/>
      <c r="C920" s="6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75" customHeight="1" x14ac:dyDescent="0.35">
      <c r="A921" s="3"/>
      <c r="B921" s="5"/>
      <c r="C921" s="6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75" customHeight="1" x14ac:dyDescent="0.35">
      <c r="A922" s="3"/>
      <c r="B922" s="5"/>
      <c r="C922" s="6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75" customHeight="1" x14ac:dyDescent="0.35">
      <c r="A923" s="3"/>
      <c r="B923" s="5"/>
      <c r="C923" s="6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75" customHeight="1" x14ac:dyDescent="0.35">
      <c r="A924" s="3"/>
      <c r="B924" s="5"/>
      <c r="C924" s="6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75" customHeight="1" x14ac:dyDescent="0.35">
      <c r="A925" s="3"/>
      <c r="B925" s="5"/>
      <c r="C925" s="6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75" customHeight="1" x14ac:dyDescent="0.35">
      <c r="A926" s="3"/>
      <c r="B926" s="5"/>
      <c r="C926" s="6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75" customHeight="1" x14ac:dyDescent="0.35">
      <c r="A927" s="3"/>
      <c r="B927" s="5"/>
      <c r="C927" s="6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75" customHeight="1" x14ac:dyDescent="0.35">
      <c r="A928" s="3"/>
      <c r="B928" s="5"/>
      <c r="C928" s="6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75" customHeight="1" x14ac:dyDescent="0.35">
      <c r="A929" s="3"/>
      <c r="B929" s="5"/>
      <c r="C929" s="6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75" customHeight="1" x14ac:dyDescent="0.35">
      <c r="A930" s="3"/>
      <c r="B930" s="5"/>
      <c r="C930" s="6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75" customHeight="1" x14ac:dyDescent="0.35">
      <c r="A931" s="3"/>
      <c r="B931" s="5"/>
      <c r="C931" s="6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75" customHeight="1" x14ac:dyDescent="0.35">
      <c r="A932" s="3"/>
      <c r="B932" s="5"/>
      <c r="C932" s="6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75" customHeight="1" x14ac:dyDescent="0.35">
      <c r="A933" s="3"/>
      <c r="B933" s="5"/>
      <c r="C933" s="6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75" customHeight="1" x14ac:dyDescent="0.35">
      <c r="A934" s="3"/>
      <c r="B934" s="5"/>
      <c r="C934" s="6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75" customHeight="1" x14ac:dyDescent="0.35">
      <c r="A935" s="3"/>
      <c r="B935" s="5"/>
      <c r="C935" s="6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75" customHeight="1" x14ac:dyDescent="0.35">
      <c r="A936" s="3"/>
      <c r="B936" s="5"/>
      <c r="C936" s="6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75" customHeight="1" x14ac:dyDescent="0.35">
      <c r="A937" s="3"/>
      <c r="B937" s="5"/>
      <c r="C937" s="6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75" customHeight="1" x14ac:dyDescent="0.35">
      <c r="A938" s="3"/>
      <c r="B938" s="5"/>
      <c r="C938" s="6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75" customHeight="1" x14ac:dyDescent="0.35">
      <c r="A939" s="3"/>
      <c r="B939" s="5"/>
      <c r="C939" s="6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75" customHeight="1" x14ac:dyDescent="0.35">
      <c r="A940" s="3"/>
      <c r="B940" s="5"/>
      <c r="C940" s="6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75" customHeight="1" x14ac:dyDescent="0.35">
      <c r="A941" s="3"/>
      <c r="B941" s="5"/>
      <c r="C941" s="6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75" customHeight="1" x14ac:dyDescent="0.35">
      <c r="A942" s="3"/>
      <c r="B942" s="5"/>
      <c r="C942" s="6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75" customHeight="1" x14ac:dyDescent="0.35">
      <c r="A943" s="3"/>
      <c r="B943" s="5"/>
      <c r="C943" s="6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75" customHeight="1" x14ac:dyDescent="0.35">
      <c r="A944" s="3"/>
      <c r="B944" s="5"/>
      <c r="C944" s="6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75" customHeight="1" x14ac:dyDescent="0.35">
      <c r="A945" s="3"/>
      <c r="B945" s="5"/>
      <c r="C945" s="6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75" customHeight="1" x14ac:dyDescent="0.35">
      <c r="A946" s="3"/>
      <c r="B946" s="5"/>
      <c r="C946" s="6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75" customHeight="1" x14ac:dyDescent="0.35">
      <c r="A947" s="3"/>
      <c r="B947" s="5"/>
      <c r="C947" s="6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75" customHeight="1" x14ac:dyDescent="0.35">
      <c r="A948" s="3"/>
      <c r="B948" s="5"/>
      <c r="C948" s="6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75" customHeight="1" x14ac:dyDescent="0.35">
      <c r="A949" s="3"/>
      <c r="B949" s="5"/>
      <c r="C949" s="6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75" customHeight="1" x14ac:dyDescent="0.35">
      <c r="A950" s="3"/>
      <c r="B950" s="5"/>
      <c r="C950" s="6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75" customHeight="1" x14ac:dyDescent="0.35">
      <c r="A951" s="3"/>
      <c r="B951" s="5"/>
      <c r="C951" s="6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75" customHeight="1" x14ac:dyDescent="0.35">
      <c r="A952" s="3"/>
      <c r="B952" s="5"/>
      <c r="C952" s="6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75" customHeight="1" x14ac:dyDescent="0.35">
      <c r="A953" s="3"/>
      <c r="B953" s="5"/>
      <c r="C953" s="6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75" customHeight="1" x14ac:dyDescent="0.35">
      <c r="A954" s="3"/>
      <c r="B954" s="5"/>
      <c r="C954" s="6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75" customHeight="1" x14ac:dyDescent="0.35">
      <c r="A955" s="3"/>
      <c r="B955" s="5"/>
      <c r="C955" s="6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75" customHeight="1" x14ac:dyDescent="0.35">
      <c r="A956" s="3"/>
      <c r="B956" s="5"/>
      <c r="C956" s="6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75" customHeight="1" x14ac:dyDescent="0.35">
      <c r="A957" s="3"/>
      <c r="B957" s="5"/>
      <c r="C957" s="6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75" customHeight="1" x14ac:dyDescent="0.35">
      <c r="A958" s="3"/>
      <c r="B958" s="5"/>
      <c r="C958" s="6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75" customHeight="1" x14ac:dyDescent="0.35">
      <c r="A959" s="3"/>
      <c r="B959" s="5"/>
      <c r="C959" s="6"/>
      <c r="D959" s="5"/>
      <c r="E959" s="5"/>
      <c r="F959" s="5"/>
      <c r="G959" s="5"/>
      <c r="H959" s="5"/>
      <c r="I959" s="5"/>
      <c r="J959" s="5"/>
      <c r="K959" s="5"/>
      <c r="L959" s="5"/>
    </row>
  </sheetData>
  <autoFilter ref="A1:C141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68"/>
  <sheetViews>
    <sheetView workbookViewId="0">
      <pane ySplit="1" topLeftCell="A21" activePane="bottomLeft" state="frozen"/>
      <selection pane="bottomLeft" activeCell="B26" sqref="B26"/>
    </sheetView>
  </sheetViews>
  <sheetFormatPr defaultColWidth="14.453125" defaultRowHeight="15" customHeight="1" x14ac:dyDescent="0.35"/>
  <cols>
    <col min="1" max="1" width="13.7265625" customWidth="1"/>
    <col min="2" max="2" width="11.453125" customWidth="1"/>
    <col min="3" max="3" width="19.08984375" customWidth="1"/>
    <col min="4" max="12" width="8.7265625" customWidth="1"/>
  </cols>
  <sheetData>
    <row r="1" spans="1:12" ht="14.5" x14ac:dyDescent="0.35">
      <c r="A1" s="24" t="s">
        <v>178</v>
      </c>
      <c r="B1" s="25" t="s">
        <v>179</v>
      </c>
      <c r="C1" s="25" t="s">
        <v>180</v>
      </c>
      <c r="D1" s="26" t="s">
        <v>171</v>
      </c>
      <c r="E1" s="26" t="s">
        <v>181</v>
      </c>
      <c r="F1" s="26" t="s">
        <v>182</v>
      </c>
      <c r="G1" s="5"/>
      <c r="H1" s="5"/>
      <c r="I1" s="5"/>
      <c r="J1" s="5"/>
      <c r="K1" s="5"/>
      <c r="L1" s="5"/>
    </row>
    <row r="2" spans="1:12" ht="15.5" x14ac:dyDescent="0.35">
      <c r="A2" s="3" t="s">
        <v>1</v>
      </c>
      <c r="B2" s="7">
        <v>2410</v>
      </c>
      <c r="C2" s="4">
        <v>2129</v>
      </c>
      <c r="D2" s="15">
        <v>23.125220102080959</v>
      </c>
      <c r="E2" s="5">
        <v>0</v>
      </c>
      <c r="F2" s="5">
        <v>26</v>
      </c>
      <c r="G2" s="5"/>
      <c r="H2" s="5"/>
      <c r="I2" s="5"/>
      <c r="J2" s="5"/>
      <c r="K2" s="5"/>
      <c r="L2" s="5"/>
    </row>
    <row r="3" spans="1:12" ht="15.5" x14ac:dyDescent="0.35">
      <c r="A3" s="3" t="s">
        <v>3</v>
      </c>
      <c r="B3" s="7">
        <v>4848.0833333333303</v>
      </c>
      <c r="C3" s="4">
        <v>2129</v>
      </c>
      <c r="D3" s="15">
        <v>23.125220102080959</v>
      </c>
      <c r="E3" s="5">
        <v>15187</v>
      </c>
      <c r="F3" s="5">
        <v>26</v>
      </c>
      <c r="G3" s="5"/>
      <c r="H3" s="5"/>
      <c r="I3" s="5"/>
      <c r="J3" s="5"/>
      <c r="K3" s="5"/>
      <c r="L3" s="5"/>
    </row>
    <row r="4" spans="1:12" ht="15.5" x14ac:dyDescent="0.35">
      <c r="A4" s="3" t="s">
        <v>4</v>
      </c>
      <c r="B4" s="7">
        <v>893.75</v>
      </c>
      <c r="C4" s="4">
        <v>2131</v>
      </c>
      <c r="D4" s="15">
        <v>23.125220102080959</v>
      </c>
      <c r="E4" s="5">
        <v>1050</v>
      </c>
      <c r="F4" s="5">
        <v>26</v>
      </c>
      <c r="G4" s="5"/>
      <c r="H4" s="5"/>
      <c r="I4" s="5"/>
      <c r="J4" s="5"/>
      <c r="K4" s="5"/>
      <c r="L4" s="5"/>
    </row>
    <row r="5" spans="1:12" ht="15.5" x14ac:dyDescent="0.35">
      <c r="A5" s="3" t="s">
        <v>5</v>
      </c>
      <c r="B5" s="7">
        <v>19699.7</v>
      </c>
      <c r="C5" s="4">
        <v>2131</v>
      </c>
      <c r="D5" s="15">
        <v>23.125220102080959</v>
      </c>
      <c r="E5" s="5">
        <v>9072</v>
      </c>
      <c r="F5" s="5">
        <v>26</v>
      </c>
      <c r="G5" s="5"/>
      <c r="H5" s="5"/>
      <c r="I5" s="5"/>
      <c r="J5" s="5"/>
      <c r="K5" s="5"/>
      <c r="L5" s="5"/>
    </row>
    <row r="6" spans="1:12" ht="15.5" x14ac:dyDescent="0.35">
      <c r="A6" s="3" t="s">
        <v>6</v>
      </c>
      <c r="B6" s="7">
        <v>7270.2</v>
      </c>
      <c r="C6" s="4">
        <v>2131</v>
      </c>
      <c r="D6" s="15">
        <v>23.125220102080959</v>
      </c>
      <c r="E6" s="5">
        <v>22754</v>
      </c>
      <c r="F6" s="5">
        <v>26</v>
      </c>
      <c r="G6" s="5"/>
      <c r="H6" s="5"/>
      <c r="I6" s="5"/>
      <c r="J6" s="5"/>
      <c r="K6" s="5"/>
      <c r="L6" s="5"/>
    </row>
    <row r="7" spans="1:12" ht="15.5" x14ac:dyDescent="0.35">
      <c r="A7" s="3" t="s">
        <v>7</v>
      </c>
      <c r="B7" s="7">
        <v>3512</v>
      </c>
      <c r="C7" s="4">
        <v>2131</v>
      </c>
      <c r="D7" s="15">
        <v>23.125220102080959</v>
      </c>
      <c r="E7" s="5">
        <v>1075</v>
      </c>
      <c r="F7" s="5">
        <v>26</v>
      </c>
      <c r="G7" s="5"/>
      <c r="H7" s="5"/>
      <c r="I7" s="5"/>
      <c r="J7" s="5"/>
      <c r="K7" s="5"/>
      <c r="L7" s="5"/>
    </row>
    <row r="8" spans="1:12" ht="15.5" x14ac:dyDescent="0.35">
      <c r="A8" s="3" t="s">
        <v>8</v>
      </c>
      <c r="B8" s="7">
        <v>46722</v>
      </c>
      <c r="C8" s="4">
        <v>1694</v>
      </c>
      <c r="D8" s="15">
        <v>23.125220102080959</v>
      </c>
      <c r="E8" s="5">
        <v>402500</v>
      </c>
      <c r="F8" s="5">
        <v>26</v>
      </c>
      <c r="G8" s="5"/>
      <c r="H8" s="5"/>
      <c r="I8" s="5"/>
      <c r="J8" s="5"/>
      <c r="K8" s="5"/>
      <c r="L8" s="5"/>
    </row>
    <row r="9" spans="1:12" ht="15.5" x14ac:dyDescent="0.35">
      <c r="A9" s="3" t="s">
        <v>9</v>
      </c>
      <c r="B9" s="7">
        <v>4299.3333333333303</v>
      </c>
      <c r="C9" s="4">
        <v>1694</v>
      </c>
      <c r="D9" s="15">
        <v>23.125220102080959</v>
      </c>
      <c r="E9" s="5">
        <v>14757</v>
      </c>
      <c r="F9" s="5">
        <v>26</v>
      </c>
      <c r="G9" s="5"/>
      <c r="H9" s="5"/>
      <c r="I9" s="5"/>
      <c r="J9" s="5"/>
      <c r="K9" s="5"/>
      <c r="L9" s="5"/>
    </row>
    <row r="10" spans="1:12" ht="15.5" x14ac:dyDescent="0.35">
      <c r="A10" s="3" t="s">
        <v>10</v>
      </c>
      <c r="B10" s="7">
        <v>47161</v>
      </c>
      <c r="C10" s="4">
        <v>2846</v>
      </c>
      <c r="D10" s="15">
        <v>23.125220102080959</v>
      </c>
      <c r="E10" s="5">
        <v>184000</v>
      </c>
      <c r="F10" s="5">
        <v>26</v>
      </c>
      <c r="G10" s="5"/>
      <c r="H10" s="5"/>
      <c r="I10" s="5"/>
      <c r="J10" s="5"/>
      <c r="K10" s="5"/>
      <c r="L10" s="5"/>
    </row>
    <row r="11" spans="1:12" ht="15.5" x14ac:dyDescent="0.35">
      <c r="A11" s="3" t="s">
        <v>11</v>
      </c>
      <c r="B11" s="7">
        <v>687.5</v>
      </c>
      <c r="C11" s="4">
        <v>2129</v>
      </c>
      <c r="D11" s="15">
        <v>23.125220102080959</v>
      </c>
      <c r="E11" s="5">
        <v>1550</v>
      </c>
      <c r="F11" s="5">
        <v>26</v>
      </c>
      <c r="G11" s="5"/>
      <c r="H11" s="5"/>
      <c r="I11" s="5"/>
      <c r="J11" s="5"/>
      <c r="K11" s="5"/>
      <c r="L11" s="5"/>
    </row>
    <row r="12" spans="1:12" ht="15.75" customHeight="1" x14ac:dyDescent="0.35">
      <c r="A12" s="3" t="s">
        <v>12</v>
      </c>
      <c r="B12" s="7">
        <v>17619.2</v>
      </c>
      <c r="C12" s="4">
        <v>2263</v>
      </c>
      <c r="D12" s="15">
        <v>23.125220102080959</v>
      </c>
      <c r="E12" s="5">
        <v>48679</v>
      </c>
      <c r="F12" s="5">
        <v>26</v>
      </c>
      <c r="G12" s="5"/>
      <c r="H12" s="5"/>
      <c r="I12" s="5"/>
      <c r="J12" s="5"/>
      <c r="K12" s="5"/>
      <c r="L12" s="5"/>
    </row>
    <row r="13" spans="1:12" ht="15.75" customHeight="1" x14ac:dyDescent="0.35">
      <c r="A13" s="3" t="s">
        <v>13</v>
      </c>
      <c r="B13" s="7">
        <v>2100</v>
      </c>
      <c r="C13" s="4">
        <v>2732</v>
      </c>
      <c r="D13" s="15">
        <v>23.125220102080959</v>
      </c>
      <c r="E13" s="5">
        <v>3000</v>
      </c>
      <c r="F13" s="5">
        <v>26</v>
      </c>
      <c r="G13" s="5"/>
      <c r="H13" s="5"/>
      <c r="I13" s="5"/>
      <c r="J13" s="5"/>
      <c r="K13" s="5"/>
      <c r="L13" s="5"/>
    </row>
    <row r="14" spans="1:12" ht="15.75" customHeight="1" x14ac:dyDescent="0.35">
      <c r="A14" s="3" t="s">
        <v>14</v>
      </c>
      <c r="B14" s="7">
        <v>8818.3076923076896</v>
      </c>
      <c r="C14" s="4">
        <v>2962</v>
      </c>
      <c r="D14" s="15">
        <v>23.125220102080959</v>
      </c>
      <c r="E14" s="5">
        <v>21425</v>
      </c>
      <c r="F14" s="5">
        <v>26</v>
      </c>
      <c r="G14" s="5"/>
      <c r="H14" s="5"/>
      <c r="I14" s="5"/>
      <c r="J14" s="5"/>
      <c r="K14" s="5"/>
      <c r="L14" s="5"/>
    </row>
    <row r="15" spans="1:12" ht="15.75" customHeight="1" x14ac:dyDescent="0.35">
      <c r="A15" s="3" t="s">
        <v>15</v>
      </c>
      <c r="B15" s="7">
        <v>124</v>
      </c>
      <c r="C15" s="4">
        <v>2263</v>
      </c>
      <c r="D15" s="15">
        <v>23.125220102080959</v>
      </c>
      <c r="E15" s="5">
        <v>0</v>
      </c>
      <c r="F15" s="5">
        <v>26</v>
      </c>
      <c r="G15" s="5"/>
      <c r="H15" s="5"/>
      <c r="I15" s="5"/>
      <c r="J15" s="5"/>
      <c r="K15" s="5"/>
      <c r="L15" s="5"/>
    </row>
    <row r="16" spans="1:12" ht="15.75" customHeight="1" x14ac:dyDescent="0.35">
      <c r="A16" s="3" t="s">
        <v>16</v>
      </c>
      <c r="B16" s="7">
        <v>770</v>
      </c>
      <c r="C16" s="4">
        <v>2263</v>
      </c>
      <c r="D16" s="15">
        <v>23.125220102080959</v>
      </c>
      <c r="E16" s="5">
        <v>0</v>
      </c>
      <c r="F16" s="5">
        <v>26</v>
      </c>
      <c r="G16" s="5"/>
      <c r="H16" s="5"/>
      <c r="I16" s="5"/>
      <c r="J16" s="5"/>
      <c r="K16" s="5"/>
      <c r="L16" s="5"/>
    </row>
    <row r="17" spans="1:12" ht="15.75" customHeight="1" x14ac:dyDescent="0.35">
      <c r="A17" s="3" t="s">
        <v>17</v>
      </c>
      <c r="B17" s="7">
        <v>0</v>
      </c>
      <c r="C17" s="4">
        <v>2179</v>
      </c>
      <c r="D17" s="15">
        <v>23.125220102080959</v>
      </c>
      <c r="E17" s="5">
        <v>1300</v>
      </c>
      <c r="F17" s="5">
        <v>26</v>
      </c>
      <c r="G17" s="5"/>
      <c r="H17" s="5"/>
      <c r="I17" s="5"/>
      <c r="J17" s="5"/>
      <c r="K17" s="5"/>
      <c r="L17" s="5"/>
    </row>
    <row r="18" spans="1:12" ht="15.75" customHeight="1" x14ac:dyDescent="0.35">
      <c r="A18" s="3" t="s">
        <v>18</v>
      </c>
      <c r="B18" s="7">
        <v>5283.6666666666697</v>
      </c>
      <c r="C18" s="4">
        <v>1956</v>
      </c>
      <c r="D18" s="15">
        <v>23.125220102080959</v>
      </c>
      <c r="E18" s="5">
        <v>9800</v>
      </c>
      <c r="F18" s="5">
        <v>26</v>
      </c>
      <c r="G18" s="5"/>
      <c r="H18" s="5"/>
      <c r="I18" s="5"/>
      <c r="J18" s="5"/>
      <c r="K18" s="5"/>
      <c r="L18" s="5"/>
    </row>
    <row r="19" spans="1:12" ht="15.75" customHeight="1" x14ac:dyDescent="0.35">
      <c r="A19" s="3" t="s">
        <v>19</v>
      </c>
      <c r="B19" s="7">
        <v>2740</v>
      </c>
      <c r="C19" s="4">
        <v>2179</v>
      </c>
      <c r="D19" s="15">
        <v>23.125220102080959</v>
      </c>
      <c r="E19" s="5">
        <v>125</v>
      </c>
      <c r="F19" s="5">
        <v>26</v>
      </c>
      <c r="G19" s="5"/>
      <c r="H19" s="5"/>
      <c r="I19" s="5"/>
      <c r="J19" s="5"/>
      <c r="K19" s="5"/>
      <c r="L19" s="5"/>
    </row>
    <row r="20" spans="1:12" ht="15.75" customHeight="1" x14ac:dyDescent="0.35">
      <c r="A20" s="3" t="s">
        <v>20</v>
      </c>
      <c r="B20" s="7">
        <v>4508</v>
      </c>
      <c r="C20" s="4">
        <v>2179</v>
      </c>
      <c r="D20" s="15">
        <v>23.125220102080959</v>
      </c>
      <c r="E20" s="5">
        <v>1500</v>
      </c>
      <c r="F20" s="5">
        <v>26</v>
      </c>
      <c r="G20" s="5"/>
      <c r="H20" s="5"/>
      <c r="I20" s="5"/>
      <c r="J20" s="5"/>
      <c r="K20" s="5"/>
      <c r="L20" s="5"/>
    </row>
    <row r="21" spans="1:12" ht="15.75" customHeight="1" x14ac:dyDescent="0.35">
      <c r="A21" s="3" t="s">
        <v>21</v>
      </c>
      <c r="B21" s="7">
        <v>1495</v>
      </c>
      <c r="C21" s="4">
        <v>2179</v>
      </c>
      <c r="D21" s="15">
        <v>23.125220102080959</v>
      </c>
      <c r="E21" s="5">
        <v>0</v>
      </c>
      <c r="F21" s="5">
        <v>26</v>
      </c>
      <c r="G21" s="5"/>
      <c r="H21" s="5"/>
      <c r="I21" s="5"/>
      <c r="J21" s="5"/>
      <c r="K21" s="5"/>
      <c r="L21" s="5"/>
    </row>
    <row r="22" spans="1:12" ht="15.75" customHeight="1" x14ac:dyDescent="0.35">
      <c r="A22" s="3" t="s">
        <v>129</v>
      </c>
      <c r="B22" s="7">
        <v>725</v>
      </c>
      <c r="C22" s="4">
        <v>3145</v>
      </c>
      <c r="D22" s="15">
        <v>23.125220102080959</v>
      </c>
      <c r="E22" s="5">
        <v>1050</v>
      </c>
      <c r="F22" s="5">
        <v>26</v>
      </c>
      <c r="G22" s="5"/>
      <c r="H22" s="5"/>
      <c r="I22" s="5"/>
      <c r="J22" s="5"/>
      <c r="K22" s="5"/>
      <c r="L22" s="5"/>
    </row>
    <row r="23" spans="1:12" ht="15.75" customHeight="1" x14ac:dyDescent="0.35">
      <c r="A23" s="3" t="s">
        <v>22</v>
      </c>
      <c r="B23" s="7">
        <v>22023.111111111102</v>
      </c>
      <c r="C23" s="4">
        <v>2179</v>
      </c>
      <c r="D23" s="15">
        <v>23.125220102080959</v>
      </c>
      <c r="E23" s="5">
        <v>16075</v>
      </c>
      <c r="F23" s="5">
        <v>26</v>
      </c>
      <c r="G23" s="5"/>
      <c r="H23" s="5"/>
      <c r="I23" s="5"/>
      <c r="J23" s="5"/>
      <c r="K23" s="5"/>
      <c r="L23" s="5"/>
    </row>
    <row r="24" spans="1:12" ht="15.75" customHeight="1" x14ac:dyDescent="0.35">
      <c r="A24" s="3" t="s">
        <v>23</v>
      </c>
      <c r="B24" s="7">
        <v>0</v>
      </c>
      <c r="C24" s="4">
        <v>2268</v>
      </c>
      <c r="D24" s="15">
        <v>23.125220102080959</v>
      </c>
      <c r="E24" s="5">
        <v>728</v>
      </c>
      <c r="F24" s="5">
        <v>26</v>
      </c>
      <c r="G24" s="5"/>
      <c r="H24" s="5"/>
      <c r="I24" s="5"/>
      <c r="J24" s="5"/>
      <c r="K24" s="5"/>
      <c r="L24" s="5"/>
    </row>
    <row r="25" spans="1:12" ht="15.75" customHeight="1" x14ac:dyDescent="0.35">
      <c r="A25" s="3" t="s">
        <v>130</v>
      </c>
      <c r="B25" s="7">
        <v>10000</v>
      </c>
      <c r="C25" s="4">
        <v>2268</v>
      </c>
      <c r="D25" s="15">
        <v>23.125220102080959</v>
      </c>
      <c r="E25" s="5">
        <v>30500</v>
      </c>
      <c r="F25" s="5">
        <v>26</v>
      </c>
      <c r="G25" s="5"/>
      <c r="H25" s="5"/>
      <c r="I25" s="5"/>
      <c r="J25" s="5"/>
      <c r="K25" s="5"/>
      <c r="L25" s="5"/>
    </row>
    <row r="26" spans="1:12" ht="15.75" customHeight="1" x14ac:dyDescent="0.35">
      <c r="A26" s="3" t="s">
        <v>24</v>
      </c>
      <c r="B26" s="7">
        <v>6228.6666666666697</v>
      </c>
      <c r="C26" s="4">
        <v>1956</v>
      </c>
      <c r="D26" s="15">
        <v>23.125220102080959</v>
      </c>
      <c r="E26" s="5">
        <v>2200</v>
      </c>
      <c r="F26" s="5">
        <v>26</v>
      </c>
      <c r="G26" s="5"/>
      <c r="H26" s="5"/>
      <c r="I26" s="5"/>
      <c r="J26" s="5"/>
      <c r="K26" s="5"/>
      <c r="L26" s="5"/>
    </row>
    <row r="27" spans="1:12" ht="15.75" customHeight="1" x14ac:dyDescent="0.35">
      <c r="A27" s="3" t="s">
        <v>25</v>
      </c>
      <c r="B27" s="7">
        <v>6360</v>
      </c>
      <c r="C27" s="4">
        <v>2218</v>
      </c>
      <c r="D27" s="15">
        <v>23.125220102080959</v>
      </c>
      <c r="E27" s="5">
        <v>3200</v>
      </c>
      <c r="F27" s="5">
        <v>26</v>
      </c>
      <c r="G27" s="5"/>
      <c r="H27" s="5"/>
      <c r="I27" s="5"/>
      <c r="J27" s="5"/>
      <c r="K27" s="5"/>
      <c r="L27" s="5"/>
    </row>
    <row r="28" spans="1:12" ht="15.75" customHeight="1" x14ac:dyDescent="0.35">
      <c r="A28" s="3" t="s">
        <v>131</v>
      </c>
      <c r="B28" s="7">
        <v>8670</v>
      </c>
      <c r="C28" s="4">
        <v>2218</v>
      </c>
      <c r="D28" s="15">
        <v>23.125220102080959</v>
      </c>
      <c r="E28" s="5">
        <v>9900</v>
      </c>
      <c r="F28" s="5">
        <v>26</v>
      </c>
      <c r="G28" s="5"/>
      <c r="H28" s="5"/>
      <c r="I28" s="5"/>
      <c r="J28" s="5"/>
      <c r="K28" s="5"/>
      <c r="L28" s="5"/>
    </row>
    <row r="29" spans="1:12" ht="15.75" customHeight="1" x14ac:dyDescent="0.35">
      <c r="A29" s="3" t="s">
        <v>26</v>
      </c>
      <c r="B29" s="7">
        <v>88</v>
      </c>
      <c r="C29" s="4">
        <v>2218</v>
      </c>
      <c r="D29" s="15">
        <v>23.125220102080959</v>
      </c>
      <c r="E29" s="5">
        <v>0</v>
      </c>
      <c r="F29" s="5">
        <v>26</v>
      </c>
      <c r="G29" s="5"/>
      <c r="H29" s="5"/>
      <c r="I29" s="5"/>
      <c r="J29" s="5"/>
      <c r="K29" s="5"/>
      <c r="L29" s="5"/>
    </row>
    <row r="30" spans="1:12" ht="15.75" customHeight="1" x14ac:dyDescent="0.35">
      <c r="A30" s="3" t="s">
        <v>27</v>
      </c>
      <c r="B30" s="7">
        <v>150</v>
      </c>
      <c r="C30" s="4">
        <v>2245</v>
      </c>
      <c r="D30" s="15">
        <v>23.125220102080959</v>
      </c>
      <c r="E30" s="5">
        <v>0</v>
      </c>
      <c r="F30" s="5">
        <v>26</v>
      </c>
      <c r="G30" s="5"/>
      <c r="H30" s="5"/>
      <c r="I30" s="5"/>
      <c r="J30" s="5"/>
      <c r="K30" s="5"/>
      <c r="L30" s="5"/>
    </row>
    <row r="31" spans="1:12" ht="15.75" customHeight="1" x14ac:dyDescent="0.35">
      <c r="A31" s="3" t="s">
        <v>28</v>
      </c>
      <c r="B31" s="7">
        <v>3959</v>
      </c>
      <c r="C31" s="4">
        <v>2765</v>
      </c>
      <c r="D31" s="15">
        <v>23.125220102080959</v>
      </c>
      <c r="E31" s="5">
        <v>2500</v>
      </c>
      <c r="F31" s="5">
        <v>26</v>
      </c>
      <c r="G31" s="5"/>
      <c r="H31" s="5"/>
      <c r="I31" s="5"/>
      <c r="J31" s="5"/>
      <c r="K31" s="5"/>
      <c r="L31" s="5"/>
    </row>
    <row r="32" spans="1:12" ht="15.75" customHeight="1" x14ac:dyDescent="0.35">
      <c r="A32" s="3" t="s">
        <v>29</v>
      </c>
      <c r="B32" s="7">
        <v>35375.9230769231</v>
      </c>
      <c r="C32" s="4">
        <v>4592</v>
      </c>
      <c r="D32" s="15">
        <v>23.125220102080959</v>
      </c>
      <c r="E32" s="5">
        <v>10790</v>
      </c>
      <c r="F32" s="5">
        <v>26</v>
      </c>
      <c r="G32" s="5"/>
      <c r="H32" s="5"/>
      <c r="I32" s="5"/>
      <c r="J32" s="5"/>
      <c r="K32" s="5"/>
      <c r="L32" s="5"/>
    </row>
    <row r="33" spans="1:12" ht="15.75" customHeight="1" x14ac:dyDescent="0.35">
      <c r="A33" s="3" t="s">
        <v>30</v>
      </c>
      <c r="B33" s="7">
        <v>24167.411764705899</v>
      </c>
      <c r="C33" s="4">
        <v>2297</v>
      </c>
      <c r="D33" s="15">
        <v>23.125220102080959</v>
      </c>
      <c r="E33" s="5">
        <v>31214</v>
      </c>
      <c r="F33" s="5">
        <v>26</v>
      </c>
      <c r="G33" s="5"/>
      <c r="H33" s="5"/>
      <c r="I33" s="5"/>
      <c r="J33" s="5"/>
      <c r="K33" s="5"/>
      <c r="L33" s="5"/>
    </row>
    <row r="34" spans="1:12" ht="15.75" customHeight="1" x14ac:dyDescent="0.35">
      <c r="A34" s="3" t="s">
        <v>31</v>
      </c>
      <c r="B34" s="7">
        <v>1404.8571428571402</v>
      </c>
      <c r="C34" s="4">
        <v>2616</v>
      </c>
      <c r="D34" s="15">
        <v>23.125220102080959</v>
      </c>
      <c r="E34" s="5">
        <v>1350</v>
      </c>
      <c r="F34" s="5">
        <v>26</v>
      </c>
      <c r="G34" s="5"/>
      <c r="H34" s="5"/>
      <c r="I34" s="5"/>
      <c r="J34" s="5"/>
      <c r="K34" s="5"/>
      <c r="L34" s="5"/>
    </row>
    <row r="35" spans="1:12" ht="15.75" customHeight="1" x14ac:dyDescent="0.35">
      <c r="A35" s="3" t="s">
        <v>33</v>
      </c>
      <c r="B35" s="7">
        <v>17623.833333333303</v>
      </c>
      <c r="C35" s="4">
        <v>1968</v>
      </c>
      <c r="D35" s="15">
        <v>23.125220102080959</v>
      </c>
      <c r="E35" s="5">
        <v>109686</v>
      </c>
      <c r="F35" s="5">
        <v>26</v>
      </c>
      <c r="G35" s="5"/>
      <c r="H35" s="5"/>
      <c r="I35" s="5"/>
      <c r="J35" s="5"/>
      <c r="K35" s="5"/>
      <c r="L35" s="5"/>
    </row>
    <row r="36" spans="1:12" ht="15.75" customHeight="1" x14ac:dyDescent="0.35">
      <c r="A36" s="3" t="s">
        <v>34</v>
      </c>
      <c r="B36" s="7">
        <v>6420</v>
      </c>
      <c r="C36" s="4">
        <v>2503</v>
      </c>
      <c r="D36" s="15">
        <v>23.125220102080959</v>
      </c>
      <c r="E36" s="5">
        <v>0</v>
      </c>
      <c r="F36" s="5">
        <v>26</v>
      </c>
      <c r="G36" s="5"/>
      <c r="H36" s="5"/>
      <c r="I36" s="5"/>
      <c r="J36" s="5"/>
      <c r="K36" s="5"/>
      <c r="L36" s="5"/>
    </row>
    <row r="37" spans="1:12" ht="15.75" customHeight="1" x14ac:dyDescent="0.35">
      <c r="A37" s="3" t="s">
        <v>35</v>
      </c>
      <c r="B37" s="7">
        <v>41620.769230769205</v>
      </c>
      <c r="C37" s="4">
        <v>2503</v>
      </c>
      <c r="D37" s="15">
        <v>23.125220102080959</v>
      </c>
      <c r="E37" s="5">
        <v>196250</v>
      </c>
      <c r="F37" s="5">
        <v>26</v>
      </c>
      <c r="G37" s="5"/>
      <c r="H37" s="5"/>
      <c r="I37" s="5"/>
      <c r="J37" s="5"/>
      <c r="K37" s="5"/>
      <c r="L37" s="5"/>
    </row>
    <row r="38" spans="1:12" ht="15.75" customHeight="1" x14ac:dyDescent="0.35">
      <c r="A38" s="3" t="s">
        <v>36</v>
      </c>
      <c r="B38" s="7">
        <v>442</v>
      </c>
      <c r="C38" s="4">
        <v>2103</v>
      </c>
      <c r="D38" s="15">
        <v>23.125220102080959</v>
      </c>
      <c r="E38" s="5">
        <v>1387</v>
      </c>
      <c r="F38" s="5">
        <v>26</v>
      </c>
      <c r="G38" s="5"/>
      <c r="H38" s="5"/>
      <c r="I38" s="5"/>
      <c r="J38" s="5"/>
      <c r="K38" s="5"/>
      <c r="L38" s="5"/>
    </row>
    <row r="39" spans="1:12" ht="15.75" customHeight="1" x14ac:dyDescent="0.35">
      <c r="A39" s="3" t="s">
        <v>37</v>
      </c>
      <c r="B39" s="7">
        <v>31825.428571428602</v>
      </c>
      <c r="C39" s="4">
        <v>2802</v>
      </c>
      <c r="D39" s="15">
        <v>23.125220102080959</v>
      </c>
      <c r="E39" s="5">
        <v>10000</v>
      </c>
      <c r="F39" s="5">
        <v>26</v>
      </c>
      <c r="G39" s="5"/>
      <c r="H39" s="5"/>
      <c r="I39" s="5"/>
      <c r="J39" s="5"/>
      <c r="K39" s="5"/>
      <c r="L39" s="5"/>
    </row>
    <row r="40" spans="1:12" ht="15.75" customHeight="1" x14ac:dyDescent="0.35">
      <c r="A40" s="3" t="s">
        <v>38</v>
      </c>
      <c r="B40" s="7">
        <v>22113.461538461499</v>
      </c>
      <c r="C40" s="4">
        <v>2126</v>
      </c>
      <c r="D40" s="15">
        <v>23.125220102080959</v>
      </c>
      <c r="E40" s="5">
        <v>147500</v>
      </c>
      <c r="F40" s="5">
        <v>26</v>
      </c>
      <c r="G40" s="5"/>
      <c r="H40" s="5"/>
      <c r="I40" s="5"/>
      <c r="J40" s="5"/>
      <c r="K40" s="5"/>
      <c r="L40" s="5"/>
    </row>
    <row r="41" spans="1:12" ht="15.75" customHeight="1" x14ac:dyDescent="0.35">
      <c r="A41" s="3" t="s">
        <v>144</v>
      </c>
      <c r="B41" s="7">
        <v>11582.142857142899</v>
      </c>
      <c r="C41" s="4">
        <v>2514</v>
      </c>
      <c r="D41" s="15">
        <v>23.125220102080959</v>
      </c>
      <c r="E41" s="5">
        <v>19500</v>
      </c>
      <c r="F41" s="5">
        <v>26</v>
      </c>
      <c r="G41" s="5"/>
      <c r="H41" s="5"/>
      <c r="I41" s="5"/>
      <c r="J41" s="5"/>
      <c r="K41" s="5"/>
      <c r="L41" s="5"/>
    </row>
    <row r="42" spans="1:12" ht="15.75" customHeight="1" x14ac:dyDescent="0.35">
      <c r="A42" s="3" t="s">
        <v>40</v>
      </c>
      <c r="B42" s="7">
        <v>8254.1818181818198</v>
      </c>
      <c r="C42" s="4">
        <v>1956</v>
      </c>
      <c r="D42" s="15">
        <v>23.125220102080959</v>
      </c>
      <c r="E42" s="5">
        <v>30290</v>
      </c>
      <c r="F42" s="5">
        <v>26</v>
      </c>
      <c r="G42" s="5"/>
      <c r="H42" s="5"/>
      <c r="I42" s="5"/>
      <c r="J42" s="5"/>
      <c r="K42" s="5"/>
      <c r="L42" s="5"/>
    </row>
    <row r="43" spans="1:12" ht="15.75" customHeight="1" x14ac:dyDescent="0.35">
      <c r="A43" s="3" t="s">
        <v>41</v>
      </c>
      <c r="B43" s="7">
        <v>30419.777777777799</v>
      </c>
      <c r="C43" s="4">
        <v>3391</v>
      </c>
      <c r="D43" s="15">
        <v>23.125220102080959</v>
      </c>
      <c r="E43" s="5">
        <v>40684</v>
      </c>
      <c r="F43" s="5">
        <v>26</v>
      </c>
      <c r="G43" s="5"/>
      <c r="H43" s="5"/>
      <c r="I43" s="5"/>
      <c r="J43" s="5"/>
      <c r="K43" s="5"/>
      <c r="L43" s="5"/>
    </row>
    <row r="44" spans="1:12" ht="15.75" customHeight="1" x14ac:dyDescent="0.35">
      <c r="A44" s="3" t="s">
        <v>42</v>
      </c>
      <c r="B44" s="7">
        <v>11176.470588235299</v>
      </c>
      <c r="C44" s="4">
        <v>3549</v>
      </c>
      <c r="D44" s="15">
        <v>23.125220102080959</v>
      </c>
      <c r="E44" s="5">
        <v>26225</v>
      </c>
      <c r="F44" s="5">
        <v>26</v>
      </c>
      <c r="G44" s="5"/>
      <c r="H44" s="5"/>
      <c r="I44" s="5"/>
      <c r="J44" s="5"/>
      <c r="K44" s="5"/>
      <c r="L44" s="5"/>
    </row>
    <row r="45" spans="1:12" ht="15.75" customHeight="1" x14ac:dyDescent="0.35">
      <c r="A45" s="3" t="s">
        <v>43</v>
      </c>
      <c r="B45" s="7">
        <v>14734.1111111111</v>
      </c>
      <c r="C45" s="4">
        <v>2129</v>
      </c>
      <c r="D45" s="15">
        <v>23.125220102080959</v>
      </c>
      <c r="E45" s="5">
        <v>21417</v>
      </c>
      <c r="F45" s="5">
        <v>26</v>
      </c>
      <c r="G45" s="5"/>
      <c r="H45" s="5"/>
      <c r="I45" s="5"/>
      <c r="J45" s="5"/>
      <c r="K45" s="5"/>
      <c r="L45" s="5"/>
    </row>
    <row r="46" spans="1:12" ht="15.75" customHeight="1" x14ac:dyDescent="0.35">
      <c r="A46" s="3" t="s">
        <v>44</v>
      </c>
      <c r="B46" s="7">
        <v>6930</v>
      </c>
      <c r="C46" s="4">
        <v>2129</v>
      </c>
      <c r="D46" s="15">
        <v>23.125220102080959</v>
      </c>
      <c r="E46" s="5">
        <v>10729</v>
      </c>
      <c r="F46" s="5">
        <v>26</v>
      </c>
      <c r="G46" s="5"/>
      <c r="H46" s="5"/>
      <c r="I46" s="5"/>
      <c r="J46" s="5"/>
      <c r="K46" s="5"/>
      <c r="L46" s="5"/>
    </row>
    <row r="47" spans="1:12" ht="15.75" customHeight="1" x14ac:dyDescent="0.35">
      <c r="A47" s="3" t="s">
        <v>45</v>
      </c>
      <c r="B47" s="7">
        <v>1619</v>
      </c>
      <c r="C47" s="4">
        <v>2131</v>
      </c>
      <c r="D47" s="15">
        <v>23.125220102080959</v>
      </c>
      <c r="E47" s="5">
        <v>400</v>
      </c>
      <c r="F47" s="5">
        <v>26</v>
      </c>
      <c r="G47" s="5"/>
      <c r="H47" s="5"/>
      <c r="I47" s="5"/>
      <c r="J47" s="5"/>
      <c r="K47" s="5"/>
      <c r="L47" s="5"/>
    </row>
    <row r="48" spans="1:12" ht="15.75" customHeight="1" x14ac:dyDescent="0.35">
      <c r="A48" s="3" t="s">
        <v>46</v>
      </c>
      <c r="B48" s="7">
        <v>7311</v>
      </c>
      <c r="C48" s="4">
        <v>2131</v>
      </c>
      <c r="D48" s="15">
        <v>23.125220102080959</v>
      </c>
      <c r="E48" s="5">
        <v>2500</v>
      </c>
      <c r="F48" s="5">
        <v>26</v>
      </c>
      <c r="G48" s="5"/>
      <c r="H48" s="5"/>
      <c r="I48" s="5"/>
      <c r="J48" s="5"/>
      <c r="K48" s="5"/>
      <c r="L48" s="5"/>
    </row>
    <row r="49" spans="1:12" ht="15.75" customHeight="1" x14ac:dyDescent="0.35">
      <c r="A49" s="3" t="s">
        <v>47</v>
      </c>
      <c r="B49" s="7">
        <v>31501.705882352901</v>
      </c>
      <c r="C49" s="4">
        <v>2245</v>
      </c>
      <c r="D49" s="15">
        <v>23.125220102080959</v>
      </c>
      <c r="E49" s="5">
        <v>47900</v>
      </c>
      <c r="F49" s="5">
        <v>26</v>
      </c>
      <c r="G49" s="5"/>
      <c r="H49" s="5"/>
      <c r="I49" s="5"/>
      <c r="J49" s="5"/>
      <c r="K49" s="5"/>
      <c r="L49" s="5"/>
    </row>
    <row r="50" spans="1:12" ht="15.75" customHeight="1" x14ac:dyDescent="0.35">
      <c r="A50" s="3" t="s">
        <v>48</v>
      </c>
      <c r="B50" s="7">
        <v>21879.4</v>
      </c>
      <c r="C50" s="4">
        <v>2121</v>
      </c>
      <c r="D50" s="15">
        <v>23.125220102080959</v>
      </c>
      <c r="E50" s="5">
        <v>49821</v>
      </c>
      <c r="F50" s="5">
        <v>26</v>
      </c>
      <c r="G50" s="5"/>
      <c r="H50" s="5"/>
      <c r="I50" s="5"/>
      <c r="J50" s="5"/>
      <c r="K50" s="5"/>
      <c r="L50" s="5"/>
    </row>
    <row r="51" spans="1:12" ht="15.75" customHeight="1" x14ac:dyDescent="0.35">
      <c r="A51" s="3" t="s">
        <v>49</v>
      </c>
      <c r="B51" s="7">
        <v>1783.3333333333301</v>
      </c>
      <c r="C51" s="4">
        <v>2131</v>
      </c>
      <c r="D51" s="15">
        <v>23.125220102080959</v>
      </c>
      <c r="E51" s="5">
        <v>900</v>
      </c>
      <c r="F51" s="5">
        <v>26</v>
      </c>
      <c r="G51" s="5"/>
      <c r="H51" s="5"/>
      <c r="I51" s="5"/>
      <c r="J51" s="5"/>
      <c r="K51" s="5"/>
      <c r="L51" s="5"/>
    </row>
    <row r="52" spans="1:12" ht="15.75" customHeight="1" x14ac:dyDescent="0.35">
      <c r="A52" s="3" t="s">
        <v>50</v>
      </c>
      <c r="B52" s="7">
        <v>1361</v>
      </c>
      <c r="C52" s="4">
        <v>4592</v>
      </c>
      <c r="D52" s="15">
        <v>23.125220102080959</v>
      </c>
      <c r="E52" s="5">
        <v>1170</v>
      </c>
      <c r="F52" s="5">
        <v>26</v>
      </c>
      <c r="G52" s="5"/>
      <c r="H52" s="5"/>
      <c r="I52" s="5"/>
      <c r="J52" s="5"/>
      <c r="K52" s="5"/>
      <c r="L52" s="5"/>
    </row>
    <row r="53" spans="1:12" ht="15.75" customHeight="1" x14ac:dyDescent="0.35">
      <c r="A53" s="3" t="s">
        <v>51</v>
      </c>
      <c r="B53" s="7">
        <v>11619</v>
      </c>
      <c r="C53" s="4">
        <v>2297</v>
      </c>
      <c r="D53" s="15">
        <v>23.125220102080959</v>
      </c>
      <c r="E53" s="5">
        <v>5850</v>
      </c>
      <c r="F53" s="5">
        <v>26</v>
      </c>
      <c r="G53" s="5"/>
      <c r="H53" s="5"/>
      <c r="I53" s="5"/>
      <c r="J53" s="5"/>
      <c r="K53" s="5"/>
      <c r="L53" s="5"/>
    </row>
    <row r="54" spans="1:12" ht="15.75" customHeight="1" x14ac:dyDescent="0.35">
      <c r="A54" s="3" t="s">
        <v>52</v>
      </c>
      <c r="B54" s="7">
        <v>1165</v>
      </c>
      <c r="C54" s="4">
        <v>4592</v>
      </c>
      <c r="D54" s="15">
        <v>23.125220102080959</v>
      </c>
      <c r="E54" s="5">
        <v>925</v>
      </c>
      <c r="F54" s="5">
        <v>26</v>
      </c>
      <c r="G54" s="5"/>
      <c r="H54" s="5"/>
      <c r="I54" s="5"/>
      <c r="J54" s="5"/>
      <c r="K54" s="5"/>
      <c r="L54" s="5"/>
    </row>
    <row r="55" spans="1:12" ht="15.75" customHeight="1" x14ac:dyDescent="0.35">
      <c r="A55" s="3" t="s">
        <v>53</v>
      </c>
      <c r="B55" s="7">
        <v>3754</v>
      </c>
      <c r="C55" s="4">
        <v>4592</v>
      </c>
      <c r="D55" s="15">
        <v>23.125220102080959</v>
      </c>
      <c r="E55" s="5">
        <v>2218</v>
      </c>
      <c r="F55" s="5">
        <v>26</v>
      </c>
      <c r="G55" s="5"/>
      <c r="H55" s="5"/>
      <c r="I55" s="5"/>
      <c r="J55" s="5"/>
      <c r="K55" s="5"/>
      <c r="L55" s="5"/>
    </row>
    <row r="56" spans="1:12" ht="15.75" customHeight="1" x14ac:dyDescent="0.35">
      <c r="A56" s="3" t="s">
        <v>145</v>
      </c>
      <c r="B56" s="7">
        <v>3025</v>
      </c>
      <c r="C56" s="4">
        <v>2103</v>
      </c>
      <c r="D56" s="15">
        <v>23.125220102080959</v>
      </c>
      <c r="E56" s="5">
        <v>0</v>
      </c>
      <c r="F56" s="5">
        <v>26</v>
      </c>
      <c r="G56" s="5"/>
      <c r="H56" s="5"/>
      <c r="I56" s="5"/>
      <c r="J56" s="5"/>
      <c r="K56" s="5"/>
      <c r="L56" s="5"/>
    </row>
    <row r="57" spans="1:12" ht="15.75" customHeight="1" x14ac:dyDescent="0.35">
      <c r="A57" s="3" t="s">
        <v>55</v>
      </c>
      <c r="B57" s="7">
        <v>19808.333333333303</v>
      </c>
      <c r="C57" s="4">
        <v>2103</v>
      </c>
      <c r="D57" s="15">
        <v>23.125220102080959</v>
      </c>
      <c r="E57" s="5">
        <v>7825</v>
      </c>
      <c r="F57" s="5">
        <v>26</v>
      </c>
      <c r="G57" s="5"/>
      <c r="H57" s="5"/>
      <c r="I57" s="5"/>
      <c r="J57" s="5"/>
      <c r="K57" s="5"/>
      <c r="L57" s="5"/>
    </row>
    <row r="58" spans="1:12" ht="15.75" customHeight="1" x14ac:dyDescent="0.35">
      <c r="A58" s="3" t="s">
        <v>56</v>
      </c>
      <c r="B58" s="7">
        <v>1734</v>
      </c>
      <c r="C58" s="4">
        <v>4592</v>
      </c>
      <c r="D58" s="15">
        <v>23.125220102080959</v>
      </c>
      <c r="E58" s="5">
        <v>1580</v>
      </c>
      <c r="F58" s="5">
        <v>26</v>
      </c>
      <c r="G58" s="5"/>
      <c r="H58" s="5"/>
      <c r="I58" s="5"/>
      <c r="J58" s="5"/>
      <c r="K58" s="5"/>
      <c r="L58" s="5"/>
    </row>
    <row r="59" spans="1:12" ht="15.75" customHeight="1" x14ac:dyDescent="0.35">
      <c r="A59" s="3" t="s">
        <v>57</v>
      </c>
      <c r="B59" s="7">
        <v>3592.75</v>
      </c>
      <c r="C59" s="4">
        <v>2297</v>
      </c>
      <c r="D59" s="15">
        <v>23.125220102080959</v>
      </c>
      <c r="E59" s="5">
        <v>1625</v>
      </c>
      <c r="F59" s="5">
        <v>26</v>
      </c>
      <c r="G59" s="5"/>
      <c r="H59" s="5"/>
      <c r="I59" s="5"/>
      <c r="J59" s="5"/>
      <c r="K59" s="5"/>
      <c r="L59" s="5"/>
    </row>
    <row r="60" spans="1:12" ht="15.75" customHeight="1" x14ac:dyDescent="0.35">
      <c r="A60" s="3" t="s">
        <v>58</v>
      </c>
      <c r="B60" s="7">
        <v>1112.5</v>
      </c>
      <c r="C60" s="4">
        <v>2616</v>
      </c>
      <c r="D60" s="15">
        <v>23.125220102080959</v>
      </c>
      <c r="E60" s="5">
        <v>412</v>
      </c>
      <c r="F60" s="5">
        <v>26</v>
      </c>
      <c r="G60" s="5"/>
      <c r="H60" s="5"/>
      <c r="I60" s="5"/>
      <c r="J60" s="5"/>
      <c r="K60" s="5"/>
      <c r="L60" s="5"/>
    </row>
    <row r="61" spans="1:12" ht="15.75" customHeight="1" x14ac:dyDescent="0.35">
      <c r="A61" s="3" t="s">
        <v>59</v>
      </c>
      <c r="B61" s="7">
        <v>1358</v>
      </c>
      <c r="C61" s="4">
        <v>2616</v>
      </c>
      <c r="D61" s="15">
        <v>23.125220102080959</v>
      </c>
      <c r="E61" s="5">
        <v>900</v>
      </c>
      <c r="F61" s="5">
        <v>26</v>
      </c>
      <c r="G61" s="5"/>
      <c r="H61" s="5"/>
      <c r="I61" s="5"/>
      <c r="J61" s="5"/>
      <c r="K61" s="5"/>
      <c r="L61" s="5"/>
    </row>
    <row r="62" spans="1:12" ht="15.75" customHeight="1" x14ac:dyDescent="0.35">
      <c r="A62" s="3" t="s">
        <v>60</v>
      </c>
      <c r="B62" s="7">
        <v>360</v>
      </c>
      <c r="C62" s="4">
        <v>7550</v>
      </c>
      <c r="D62" s="15">
        <v>23.125220102080959</v>
      </c>
      <c r="E62" s="5">
        <v>0</v>
      </c>
      <c r="F62" s="5">
        <v>26</v>
      </c>
      <c r="G62" s="5"/>
      <c r="H62" s="5"/>
      <c r="I62" s="5"/>
      <c r="J62" s="5"/>
      <c r="K62" s="5"/>
      <c r="L62" s="5"/>
    </row>
    <row r="63" spans="1:12" ht="15.75" customHeight="1" x14ac:dyDescent="0.35">
      <c r="A63" s="3" t="s">
        <v>61</v>
      </c>
      <c r="B63" s="7">
        <v>10288.608695652201</v>
      </c>
      <c r="C63" s="4">
        <v>7550</v>
      </c>
      <c r="D63" s="15">
        <v>23.125220102080959</v>
      </c>
      <c r="E63" s="5">
        <v>51731</v>
      </c>
      <c r="F63" s="5">
        <v>26</v>
      </c>
      <c r="G63" s="5"/>
      <c r="H63" s="5"/>
      <c r="I63" s="5"/>
      <c r="J63" s="5"/>
      <c r="K63" s="5"/>
      <c r="L63" s="5"/>
    </row>
    <row r="64" spans="1:12" ht="15.75" customHeight="1" x14ac:dyDescent="0.35">
      <c r="A64" s="3" t="s">
        <v>62</v>
      </c>
      <c r="B64" s="7">
        <v>4264</v>
      </c>
      <c r="C64" s="4">
        <v>4592</v>
      </c>
      <c r="D64" s="15">
        <v>23.125220102080959</v>
      </c>
      <c r="E64" s="5">
        <v>3430</v>
      </c>
      <c r="F64" s="5">
        <v>26</v>
      </c>
      <c r="G64" s="5"/>
      <c r="H64" s="5"/>
      <c r="I64" s="5"/>
      <c r="J64" s="5"/>
      <c r="K64" s="5"/>
      <c r="L64" s="5"/>
    </row>
    <row r="65" spans="1:12" ht="15.75" customHeight="1" x14ac:dyDescent="0.35">
      <c r="A65" s="3" t="s">
        <v>63</v>
      </c>
      <c r="B65" s="7">
        <v>5126.875</v>
      </c>
      <c r="C65" s="4">
        <v>2297</v>
      </c>
      <c r="D65" s="15">
        <v>23.125220102080959</v>
      </c>
      <c r="E65" s="5">
        <v>7800</v>
      </c>
      <c r="F65" s="5">
        <v>26</v>
      </c>
      <c r="G65" s="5"/>
      <c r="H65" s="5"/>
      <c r="I65" s="5"/>
      <c r="J65" s="5"/>
      <c r="K65" s="5"/>
      <c r="L65" s="5"/>
    </row>
    <row r="66" spans="1:12" ht="15.75" customHeight="1" x14ac:dyDescent="0.35">
      <c r="A66" s="3" t="s">
        <v>64</v>
      </c>
      <c r="B66" s="7">
        <v>1187.5</v>
      </c>
      <c r="C66" s="4">
        <v>2616</v>
      </c>
      <c r="D66" s="15">
        <v>23.125220102080959</v>
      </c>
      <c r="E66" s="5">
        <v>900</v>
      </c>
      <c r="F66" s="5">
        <v>26</v>
      </c>
      <c r="G66" s="5"/>
      <c r="H66" s="5"/>
      <c r="I66" s="5"/>
      <c r="J66" s="5"/>
      <c r="K66" s="5"/>
      <c r="L66" s="5"/>
    </row>
    <row r="67" spans="1:12" ht="15.75" customHeight="1" x14ac:dyDescent="0.35">
      <c r="A67" s="3" t="s">
        <v>65</v>
      </c>
      <c r="B67" s="7">
        <v>1648.5</v>
      </c>
      <c r="C67" s="4">
        <v>2616</v>
      </c>
      <c r="D67" s="15">
        <v>23.125220102080959</v>
      </c>
      <c r="E67" s="5">
        <v>950</v>
      </c>
      <c r="F67" s="5">
        <v>26</v>
      </c>
      <c r="G67" s="5"/>
      <c r="H67" s="5"/>
      <c r="I67" s="5"/>
      <c r="J67" s="5"/>
      <c r="K67" s="5"/>
      <c r="L67" s="5"/>
    </row>
    <row r="68" spans="1:12" ht="15.75" customHeight="1" x14ac:dyDescent="0.35">
      <c r="A68" s="3" t="s">
        <v>66</v>
      </c>
      <c r="B68" s="7">
        <v>1585</v>
      </c>
      <c r="C68" s="4">
        <v>4592</v>
      </c>
      <c r="D68" s="15">
        <v>23.125220102080959</v>
      </c>
      <c r="E68" s="5">
        <v>290</v>
      </c>
      <c r="F68" s="5">
        <v>26</v>
      </c>
      <c r="G68" s="5"/>
      <c r="H68" s="5"/>
      <c r="I68" s="5"/>
      <c r="J68" s="5"/>
      <c r="K68" s="5"/>
      <c r="L68" s="5"/>
    </row>
    <row r="69" spans="1:12" ht="15.75" customHeight="1" x14ac:dyDescent="0.35">
      <c r="A69" s="3" t="s">
        <v>67</v>
      </c>
      <c r="B69" s="7">
        <v>16540</v>
      </c>
      <c r="C69" s="4">
        <v>2297</v>
      </c>
      <c r="D69" s="15">
        <v>23.125220102080959</v>
      </c>
      <c r="E69" s="5">
        <v>1625</v>
      </c>
      <c r="F69" s="5">
        <v>26</v>
      </c>
      <c r="G69" s="5"/>
      <c r="H69" s="5"/>
      <c r="I69" s="5"/>
      <c r="J69" s="5"/>
      <c r="K69" s="5"/>
      <c r="L69" s="5"/>
    </row>
    <row r="70" spans="1:12" ht="15.75" customHeight="1" x14ac:dyDescent="0.35">
      <c r="A70" s="3" t="s">
        <v>68</v>
      </c>
      <c r="B70" s="7">
        <v>1200</v>
      </c>
      <c r="C70" s="4">
        <v>2616</v>
      </c>
      <c r="D70" s="15">
        <v>23.125220102080959</v>
      </c>
      <c r="E70" s="5">
        <v>325</v>
      </c>
      <c r="F70" s="5">
        <v>26</v>
      </c>
      <c r="G70" s="5"/>
      <c r="H70" s="5"/>
      <c r="I70" s="5"/>
      <c r="J70" s="5"/>
      <c r="K70" s="5"/>
      <c r="L70" s="5"/>
    </row>
    <row r="71" spans="1:12" ht="15.75" customHeight="1" x14ac:dyDescent="0.35">
      <c r="A71" s="3" t="s">
        <v>69</v>
      </c>
      <c r="B71" s="7">
        <v>432.75</v>
      </c>
      <c r="C71" s="4">
        <v>1419</v>
      </c>
      <c r="D71" s="15">
        <v>23.125220102080959</v>
      </c>
      <c r="E71" s="5">
        <v>550</v>
      </c>
      <c r="F71" s="5">
        <v>26</v>
      </c>
      <c r="G71" s="5"/>
      <c r="H71" s="5"/>
      <c r="I71" s="5"/>
      <c r="J71" s="5"/>
      <c r="K71" s="5"/>
      <c r="L71" s="5"/>
    </row>
    <row r="72" spans="1:12" ht="15.75" customHeight="1" x14ac:dyDescent="0.35">
      <c r="A72" s="3" t="s">
        <v>70</v>
      </c>
      <c r="B72" s="7">
        <v>16746.833333333303</v>
      </c>
      <c r="C72" s="4">
        <v>1968</v>
      </c>
      <c r="D72" s="15">
        <v>23.125220102080959</v>
      </c>
      <c r="E72" s="5">
        <v>38892</v>
      </c>
      <c r="F72" s="5">
        <v>26</v>
      </c>
      <c r="G72" s="5"/>
      <c r="H72" s="5"/>
      <c r="I72" s="5"/>
      <c r="J72" s="5"/>
      <c r="K72" s="5"/>
      <c r="L72" s="5"/>
    </row>
    <row r="73" spans="1:12" ht="15.75" customHeight="1" x14ac:dyDescent="0.35">
      <c r="A73" s="3" t="s">
        <v>73</v>
      </c>
      <c r="B73" s="7">
        <v>17346.7</v>
      </c>
      <c r="C73" s="4">
        <v>1968</v>
      </c>
      <c r="D73" s="15">
        <v>23.125220102080959</v>
      </c>
      <c r="E73" s="5">
        <v>15439</v>
      </c>
      <c r="F73" s="5">
        <v>26</v>
      </c>
      <c r="G73" s="5"/>
      <c r="H73" s="5"/>
      <c r="I73" s="5"/>
      <c r="J73" s="5"/>
      <c r="K73" s="5"/>
      <c r="L73" s="5"/>
    </row>
    <row r="74" spans="1:12" ht="15.75" customHeight="1" x14ac:dyDescent="0.35">
      <c r="A74" s="3" t="s">
        <v>146</v>
      </c>
      <c r="B74" s="7">
        <v>7468.6</v>
      </c>
      <c r="C74" s="4">
        <v>2157</v>
      </c>
      <c r="D74" s="15">
        <v>23.125220102080959</v>
      </c>
      <c r="E74" s="5">
        <v>8821</v>
      </c>
      <c r="F74" s="5">
        <v>26</v>
      </c>
      <c r="G74" s="5"/>
      <c r="H74" s="5"/>
      <c r="I74" s="5"/>
      <c r="J74" s="5"/>
      <c r="K74" s="5"/>
      <c r="L74" s="5"/>
    </row>
    <row r="75" spans="1:12" ht="15.75" customHeight="1" x14ac:dyDescent="0.35">
      <c r="A75" s="3" t="s">
        <v>75</v>
      </c>
      <c r="B75" s="7">
        <v>9293.75</v>
      </c>
      <c r="C75" s="4">
        <v>2031</v>
      </c>
      <c r="D75" s="15">
        <v>23.125220102080959</v>
      </c>
      <c r="E75" s="5">
        <v>13250</v>
      </c>
      <c r="F75" s="5">
        <v>26</v>
      </c>
      <c r="G75" s="5"/>
      <c r="H75" s="5"/>
      <c r="I75" s="5"/>
      <c r="J75" s="5"/>
      <c r="K75" s="5"/>
      <c r="L75" s="5"/>
    </row>
    <row r="76" spans="1:12" ht="15.75" customHeight="1" x14ac:dyDescent="0.35">
      <c r="A76" s="3" t="s">
        <v>76</v>
      </c>
      <c r="B76" s="7">
        <v>6872</v>
      </c>
      <c r="C76" s="4">
        <v>2031</v>
      </c>
      <c r="D76" s="15">
        <v>23.125220102080959</v>
      </c>
      <c r="E76" s="5">
        <v>8658</v>
      </c>
      <c r="F76" s="5">
        <v>26</v>
      </c>
      <c r="G76" s="5"/>
      <c r="H76" s="5"/>
      <c r="I76" s="5"/>
      <c r="J76" s="5"/>
      <c r="K76" s="5"/>
      <c r="L76" s="5"/>
    </row>
    <row r="77" spans="1:12" ht="15.75" customHeight="1" x14ac:dyDescent="0.35">
      <c r="A77" s="3" t="s">
        <v>77</v>
      </c>
      <c r="B77" s="7">
        <v>2312.2000000000003</v>
      </c>
      <c r="C77" s="4">
        <v>2642</v>
      </c>
      <c r="D77" s="15">
        <v>23.125220102080959</v>
      </c>
      <c r="E77" s="5">
        <v>3012</v>
      </c>
      <c r="F77" s="5">
        <v>26</v>
      </c>
      <c r="G77" s="5"/>
      <c r="H77" s="5"/>
      <c r="I77" s="5"/>
      <c r="J77" s="5"/>
      <c r="K77" s="5"/>
      <c r="L77" s="5"/>
    </row>
    <row r="78" spans="1:12" ht="15.75" customHeight="1" x14ac:dyDescent="0.35">
      <c r="A78" s="3" t="s">
        <v>78</v>
      </c>
      <c r="B78" s="7">
        <v>862.5</v>
      </c>
      <c r="C78" s="4">
        <v>2642</v>
      </c>
      <c r="D78" s="15">
        <v>23.125220102080959</v>
      </c>
      <c r="E78" s="5">
        <v>3500</v>
      </c>
      <c r="F78" s="5">
        <v>26</v>
      </c>
      <c r="G78" s="5"/>
      <c r="H78" s="5"/>
      <c r="I78" s="5"/>
      <c r="J78" s="5"/>
      <c r="K78" s="5"/>
      <c r="L78" s="5"/>
    </row>
    <row r="79" spans="1:12" ht="15.75" customHeight="1" x14ac:dyDescent="0.35">
      <c r="A79" s="3" t="s">
        <v>79</v>
      </c>
      <c r="B79" s="7">
        <v>675</v>
      </c>
      <c r="C79" s="4">
        <v>2488</v>
      </c>
      <c r="D79" s="15">
        <v>23.125220102080959</v>
      </c>
      <c r="E79" s="5">
        <v>375</v>
      </c>
      <c r="F79" s="5">
        <v>26</v>
      </c>
      <c r="G79" s="5"/>
      <c r="H79" s="5"/>
      <c r="I79" s="5"/>
      <c r="J79" s="5"/>
      <c r="K79" s="5"/>
      <c r="L79" s="5"/>
    </row>
    <row r="80" spans="1:12" ht="15.75" customHeight="1" x14ac:dyDescent="0.35">
      <c r="A80" s="3" t="s">
        <v>80</v>
      </c>
      <c r="B80" s="7">
        <v>2446.6666666666702</v>
      </c>
      <c r="C80" s="4">
        <v>2431</v>
      </c>
      <c r="D80" s="15">
        <v>23.125220102080959</v>
      </c>
      <c r="E80" s="5">
        <v>4550</v>
      </c>
      <c r="F80" s="5">
        <v>26</v>
      </c>
      <c r="G80" s="5"/>
      <c r="H80" s="5"/>
      <c r="I80" s="5"/>
      <c r="J80" s="5"/>
      <c r="K80" s="5"/>
      <c r="L80" s="5"/>
    </row>
    <row r="81" spans="1:12" ht="15.75" customHeight="1" x14ac:dyDescent="0.35">
      <c r="A81" s="3" t="s">
        <v>81</v>
      </c>
      <c r="B81" s="7">
        <v>2092.5</v>
      </c>
      <c r="C81" s="4">
        <v>4592</v>
      </c>
      <c r="D81" s="15">
        <v>23.125220102080959</v>
      </c>
      <c r="E81" s="5">
        <v>4170</v>
      </c>
      <c r="F81" s="5">
        <v>26</v>
      </c>
      <c r="G81" s="5"/>
      <c r="H81" s="5"/>
      <c r="I81" s="5"/>
      <c r="J81" s="5"/>
      <c r="K81" s="5"/>
      <c r="L81" s="5"/>
    </row>
    <row r="82" spans="1:12" ht="15.75" customHeight="1" x14ac:dyDescent="0.35">
      <c r="A82" s="3" t="s">
        <v>82</v>
      </c>
      <c r="B82" s="7">
        <v>1650</v>
      </c>
      <c r="C82" s="4">
        <v>2297</v>
      </c>
      <c r="D82" s="15">
        <v>23.125220102080959</v>
      </c>
      <c r="E82" s="5">
        <v>0</v>
      </c>
      <c r="F82" s="5">
        <v>26</v>
      </c>
      <c r="G82" s="5"/>
      <c r="H82" s="5"/>
      <c r="I82" s="5"/>
      <c r="J82" s="5"/>
      <c r="K82" s="5"/>
      <c r="L82" s="5"/>
    </row>
    <row r="83" spans="1:12" ht="15.75" customHeight="1" x14ac:dyDescent="0.35">
      <c r="A83" s="3" t="s">
        <v>83</v>
      </c>
      <c r="B83" s="7">
        <v>1500</v>
      </c>
      <c r="C83" s="4">
        <v>2616</v>
      </c>
      <c r="D83" s="15">
        <v>23.125220102080959</v>
      </c>
      <c r="E83" s="5">
        <v>50</v>
      </c>
      <c r="F83" s="5">
        <v>26</v>
      </c>
      <c r="G83" s="5"/>
      <c r="H83" s="5"/>
      <c r="I83" s="5"/>
      <c r="J83" s="5"/>
      <c r="K83" s="5"/>
      <c r="L83" s="5"/>
    </row>
    <row r="84" spans="1:12" ht="15.75" customHeight="1" x14ac:dyDescent="0.35">
      <c r="A84" s="3" t="s">
        <v>84</v>
      </c>
      <c r="B84" s="7">
        <v>8377.2857142857101</v>
      </c>
      <c r="C84" s="4">
        <v>1419</v>
      </c>
      <c r="D84" s="15">
        <v>23.125220102080959</v>
      </c>
      <c r="E84" s="5">
        <v>5490</v>
      </c>
      <c r="F84" s="5">
        <v>26</v>
      </c>
      <c r="G84" s="5"/>
      <c r="H84" s="5"/>
      <c r="I84" s="5"/>
      <c r="J84" s="5"/>
      <c r="K84" s="5"/>
      <c r="L84" s="5"/>
    </row>
    <row r="85" spans="1:12" ht="15.75" customHeight="1" x14ac:dyDescent="0.35">
      <c r="A85" s="3" t="s">
        <v>85</v>
      </c>
      <c r="B85" s="7">
        <v>1200</v>
      </c>
      <c r="C85" s="4">
        <v>2616</v>
      </c>
      <c r="D85" s="15">
        <v>23.125220102080959</v>
      </c>
      <c r="E85" s="5">
        <v>750</v>
      </c>
      <c r="F85" s="5">
        <v>26</v>
      </c>
      <c r="G85" s="5"/>
      <c r="H85" s="5"/>
      <c r="I85" s="5"/>
      <c r="J85" s="5"/>
      <c r="K85" s="5"/>
      <c r="L85" s="5"/>
    </row>
    <row r="86" spans="1:12" ht="15.75" customHeight="1" x14ac:dyDescent="0.35">
      <c r="A86" s="3" t="s">
        <v>86</v>
      </c>
      <c r="B86" s="7">
        <v>3995.2000000000003</v>
      </c>
      <c r="C86" s="4">
        <v>2246</v>
      </c>
      <c r="D86" s="15">
        <v>23.125220102080959</v>
      </c>
      <c r="E86" s="5">
        <v>14674</v>
      </c>
      <c r="F86" s="5">
        <v>26</v>
      </c>
      <c r="G86" s="5"/>
      <c r="H86" s="5"/>
      <c r="I86" s="5"/>
      <c r="J86" s="5"/>
      <c r="K86" s="5"/>
      <c r="L86" s="5"/>
    </row>
    <row r="87" spans="1:12" ht="15.75" customHeight="1" x14ac:dyDescent="0.35">
      <c r="A87" s="3" t="s">
        <v>87</v>
      </c>
      <c r="B87" s="7">
        <v>4771</v>
      </c>
      <c r="C87" s="4">
        <v>2355</v>
      </c>
      <c r="D87" s="15">
        <v>23.125220102080959</v>
      </c>
      <c r="E87" s="5">
        <v>8925</v>
      </c>
      <c r="F87" s="5">
        <v>26</v>
      </c>
      <c r="G87" s="5"/>
      <c r="H87" s="5"/>
      <c r="I87" s="5"/>
      <c r="J87" s="5"/>
      <c r="K87" s="5"/>
      <c r="L87" s="5"/>
    </row>
    <row r="88" spans="1:12" ht="15.75" customHeight="1" x14ac:dyDescent="0.35">
      <c r="A88" s="3" t="s">
        <v>88</v>
      </c>
      <c r="B88" s="7">
        <v>4199.6000000000004</v>
      </c>
      <c r="C88" s="4">
        <v>2031</v>
      </c>
      <c r="D88" s="15">
        <v>23.125220102080959</v>
      </c>
      <c r="E88" s="5">
        <v>5918</v>
      </c>
      <c r="F88" s="5">
        <v>26</v>
      </c>
      <c r="G88" s="5"/>
      <c r="H88" s="5"/>
      <c r="I88" s="5"/>
      <c r="J88" s="5"/>
      <c r="K88" s="5"/>
      <c r="L88" s="5"/>
    </row>
    <row r="89" spans="1:12" ht="15.75" customHeight="1" x14ac:dyDescent="0.35">
      <c r="A89" s="3" t="s">
        <v>89</v>
      </c>
      <c r="B89" s="7">
        <v>3765</v>
      </c>
      <c r="C89" s="4">
        <v>2108</v>
      </c>
      <c r="D89" s="15">
        <v>23.125220102080959</v>
      </c>
      <c r="E89" s="5">
        <v>5975</v>
      </c>
      <c r="F89" s="5">
        <v>26</v>
      </c>
      <c r="G89" s="5"/>
      <c r="H89" s="5"/>
      <c r="I89" s="5"/>
      <c r="J89" s="5"/>
      <c r="K89" s="5"/>
      <c r="L89" s="5"/>
    </row>
    <row r="90" spans="1:12" ht="15.75" customHeight="1" x14ac:dyDescent="0.35">
      <c r="A90" s="3" t="s">
        <v>90</v>
      </c>
      <c r="B90" s="7">
        <v>2333.3333333333298</v>
      </c>
      <c r="C90" s="4">
        <v>2173</v>
      </c>
      <c r="D90" s="15">
        <v>23.125220102080959</v>
      </c>
      <c r="E90" s="5">
        <v>2750</v>
      </c>
      <c r="F90" s="5">
        <v>26</v>
      </c>
      <c r="G90" s="5"/>
      <c r="H90" s="5"/>
      <c r="I90" s="5"/>
      <c r="J90" s="5"/>
      <c r="K90" s="5"/>
      <c r="L90" s="5"/>
    </row>
    <row r="91" spans="1:12" ht="15.75" customHeight="1" x14ac:dyDescent="0.35">
      <c r="A91" s="3" t="s">
        <v>91</v>
      </c>
      <c r="B91" s="7">
        <v>3000</v>
      </c>
      <c r="C91" s="4">
        <v>2356</v>
      </c>
      <c r="D91" s="15">
        <v>23.125220102080959</v>
      </c>
      <c r="E91" s="5">
        <v>5550</v>
      </c>
      <c r="F91" s="5">
        <v>26</v>
      </c>
      <c r="G91" s="5"/>
      <c r="H91" s="5"/>
      <c r="I91" s="5"/>
      <c r="J91" s="5"/>
      <c r="K91" s="5"/>
      <c r="L91" s="5"/>
    </row>
    <row r="92" spans="1:12" ht="15.75" customHeight="1" x14ac:dyDescent="0.35">
      <c r="A92" s="3" t="s">
        <v>92</v>
      </c>
      <c r="B92" s="7">
        <v>175</v>
      </c>
      <c r="C92" s="4">
        <v>1993</v>
      </c>
      <c r="D92" s="15">
        <v>23.125220102080959</v>
      </c>
      <c r="E92" s="5">
        <v>0</v>
      </c>
      <c r="F92" s="5">
        <v>26</v>
      </c>
      <c r="G92" s="5"/>
      <c r="H92" s="5"/>
      <c r="I92" s="5"/>
      <c r="J92" s="5"/>
      <c r="K92" s="5"/>
      <c r="L92" s="5"/>
    </row>
    <row r="93" spans="1:12" ht="15.75" customHeight="1" x14ac:dyDescent="0.35">
      <c r="A93" s="3" t="s">
        <v>93</v>
      </c>
      <c r="B93" s="7">
        <v>410</v>
      </c>
      <c r="C93" s="4">
        <v>2205</v>
      </c>
      <c r="D93" s="15">
        <v>23.125220102080959</v>
      </c>
      <c r="E93" s="5">
        <v>1010</v>
      </c>
      <c r="F93" s="5">
        <v>26</v>
      </c>
      <c r="G93" s="5"/>
      <c r="H93" s="5"/>
      <c r="I93" s="5"/>
      <c r="J93" s="5"/>
      <c r="K93" s="5"/>
      <c r="L93" s="5"/>
    </row>
    <row r="94" spans="1:12" ht="15.75" customHeight="1" x14ac:dyDescent="0.35">
      <c r="A94" s="3" t="s">
        <v>94</v>
      </c>
      <c r="B94" s="7">
        <v>2489.5</v>
      </c>
      <c r="C94" s="4">
        <v>2503</v>
      </c>
      <c r="D94" s="15">
        <v>23.125220102080959</v>
      </c>
      <c r="E94" s="5">
        <v>4183</v>
      </c>
      <c r="F94" s="5">
        <v>26</v>
      </c>
      <c r="G94" s="5"/>
      <c r="H94" s="5"/>
      <c r="I94" s="5"/>
      <c r="J94" s="5"/>
      <c r="K94" s="5"/>
      <c r="L94" s="5"/>
    </row>
    <row r="95" spans="1:12" ht="15.75" customHeight="1" x14ac:dyDescent="0.35">
      <c r="A95" s="3" t="s">
        <v>95</v>
      </c>
      <c r="B95" s="7">
        <v>7150</v>
      </c>
      <c r="C95" s="4">
        <v>2355</v>
      </c>
      <c r="D95" s="15">
        <v>23.125220102080959</v>
      </c>
      <c r="E95" s="5">
        <v>0</v>
      </c>
      <c r="F95" s="5">
        <v>26</v>
      </c>
      <c r="G95" s="5"/>
      <c r="H95" s="5"/>
      <c r="I95" s="5"/>
      <c r="J95" s="5"/>
      <c r="K95" s="5"/>
      <c r="L95" s="5"/>
    </row>
    <row r="96" spans="1:12" ht="15.75" customHeight="1" x14ac:dyDescent="0.35">
      <c r="A96" s="3" t="s">
        <v>96</v>
      </c>
      <c r="B96" s="7">
        <v>1834.57142857143</v>
      </c>
      <c r="C96" s="4">
        <v>2216</v>
      </c>
      <c r="D96" s="15">
        <v>23.125220102080959</v>
      </c>
      <c r="E96" s="5">
        <v>4240</v>
      </c>
      <c r="F96" s="5">
        <v>26</v>
      </c>
      <c r="G96" s="5"/>
      <c r="H96" s="5"/>
      <c r="I96" s="5"/>
      <c r="J96" s="5"/>
      <c r="K96" s="5"/>
      <c r="L96" s="5"/>
    </row>
    <row r="97" spans="1:12" ht="15.75" customHeight="1" x14ac:dyDescent="0.35">
      <c r="A97" s="3" t="s">
        <v>97</v>
      </c>
      <c r="B97" s="7">
        <v>1952.2</v>
      </c>
      <c r="C97" s="4">
        <v>1968</v>
      </c>
      <c r="D97" s="15">
        <v>23.125220102080959</v>
      </c>
      <c r="E97" s="5">
        <v>3143</v>
      </c>
      <c r="F97" s="5">
        <v>26</v>
      </c>
      <c r="G97" s="5"/>
      <c r="H97" s="5"/>
      <c r="I97" s="5"/>
      <c r="J97" s="5"/>
      <c r="K97" s="5"/>
      <c r="L97" s="5"/>
    </row>
    <row r="98" spans="1:12" ht="15.75" customHeight="1" x14ac:dyDescent="0.35">
      <c r="A98" s="3" t="s">
        <v>147</v>
      </c>
      <c r="B98" s="7">
        <v>2550</v>
      </c>
      <c r="C98" s="4">
        <v>2297</v>
      </c>
      <c r="D98" s="15">
        <v>23.125220102080959</v>
      </c>
      <c r="E98" s="5">
        <v>4300</v>
      </c>
      <c r="F98" s="5">
        <v>26</v>
      </c>
      <c r="G98" s="5"/>
      <c r="H98" s="5"/>
      <c r="I98" s="5"/>
      <c r="J98" s="5"/>
      <c r="K98" s="5"/>
      <c r="L98" s="5"/>
    </row>
    <row r="99" spans="1:12" ht="15.75" customHeight="1" x14ac:dyDescent="0.35">
      <c r="A99" s="3" t="s">
        <v>148</v>
      </c>
      <c r="B99" s="7">
        <v>1800</v>
      </c>
      <c r="C99" s="4">
        <v>2616</v>
      </c>
      <c r="D99" s="15">
        <v>23.125220102080959</v>
      </c>
      <c r="E99" s="5">
        <v>0</v>
      </c>
      <c r="F99" s="5">
        <v>26</v>
      </c>
      <c r="G99" s="5"/>
      <c r="H99" s="5"/>
      <c r="I99" s="5"/>
      <c r="J99" s="5"/>
      <c r="K99" s="5"/>
      <c r="L99" s="5"/>
    </row>
    <row r="100" spans="1:12" ht="15.75" customHeight="1" x14ac:dyDescent="0.35">
      <c r="A100" s="3" t="s">
        <v>101</v>
      </c>
      <c r="B100" s="7">
        <v>942</v>
      </c>
      <c r="C100" s="4">
        <v>2355</v>
      </c>
      <c r="D100" s="15">
        <v>23.125220102080959</v>
      </c>
      <c r="E100" s="5">
        <v>2525</v>
      </c>
      <c r="F100" s="5">
        <v>26</v>
      </c>
      <c r="G100" s="5"/>
      <c r="H100" s="5"/>
      <c r="I100" s="5"/>
      <c r="J100" s="5"/>
      <c r="K100" s="5"/>
      <c r="L100" s="5"/>
    </row>
    <row r="101" spans="1:12" ht="15.75" customHeight="1" x14ac:dyDescent="0.35">
      <c r="A101" s="3" t="s">
        <v>102</v>
      </c>
      <c r="B101" s="7">
        <v>1025</v>
      </c>
      <c r="C101" s="4">
        <v>2372</v>
      </c>
      <c r="D101" s="15">
        <v>23.125220102080959</v>
      </c>
      <c r="E101" s="5">
        <v>1225</v>
      </c>
      <c r="F101" s="5">
        <v>26</v>
      </c>
      <c r="G101" s="5"/>
      <c r="H101" s="5"/>
      <c r="I101" s="5"/>
      <c r="J101" s="5"/>
      <c r="K101" s="5"/>
      <c r="L101" s="5"/>
    </row>
    <row r="102" spans="1:12" ht="15.75" customHeight="1" x14ac:dyDescent="0.35">
      <c r="A102" s="3" t="s">
        <v>103</v>
      </c>
      <c r="B102" s="7">
        <v>1000</v>
      </c>
      <c r="C102" s="4">
        <v>3482</v>
      </c>
      <c r="D102" s="15">
        <v>23.125220102080959</v>
      </c>
      <c r="E102" s="5">
        <v>0</v>
      </c>
      <c r="F102" s="5">
        <v>26</v>
      </c>
      <c r="G102" s="5"/>
      <c r="H102" s="5"/>
      <c r="I102" s="5"/>
      <c r="J102" s="5"/>
      <c r="K102" s="5"/>
      <c r="L102" s="5"/>
    </row>
    <row r="103" spans="1:12" ht="15.75" customHeight="1" x14ac:dyDescent="0.35">
      <c r="A103" s="3" t="s">
        <v>104</v>
      </c>
      <c r="B103" s="7">
        <v>1750</v>
      </c>
      <c r="C103" s="4">
        <v>2555</v>
      </c>
      <c r="D103" s="15">
        <v>23.125220102080959</v>
      </c>
      <c r="E103" s="5">
        <v>1050</v>
      </c>
      <c r="F103" s="5">
        <v>26</v>
      </c>
      <c r="G103" s="5"/>
      <c r="H103" s="5"/>
      <c r="I103" s="5"/>
      <c r="J103" s="5"/>
      <c r="K103" s="5"/>
      <c r="L103" s="5"/>
    </row>
    <row r="104" spans="1:12" ht="15.75" customHeight="1" x14ac:dyDescent="0.35">
      <c r="A104" s="3" t="s">
        <v>105</v>
      </c>
      <c r="B104" s="7">
        <v>2205</v>
      </c>
      <c r="C104" s="4">
        <v>3665</v>
      </c>
      <c r="D104" s="15">
        <v>23.125220102080959</v>
      </c>
      <c r="E104" s="5">
        <v>800</v>
      </c>
      <c r="F104" s="5">
        <v>26</v>
      </c>
      <c r="G104" s="5"/>
      <c r="H104" s="5"/>
      <c r="I104" s="5"/>
      <c r="J104" s="5"/>
      <c r="K104" s="5"/>
      <c r="L104" s="5"/>
    </row>
    <row r="105" spans="1:12" ht="15.75" customHeight="1" x14ac:dyDescent="0.35">
      <c r="A105" s="3" t="s">
        <v>106</v>
      </c>
      <c r="B105" s="7">
        <v>1075</v>
      </c>
      <c r="C105" s="4">
        <v>1904</v>
      </c>
      <c r="D105" s="15">
        <v>23.125220102080959</v>
      </c>
      <c r="E105" s="5">
        <v>425</v>
      </c>
      <c r="F105" s="5">
        <v>26</v>
      </c>
      <c r="G105" s="5"/>
      <c r="H105" s="5"/>
      <c r="I105" s="5"/>
      <c r="J105" s="5"/>
      <c r="K105" s="5"/>
      <c r="L105" s="5"/>
    </row>
    <row r="106" spans="1:12" ht="15.75" customHeight="1" x14ac:dyDescent="0.35">
      <c r="A106" s="3" t="s">
        <v>107</v>
      </c>
      <c r="B106" s="7">
        <v>4900</v>
      </c>
      <c r="C106" s="4">
        <v>994</v>
      </c>
      <c r="D106" s="15">
        <v>23.125220102080959</v>
      </c>
      <c r="E106" s="5">
        <v>0</v>
      </c>
      <c r="F106" s="5">
        <v>26</v>
      </c>
      <c r="G106" s="5"/>
      <c r="H106" s="5"/>
      <c r="I106" s="5"/>
      <c r="J106" s="5"/>
      <c r="K106" s="5"/>
      <c r="L106" s="5"/>
    </row>
    <row r="107" spans="1:12" ht="15.75" customHeight="1" x14ac:dyDescent="0.35">
      <c r="A107" s="3" t="s">
        <v>108</v>
      </c>
      <c r="B107" s="7">
        <v>2675</v>
      </c>
      <c r="C107" s="4">
        <v>994</v>
      </c>
      <c r="D107" s="15">
        <v>23.125220102080959</v>
      </c>
      <c r="E107" s="5">
        <v>2500</v>
      </c>
      <c r="F107" s="5">
        <v>26</v>
      </c>
      <c r="G107" s="5"/>
      <c r="H107" s="5"/>
      <c r="I107" s="5"/>
      <c r="J107" s="5"/>
      <c r="K107" s="5"/>
      <c r="L107" s="5"/>
    </row>
    <row r="108" spans="1:12" ht="15.75" customHeight="1" x14ac:dyDescent="0.35">
      <c r="A108" s="3" t="s">
        <v>109</v>
      </c>
      <c r="B108" s="7">
        <v>500</v>
      </c>
      <c r="C108" s="4">
        <v>3489</v>
      </c>
      <c r="D108" s="15">
        <v>23.125220102080959</v>
      </c>
      <c r="E108" s="5">
        <v>520</v>
      </c>
      <c r="F108" s="5">
        <v>26</v>
      </c>
      <c r="G108" s="5"/>
      <c r="H108" s="5"/>
      <c r="I108" s="5"/>
      <c r="J108" s="5"/>
      <c r="K108" s="5"/>
      <c r="L108" s="5"/>
    </row>
    <row r="109" spans="1:12" ht="15.75" customHeight="1" x14ac:dyDescent="0.35">
      <c r="A109" s="3" t="s">
        <v>132</v>
      </c>
      <c r="B109" s="7">
        <v>587.5</v>
      </c>
      <c r="C109" s="4">
        <v>3162</v>
      </c>
      <c r="D109" s="15">
        <v>23.125220102080959</v>
      </c>
      <c r="E109" s="5">
        <v>500</v>
      </c>
      <c r="F109" s="5">
        <v>26</v>
      </c>
      <c r="G109" s="5"/>
      <c r="H109" s="5"/>
      <c r="I109" s="5"/>
      <c r="J109" s="5"/>
      <c r="K109" s="5"/>
      <c r="L109" s="5"/>
    </row>
    <row r="110" spans="1:12" ht="15.75" customHeight="1" x14ac:dyDescent="0.35">
      <c r="A110" s="3" t="s">
        <v>133</v>
      </c>
      <c r="B110" s="7">
        <v>1549.7777777777801</v>
      </c>
      <c r="C110" s="4">
        <v>3567</v>
      </c>
      <c r="D110" s="15">
        <v>23.125220102080959</v>
      </c>
      <c r="E110" s="5">
        <v>3550</v>
      </c>
      <c r="F110" s="5">
        <v>26</v>
      </c>
      <c r="G110" s="5"/>
      <c r="H110" s="5"/>
      <c r="I110" s="5"/>
      <c r="J110" s="5"/>
      <c r="K110" s="5"/>
      <c r="L110" s="5"/>
    </row>
    <row r="111" spans="1:12" ht="15.75" customHeight="1" x14ac:dyDescent="0.35">
      <c r="A111" s="3" t="s">
        <v>134</v>
      </c>
      <c r="B111" s="7">
        <v>837.5</v>
      </c>
      <c r="C111" s="4">
        <v>3850</v>
      </c>
      <c r="D111" s="15">
        <v>23.125220102080959</v>
      </c>
      <c r="E111" s="5">
        <v>300</v>
      </c>
      <c r="F111" s="5">
        <v>26</v>
      </c>
      <c r="G111" s="5"/>
      <c r="H111" s="5"/>
      <c r="I111" s="5"/>
      <c r="J111" s="5"/>
      <c r="K111" s="5"/>
      <c r="L111" s="5"/>
    </row>
    <row r="112" spans="1:12" ht="15.75" customHeight="1" x14ac:dyDescent="0.35">
      <c r="A112" s="3" t="s">
        <v>135</v>
      </c>
      <c r="B112" s="7">
        <v>1500</v>
      </c>
      <c r="C112" s="4">
        <v>1402</v>
      </c>
      <c r="D112" s="15">
        <v>23.125220102080959</v>
      </c>
      <c r="E112" s="5">
        <v>0</v>
      </c>
      <c r="F112" s="5">
        <v>26</v>
      </c>
      <c r="G112" s="5"/>
      <c r="H112" s="5"/>
      <c r="I112" s="5"/>
      <c r="J112" s="5"/>
      <c r="K112" s="5"/>
      <c r="L112" s="5"/>
    </row>
    <row r="113" spans="1:12" ht="15.75" customHeight="1" x14ac:dyDescent="0.35">
      <c r="A113" s="3" t="s">
        <v>111</v>
      </c>
      <c r="B113" s="7">
        <v>4791.3571428571404</v>
      </c>
      <c r="C113" s="4">
        <v>6112</v>
      </c>
      <c r="D113" s="15">
        <v>23.125220102080959</v>
      </c>
      <c r="E113" s="5">
        <v>10153</v>
      </c>
      <c r="F113" s="5">
        <v>26</v>
      </c>
      <c r="G113" s="5"/>
      <c r="H113" s="5"/>
      <c r="I113" s="5"/>
      <c r="J113" s="5"/>
      <c r="K113" s="5"/>
      <c r="L113" s="5"/>
    </row>
    <row r="114" spans="1:12" ht="15.75" customHeight="1" x14ac:dyDescent="0.35">
      <c r="A114" s="3" t="s">
        <v>112</v>
      </c>
      <c r="B114" s="7">
        <v>1715.75</v>
      </c>
      <c r="C114" s="4">
        <v>2392</v>
      </c>
      <c r="D114" s="15">
        <v>23.125220102080959</v>
      </c>
      <c r="E114" s="5">
        <v>1250</v>
      </c>
      <c r="F114" s="5">
        <v>26</v>
      </c>
      <c r="G114" s="5"/>
      <c r="H114" s="5"/>
      <c r="I114" s="5"/>
      <c r="J114" s="5"/>
      <c r="K114" s="5"/>
      <c r="L114" s="5"/>
    </row>
    <row r="115" spans="1:12" ht="15.75" customHeight="1" x14ac:dyDescent="0.35">
      <c r="A115" s="3" t="s">
        <v>113</v>
      </c>
      <c r="B115" s="7">
        <v>234</v>
      </c>
      <c r="C115" s="4">
        <v>2651</v>
      </c>
      <c r="D115" s="15">
        <v>23.125220102080959</v>
      </c>
      <c r="E115" s="5">
        <v>2493</v>
      </c>
      <c r="F115" s="5">
        <v>26</v>
      </c>
      <c r="G115" s="5"/>
      <c r="H115" s="5"/>
      <c r="I115" s="5"/>
      <c r="J115" s="5"/>
      <c r="K115" s="5"/>
      <c r="L115" s="5"/>
    </row>
    <row r="116" spans="1:12" ht="15.75" customHeight="1" x14ac:dyDescent="0.35">
      <c r="A116" s="3" t="s">
        <v>114</v>
      </c>
      <c r="B116" s="7">
        <v>1757</v>
      </c>
      <c r="C116" s="4">
        <v>4343</v>
      </c>
      <c r="D116" s="15">
        <v>23.125220102080959</v>
      </c>
      <c r="E116" s="5">
        <v>615</v>
      </c>
      <c r="F116" s="5">
        <v>26</v>
      </c>
      <c r="G116" s="5"/>
      <c r="H116" s="5"/>
      <c r="I116" s="5"/>
      <c r="J116" s="5"/>
      <c r="K116" s="5"/>
      <c r="L116" s="5"/>
    </row>
    <row r="117" spans="1:12" ht="15.75" customHeight="1" x14ac:dyDescent="0.35">
      <c r="A117" s="3" t="s">
        <v>115</v>
      </c>
      <c r="B117" s="7">
        <v>1314.75</v>
      </c>
      <c r="C117" s="4">
        <v>2970</v>
      </c>
      <c r="D117" s="15">
        <v>23.125220102080959</v>
      </c>
      <c r="E117" s="5">
        <v>825</v>
      </c>
      <c r="F117" s="5">
        <v>26</v>
      </c>
      <c r="G117" s="5"/>
      <c r="H117" s="5"/>
      <c r="I117" s="5"/>
      <c r="J117" s="5"/>
      <c r="K117" s="5"/>
      <c r="L117" s="5"/>
    </row>
    <row r="118" spans="1:12" ht="15.75" customHeight="1" x14ac:dyDescent="0.35">
      <c r="A118" s="3" t="s">
        <v>116</v>
      </c>
      <c r="B118" s="7">
        <v>1644.2857142857101</v>
      </c>
      <c r="C118" s="4">
        <v>2970</v>
      </c>
      <c r="D118" s="15">
        <v>23.125220102080959</v>
      </c>
      <c r="E118" s="5">
        <v>1255</v>
      </c>
      <c r="F118" s="5">
        <v>26</v>
      </c>
      <c r="G118" s="5"/>
      <c r="H118" s="5"/>
      <c r="I118" s="5"/>
      <c r="J118" s="5"/>
      <c r="K118" s="5"/>
      <c r="L118" s="5"/>
    </row>
    <row r="119" spans="1:12" ht="15.75" customHeight="1" x14ac:dyDescent="0.35">
      <c r="A119" s="3" t="s">
        <v>117</v>
      </c>
      <c r="B119" s="7">
        <v>1055</v>
      </c>
      <c r="C119" s="4">
        <v>2607</v>
      </c>
      <c r="D119" s="15">
        <v>23.125220102080959</v>
      </c>
      <c r="E119" s="5">
        <v>100</v>
      </c>
      <c r="F119" s="5">
        <v>26</v>
      </c>
      <c r="G119" s="5"/>
      <c r="H119" s="5"/>
      <c r="I119" s="5"/>
      <c r="J119" s="5"/>
      <c r="K119" s="5"/>
      <c r="L119" s="5"/>
    </row>
    <row r="120" spans="1:12" ht="15.75" customHeight="1" x14ac:dyDescent="0.35">
      <c r="A120" s="3" t="s">
        <v>118</v>
      </c>
      <c r="B120" s="7">
        <v>1636.1111111111102</v>
      </c>
      <c r="C120" s="4">
        <v>1928</v>
      </c>
      <c r="D120" s="15">
        <v>23.125220102080959</v>
      </c>
      <c r="E120" s="5">
        <v>1925</v>
      </c>
      <c r="F120" s="5">
        <v>26</v>
      </c>
      <c r="G120" s="5"/>
      <c r="H120" s="5"/>
      <c r="I120" s="5"/>
      <c r="J120" s="5"/>
      <c r="K120" s="5"/>
      <c r="L120" s="5"/>
    </row>
    <row r="121" spans="1:12" ht="15.75" customHeight="1" x14ac:dyDescent="0.35">
      <c r="A121" s="3" t="s">
        <v>119</v>
      </c>
      <c r="B121" s="7">
        <v>3625</v>
      </c>
      <c r="C121" s="4">
        <v>2129</v>
      </c>
      <c r="D121" s="15">
        <v>23.125220102080959</v>
      </c>
      <c r="E121" s="5">
        <v>50</v>
      </c>
      <c r="F121" s="5">
        <v>26</v>
      </c>
      <c r="G121" s="5"/>
      <c r="H121" s="5"/>
      <c r="I121" s="5"/>
      <c r="J121" s="5"/>
      <c r="K121" s="5"/>
      <c r="L121" s="5"/>
    </row>
    <row r="122" spans="1:12" ht="15.75" customHeight="1" x14ac:dyDescent="0.35">
      <c r="A122" s="3" t="s">
        <v>120</v>
      </c>
      <c r="B122" s="7">
        <v>42417</v>
      </c>
      <c r="C122" s="4">
        <v>2177</v>
      </c>
      <c r="D122" s="15">
        <v>23.125220102080959</v>
      </c>
      <c r="E122" s="5">
        <v>4550</v>
      </c>
      <c r="F122" s="5">
        <v>26</v>
      </c>
      <c r="G122" s="5"/>
      <c r="H122" s="5"/>
      <c r="I122" s="5"/>
      <c r="J122" s="5"/>
      <c r="K122" s="5"/>
      <c r="L122" s="5"/>
    </row>
    <row r="123" spans="1:12" ht="15.75" customHeight="1" x14ac:dyDescent="0.35">
      <c r="A123" s="3" t="s">
        <v>121</v>
      </c>
      <c r="B123" s="7">
        <v>5759.4000000000005</v>
      </c>
      <c r="C123" s="4">
        <v>2177</v>
      </c>
      <c r="D123" s="15">
        <v>23.125220102080959</v>
      </c>
      <c r="E123" s="5">
        <v>38691</v>
      </c>
      <c r="F123" s="5">
        <v>26</v>
      </c>
      <c r="G123" s="5"/>
      <c r="H123" s="5"/>
      <c r="I123" s="5"/>
      <c r="J123" s="5"/>
      <c r="K123" s="5"/>
      <c r="L123" s="5"/>
    </row>
    <row r="124" spans="1:12" ht="15.75" customHeight="1" x14ac:dyDescent="0.35">
      <c r="A124" s="3" t="s">
        <v>122</v>
      </c>
      <c r="B124" s="7">
        <v>8632.1428571428605</v>
      </c>
      <c r="C124" s="4">
        <v>2177</v>
      </c>
      <c r="D124" s="15">
        <v>23.125220102080959</v>
      </c>
      <c r="E124" s="5">
        <v>7746</v>
      </c>
      <c r="F124" s="5">
        <v>26</v>
      </c>
      <c r="G124" s="5"/>
      <c r="H124" s="5"/>
      <c r="I124" s="5"/>
      <c r="J124" s="5"/>
      <c r="K124" s="5"/>
      <c r="L124" s="5"/>
    </row>
    <row r="125" spans="1:12" ht="15.75" customHeight="1" x14ac:dyDescent="0.35">
      <c r="A125" s="3" t="s">
        <v>123</v>
      </c>
      <c r="B125" s="7">
        <v>5473.7777777777801</v>
      </c>
      <c r="C125" s="4">
        <v>1948</v>
      </c>
      <c r="D125" s="15">
        <v>23.125220102080959</v>
      </c>
      <c r="E125" s="5">
        <v>11725</v>
      </c>
      <c r="F125" s="5">
        <v>26</v>
      </c>
      <c r="G125" s="5"/>
      <c r="H125" s="5"/>
      <c r="I125" s="5"/>
      <c r="J125" s="5"/>
      <c r="K125" s="5"/>
      <c r="L125" s="5"/>
    </row>
    <row r="126" spans="1:12" ht="15.75" customHeight="1" x14ac:dyDescent="0.35">
      <c r="A126" s="3" t="s">
        <v>124</v>
      </c>
      <c r="B126" s="7">
        <v>5403.3333333333303</v>
      </c>
      <c r="C126" s="4">
        <v>1989</v>
      </c>
      <c r="D126" s="15">
        <v>23.125220102080959</v>
      </c>
      <c r="E126" s="5">
        <v>4620</v>
      </c>
      <c r="F126" s="5">
        <v>26</v>
      </c>
      <c r="G126" s="5"/>
      <c r="H126" s="5"/>
      <c r="I126" s="5"/>
      <c r="J126" s="5"/>
      <c r="K126" s="5"/>
      <c r="L126" s="5"/>
    </row>
    <row r="127" spans="1:12" ht="15.75" customHeight="1" x14ac:dyDescent="0.35">
      <c r="A127" s="3" t="s">
        <v>125</v>
      </c>
      <c r="B127" s="7">
        <v>15313.461538461501</v>
      </c>
      <c r="C127" s="4">
        <v>2181</v>
      </c>
      <c r="D127" s="15">
        <v>23.125220102080959</v>
      </c>
      <c r="E127" s="5">
        <v>21700</v>
      </c>
      <c r="F127" s="5">
        <v>26</v>
      </c>
      <c r="G127" s="5"/>
      <c r="H127" s="5"/>
      <c r="I127" s="5"/>
      <c r="J127" s="5"/>
      <c r="K127" s="5"/>
      <c r="L127" s="5"/>
    </row>
    <row r="128" spans="1:12" ht="15.75" customHeight="1" x14ac:dyDescent="0.35">
      <c r="A128" s="3" t="s">
        <v>136</v>
      </c>
      <c r="B128" s="7">
        <v>5243.3333333333303</v>
      </c>
      <c r="C128" s="4">
        <v>2181</v>
      </c>
      <c r="D128" s="15">
        <v>23.125220102080959</v>
      </c>
      <c r="E128" s="5">
        <v>21150</v>
      </c>
      <c r="F128" s="5">
        <v>26</v>
      </c>
      <c r="G128" s="5"/>
      <c r="H128" s="5"/>
      <c r="I128" s="5"/>
      <c r="J128" s="5"/>
      <c r="K128" s="5"/>
      <c r="L128" s="5"/>
    </row>
    <row r="129" spans="1:12" ht="15.75" customHeight="1" x14ac:dyDescent="0.35">
      <c r="A129" s="3" t="s">
        <v>137</v>
      </c>
      <c r="B129" s="7">
        <v>11425</v>
      </c>
      <c r="C129" s="4">
        <v>2181</v>
      </c>
      <c r="D129" s="15">
        <v>23.125220102080959</v>
      </c>
      <c r="E129" s="5">
        <v>0</v>
      </c>
      <c r="F129" s="5">
        <v>26</v>
      </c>
      <c r="G129" s="5"/>
      <c r="H129" s="5"/>
      <c r="I129" s="5"/>
      <c r="J129" s="5"/>
      <c r="K129" s="5"/>
      <c r="L129" s="5"/>
    </row>
    <row r="130" spans="1:12" ht="15.75" customHeight="1" x14ac:dyDescent="0.35">
      <c r="A130" s="3" t="s">
        <v>128</v>
      </c>
      <c r="B130" s="7">
        <v>13739</v>
      </c>
      <c r="C130" s="4">
        <v>2355</v>
      </c>
      <c r="D130" s="15">
        <v>23.125220102080959</v>
      </c>
      <c r="E130" s="5">
        <v>52875</v>
      </c>
      <c r="F130" s="5">
        <v>26</v>
      </c>
      <c r="G130" s="5"/>
      <c r="H130" s="5"/>
      <c r="I130" s="5"/>
      <c r="J130" s="5"/>
      <c r="K130" s="5"/>
      <c r="L130" s="5"/>
    </row>
    <row r="131" spans="1:12" ht="15.75" customHeight="1" x14ac:dyDescent="0.35">
      <c r="A131" s="3" t="s">
        <v>138</v>
      </c>
      <c r="B131" s="7">
        <v>6468.3333333333303</v>
      </c>
      <c r="C131" s="4">
        <v>2021</v>
      </c>
      <c r="D131" s="15">
        <v>23.125220102080959</v>
      </c>
      <c r="E131" s="5">
        <v>6232</v>
      </c>
      <c r="F131" s="5">
        <v>26</v>
      </c>
      <c r="G131" s="5"/>
      <c r="H131" s="5"/>
      <c r="I131" s="5"/>
      <c r="J131" s="5"/>
      <c r="K131" s="5"/>
      <c r="L131" s="5"/>
    </row>
    <row r="132" spans="1:12" ht="15.75" customHeight="1" x14ac:dyDescent="0.35">
      <c r="A132" s="3" t="s">
        <v>139</v>
      </c>
      <c r="B132" s="7">
        <v>6456</v>
      </c>
      <c r="C132" s="4">
        <v>2021</v>
      </c>
      <c r="D132" s="15">
        <v>23.125220102080959</v>
      </c>
      <c r="E132" s="5">
        <v>8630</v>
      </c>
      <c r="F132" s="5">
        <v>26</v>
      </c>
      <c r="G132" s="5"/>
      <c r="H132" s="5"/>
      <c r="I132" s="5"/>
      <c r="J132" s="5"/>
      <c r="K132" s="5"/>
      <c r="L132" s="5"/>
    </row>
    <row r="133" spans="1:12" ht="15.75" customHeight="1" x14ac:dyDescent="0.35">
      <c r="A133" s="3" t="s">
        <v>140</v>
      </c>
      <c r="B133" s="7">
        <v>2963.5714285714303</v>
      </c>
      <c r="C133" s="4">
        <v>2021</v>
      </c>
      <c r="D133" s="15">
        <v>23.125220102080959</v>
      </c>
      <c r="E133" s="5">
        <v>6255</v>
      </c>
      <c r="F133" s="5">
        <v>26</v>
      </c>
      <c r="G133" s="5"/>
      <c r="H133" s="5"/>
      <c r="I133" s="5"/>
      <c r="J133" s="5"/>
      <c r="K133" s="5"/>
      <c r="L133" s="5"/>
    </row>
    <row r="134" spans="1:12" ht="15.75" customHeight="1" x14ac:dyDescent="0.35">
      <c r="A134" s="3" t="s">
        <v>141</v>
      </c>
      <c r="B134" s="7">
        <v>4600</v>
      </c>
      <c r="C134" s="4">
        <v>2846</v>
      </c>
      <c r="D134" s="15">
        <v>23.125220102080959</v>
      </c>
      <c r="E134" s="5">
        <v>16000</v>
      </c>
      <c r="F134" s="5">
        <v>26</v>
      </c>
      <c r="G134" s="5"/>
      <c r="H134" s="5"/>
      <c r="I134" s="5"/>
      <c r="J134" s="5"/>
      <c r="K134" s="5"/>
      <c r="L134" s="5"/>
    </row>
    <row r="135" spans="1:12" ht="15.75" customHeight="1" x14ac:dyDescent="0.35">
      <c r="A135" s="3" t="s">
        <v>142</v>
      </c>
      <c r="B135" s="7">
        <v>6057.6</v>
      </c>
      <c r="C135" s="4">
        <v>7550</v>
      </c>
      <c r="D135" s="15">
        <v>23.125220102080959</v>
      </c>
      <c r="E135" s="5">
        <v>8903</v>
      </c>
      <c r="F135" s="5">
        <v>26</v>
      </c>
      <c r="G135" s="5"/>
      <c r="H135" s="5"/>
      <c r="I135" s="5"/>
      <c r="J135" s="5"/>
      <c r="K135" s="5"/>
      <c r="L135" s="5"/>
    </row>
    <row r="136" spans="1:12" ht="15.75" customHeight="1" x14ac:dyDescent="0.35">
      <c r="A136" s="3" t="s">
        <v>143</v>
      </c>
      <c r="B136" s="7">
        <v>1931.25</v>
      </c>
      <c r="C136" s="4">
        <v>2658</v>
      </c>
      <c r="D136" s="15">
        <v>23.125220102080959</v>
      </c>
      <c r="E136" s="5">
        <v>3400</v>
      </c>
      <c r="F136" s="5">
        <v>26</v>
      </c>
      <c r="G136" s="5"/>
      <c r="H136" s="5"/>
      <c r="I136" s="5"/>
      <c r="J136" s="5"/>
      <c r="K136" s="5"/>
      <c r="L136" s="5"/>
    </row>
    <row r="137" spans="1:12" ht="15.75" customHeight="1" x14ac:dyDescent="0.35">
      <c r="A137" s="3" t="s">
        <v>149</v>
      </c>
      <c r="B137" s="7">
        <v>20141.666666666697</v>
      </c>
      <c r="C137" s="4">
        <v>2103</v>
      </c>
      <c r="D137" s="15">
        <v>23.125220102080959</v>
      </c>
      <c r="E137" s="5">
        <v>875</v>
      </c>
      <c r="F137" s="5">
        <v>26</v>
      </c>
      <c r="G137" s="5"/>
      <c r="H137" s="5"/>
      <c r="I137" s="5"/>
      <c r="J137" s="5"/>
      <c r="K137" s="5"/>
      <c r="L137" s="5"/>
    </row>
    <row r="138" spans="1:12" ht="15.75" customHeight="1" x14ac:dyDescent="0.35">
      <c r="A138" s="3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75" customHeight="1" x14ac:dyDescent="0.35">
      <c r="A139" s="3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75" customHeight="1" x14ac:dyDescent="0.35">
      <c r="A140" s="3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75" customHeight="1" x14ac:dyDescent="0.35">
      <c r="A141" s="3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75" customHeight="1" x14ac:dyDescent="0.35">
      <c r="A142" s="3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75" customHeight="1" x14ac:dyDescent="0.35">
      <c r="A143" s="3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75" customHeight="1" x14ac:dyDescent="0.35">
      <c r="A144" s="3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75" customHeight="1" x14ac:dyDescent="0.35">
      <c r="A145" s="3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75" customHeight="1" x14ac:dyDescent="0.35">
      <c r="A146" s="3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75" customHeight="1" x14ac:dyDescent="0.35">
      <c r="A147" s="3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75" customHeight="1" x14ac:dyDescent="0.35">
      <c r="A148" s="3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75" customHeight="1" x14ac:dyDescent="0.35">
      <c r="A149" s="3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75" customHeight="1" x14ac:dyDescent="0.35">
      <c r="A150" s="3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75" customHeight="1" x14ac:dyDescent="0.35">
      <c r="A151" s="3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75" customHeight="1" x14ac:dyDescent="0.35">
      <c r="A152" s="3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75" customHeight="1" x14ac:dyDescent="0.35">
      <c r="A153" s="3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75" customHeight="1" x14ac:dyDescent="0.35">
      <c r="A154" s="3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75" customHeight="1" x14ac:dyDescent="0.35">
      <c r="A155" s="3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75" customHeight="1" x14ac:dyDescent="0.35">
      <c r="A156" s="3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75" customHeight="1" x14ac:dyDescent="0.35">
      <c r="A157" s="3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75" customHeight="1" x14ac:dyDescent="0.35">
      <c r="A158" s="3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75" customHeight="1" x14ac:dyDescent="0.35">
      <c r="A159" s="3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75" customHeight="1" x14ac:dyDescent="0.35">
      <c r="A160" s="3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75" customHeight="1" x14ac:dyDescent="0.35">
      <c r="A161" s="3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75" customHeight="1" x14ac:dyDescent="0.35">
      <c r="A162" s="3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75" customHeight="1" x14ac:dyDescent="0.35">
      <c r="A163" s="3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75" customHeight="1" x14ac:dyDescent="0.35">
      <c r="A164" s="3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75" customHeight="1" x14ac:dyDescent="0.35">
      <c r="A165" s="3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75" customHeight="1" x14ac:dyDescent="0.35">
      <c r="A166" s="3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75" customHeight="1" x14ac:dyDescent="0.35">
      <c r="A167" s="3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75" customHeight="1" x14ac:dyDescent="0.35">
      <c r="A168" s="3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75" customHeight="1" x14ac:dyDescent="0.35">
      <c r="A169" s="3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75" customHeight="1" x14ac:dyDescent="0.35">
      <c r="A170" s="3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75" customHeight="1" x14ac:dyDescent="0.35">
      <c r="A171" s="3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75" customHeight="1" x14ac:dyDescent="0.35">
      <c r="A172" s="3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75" customHeight="1" x14ac:dyDescent="0.35">
      <c r="A173" s="3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75" customHeight="1" x14ac:dyDescent="0.35">
      <c r="A174" s="3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75" customHeight="1" x14ac:dyDescent="0.35">
      <c r="A175" s="3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75" customHeight="1" x14ac:dyDescent="0.35">
      <c r="A176" s="3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75" customHeight="1" x14ac:dyDescent="0.35">
      <c r="A177" s="3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75" customHeight="1" x14ac:dyDescent="0.35">
      <c r="A178" s="3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75" customHeight="1" x14ac:dyDescent="0.35">
      <c r="A179" s="3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75" customHeight="1" x14ac:dyDescent="0.35">
      <c r="A180" s="3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75" customHeight="1" x14ac:dyDescent="0.35">
      <c r="A181" s="3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75" customHeight="1" x14ac:dyDescent="0.35">
      <c r="A182" s="3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75" customHeight="1" x14ac:dyDescent="0.35">
      <c r="A183" s="3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75" customHeight="1" x14ac:dyDescent="0.35">
      <c r="A184" s="3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75" customHeight="1" x14ac:dyDescent="0.35">
      <c r="A185" s="3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75" customHeight="1" x14ac:dyDescent="0.35">
      <c r="A186" s="3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75" customHeight="1" x14ac:dyDescent="0.35">
      <c r="A187" s="3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75" customHeight="1" x14ac:dyDescent="0.35">
      <c r="A188" s="3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75" customHeight="1" x14ac:dyDescent="0.35">
      <c r="A189" s="3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75" customHeight="1" x14ac:dyDescent="0.35">
      <c r="A190" s="3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75" customHeight="1" x14ac:dyDescent="0.35">
      <c r="A191" s="3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75" customHeight="1" x14ac:dyDescent="0.35">
      <c r="A192" s="3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75" customHeight="1" x14ac:dyDescent="0.35">
      <c r="A193" s="3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75" customHeight="1" x14ac:dyDescent="0.35">
      <c r="A194" s="3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75" customHeight="1" x14ac:dyDescent="0.35">
      <c r="A195" s="3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75" customHeight="1" x14ac:dyDescent="0.35">
      <c r="A196" s="3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75" customHeight="1" x14ac:dyDescent="0.35">
      <c r="A197" s="3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75" customHeight="1" x14ac:dyDescent="0.35">
      <c r="A198" s="3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75" customHeight="1" x14ac:dyDescent="0.35">
      <c r="A199" s="3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75" customHeight="1" x14ac:dyDescent="0.35">
      <c r="A200" s="3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75" customHeight="1" x14ac:dyDescent="0.35">
      <c r="A201" s="3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75" customHeight="1" x14ac:dyDescent="0.35">
      <c r="A202" s="3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75" customHeight="1" x14ac:dyDescent="0.35">
      <c r="A203" s="3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75" customHeight="1" x14ac:dyDescent="0.35">
      <c r="A204" s="3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75" customHeight="1" x14ac:dyDescent="0.35">
      <c r="A205" s="3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75" customHeight="1" x14ac:dyDescent="0.35">
      <c r="A206" s="3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75" customHeight="1" x14ac:dyDescent="0.35">
      <c r="A207" s="3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75" customHeight="1" x14ac:dyDescent="0.35">
      <c r="A208" s="3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75" customHeight="1" x14ac:dyDescent="0.35">
      <c r="A209" s="3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75" customHeight="1" x14ac:dyDescent="0.35">
      <c r="A210" s="3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75" customHeight="1" x14ac:dyDescent="0.35">
      <c r="A211" s="3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75" customHeight="1" x14ac:dyDescent="0.35">
      <c r="A212" s="3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75" customHeight="1" x14ac:dyDescent="0.35">
      <c r="A213" s="3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75" customHeight="1" x14ac:dyDescent="0.35">
      <c r="A214" s="3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75" customHeight="1" x14ac:dyDescent="0.35">
      <c r="A215" s="3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75" customHeight="1" x14ac:dyDescent="0.35">
      <c r="A216" s="3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75" customHeight="1" x14ac:dyDescent="0.35">
      <c r="A217" s="3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75" customHeight="1" x14ac:dyDescent="0.35">
      <c r="A218" s="3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75" customHeight="1" x14ac:dyDescent="0.35">
      <c r="A219" s="3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75" customHeight="1" x14ac:dyDescent="0.35">
      <c r="A220" s="3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75" customHeight="1" x14ac:dyDescent="0.35">
      <c r="A221" s="3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75" customHeight="1" x14ac:dyDescent="0.35">
      <c r="A222" s="3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75" customHeight="1" x14ac:dyDescent="0.35">
      <c r="A223" s="3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75" customHeight="1" x14ac:dyDescent="0.35">
      <c r="A224" s="3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75" customHeight="1" x14ac:dyDescent="0.35">
      <c r="A225" s="3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75" customHeight="1" x14ac:dyDescent="0.35">
      <c r="A226" s="3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75" customHeight="1" x14ac:dyDescent="0.35">
      <c r="A227" s="3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75" customHeight="1" x14ac:dyDescent="0.35">
      <c r="A228" s="3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75" customHeight="1" x14ac:dyDescent="0.35">
      <c r="A229" s="3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75" customHeight="1" x14ac:dyDescent="0.35">
      <c r="A230" s="3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75" customHeight="1" x14ac:dyDescent="0.35">
      <c r="A231" s="3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75" customHeight="1" x14ac:dyDescent="0.35">
      <c r="A232" s="3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75" customHeight="1" x14ac:dyDescent="0.35">
      <c r="A233" s="3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75" customHeight="1" x14ac:dyDescent="0.35">
      <c r="A234" s="3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75" customHeight="1" x14ac:dyDescent="0.35">
      <c r="A235" s="3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75" customHeight="1" x14ac:dyDescent="0.35">
      <c r="A236" s="3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75" customHeight="1" x14ac:dyDescent="0.35">
      <c r="A237" s="3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75" customHeight="1" x14ac:dyDescent="0.35">
      <c r="A238" s="3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75" customHeight="1" x14ac:dyDescent="0.35">
      <c r="A239" s="3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75" customHeight="1" x14ac:dyDescent="0.35">
      <c r="A240" s="3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75" customHeight="1" x14ac:dyDescent="0.35">
      <c r="A241" s="3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75" customHeight="1" x14ac:dyDescent="0.35">
      <c r="A242" s="3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75" customHeight="1" x14ac:dyDescent="0.35">
      <c r="A243" s="3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75" customHeight="1" x14ac:dyDescent="0.35">
      <c r="A244" s="3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75" customHeight="1" x14ac:dyDescent="0.35">
      <c r="A245" s="3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75" customHeight="1" x14ac:dyDescent="0.35">
      <c r="A246" s="3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75" customHeight="1" x14ac:dyDescent="0.35">
      <c r="A247" s="3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75" customHeight="1" x14ac:dyDescent="0.35">
      <c r="A248" s="3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75" customHeight="1" x14ac:dyDescent="0.35">
      <c r="A249" s="3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75" customHeight="1" x14ac:dyDescent="0.35">
      <c r="A250" s="3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75" customHeight="1" x14ac:dyDescent="0.35">
      <c r="A251" s="3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75" customHeight="1" x14ac:dyDescent="0.35">
      <c r="A252" s="3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75" customHeight="1" x14ac:dyDescent="0.35">
      <c r="A253" s="3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75" customHeight="1" x14ac:dyDescent="0.35">
      <c r="A254" s="3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75" customHeight="1" x14ac:dyDescent="0.35">
      <c r="A255" s="3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75" customHeight="1" x14ac:dyDescent="0.35">
      <c r="A256" s="3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75" customHeight="1" x14ac:dyDescent="0.35">
      <c r="A257" s="3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75" customHeight="1" x14ac:dyDescent="0.35">
      <c r="A258" s="3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75" customHeight="1" x14ac:dyDescent="0.35">
      <c r="A259" s="3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75" customHeight="1" x14ac:dyDescent="0.35">
      <c r="A260" s="3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75" customHeight="1" x14ac:dyDescent="0.35">
      <c r="A261" s="3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75" customHeight="1" x14ac:dyDescent="0.35">
      <c r="A262" s="3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75" customHeight="1" x14ac:dyDescent="0.35">
      <c r="A263" s="3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75" customHeight="1" x14ac:dyDescent="0.35">
      <c r="A264" s="3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75" customHeight="1" x14ac:dyDescent="0.35">
      <c r="A265" s="3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75" customHeight="1" x14ac:dyDescent="0.35">
      <c r="A266" s="3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75" customHeight="1" x14ac:dyDescent="0.35">
      <c r="A267" s="3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75" customHeight="1" x14ac:dyDescent="0.35">
      <c r="A268" s="3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75" customHeight="1" x14ac:dyDescent="0.35">
      <c r="A269" s="3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75" customHeight="1" x14ac:dyDescent="0.35">
      <c r="A270" s="3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75" customHeight="1" x14ac:dyDescent="0.35">
      <c r="A271" s="3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75" customHeight="1" x14ac:dyDescent="0.35">
      <c r="A272" s="3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75" customHeight="1" x14ac:dyDescent="0.35">
      <c r="A273" s="3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75" customHeight="1" x14ac:dyDescent="0.35">
      <c r="A274" s="3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75" customHeight="1" x14ac:dyDescent="0.35">
      <c r="A275" s="3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75" customHeight="1" x14ac:dyDescent="0.35">
      <c r="A276" s="3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75" customHeight="1" x14ac:dyDescent="0.35">
      <c r="A277" s="3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75" customHeight="1" x14ac:dyDescent="0.35">
      <c r="A278" s="3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75" customHeight="1" x14ac:dyDescent="0.35">
      <c r="A279" s="3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75" customHeight="1" x14ac:dyDescent="0.35">
      <c r="A280" s="3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75" customHeight="1" x14ac:dyDescent="0.35">
      <c r="A281" s="3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75" customHeight="1" x14ac:dyDescent="0.35">
      <c r="A282" s="3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75" customHeight="1" x14ac:dyDescent="0.35">
      <c r="A283" s="3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75" customHeight="1" x14ac:dyDescent="0.35">
      <c r="A284" s="3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75" customHeight="1" x14ac:dyDescent="0.35">
      <c r="A285" s="3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75" customHeight="1" x14ac:dyDescent="0.35">
      <c r="A286" s="3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75" customHeight="1" x14ac:dyDescent="0.35">
      <c r="A287" s="3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75" customHeight="1" x14ac:dyDescent="0.35">
      <c r="A288" s="3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75" customHeight="1" x14ac:dyDescent="0.35">
      <c r="A289" s="3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75" customHeight="1" x14ac:dyDescent="0.35">
      <c r="A290" s="3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75" customHeight="1" x14ac:dyDescent="0.35">
      <c r="A291" s="3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75" customHeight="1" x14ac:dyDescent="0.35">
      <c r="A292" s="3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75" customHeight="1" x14ac:dyDescent="0.35">
      <c r="A293" s="3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75" customHeight="1" x14ac:dyDescent="0.35">
      <c r="A294" s="3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75" customHeight="1" x14ac:dyDescent="0.35">
      <c r="A295" s="3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75" customHeight="1" x14ac:dyDescent="0.35">
      <c r="A296" s="3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75" customHeight="1" x14ac:dyDescent="0.35">
      <c r="A297" s="3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75" customHeight="1" x14ac:dyDescent="0.35">
      <c r="A298" s="3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75" customHeight="1" x14ac:dyDescent="0.35">
      <c r="A299" s="3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75" customHeight="1" x14ac:dyDescent="0.35">
      <c r="A300" s="3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75" customHeight="1" x14ac:dyDescent="0.35">
      <c r="A301" s="3"/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75" customHeight="1" x14ac:dyDescent="0.35">
      <c r="A302" s="3"/>
      <c r="B302" s="5"/>
      <c r="C302" s="6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75" customHeight="1" x14ac:dyDescent="0.35">
      <c r="A303" s="3"/>
      <c r="B303" s="5"/>
      <c r="C303" s="6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75" customHeight="1" x14ac:dyDescent="0.35">
      <c r="A304" s="3"/>
      <c r="B304" s="5"/>
      <c r="C304" s="6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75" customHeight="1" x14ac:dyDescent="0.35">
      <c r="A305" s="3"/>
      <c r="B305" s="5"/>
      <c r="C305" s="6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75" customHeight="1" x14ac:dyDescent="0.35">
      <c r="A306" s="3"/>
      <c r="B306" s="5"/>
      <c r="C306" s="6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75" customHeight="1" x14ac:dyDescent="0.35">
      <c r="A307" s="3"/>
      <c r="B307" s="5"/>
      <c r="C307" s="6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75" customHeight="1" x14ac:dyDescent="0.35">
      <c r="A308" s="3"/>
      <c r="B308" s="5"/>
      <c r="C308" s="6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75" customHeight="1" x14ac:dyDescent="0.35">
      <c r="A309" s="3"/>
      <c r="B309" s="5"/>
      <c r="C309" s="6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75" customHeight="1" x14ac:dyDescent="0.35">
      <c r="A310" s="3"/>
      <c r="B310" s="5"/>
      <c r="C310" s="6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75" customHeight="1" x14ac:dyDescent="0.35">
      <c r="A311" s="3"/>
      <c r="B311" s="5"/>
      <c r="C311" s="6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75" customHeight="1" x14ac:dyDescent="0.35">
      <c r="A312" s="3"/>
      <c r="B312" s="5"/>
      <c r="C312" s="6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75" customHeight="1" x14ac:dyDescent="0.35">
      <c r="A313" s="3"/>
      <c r="B313" s="5"/>
      <c r="C313" s="6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75" customHeight="1" x14ac:dyDescent="0.35">
      <c r="A314" s="3"/>
      <c r="B314" s="5"/>
      <c r="C314" s="6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75" customHeight="1" x14ac:dyDescent="0.35">
      <c r="A315" s="3"/>
      <c r="B315" s="5"/>
      <c r="C315" s="6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75" customHeight="1" x14ac:dyDescent="0.35">
      <c r="A316" s="3"/>
      <c r="B316" s="5"/>
      <c r="C316" s="6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75" customHeight="1" x14ac:dyDescent="0.35">
      <c r="A317" s="3"/>
      <c r="B317" s="5"/>
      <c r="C317" s="6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75" customHeight="1" x14ac:dyDescent="0.35">
      <c r="A318" s="3"/>
      <c r="B318" s="5"/>
      <c r="C318" s="6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75" customHeight="1" x14ac:dyDescent="0.35">
      <c r="A319" s="3"/>
      <c r="B319" s="5"/>
      <c r="C319" s="6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75" customHeight="1" x14ac:dyDescent="0.35">
      <c r="A320" s="3"/>
      <c r="B320" s="5"/>
      <c r="C320" s="6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75" customHeight="1" x14ac:dyDescent="0.35">
      <c r="A321" s="3"/>
      <c r="B321" s="5"/>
      <c r="C321" s="6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75" customHeight="1" x14ac:dyDescent="0.35">
      <c r="A322" s="3"/>
      <c r="B322" s="5"/>
      <c r="C322" s="6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75" customHeight="1" x14ac:dyDescent="0.35">
      <c r="A323" s="3"/>
      <c r="B323" s="5"/>
      <c r="C323" s="6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75" customHeight="1" x14ac:dyDescent="0.35">
      <c r="A324" s="3"/>
      <c r="B324" s="5"/>
      <c r="C324" s="6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75" customHeight="1" x14ac:dyDescent="0.35">
      <c r="A325" s="3"/>
      <c r="B325" s="5"/>
      <c r="C325" s="6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75" customHeight="1" x14ac:dyDescent="0.35">
      <c r="A326" s="3"/>
      <c r="B326" s="5"/>
      <c r="C326" s="6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75" customHeight="1" x14ac:dyDescent="0.35">
      <c r="A327" s="3"/>
      <c r="B327" s="5"/>
      <c r="C327" s="6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75" customHeight="1" x14ac:dyDescent="0.35">
      <c r="A328" s="3"/>
      <c r="B328" s="5"/>
      <c r="C328" s="6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75" customHeight="1" x14ac:dyDescent="0.35">
      <c r="A329" s="3"/>
      <c r="B329" s="5"/>
      <c r="C329" s="6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75" customHeight="1" x14ac:dyDescent="0.35">
      <c r="A330" s="3"/>
      <c r="B330" s="5"/>
      <c r="C330" s="6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75" customHeight="1" x14ac:dyDescent="0.35">
      <c r="A331" s="3"/>
      <c r="B331" s="5"/>
      <c r="C331" s="6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75" customHeight="1" x14ac:dyDescent="0.35">
      <c r="A332" s="3"/>
      <c r="B332" s="5"/>
      <c r="C332" s="6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75" customHeight="1" x14ac:dyDescent="0.35">
      <c r="A333" s="3"/>
      <c r="B333" s="5"/>
      <c r="C333" s="6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75" customHeight="1" x14ac:dyDescent="0.35">
      <c r="A334" s="3"/>
      <c r="B334" s="5"/>
      <c r="C334" s="6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75" customHeight="1" x14ac:dyDescent="0.35">
      <c r="A335" s="3"/>
      <c r="B335" s="5"/>
      <c r="C335" s="6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75" customHeight="1" x14ac:dyDescent="0.35">
      <c r="A336" s="3"/>
      <c r="B336" s="5"/>
      <c r="C336" s="6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75" customHeight="1" x14ac:dyDescent="0.35">
      <c r="A337" s="3"/>
      <c r="B337" s="5"/>
      <c r="C337" s="6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75" customHeight="1" x14ac:dyDescent="0.35">
      <c r="A338" s="3"/>
      <c r="B338" s="5"/>
      <c r="C338" s="6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75" customHeight="1" x14ac:dyDescent="0.35">
      <c r="A339" s="3"/>
      <c r="B339" s="5"/>
      <c r="C339" s="6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75" customHeight="1" x14ac:dyDescent="0.35">
      <c r="A340" s="3"/>
      <c r="B340" s="5"/>
      <c r="C340" s="6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75" customHeight="1" x14ac:dyDescent="0.35">
      <c r="A341" s="3"/>
      <c r="B341" s="5"/>
      <c r="C341" s="6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75" customHeight="1" x14ac:dyDescent="0.35">
      <c r="A342" s="3"/>
      <c r="B342" s="5"/>
      <c r="C342" s="6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75" customHeight="1" x14ac:dyDescent="0.35">
      <c r="A343" s="3"/>
      <c r="B343" s="5"/>
      <c r="C343" s="6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75" customHeight="1" x14ac:dyDescent="0.35">
      <c r="A344" s="3"/>
      <c r="B344" s="5"/>
      <c r="C344" s="6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75" customHeight="1" x14ac:dyDescent="0.35">
      <c r="A345" s="3"/>
      <c r="B345" s="5"/>
      <c r="C345" s="6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75" customHeight="1" x14ac:dyDescent="0.35">
      <c r="A346" s="3"/>
      <c r="B346" s="5"/>
      <c r="C346" s="6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75" customHeight="1" x14ac:dyDescent="0.35">
      <c r="A347" s="3"/>
      <c r="B347" s="5"/>
      <c r="C347" s="6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75" customHeight="1" x14ac:dyDescent="0.35">
      <c r="A348" s="3"/>
      <c r="B348" s="5"/>
      <c r="C348" s="6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75" customHeight="1" x14ac:dyDescent="0.35">
      <c r="A349" s="3"/>
      <c r="B349" s="5"/>
      <c r="C349" s="6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75" customHeight="1" x14ac:dyDescent="0.35">
      <c r="A350" s="3"/>
      <c r="B350" s="5"/>
      <c r="C350" s="6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75" customHeight="1" x14ac:dyDescent="0.35">
      <c r="A351" s="3"/>
      <c r="B351" s="5"/>
      <c r="C351" s="6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75" customHeight="1" x14ac:dyDescent="0.35">
      <c r="A352" s="3"/>
      <c r="B352" s="5"/>
      <c r="C352" s="6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75" customHeight="1" x14ac:dyDescent="0.35">
      <c r="A353" s="3"/>
      <c r="B353" s="5"/>
      <c r="C353" s="6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75" customHeight="1" x14ac:dyDescent="0.35">
      <c r="A354" s="3"/>
      <c r="B354" s="5"/>
      <c r="C354" s="6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75" customHeight="1" x14ac:dyDescent="0.35">
      <c r="A355" s="3"/>
      <c r="B355" s="5"/>
      <c r="C355" s="6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75" customHeight="1" x14ac:dyDescent="0.35">
      <c r="A356" s="3"/>
      <c r="B356" s="5"/>
      <c r="C356" s="6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75" customHeight="1" x14ac:dyDescent="0.35">
      <c r="A357" s="3"/>
      <c r="B357" s="5"/>
      <c r="C357" s="6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75" customHeight="1" x14ac:dyDescent="0.35">
      <c r="A358" s="3"/>
      <c r="B358" s="5"/>
      <c r="C358" s="6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75" customHeight="1" x14ac:dyDescent="0.35">
      <c r="A359" s="3"/>
      <c r="B359" s="5"/>
      <c r="C359" s="6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75" customHeight="1" x14ac:dyDescent="0.35">
      <c r="A360" s="3"/>
      <c r="B360" s="5"/>
      <c r="C360" s="6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75" customHeight="1" x14ac:dyDescent="0.35">
      <c r="A361" s="3"/>
      <c r="B361" s="5"/>
      <c r="C361" s="6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75" customHeight="1" x14ac:dyDescent="0.35">
      <c r="A362" s="3"/>
      <c r="B362" s="5"/>
      <c r="C362" s="6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75" customHeight="1" x14ac:dyDescent="0.35">
      <c r="A363" s="3"/>
      <c r="B363" s="5"/>
      <c r="C363" s="6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75" customHeight="1" x14ac:dyDescent="0.35">
      <c r="A364" s="3"/>
      <c r="B364" s="5"/>
      <c r="C364" s="6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75" customHeight="1" x14ac:dyDescent="0.35">
      <c r="A365" s="3"/>
      <c r="B365" s="5"/>
      <c r="C365" s="6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75" customHeight="1" x14ac:dyDescent="0.35">
      <c r="A366" s="3"/>
      <c r="B366" s="5"/>
      <c r="C366" s="6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75" customHeight="1" x14ac:dyDescent="0.35">
      <c r="A367" s="3"/>
      <c r="B367" s="5"/>
      <c r="C367" s="6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75" customHeight="1" x14ac:dyDescent="0.35">
      <c r="A368" s="3"/>
      <c r="B368" s="5"/>
      <c r="C368" s="6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75" customHeight="1" x14ac:dyDescent="0.35">
      <c r="A369" s="3"/>
      <c r="B369" s="5"/>
      <c r="C369" s="6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75" customHeight="1" x14ac:dyDescent="0.35">
      <c r="A370" s="3"/>
      <c r="B370" s="5"/>
      <c r="C370" s="6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75" customHeight="1" x14ac:dyDescent="0.35">
      <c r="A371" s="3"/>
      <c r="B371" s="5"/>
      <c r="C371" s="6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75" customHeight="1" x14ac:dyDescent="0.35">
      <c r="A372" s="3"/>
      <c r="B372" s="5"/>
      <c r="C372" s="6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75" customHeight="1" x14ac:dyDescent="0.35">
      <c r="A373" s="3"/>
      <c r="B373" s="5"/>
      <c r="C373" s="6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75" customHeight="1" x14ac:dyDescent="0.35">
      <c r="A374" s="3"/>
      <c r="B374" s="5"/>
      <c r="C374" s="6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75" customHeight="1" x14ac:dyDescent="0.35">
      <c r="A375" s="3"/>
      <c r="B375" s="5"/>
      <c r="C375" s="6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75" customHeight="1" x14ac:dyDescent="0.35">
      <c r="A376" s="3"/>
      <c r="B376" s="5"/>
      <c r="C376" s="6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75" customHeight="1" x14ac:dyDescent="0.35">
      <c r="A377" s="3"/>
      <c r="B377" s="5"/>
      <c r="C377" s="6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75" customHeight="1" x14ac:dyDescent="0.35">
      <c r="A378" s="3"/>
      <c r="B378" s="5"/>
      <c r="C378" s="6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75" customHeight="1" x14ac:dyDescent="0.35">
      <c r="A379" s="3"/>
      <c r="B379" s="5"/>
      <c r="C379" s="6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75" customHeight="1" x14ac:dyDescent="0.35">
      <c r="A380" s="3"/>
      <c r="B380" s="5"/>
      <c r="C380" s="6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75" customHeight="1" x14ac:dyDescent="0.35">
      <c r="A381" s="3"/>
      <c r="B381" s="5"/>
      <c r="C381" s="6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75" customHeight="1" x14ac:dyDescent="0.35">
      <c r="A382" s="3"/>
      <c r="B382" s="5"/>
      <c r="C382" s="6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75" customHeight="1" x14ac:dyDescent="0.35">
      <c r="A383" s="3"/>
      <c r="B383" s="5"/>
      <c r="C383" s="6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75" customHeight="1" x14ac:dyDescent="0.35">
      <c r="A384" s="3"/>
      <c r="B384" s="5"/>
      <c r="C384" s="6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75" customHeight="1" x14ac:dyDescent="0.35">
      <c r="A385" s="3"/>
      <c r="B385" s="5"/>
      <c r="C385" s="6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75" customHeight="1" x14ac:dyDescent="0.35">
      <c r="A386" s="3"/>
      <c r="B386" s="5"/>
      <c r="C386" s="6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75" customHeight="1" x14ac:dyDescent="0.35">
      <c r="A387" s="3"/>
      <c r="B387" s="5"/>
      <c r="C387" s="6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75" customHeight="1" x14ac:dyDescent="0.35">
      <c r="A388" s="3"/>
      <c r="B388" s="5"/>
      <c r="C388" s="6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75" customHeight="1" x14ac:dyDescent="0.35">
      <c r="A389" s="3"/>
      <c r="B389" s="5"/>
      <c r="C389" s="6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75" customHeight="1" x14ac:dyDescent="0.35">
      <c r="A390" s="3"/>
      <c r="B390" s="5"/>
      <c r="C390" s="6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75" customHeight="1" x14ac:dyDescent="0.35">
      <c r="A391" s="3"/>
      <c r="B391" s="5"/>
      <c r="C391" s="6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75" customHeight="1" x14ac:dyDescent="0.35">
      <c r="A392" s="3"/>
      <c r="B392" s="5"/>
      <c r="C392" s="6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75" customHeight="1" x14ac:dyDescent="0.35">
      <c r="A393" s="3"/>
      <c r="B393" s="5"/>
      <c r="C393" s="6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75" customHeight="1" x14ac:dyDescent="0.35">
      <c r="A394" s="3"/>
      <c r="B394" s="5"/>
      <c r="C394" s="6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75" customHeight="1" x14ac:dyDescent="0.35">
      <c r="A395" s="3"/>
      <c r="B395" s="5"/>
      <c r="C395" s="6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75" customHeight="1" x14ac:dyDescent="0.35">
      <c r="A396" s="3"/>
      <c r="B396" s="5"/>
      <c r="C396" s="6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75" customHeight="1" x14ac:dyDescent="0.35">
      <c r="A397" s="3"/>
      <c r="B397" s="5"/>
      <c r="C397" s="6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75" customHeight="1" x14ac:dyDescent="0.35">
      <c r="A398" s="3"/>
      <c r="B398" s="5"/>
      <c r="C398" s="6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75" customHeight="1" x14ac:dyDescent="0.35">
      <c r="A399" s="3"/>
      <c r="B399" s="5"/>
      <c r="C399" s="6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75" customHeight="1" x14ac:dyDescent="0.35">
      <c r="A400" s="3"/>
      <c r="B400" s="5"/>
      <c r="C400" s="6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75" customHeight="1" x14ac:dyDescent="0.35">
      <c r="A401" s="3"/>
      <c r="B401" s="5"/>
      <c r="C401" s="6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75" customHeight="1" x14ac:dyDescent="0.35">
      <c r="A402" s="3"/>
      <c r="B402" s="5"/>
      <c r="C402" s="6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75" customHeight="1" x14ac:dyDescent="0.35">
      <c r="A403" s="3"/>
      <c r="B403" s="5"/>
      <c r="C403" s="6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75" customHeight="1" x14ac:dyDescent="0.35">
      <c r="A404" s="3"/>
      <c r="B404" s="5"/>
      <c r="C404" s="6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75" customHeight="1" x14ac:dyDescent="0.35">
      <c r="A405" s="3"/>
      <c r="B405" s="5"/>
      <c r="C405" s="6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75" customHeight="1" x14ac:dyDescent="0.35">
      <c r="A406" s="3"/>
      <c r="B406" s="5"/>
      <c r="C406" s="6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75" customHeight="1" x14ac:dyDescent="0.35">
      <c r="A407" s="3"/>
      <c r="B407" s="5"/>
      <c r="C407" s="6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75" customHeight="1" x14ac:dyDescent="0.35">
      <c r="A408" s="3"/>
      <c r="B408" s="5"/>
      <c r="C408" s="6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75" customHeight="1" x14ac:dyDescent="0.35">
      <c r="A409" s="3"/>
      <c r="B409" s="5"/>
      <c r="C409" s="6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75" customHeight="1" x14ac:dyDescent="0.35">
      <c r="A410" s="3"/>
      <c r="B410" s="5"/>
      <c r="C410" s="6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75" customHeight="1" x14ac:dyDescent="0.35">
      <c r="A411" s="3"/>
      <c r="B411" s="5"/>
      <c r="C411" s="6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75" customHeight="1" x14ac:dyDescent="0.35">
      <c r="A412" s="3"/>
      <c r="B412" s="5"/>
      <c r="C412" s="6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75" customHeight="1" x14ac:dyDescent="0.35">
      <c r="A413" s="3"/>
      <c r="B413" s="5"/>
      <c r="C413" s="6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75" customHeight="1" x14ac:dyDescent="0.35">
      <c r="A414" s="3"/>
      <c r="B414" s="5"/>
      <c r="C414" s="6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75" customHeight="1" x14ac:dyDescent="0.35">
      <c r="A415" s="3"/>
      <c r="B415" s="5"/>
      <c r="C415" s="6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75" customHeight="1" x14ac:dyDescent="0.35">
      <c r="A416" s="3"/>
      <c r="B416" s="5"/>
      <c r="C416" s="6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75" customHeight="1" x14ac:dyDescent="0.35">
      <c r="A417" s="3"/>
      <c r="B417" s="5"/>
      <c r="C417" s="6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75" customHeight="1" x14ac:dyDescent="0.35">
      <c r="A418" s="3"/>
      <c r="B418" s="5"/>
      <c r="C418" s="6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75" customHeight="1" x14ac:dyDescent="0.35">
      <c r="A419" s="3"/>
      <c r="B419" s="5"/>
      <c r="C419" s="6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75" customHeight="1" x14ac:dyDescent="0.35">
      <c r="A420" s="3"/>
      <c r="B420" s="5"/>
      <c r="C420" s="6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75" customHeight="1" x14ac:dyDescent="0.35">
      <c r="A421" s="3"/>
      <c r="B421" s="5"/>
      <c r="C421" s="6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75" customHeight="1" x14ac:dyDescent="0.35">
      <c r="A422" s="3"/>
      <c r="B422" s="5"/>
      <c r="C422" s="6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75" customHeight="1" x14ac:dyDescent="0.35">
      <c r="A423" s="3"/>
      <c r="B423" s="5"/>
      <c r="C423" s="6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75" customHeight="1" x14ac:dyDescent="0.35">
      <c r="A424" s="3"/>
      <c r="B424" s="5"/>
      <c r="C424" s="6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75" customHeight="1" x14ac:dyDescent="0.35">
      <c r="A425" s="3"/>
      <c r="B425" s="5"/>
      <c r="C425" s="6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75" customHeight="1" x14ac:dyDescent="0.35">
      <c r="A426" s="3"/>
      <c r="B426" s="5"/>
      <c r="C426" s="6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75" customHeight="1" x14ac:dyDescent="0.35">
      <c r="A427" s="3"/>
      <c r="B427" s="5"/>
      <c r="C427" s="6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75" customHeight="1" x14ac:dyDescent="0.35">
      <c r="A428" s="3"/>
      <c r="B428" s="5"/>
      <c r="C428" s="6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75" customHeight="1" x14ac:dyDescent="0.35">
      <c r="A429" s="3"/>
      <c r="B429" s="5"/>
      <c r="C429" s="6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75" customHeight="1" x14ac:dyDescent="0.35">
      <c r="A430" s="3"/>
      <c r="B430" s="5"/>
      <c r="C430" s="6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75" customHeight="1" x14ac:dyDescent="0.35">
      <c r="A431" s="3"/>
      <c r="B431" s="5"/>
      <c r="C431" s="6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75" customHeight="1" x14ac:dyDescent="0.35">
      <c r="A432" s="3"/>
      <c r="B432" s="5"/>
      <c r="C432" s="6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75" customHeight="1" x14ac:dyDescent="0.35">
      <c r="A433" s="3"/>
      <c r="B433" s="5"/>
      <c r="C433" s="6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75" customHeight="1" x14ac:dyDescent="0.35">
      <c r="A434" s="3"/>
      <c r="B434" s="5"/>
      <c r="C434" s="6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75" customHeight="1" x14ac:dyDescent="0.35">
      <c r="A435" s="3"/>
      <c r="B435" s="5"/>
      <c r="C435" s="6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75" customHeight="1" x14ac:dyDescent="0.35">
      <c r="A436" s="3"/>
      <c r="B436" s="5"/>
      <c r="C436" s="6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75" customHeight="1" x14ac:dyDescent="0.35">
      <c r="A437" s="3"/>
      <c r="B437" s="5"/>
      <c r="C437" s="6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75" customHeight="1" x14ac:dyDescent="0.35">
      <c r="A438" s="3"/>
      <c r="B438" s="5"/>
      <c r="C438" s="6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75" customHeight="1" x14ac:dyDescent="0.35">
      <c r="A439" s="3"/>
      <c r="B439" s="5"/>
      <c r="C439" s="6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75" customHeight="1" x14ac:dyDescent="0.35">
      <c r="A440" s="3"/>
      <c r="B440" s="5"/>
      <c r="C440" s="6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75" customHeight="1" x14ac:dyDescent="0.35">
      <c r="A441" s="3"/>
      <c r="B441" s="5"/>
      <c r="C441" s="6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75" customHeight="1" x14ac:dyDescent="0.35">
      <c r="A442" s="3"/>
      <c r="B442" s="5"/>
      <c r="C442" s="6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75" customHeight="1" x14ac:dyDescent="0.35">
      <c r="A443" s="3"/>
      <c r="B443" s="5"/>
      <c r="C443" s="6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75" customHeight="1" x14ac:dyDescent="0.35">
      <c r="A444" s="3"/>
      <c r="B444" s="5"/>
      <c r="C444" s="6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75" customHeight="1" x14ac:dyDescent="0.35">
      <c r="A445" s="3"/>
      <c r="B445" s="5"/>
      <c r="C445" s="6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75" customHeight="1" x14ac:dyDescent="0.35">
      <c r="A446" s="3"/>
      <c r="B446" s="5"/>
      <c r="C446" s="6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75" customHeight="1" x14ac:dyDescent="0.35">
      <c r="A447" s="3"/>
      <c r="B447" s="5"/>
      <c r="C447" s="6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75" customHeight="1" x14ac:dyDescent="0.35">
      <c r="A448" s="3"/>
      <c r="B448" s="5"/>
      <c r="C448" s="6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75" customHeight="1" x14ac:dyDescent="0.35">
      <c r="A449" s="3"/>
      <c r="B449" s="5"/>
      <c r="C449" s="6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75" customHeight="1" x14ac:dyDescent="0.35">
      <c r="A450" s="3"/>
      <c r="B450" s="5"/>
      <c r="C450" s="6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75" customHeight="1" x14ac:dyDescent="0.35">
      <c r="A451" s="3"/>
      <c r="B451" s="5"/>
      <c r="C451" s="6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75" customHeight="1" x14ac:dyDescent="0.35">
      <c r="A452" s="3"/>
      <c r="B452" s="5"/>
      <c r="C452" s="6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75" customHeight="1" x14ac:dyDescent="0.35">
      <c r="A453" s="3"/>
      <c r="B453" s="5"/>
      <c r="C453" s="6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75" customHeight="1" x14ac:dyDescent="0.35">
      <c r="A454" s="3"/>
      <c r="B454" s="5"/>
      <c r="C454" s="6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75" customHeight="1" x14ac:dyDescent="0.35">
      <c r="A455" s="3"/>
      <c r="B455" s="5"/>
      <c r="C455" s="6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75" customHeight="1" x14ac:dyDescent="0.35">
      <c r="A456" s="3"/>
      <c r="B456" s="5"/>
      <c r="C456" s="6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75" customHeight="1" x14ac:dyDescent="0.35">
      <c r="A457" s="3"/>
      <c r="B457" s="5"/>
      <c r="C457" s="6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75" customHeight="1" x14ac:dyDescent="0.35">
      <c r="A458" s="3"/>
      <c r="B458" s="5"/>
      <c r="C458" s="6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75" customHeight="1" x14ac:dyDescent="0.35">
      <c r="A459" s="3"/>
      <c r="B459" s="5"/>
      <c r="C459" s="6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75" customHeight="1" x14ac:dyDescent="0.35">
      <c r="A460" s="3"/>
      <c r="B460" s="5"/>
      <c r="C460" s="6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75" customHeight="1" x14ac:dyDescent="0.35">
      <c r="A461" s="3"/>
      <c r="B461" s="5"/>
      <c r="C461" s="6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75" customHeight="1" x14ac:dyDescent="0.35">
      <c r="A462" s="3"/>
      <c r="B462" s="5"/>
      <c r="C462" s="6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75" customHeight="1" x14ac:dyDescent="0.35">
      <c r="A463" s="3"/>
      <c r="B463" s="5"/>
      <c r="C463" s="6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75" customHeight="1" x14ac:dyDescent="0.35">
      <c r="A464" s="3"/>
      <c r="B464" s="5"/>
      <c r="C464" s="6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75" customHeight="1" x14ac:dyDescent="0.35">
      <c r="A465" s="3"/>
      <c r="B465" s="5"/>
      <c r="C465" s="6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75" customHeight="1" x14ac:dyDescent="0.35">
      <c r="A466" s="3"/>
      <c r="B466" s="5"/>
      <c r="C466" s="6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75" customHeight="1" x14ac:dyDescent="0.35">
      <c r="A467" s="3"/>
      <c r="B467" s="5"/>
      <c r="C467" s="6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75" customHeight="1" x14ac:dyDescent="0.35">
      <c r="A468" s="3"/>
      <c r="B468" s="5"/>
      <c r="C468" s="6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75" customHeight="1" x14ac:dyDescent="0.35">
      <c r="A469" s="3"/>
      <c r="B469" s="5"/>
      <c r="C469" s="6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75" customHeight="1" x14ac:dyDescent="0.35">
      <c r="A470" s="3"/>
      <c r="B470" s="5"/>
      <c r="C470" s="6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75" customHeight="1" x14ac:dyDescent="0.35">
      <c r="A471" s="3"/>
      <c r="B471" s="5"/>
      <c r="C471" s="6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75" customHeight="1" x14ac:dyDescent="0.35">
      <c r="A472" s="3"/>
      <c r="B472" s="5"/>
      <c r="C472" s="6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75" customHeight="1" x14ac:dyDescent="0.35">
      <c r="A473" s="3"/>
      <c r="B473" s="5"/>
      <c r="C473" s="6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75" customHeight="1" x14ac:dyDescent="0.35">
      <c r="A474" s="3"/>
      <c r="B474" s="5"/>
      <c r="C474" s="6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75" customHeight="1" x14ac:dyDescent="0.35">
      <c r="A475" s="3"/>
      <c r="B475" s="5"/>
      <c r="C475" s="6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75" customHeight="1" x14ac:dyDescent="0.35">
      <c r="A476" s="3"/>
      <c r="B476" s="5"/>
      <c r="C476" s="6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75" customHeight="1" x14ac:dyDescent="0.35">
      <c r="A477" s="3"/>
      <c r="B477" s="5"/>
      <c r="C477" s="6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75" customHeight="1" x14ac:dyDescent="0.35">
      <c r="A478" s="3"/>
      <c r="B478" s="5"/>
      <c r="C478" s="6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75" customHeight="1" x14ac:dyDescent="0.35">
      <c r="A479" s="3"/>
      <c r="B479" s="5"/>
      <c r="C479" s="6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75" customHeight="1" x14ac:dyDescent="0.35">
      <c r="A480" s="3"/>
      <c r="B480" s="5"/>
      <c r="C480" s="6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75" customHeight="1" x14ac:dyDescent="0.35">
      <c r="A481" s="3"/>
      <c r="B481" s="5"/>
      <c r="C481" s="6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75" customHeight="1" x14ac:dyDescent="0.35">
      <c r="A482" s="3"/>
      <c r="B482" s="5"/>
      <c r="C482" s="6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75" customHeight="1" x14ac:dyDescent="0.35">
      <c r="A483" s="3"/>
      <c r="B483" s="5"/>
      <c r="C483" s="6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75" customHeight="1" x14ac:dyDescent="0.35">
      <c r="A484" s="3"/>
      <c r="B484" s="5"/>
      <c r="C484" s="6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75" customHeight="1" x14ac:dyDescent="0.35">
      <c r="A485" s="3"/>
      <c r="B485" s="5"/>
      <c r="C485" s="6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75" customHeight="1" x14ac:dyDescent="0.35">
      <c r="A486" s="3"/>
      <c r="B486" s="5"/>
      <c r="C486" s="6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75" customHeight="1" x14ac:dyDescent="0.35">
      <c r="A487" s="3"/>
      <c r="B487" s="5"/>
      <c r="C487" s="6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75" customHeight="1" x14ac:dyDescent="0.35">
      <c r="A488" s="3"/>
      <c r="B488" s="5"/>
      <c r="C488" s="6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75" customHeight="1" x14ac:dyDescent="0.35">
      <c r="A489" s="3"/>
      <c r="B489" s="5"/>
      <c r="C489" s="6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75" customHeight="1" x14ac:dyDescent="0.35">
      <c r="A490" s="3"/>
      <c r="B490" s="5"/>
      <c r="C490" s="6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75" customHeight="1" x14ac:dyDescent="0.35">
      <c r="A491" s="3"/>
      <c r="B491" s="5"/>
      <c r="C491" s="6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75" customHeight="1" x14ac:dyDescent="0.35">
      <c r="A492" s="3"/>
      <c r="B492" s="5"/>
      <c r="C492" s="6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75" customHeight="1" x14ac:dyDescent="0.35">
      <c r="A493" s="3"/>
      <c r="B493" s="5"/>
      <c r="C493" s="6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75" customHeight="1" x14ac:dyDescent="0.35">
      <c r="A494" s="3"/>
      <c r="B494" s="5"/>
      <c r="C494" s="6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75" customHeight="1" x14ac:dyDescent="0.35">
      <c r="A495" s="3"/>
      <c r="B495" s="5"/>
      <c r="C495" s="6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75" customHeight="1" x14ac:dyDescent="0.35">
      <c r="A496" s="3"/>
      <c r="B496" s="5"/>
      <c r="C496" s="6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75" customHeight="1" x14ac:dyDescent="0.35">
      <c r="A497" s="3"/>
      <c r="B497" s="5"/>
      <c r="C497" s="6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75" customHeight="1" x14ac:dyDescent="0.35">
      <c r="A498" s="3"/>
      <c r="B498" s="5"/>
      <c r="C498" s="6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75" customHeight="1" x14ac:dyDescent="0.35">
      <c r="A499" s="3"/>
      <c r="B499" s="5"/>
      <c r="C499" s="6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75" customHeight="1" x14ac:dyDescent="0.35">
      <c r="A500" s="3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75" customHeight="1" x14ac:dyDescent="0.35">
      <c r="A501" s="3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75" customHeight="1" x14ac:dyDescent="0.35">
      <c r="A502" s="3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75" customHeight="1" x14ac:dyDescent="0.35">
      <c r="A503" s="3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75" customHeight="1" x14ac:dyDescent="0.35">
      <c r="A504" s="3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75" customHeight="1" x14ac:dyDescent="0.35">
      <c r="A505" s="3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75" customHeight="1" x14ac:dyDescent="0.35">
      <c r="A506" s="3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75" customHeight="1" x14ac:dyDescent="0.35">
      <c r="A507" s="3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75" customHeight="1" x14ac:dyDescent="0.35">
      <c r="A508" s="3"/>
      <c r="B508" s="5"/>
      <c r="C508" s="6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75" customHeight="1" x14ac:dyDescent="0.35">
      <c r="A509" s="3"/>
      <c r="B509" s="5"/>
      <c r="C509" s="6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75" customHeight="1" x14ac:dyDescent="0.35">
      <c r="A510" s="3"/>
      <c r="B510" s="5"/>
      <c r="C510" s="6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75" customHeight="1" x14ac:dyDescent="0.35">
      <c r="A511" s="3"/>
      <c r="B511" s="5"/>
      <c r="C511" s="6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75" customHeight="1" x14ac:dyDescent="0.35">
      <c r="A512" s="3"/>
      <c r="B512" s="5"/>
      <c r="C512" s="6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75" customHeight="1" x14ac:dyDescent="0.35">
      <c r="A513" s="3"/>
      <c r="B513" s="5"/>
      <c r="C513" s="6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75" customHeight="1" x14ac:dyDescent="0.35">
      <c r="A514" s="3"/>
      <c r="B514" s="5"/>
      <c r="C514" s="6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75" customHeight="1" x14ac:dyDescent="0.35">
      <c r="A515" s="3"/>
      <c r="B515" s="5"/>
      <c r="C515" s="6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75" customHeight="1" x14ac:dyDescent="0.35">
      <c r="A516" s="3"/>
      <c r="B516" s="5"/>
      <c r="C516" s="6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75" customHeight="1" x14ac:dyDescent="0.35">
      <c r="A517" s="3"/>
      <c r="B517" s="5"/>
      <c r="C517" s="6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75" customHeight="1" x14ac:dyDescent="0.35">
      <c r="A518" s="3"/>
      <c r="B518" s="5"/>
      <c r="C518" s="6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75" customHeight="1" x14ac:dyDescent="0.35">
      <c r="A519" s="3"/>
      <c r="B519" s="5"/>
      <c r="C519" s="6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75" customHeight="1" x14ac:dyDescent="0.35">
      <c r="A520" s="3"/>
      <c r="B520" s="5"/>
      <c r="C520" s="6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75" customHeight="1" x14ac:dyDescent="0.35">
      <c r="A521" s="3"/>
      <c r="B521" s="5"/>
      <c r="C521" s="6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75" customHeight="1" x14ac:dyDescent="0.35">
      <c r="A522" s="3"/>
      <c r="B522" s="5"/>
      <c r="C522" s="6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75" customHeight="1" x14ac:dyDescent="0.35">
      <c r="A523" s="3"/>
      <c r="B523" s="5"/>
      <c r="C523" s="6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75" customHeight="1" x14ac:dyDescent="0.35">
      <c r="A524" s="3"/>
      <c r="B524" s="5"/>
      <c r="C524" s="6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75" customHeight="1" x14ac:dyDescent="0.35">
      <c r="A525" s="3"/>
      <c r="B525" s="5"/>
      <c r="C525" s="6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75" customHeight="1" x14ac:dyDescent="0.35">
      <c r="A526" s="3"/>
      <c r="B526" s="5"/>
      <c r="C526" s="6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75" customHeight="1" x14ac:dyDescent="0.35">
      <c r="A527" s="3"/>
      <c r="B527" s="5"/>
      <c r="C527" s="6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75" customHeight="1" x14ac:dyDescent="0.35">
      <c r="A528" s="3"/>
      <c r="B528" s="5"/>
      <c r="C528" s="6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75" customHeight="1" x14ac:dyDescent="0.35">
      <c r="A529" s="3"/>
      <c r="B529" s="5"/>
      <c r="C529" s="6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75" customHeight="1" x14ac:dyDescent="0.35">
      <c r="A530" s="3"/>
      <c r="B530" s="5"/>
      <c r="C530" s="6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75" customHeight="1" x14ac:dyDescent="0.35">
      <c r="A531" s="3"/>
      <c r="B531" s="5"/>
      <c r="C531" s="6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75" customHeight="1" x14ac:dyDescent="0.35">
      <c r="A532" s="3"/>
      <c r="B532" s="5"/>
      <c r="C532" s="6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75" customHeight="1" x14ac:dyDescent="0.35">
      <c r="A533" s="3"/>
      <c r="B533" s="5"/>
      <c r="C533" s="6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75" customHeight="1" x14ac:dyDescent="0.35">
      <c r="A534" s="3"/>
      <c r="B534" s="5"/>
      <c r="C534" s="6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75" customHeight="1" x14ac:dyDescent="0.35">
      <c r="A535" s="3"/>
      <c r="B535" s="5"/>
      <c r="C535" s="6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75" customHeight="1" x14ac:dyDescent="0.35">
      <c r="A536" s="3"/>
      <c r="B536" s="5"/>
      <c r="C536" s="6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75" customHeight="1" x14ac:dyDescent="0.35">
      <c r="A537" s="3"/>
      <c r="B537" s="5"/>
      <c r="C537" s="6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75" customHeight="1" x14ac:dyDescent="0.35">
      <c r="A538" s="3"/>
      <c r="B538" s="5"/>
      <c r="C538" s="6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75" customHeight="1" x14ac:dyDescent="0.35">
      <c r="A539" s="3"/>
      <c r="B539" s="5"/>
      <c r="C539" s="6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75" customHeight="1" x14ac:dyDescent="0.35">
      <c r="A540" s="3"/>
      <c r="B540" s="5"/>
      <c r="C540" s="6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75" customHeight="1" x14ac:dyDescent="0.35">
      <c r="A541" s="3"/>
      <c r="B541" s="5"/>
      <c r="C541" s="6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75" customHeight="1" x14ac:dyDescent="0.35">
      <c r="A542" s="3"/>
      <c r="B542" s="5"/>
      <c r="C542" s="6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75" customHeight="1" x14ac:dyDescent="0.35">
      <c r="A543" s="3"/>
      <c r="B543" s="5"/>
      <c r="C543" s="6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75" customHeight="1" x14ac:dyDescent="0.35">
      <c r="A544" s="3"/>
      <c r="B544" s="5"/>
      <c r="C544" s="6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75" customHeight="1" x14ac:dyDescent="0.35">
      <c r="A545" s="3"/>
      <c r="B545" s="5"/>
      <c r="C545" s="6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75" customHeight="1" x14ac:dyDescent="0.35">
      <c r="A546" s="3"/>
      <c r="B546" s="5"/>
      <c r="C546" s="6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75" customHeight="1" x14ac:dyDescent="0.35">
      <c r="A547" s="3"/>
      <c r="B547" s="5"/>
      <c r="C547" s="6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75" customHeight="1" x14ac:dyDescent="0.35">
      <c r="A548" s="3"/>
      <c r="B548" s="5"/>
      <c r="C548" s="6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75" customHeight="1" x14ac:dyDescent="0.35">
      <c r="A549" s="3"/>
      <c r="B549" s="5"/>
      <c r="C549" s="6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75" customHeight="1" x14ac:dyDescent="0.35">
      <c r="A550" s="3"/>
      <c r="B550" s="5"/>
      <c r="C550" s="6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75" customHeight="1" x14ac:dyDescent="0.35">
      <c r="A551" s="3"/>
      <c r="B551" s="5"/>
      <c r="C551" s="6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75" customHeight="1" x14ac:dyDescent="0.35">
      <c r="A552" s="3"/>
      <c r="B552" s="5"/>
      <c r="C552" s="6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75" customHeight="1" x14ac:dyDescent="0.35">
      <c r="A553" s="3"/>
      <c r="B553" s="5"/>
      <c r="C553" s="6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75" customHeight="1" x14ac:dyDescent="0.35">
      <c r="A554" s="3"/>
      <c r="B554" s="5"/>
      <c r="C554" s="6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75" customHeight="1" x14ac:dyDescent="0.35">
      <c r="A555" s="3"/>
      <c r="B555" s="5"/>
      <c r="C555" s="6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75" customHeight="1" x14ac:dyDescent="0.35">
      <c r="A556" s="3"/>
      <c r="B556" s="5"/>
      <c r="C556" s="6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75" customHeight="1" x14ac:dyDescent="0.35">
      <c r="A557" s="3"/>
      <c r="B557" s="5"/>
      <c r="C557" s="6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75" customHeight="1" x14ac:dyDescent="0.35">
      <c r="A558" s="3"/>
      <c r="B558" s="5"/>
      <c r="C558" s="6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75" customHeight="1" x14ac:dyDescent="0.35">
      <c r="A559" s="3"/>
      <c r="B559" s="5"/>
      <c r="C559" s="6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75" customHeight="1" x14ac:dyDescent="0.35">
      <c r="A560" s="3"/>
      <c r="B560" s="5"/>
      <c r="C560" s="6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75" customHeight="1" x14ac:dyDescent="0.35">
      <c r="A561" s="3"/>
      <c r="B561" s="5"/>
      <c r="C561" s="6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75" customHeight="1" x14ac:dyDescent="0.35">
      <c r="A562" s="3"/>
      <c r="B562" s="5"/>
      <c r="C562" s="6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75" customHeight="1" x14ac:dyDescent="0.35">
      <c r="A563" s="3"/>
      <c r="B563" s="5"/>
      <c r="C563" s="6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75" customHeight="1" x14ac:dyDescent="0.35">
      <c r="A564" s="3"/>
      <c r="B564" s="5"/>
      <c r="C564" s="6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75" customHeight="1" x14ac:dyDescent="0.35">
      <c r="A565" s="3"/>
      <c r="B565" s="5"/>
      <c r="C565" s="6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75" customHeight="1" x14ac:dyDescent="0.35">
      <c r="A566" s="3"/>
      <c r="B566" s="5"/>
      <c r="C566" s="6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75" customHeight="1" x14ac:dyDescent="0.35">
      <c r="A567" s="3"/>
      <c r="B567" s="5"/>
      <c r="C567" s="6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75" customHeight="1" x14ac:dyDescent="0.35">
      <c r="A568" s="3"/>
      <c r="B568" s="5"/>
      <c r="C568" s="6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75" customHeight="1" x14ac:dyDescent="0.35">
      <c r="A569" s="3"/>
      <c r="B569" s="5"/>
      <c r="C569" s="6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75" customHeight="1" x14ac:dyDescent="0.35">
      <c r="A570" s="3"/>
      <c r="B570" s="5"/>
      <c r="C570" s="6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75" customHeight="1" x14ac:dyDescent="0.35">
      <c r="A571" s="3"/>
      <c r="B571" s="5"/>
      <c r="C571" s="6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75" customHeight="1" x14ac:dyDescent="0.35">
      <c r="A572" s="3"/>
      <c r="B572" s="5"/>
      <c r="C572" s="6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75" customHeight="1" x14ac:dyDescent="0.35">
      <c r="A573" s="3"/>
      <c r="B573" s="5"/>
      <c r="C573" s="6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75" customHeight="1" x14ac:dyDescent="0.35">
      <c r="A574" s="3"/>
      <c r="B574" s="5"/>
      <c r="C574" s="6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75" customHeight="1" x14ac:dyDescent="0.35">
      <c r="A575" s="3"/>
      <c r="B575" s="5"/>
      <c r="C575" s="6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75" customHeight="1" x14ac:dyDescent="0.35">
      <c r="A576" s="3"/>
      <c r="B576" s="5"/>
      <c r="C576" s="6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75" customHeight="1" x14ac:dyDescent="0.35">
      <c r="A577" s="3"/>
      <c r="B577" s="5"/>
      <c r="C577" s="6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75" customHeight="1" x14ac:dyDescent="0.35">
      <c r="A578" s="3"/>
      <c r="B578" s="5"/>
      <c r="C578" s="6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75" customHeight="1" x14ac:dyDescent="0.35">
      <c r="A579" s="3"/>
      <c r="B579" s="5"/>
      <c r="C579" s="6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75" customHeight="1" x14ac:dyDescent="0.35">
      <c r="A580" s="3"/>
      <c r="B580" s="5"/>
      <c r="C580" s="6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75" customHeight="1" x14ac:dyDescent="0.35">
      <c r="A581" s="3"/>
      <c r="B581" s="5"/>
      <c r="C581" s="6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75" customHeight="1" x14ac:dyDescent="0.35">
      <c r="A582" s="3"/>
      <c r="B582" s="5"/>
      <c r="C582" s="6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75" customHeight="1" x14ac:dyDescent="0.35">
      <c r="A583" s="3"/>
      <c r="B583" s="5"/>
      <c r="C583" s="6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75" customHeight="1" x14ac:dyDescent="0.35">
      <c r="A584" s="3"/>
      <c r="B584" s="5"/>
      <c r="C584" s="6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75" customHeight="1" x14ac:dyDescent="0.35">
      <c r="A585" s="3"/>
      <c r="B585" s="5"/>
      <c r="C585" s="6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75" customHeight="1" x14ac:dyDescent="0.35">
      <c r="A586" s="3"/>
      <c r="B586" s="5"/>
      <c r="C586" s="6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75" customHeight="1" x14ac:dyDescent="0.35">
      <c r="A587" s="3"/>
      <c r="B587" s="5"/>
      <c r="C587" s="6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75" customHeight="1" x14ac:dyDescent="0.35">
      <c r="A588" s="3"/>
      <c r="B588" s="5"/>
      <c r="C588" s="6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75" customHeight="1" x14ac:dyDescent="0.35">
      <c r="A589" s="3"/>
      <c r="B589" s="5"/>
      <c r="C589" s="6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75" customHeight="1" x14ac:dyDescent="0.35">
      <c r="A590" s="3"/>
      <c r="B590" s="5"/>
      <c r="C590" s="6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75" customHeight="1" x14ac:dyDescent="0.35">
      <c r="A591" s="3"/>
      <c r="B591" s="5"/>
      <c r="C591" s="6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75" customHeight="1" x14ac:dyDescent="0.35">
      <c r="A592" s="3"/>
      <c r="B592" s="5"/>
      <c r="C592" s="6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75" customHeight="1" x14ac:dyDescent="0.35">
      <c r="A593" s="3"/>
      <c r="B593" s="5"/>
      <c r="C593" s="6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75" customHeight="1" x14ac:dyDescent="0.35">
      <c r="A594" s="3"/>
      <c r="B594" s="5"/>
      <c r="C594" s="6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75" customHeight="1" x14ac:dyDescent="0.35">
      <c r="A595" s="3"/>
      <c r="B595" s="5"/>
      <c r="C595" s="6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75" customHeight="1" x14ac:dyDescent="0.35">
      <c r="A596" s="3"/>
      <c r="B596" s="5"/>
      <c r="C596" s="6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75" customHeight="1" x14ac:dyDescent="0.35">
      <c r="A597" s="3"/>
      <c r="B597" s="5"/>
      <c r="C597" s="6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75" customHeight="1" x14ac:dyDescent="0.35">
      <c r="A598" s="3"/>
      <c r="B598" s="5"/>
      <c r="C598" s="6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75" customHeight="1" x14ac:dyDescent="0.35">
      <c r="A599" s="3"/>
      <c r="B599" s="5"/>
      <c r="C599" s="6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75" customHeight="1" x14ac:dyDescent="0.35">
      <c r="A600" s="3"/>
      <c r="B600" s="5"/>
      <c r="C600" s="6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75" customHeight="1" x14ac:dyDescent="0.35">
      <c r="A601" s="3"/>
      <c r="B601" s="5"/>
      <c r="C601" s="6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75" customHeight="1" x14ac:dyDescent="0.35">
      <c r="A602" s="3"/>
      <c r="B602" s="5"/>
      <c r="C602" s="6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75" customHeight="1" x14ac:dyDescent="0.35">
      <c r="A603" s="3"/>
      <c r="B603" s="5"/>
      <c r="C603" s="6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75" customHeight="1" x14ac:dyDescent="0.35">
      <c r="A604" s="3"/>
      <c r="B604" s="5"/>
      <c r="C604" s="6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75" customHeight="1" x14ac:dyDescent="0.35">
      <c r="A605" s="3"/>
      <c r="B605" s="5"/>
      <c r="C605" s="6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75" customHeight="1" x14ac:dyDescent="0.35">
      <c r="A606" s="3"/>
      <c r="B606" s="5"/>
      <c r="C606" s="6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75" customHeight="1" x14ac:dyDescent="0.35">
      <c r="A607" s="3"/>
      <c r="B607" s="5"/>
      <c r="C607" s="6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75" customHeight="1" x14ac:dyDescent="0.35">
      <c r="A608" s="3"/>
      <c r="B608" s="5"/>
      <c r="C608" s="6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75" customHeight="1" x14ac:dyDescent="0.35">
      <c r="A609" s="3"/>
      <c r="B609" s="5"/>
      <c r="C609" s="6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75" customHeight="1" x14ac:dyDescent="0.35">
      <c r="A610" s="3"/>
      <c r="B610" s="5"/>
      <c r="C610" s="6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75" customHeight="1" x14ac:dyDescent="0.35">
      <c r="A611" s="3"/>
      <c r="B611" s="5"/>
      <c r="C611" s="6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75" customHeight="1" x14ac:dyDescent="0.35">
      <c r="A612" s="3"/>
      <c r="B612" s="5"/>
      <c r="C612" s="6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75" customHeight="1" x14ac:dyDescent="0.35">
      <c r="A613" s="3"/>
      <c r="B613" s="5"/>
      <c r="C613" s="6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75" customHeight="1" x14ac:dyDescent="0.35">
      <c r="A614" s="3"/>
      <c r="B614" s="5"/>
      <c r="C614" s="6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75" customHeight="1" x14ac:dyDescent="0.35">
      <c r="A615" s="3"/>
      <c r="B615" s="5"/>
      <c r="C615" s="6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75" customHeight="1" x14ac:dyDescent="0.35">
      <c r="A616" s="3"/>
      <c r="B616" s="5"/>
      <c r="C616" s="6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75" customHeight="1" x14ac:dyDescent="0.35">
      <c r="A617" s="3"/>
      <c r="B617" s="5"/>
      <c r="C617" s="6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75" customHeight="1" x14ac:dyDescent="0.35">
      <c r="A618" s="3"/>
      <c r="B618" s="5"/>
      <c r="C618" s="6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75" customHeight="1" x14ac:dyDescent="0.35">
      <c r="A619" s="3"/>
      <c r="B619" s="5"/>
      <c r="C619" s="6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75" customHeight="1" x14ac:dyDescent="0.35">
      <c r="A620" s="3"/>
      <c r="B620" s="5"/>
      <c r="C620" s="6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75" customHeight="1" x14ac:dyDescent="0.35">
      <c r="A621" s="3"/>
      <c r="B621" s="5"/>
      <c r="C621" s="6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75" customHeight="1" x14ac:dyDescent="0.35">
      <c r="A622" s="3"/>
      <c r="B622" s="5"/>
      <c r="C622" s="6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75" customHeight="1" x14ac:dyDescent="0.35">
      <c r="A623" s="3"/>
      <c r="B623" s="5"/>
      <c r="C623" s="6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75" customHeight="1" x14ac:dyDescent="0.35">
      <c r="A624" s="3"/>
      <c r="B624" s="5"/>
      <c r="C624" s="6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75" customHeight="1" x14ac:dyDescent="0.35">
      <c r="A625" s="3"/>
      <c r="B625" s="5"/>
      <c r="C625" s="6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75" customHeight="1" x14ac:dyDescent="0.35">
      <c r="A626" s="3"/>
      <c r="B626" s="5"/>
      <c r="C626" s="6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75" customHeight="1" x14ac:dyDescent="0.35">
      <c r="A627" s="3"/>
      <c r="B627" s="5"/>
      <c r="C627" s="6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75" customHeight="1" x14ac:dyDescent="0.35">
      <c r="A628" s="3"/>
      <c r="B628" s="5"/>
      <c r="C628" s="6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75" customHeight="1" x14ac:dyDescent="0.35">
      <c r="A629" s="3"/>
      <c r="B629" s="5"/>
      <c r="C629" s="6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75" customHeight="1" x14ac:dyDescent="0.35">
      <c r="A630" s="3"/>
      <c r="B630" s="5"/>
      <c r="C630" s="6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75" customHeight="1" x14ac:dyDescent="0.35">
      <c r="A631" s="3"/>
      <c r="B631" s="5"/>
      <c r="C631" s="6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75" customHeight="1" x14ac:dyDescent="0.35">
      <c r="A632" s="3"/>
      <c r="B632" s="5"/>
      <c r="C632" s="6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75" customHeight="1" x14ac:dyDescent="0.35">
      <c r="A633" s="3"/>
      <c r="B633" s="5"/>
      <c r="C633" s="6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75" customHeight="1" x14ac:dyDescent="0.35">
      <c r="A634" s="3"/>
      <c r="B634" s="5"/>
      <c r="C634" s="6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75" customHeight="1" x14ac:dyDescent="0.35">
      <c r="A635" s="3"/>
      <c r="B635" s="5"/>
      <c r="C635" s="6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75" customHeight="1" x14ac:dyDescent="0.35">
      <c r="A636" s="3"/>
      <c r="B636" s="5"/>
      <c r="C636" s="6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75" customHeight="1" x14ac:dyDescent="0.35">
      <c r="A637" s="3"/>
      <c r="B637" s="5"/>
      <c r="C637" s="6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75" customHeight="1" x14ac:dyDescent="0.35">
      <c r="A638" s="3"/>
      <c r="B638" s="5"/>
      <c r="C638" s="6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75" customHeight="1" x14ac:dyDescent="0.35">
      <c r="A639" s="3"/>
      <c r="B639" s="5"/>
      <c r="C639" s="6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75" customHeight="1" x14ac:dyDescent="0.35">
      <c r="A640" s="3"/>
      <c r="B640" s="5"/>
      <c r="C640" s="6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75" customHeight="1" x14ac:dyDescent="0.35">
      <c r="A641" s="3"/>
      <c r="B641" s="5"/>
      <c r="C641" s="6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75" customHeight="1" x14ac:dyDescent="0.35">
      <c r="A642" s="3"/>
      <c r="B642" s="5"/>
      <c r="C642" s="6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75" customHeight="1" x14ac:dyDescent="0.35">
      <c r="A643" s="3"/>
      <c r="B643" s="5"/>
      <c r="C643" s="6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75" customHeight="1" x14ac:dyDescent="0.35">
      <c r="A644" s="3"/>
      <c r="B644" s="5"/>
      <c r="C644" s="6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75" customHeight="1" x14ac:dyDescent="0.35">
      <c r="A645" s="3"/>
      <c r="B645" s="5"/>
      <c r="C645" s="6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75" customHeight="1" x14ac:dyDescent="0.35">
      <c r="A646" s="3"/>
      <c r="B646" s="5"/>
      <c r="C646" s="6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75" customHeight="1" x14ac:dyDescent="0.35">
      <c r="A647" s="3"/>
      <c r="B647" s="5"/>
      <c r="C647" s="6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75" customHeight="1" x14ac:dyDescent="0.35">
      <c r="A648" s="3"/>
      <c r="B648" s="5"/>
      <c r="C648" s="6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75" customHeight="1" x14ac:dyDescent="0.35">
      <c r="A649" s="3"/>
      <c r="B649" s="5"/>
      <c r="C649" s="6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75" customHeight="1" x14ac:dyDescent="0.35">
      <c r="A650" s="3"/>
      <c r="B650" s="5"/>
      <c r="C650" s="6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75" customHeight="1" x14ac:dyDescent="0.35">
      <c r="A651" s="3"/>
      <c r="B651" s="5"/>
      <c r="C651" s="6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75" customHeight="1" x14ac:dyDescent="0.35">
      <c r="A652" s="3"/>
      <c r="B652" s="5"/>
      <c r="C652" s="6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75" customHeight="1" x14ac:dyDescent="0.35">
      <c r="A653" s="3"/>
      <c r="B653" s="5"/>
      <c r="C653" s="6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75" customHeight="1" x14ac:dyDescent="0.35">
      <c r="A654" s="3"/>
      <c r="B654" s="5"/>
      <c r="C654" s="6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75" customHeight="1" x14ac:dyDescent="0.35">
      <c r="A655" s="3"/>
      <c r="B655" s="5"/>
      <c r="C655" s="6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75" customHeight="1" x14ac:dyDescent="0.35">
      <c r="A656" s="3"/>
      <c r="B656" s="5"/>
      <c r="C656" s="6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75" customHeight="1" x14ac:dyDescent="0.35">
      <c r="A657" s="3"/>
      <c r="B657" s="5"/>
      <c r="C657" s="6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75" customHeight="1" x14ac:dyDescent="0.35">
      <c r="A658" s="3"/>
      <c r="B658" s="5"/>
      <c r="C658" s="6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75" customHeight="1" x14ac:dyDescent="0.35">
      <c r="A659" s="3"/>
      <c r="B659" s="5"/>
      <c r="C659" s="6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75" customHeight="1" x14ac:dyDescent="0.35">
      <c r="A660" s="3"/>
      <c r="B660" s="5"/>
      <c r="C660" s="6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75" customHeight="1" x14ac:dyDescent="0.35">
      <c r="A661" s="3"/>
      <c r="B661" s="5"/>
      <c r="C661" s="6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75" customHeight="1" x14ac:dyDescent="0.35">
      <c r="A662" s="3"/>
      <c r="B662" s="5"/>
      <c r="C662" s="6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75" customHeight="1" x14ac:dyDescent="0.35">
      <c r="A663" s="3"/>
      <c r="B663" s="5"/>
      <c r="C663" s="6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75" customHeight="1" x14ac:dyDescent="0.35">
      <c r="A664" s="3"/>
      <c r="B664" s="5"/>
      <c r="C664" s="6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75" customHeight="1" x14ac:dyDescent="0.35">
      <c r="A665" s="3"/>
      <c r="B665" s="5"/>
      <c r="C665" s="6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75" customHeight="1" x14ac:dyDescent="0.35">
      <c r="A666" s="3"/>
      <c r="B666" s="5"/>
      <c r="C666" s="6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75" customHeight="1" x14ac:dyDescent="0.35">
      <c r="A667" s="3"/>
      <c r="B667" s="5"/>
      <c r="C667" s="6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75" customHeight="1" x14ac:dyDescent="0.35">
      <c r="A668" s="3"/>
      <c r="B668" s="5"/>
      <c r="C668" s="6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75" customHeight="1" x14ac:dyDescent="0.35">
      <c r="A669" s="3"/>
      <c r="B669" s="5"/>
      <c r="C669" s="6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75" customHeight="1" x14ac:dyDescent="0.35">
      <c r="A670" s="3"/>
      <c r="B670" s="5"/>
      <c r="C670" s="6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75" customHeight="1" x14ac:dyDescent="0.35">
      <c r="A671" s="3"/>
      <c r="B671" s="5"/>
      <c r="C671" s="6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75" customHeight="1" x14ac:dyDescent="0.35">
      <c r="A672" s="3"/>
      <c r="B672" s="5"/>
      <c r="C672" s="6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75" customHeight="1" x14ac:dyDescent="0.35">
      <c r="A673" s="3"/>
      <c r="B673" s="5"/>
      <c r="C673" s="6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75" customHeight="1" x14ac:dyDescent="0.35">
      <c r="A674" s="3"/>
      <c r="B674" s="5"/>
      <c r="C674" s="6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75" customHeight="1" x14ac:dyDescent="0.35">
      <c r="A675" s="3"/>
      <c r="B675" s="5"/>
      <c r="C675" s="6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75" customHeight="1" x14ac:dyDescent="0.35">
      <c r="A676" s="3"/>
      <c r="B676" s="5"/>
      <c r="C676" s="6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75" customHeight="1" x14ac:dyDescent="0.35">
      <c r="A677" s="3"/>
      <c r="B677" s="5"/>
      <c r="C677" s="6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75" customHeight="1" x14ac:dyDescent="0.35">
      <c r="A678" s="3"/>
      <c r="B678" s="5"/>
      <c r="C678" s="6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75" customHeight="1" x14ac:dyDescent="0.35">
      <c r="A679" s="3"/>
      <c r="B679" s="5"/>
      <c r="C679" s="6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75" customHeight="1" x14ac:dyDescent="0.35">
      <c r="A680" s="3"/>
      <c r="B680" s="5"/>
      <c r="C680" s="6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75" customHeight="1" x14ac:dyDescent="0.35">
      <c r="A681" s="3"/>
      <c r="B681" s="5"/>
      <c r="C681" s="6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75" customHeight="1" x14ac:dyDescent="0.35">
      <c r="A682" s="3"/>
      <c r="B682" s="5"/>
      <c r="C682" s="6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75" customHeight="1" x14ac:dyDescent="0.35">
      <c r="A683" s="3"/>
      <c r="B683" s="5"/>
      <c r="C683" s="6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75" customHeight="1" x14ac:dyDescent="0.35">
      <c r="A684" s="3"/>
      <c r="B684" s="5"/>
      <c r="C684" s="6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75" customHeight="1" x14ac:dyDescent="0.35">
      <c r="A685" s="3"/>
      <c r="B685" s="5"/>
      <c r="C685" s="6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75" customHeight="1" x14ac:dyDescent="0.35">
      <c r="A686" s="3"/>
      <c r="B686" s="5"/>
      <c r="C686" s="6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75" customHeight="1" x14ac:dyDescent="0.35">
      <c r="A687" s="3"/>
      <c r="B687" s="5"/>
      <c r="C687" s="6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75" customHeight="1" x14ac:dyDescent="0.35">
      <c r="A688" s="3"/>
      <c r="B688" s="5"/>
      <c r="C688" s="6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75" customHeight="1" x14ac:dyDescent="0.35">
      <c r="A689" s="3"/>
      <c r="B689" s="5"/>
      <c r="C689" s="6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75" customHeight="1" x14ac:dyDescent="0.35">
      <c r="A690" s="3"/>
      <c r="B690" s="5"/>
      <c r="C690" s="6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75" customHeight="1" x14ac:dyDescent="0.35">
      <c r="A691" s="3"/>
      <c r="B691" s="5"/>
      <c r="C691" s="6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75" customHeight="1" x14ac:dyDescent="0.35">
      <c r="A692" s="3"/>
      <c r="B692" s="5"/>
      <c r="C692" s="6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75" customHeight="1" x14ac:dyDescent="0.35">
      <c r="A693" s="3"/>
      <c r="B693" s="5"/>
      <c r="C693" s="6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75" customHeight="1" x14ac:dyDescent="0.35">
      <c r="A694" s="3"/>
      <c r="B694" s="5"/>
      <c r="C694" s="6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75" customHeight="1" x14ac:dyDescent="0.35">
      <c r="A695" s="3"/>
      <c r="B695" s="5"/>
      <c r="C695" s="6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75" customHeight="1" x14ac:dyDescent="0.35">
      <c r="A696" s="3"/>
      <c r="B696" s="5"/>
      <c r="C696" s="6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75" customHeight="1" x14ac:dyDescent="0.35">
      <c r="A697" s="3"/>
      <c r="B697" s="5"/>
      <c r="C697" s="6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75" customHeight="1" x14ac:dyDescent="0.35">
      <c r="A698" s="3"/>
      <c r="B698" s="5"/>
      <c r="C698" s="6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75" customHeight="1" x14ac:dyDescent="0.35">
      <c r="A699" s="3"/>
      <c r="B699" s="5"/>
      <c r="C699" s="6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75" customHeight="1" x14ac:dyDescent="0.35">
      <c r="A700" s="3"/>
      <c r="B700" s="5"/>
      <c r="C700" s="6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75" customHeight="1" x14ac:dyDescent="0.35">
      <c r="A701" s="3"/>
      <c r="B701" s="5"/>
      <c r="C701" s="6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75" customHeight="1" x14ac:dyDescent="0.35">
      <c r="A702" s="3"/>
      <c r="B702" s="5"/>
      <c r="C702" s="6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75" customHeight="1" x14ac:dyDescent="0.35">
      <c r="A703" s="3"/>
      <c r="B703" s="5"/>
      <c r="C703" s="6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75" customHeight="1" x14ac:dyDescent="0.35">
      <c r="A704" s="3"/>
      <c r="B704" s="5"/>
      <c r="C704" s="6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75" customHeight="1" x14ac:dyDescent="0.35">
      <c r="A705" s="3"/>
      <c r="B705" s="5"/>
      <c r="C705" s="6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75" customHeight="1" x14ac:dyDescent="0.35">
      <c r="A706" s="3"/>
      <c r="B706" s="5"/>
      <c r="C706" s="6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75" customHeight="1" x14ac:dyDescent="0.35">
      <c r="A707" s="3"/>
      <c r="B707" s="5"/>
      <c r="C707" s="6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75" customHeight="1" x14ac:dyDescent="0.35">
      <c r="A708" s="3"/>
      <c r="B708" s="5"/>
      <c r="C708" s="6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75" customHeight="1" x14ac:dyDescent="0.35">
      <c r="A709" s="3"/>
      <c r="B709" s="5"/>
      <c r="C709" s="6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75" customHeight="1" x14ac:dyDescent="0.35">
      <c r="A710" s="3"/>
      <c r="B710" s="5"/>
      <c r="C710" s="6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75" customHeight="1" x14ac:dyDescent="0.35">
      <c r="A711" s="3"/>
      <c r="B711" s="5"/>
      <c r="C711" s="6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75" customHeight="1" x14ac:dyDescent="0.35">
      <c r="A712" s="3"/>
      <c r="B712" s="5"/>
      <c r="C712" s="6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75" customHeight="1" x14ac:dyDescent="0.35">
      <c r="A713" s="3"/>
      <c r="B713" s="5"/>
      <c r="C713" s="6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75" customHeight="1" x14ac:dyDescent="0.35">
      <c r="A714" s="3"/>
      <c r="B714" s="5"/>
      <c r="C714" s="6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75" customHeight="1" x14ac:dyDescent="0.35">
      <c r="A715" s="3"/>
      <c r="B715" s="5"/>
      <c r="C715" s="6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75" customHeight="1" x14ac:dyDescent="0.35">
      <c r="A716" s="3"/>
      <c r="B716" s="5"/>
      <c r="C716" s="6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75" customHeight="1" x14ac:dyDescent="0.35">
      <c r="A717" s="3"/>
      <c r="B717" s="5"/>
      <c r="C717" s="6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75" customHeight="1" x14ac:dyDescent="0.35">
      <c r="A718" s="3"/>
      <c r="B718" s="5"/>
      <c r="C718" s="6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75" customHeight="1" x14ac:dyDescent="0.35">
      <c r="A719" s="3"/>
      <c r="B719" s="5"/>
      <c r="C719" s="6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75" customHeight="1" x14ac:dyDescent="0.35">
      <c r="A720" s="3"/>
      <c r="B720" s="5"/>
      <c r="C720" s="6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75" customHeight="1" x14ac:dyDescent="0.35">
      <c r="A721" s="3"/>
      <c r="B721" s="5"/>
      <c r="C721" s="6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75" customHeight="1" x14ac:dyDescent="0.35">
      <c r="A722" s="3"/>
      <c r="B722" s="5"/>
      <c r="C722" s="6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75" customHeight="1" x14ac:dyDescent="0.35">
      <c r="A723" s="3"/>
      <c r="B723" s="5"/>
      <c r="C723" s="6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75" customHeight="1" x14ac:dyDescent="0.35">
      <c r="A724" s="3"/>
      <c r="B724" s="5"/>
      <c r="C724" s="6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75" customHeight="1" x14ac:dyDescent="0.35">
      <c r="A725" s="3"/>
      <c r="B725" s="5"/>
      <c r="C725" s="6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75" customHeight="1" x14ac:dyDescent="0.35">
      <c r="A726" s="3"/>
      <c r="B726" s="5"/>
      <c r="C726" s="6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75" customHeight="1" x14ac:dyDescent="0.35">
      <c r="A727" s="3"/>
      <c r="B727" s="5"/>
      <c r="C727" s="6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75" customHeight="1" x14ac:dyDescent="0.35">
      <c r="A728" s="3"/>
      <c r="B728" s="5"/>
      <c r="C728" s="6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75" customHeight="1" x14ac:dyDescent="0.35">
      <c r="A729" s="3"/>
      <c r="B729" s="5"/>
      <c r="C729" s="6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75" customHeight="1" x14ac:dyDescent="0.35">
      <c r="A730" s="3"/>
      <c r="B730" s="5"/>
      <c r="C730" s="6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75" customHeight="1" x14ac:dyDescent="0.35">
      <c r="A731" s="3"/>
      <c r="B731" s="5"/>
      <c r="C731" s="6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75" customHeight="1" x14ac:dyDescent="0.35">
      <c r="A732" s="3"/>
      <c r="B732" s="5"/>
      <c r="C732" s="6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75" customHeight="1" x14ac:dyDescent="0.35">
      <c r="A733" s="3"/>
      <c r="B733" s="5"/>
      <c r="C733" s="6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75" customHeight="1" x14ac:dyDescent="0.35">
      <c r="A734" s="3"/>
      <c r="B734" s="5"/>
      <c r="C734" s="6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75" customHeight="1" x14ac:dyDescent="0.35">
      <c r="A735" s="3"/>
      <c r="B735" s="5"/>
      <c r="C735" s="6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75" customHeight="1" x14ac:dyDescent="0.35">
      <c r="A736" s="3"/>
      <c r="B736" s="5"/>
      <c r="C736" s="6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75" customHeight="1" x14ac:dyDescent="0.35">
      <c r="A737" s="3"/>
      <c r="B737" s="5"/>
      <c r="C737" s="6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75" customHeight="1" x14ac:dyDescent="0.35">
      <c r="A738" s="3"/>
      <c r="B738" s="5"/>
      <c r="C738" s="6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75" customHeight="1" x14ac:dyDescent="0.35">
      <c r="A739" s="3"/>
      <c r="B739" s="5"/>
      <c r="C739" s="6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75" customHeight="1" x14ac:dyDescent="0.35">
      <c r="A740" s="3"/>
      <c r="B740" s="5"/>
      <c r="C740" s="6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75" customHeight="1" x14ac:dyDescent="0.35">
      <c r="A741" s="3"/>
      <c r="B741" s="5"/>
      <c r="C741" s="6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75" customHeight="1" x14ac:dyDescent="0.35">
      <c r="A742" s="3"/>
      <c r="B742" s="5"/>
      <c r="C742" s="6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75" customHeight="1" x14ac:dyDescent="0.35">
      <c r="A743" s="3"/>
      <c r="B743" s="5"/>
      <c r="C743" s="6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75" customHeight="1" x14ac:dyDescent="0.35">
      <c r="A744" s="3"/>
      <c r="B744" s="5"/>
      <c r="C744" s="6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75" customHeight="1" x14ac:dyDescent="0.35">
      <c r="A745" s="3"/>
      <c r="B745" s="5"/>
      <c r="C745" s="6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75" customHeight="1" x14ac:dyDescent="0.35">
      <c r="A746" s="3"/>
      <c r="B746" s="5"/>
      <c r="C746" s="6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75" customHeight="1" x14ac:dyDescent="0.35">
      <c r="A747" s="3"/>
      <c r="B747" s="5"/>
      <c r="C747" s="6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75" customHeight="1" x14ac:dyDescent="0.35">
      <c r="A748" s="3"/>
      <c r="B748" s="5"/>
      <c r="C748" s="6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75" customHeight="1" x14ac:dyDescent="0.35">
      <c r="A749" s="3"/>
      <c r="B749" s="5"/>
      <c r="C749" s="6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75" customHeight="1" x14ac:dyDescent="0.35">
      <c r="A750" s="3"/>
      <c r="B750" s="5"/>
      <c r="C750" s="6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75" customHeight="1" x14ac:dyDescent="0.35">
      <c r="A751" s="3"/>
      <c r="B751" s="5"/>
      <c r="C751" s="6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75" customHeight="1" x14ac:dyDescent="0.35">
      <c r="A752" s="3"/>
      <c r="B752" s="5"/>
      <c r="C752" s="6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75" customHeight="1" x14ac:dyDescent="0.35">
      <c r="A753" s="3"/>
      <c r="B753" s="5"/>
      <c r="C753" s="6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75" customHeight="1" x14ac:dyDescent="0.35">
      <c r="A754" s="3"/>
      <c r="B754" s="5"/>
      <c r="C754" s="6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75" customHeight="1" x14ac:dyDescent="0.35">
      <c r="A755" s="3"/>
      <c r="B755" s="5"/>
      <c r="C755" s="6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75" customHeight="1" x14ac:dyDescent="0.35">
      <c r="A756" s="3"/>
      <c r="B756" s="5"/>
      <c r="C756" s="6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75" customHeight="1" x14ac:dyDescent="0.35">
      <c r="A757" s="3"/>
      <c r="B757" s="5"/>
      <c r="C757" s="6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75" customHeight="1" x14ac:dyDescent="0.35">
      <c r="A758" s="3"/>
      <c r="B758" s="5"/>
      <c r="C758" s="6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75" customHeight="1" x14ac:dyDescent="0.35">
      <c r="A759" s="3"/>
      <c r="B759" s="5"/>
      <c r="C759" s="6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75" customHeight="1" x14ac:dyDescent="0.35">
      <c r="A760" s="3"/>
      <c r="B760" s="5"/>
      <c r="C760" s="6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75" customHeight="1" x14ac:dyDescent="0.35">
      <c r="A761" s="3"/>
      <c r="B761" s="5"/>
      <c r="C761" s="6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75" customHeight="1" x14ac:dyDescent="0.35">
      <c r="A762" s="3"/>
      <c r="B762" s="5"/>
      <c r="C762" s="6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75" customHeight="1" x14ac:dyDescent="0.35">
      <c r="A763" s="3"/>
      <c r="B763" s="5"/>
      <c r="C763" s="6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75" customHeight="1" x14ac:dyDescent="0.35">
      <c r="A764" s="3"/>
      <c r="B764" s="5"/>
      <c r="C764" s="6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75" customHeight="1" x14ac:dyDescent="0.35">
      <c r="A765" s="3"/>
      <c r="B765" s="5"/>
      <c r="C765" s="6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75" customHeight="1" x14ac:dyDescent="0.35">
      <c r="A766" s="3"/>
      <c r="B766" s="5"/>
      <c r="C766" s="6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75" customHeight="1" x14ac:dyDescent="0.35">
      <c r="A767" s="3"/>
      <c r="B767" s="5"/>
      <c r="C767" s="6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75" customHeight="1" x14ac:dyDescent="0.35">
      <c r="A768" s="3"/>
      <c r="B768" s="5"/>
      <c r="C768" s="6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75" customHeight="1" x14ac:dyDescent="0.35">
      <c r="A769" s="3"/>
      <c r="B769" s="5"/>
      <c r="C769" s="6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75" customHeight="1" x14ac:dyDescent="0.35">
      <c r="A770" s="3"/>
      <c r="B770" s="5"/>
      <c r="C770" s="6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75" customHeight="1" x14ac:dyDescent="0.35">
      <c r="A771" s="3"/>
      <c r="B771" s="5"/>
      <c r="C771" s="6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75" customHeight="1" x14ac:dyDescent="0.35">
      <c r="A772" s="3"/>
      <c r="B772" s="5"/>
      <c r="C772" s="6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75" customHeight="1" x14ac:dyDescent="0.35">
      <c r="A773" s="3"/>
      <c r="B773" s="5"/>
      <c r="C773" s="6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75" customHeight="1" x14ac:dyDescent="0.35">
      <c r="A774" s="3"/>
      <c r="B774" s="5"/>
      <c r="C774" s="6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75" customHeight="1" x14ac:dyDescent="0.35">
      <c r="A775" s="3"/>
      <c r="B775" s="5"/>
      <c r="C775" s="6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75" customHeight="1" x14ac:dyDescent="0.35">
      <c r="A776" s="3"/>
      <c r="B776" s="5"/>
      <c r="C776" s="6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75" customHeight="1" x14ac:dyDescent="0.35">
      <c r="A777" s="3"/>
      <c r="B777" s="5"/>
      <c r="C777" s="6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75" customHeight="1" x14ac:dyDescent="0.35">
      <c r="A778" s="3"/>
      <c r="B778" s="5"/>
      <c r="C778" s="6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75" customHeight="1" x14ac:dyDescent="0.35">
      <c r="A779" s="3"/>
      <c r="B779" s="5"/>
      <c r="C779" s="6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75" customHeight="1" x14ac:dyDescent="0.35">
      <c r="A780" s="3"/>
      <c r="B780" s="5"/>
      <c r="C780" s="6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75" customHeight="1" x14ac:dyDescent="0.35">
      <c r="A781" s="3"/>
      <c r="B781" s="5"/>
      <c r="C781" s="6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75" customHeight="1" x14ac:dyDescent="0.35">
      <c r="A782" s="3"/>
      <c r="B782" s="5"/>
      <c r="C782" s="6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75" customHeight="1" x14ac:dyDescent="0.35">
      <c r="A783" s="3"/>
      <c r="B783" s="5"/>
      <c r="C783" s="6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75" customHeight="1" x14ac:dyDescent="0.35">
      <c r="A784" s="3"/>
      <c r="B784" s="5"/>
      <c r="C784" s="6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75" customHeight="1" x14ac:dyDescent="0.35">
      <c r="A785" s="3"/>
      <c r="B785" s="5"/>
      <c r="C785" s="6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75" customHeight="1" x14ac:dyDescent="0.35">
      <c r="A786" s="3"/>
      <c r="B786" s="5"/>
      <c r="C786" s="6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75" customHeight="1" x14ac:dyDescent="0.35">
      <c r="A787" s="3"/>
      <c r="B787" s="5"/>
      <c r="C787" s="6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75" customHeight="1" x14ac:dyDescent="0.35">
      <c r="A788" s="3"/>
      <c r="B788" s="5"/>
      <c r="C788" s="6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75" customHeight="1" x14ac:dyDescent="0.35">
      <c r="A789" s="3"/>
      <c r="B789" s="5"/>
      <c r="C789" s="6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75" customHeight="1" x14ac:dyDescent="0.35">
      <c r="A790" s="3"/>
      <c r="B790" s="5"/>
      <c r="C790" s="6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75" customHeight="1" x14ac:dyDescent="0.35">
      <c r="A791" s="3"/>
      <c r="B791" s="5"/>
      <c r="C791" s="6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75" customHeight="1" x14ac:dyDescent="0.35">
      <c r="A792" s="3"/>
      <c r="B792" s="5"/>
      <c r="C792" s="6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75" customHeight="1" x14ac:dyDescent="0.35">
      <c r="A793" s="3"/>
      <c r="B793" s="5"/>
      <c r="C793" s="6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75" customHeight="1" x14ac:dyDescent="0.35">
      <c r="A794" s="3"/>
      <c r="B794" s="5"/>
      <c r="C794" s="6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75" customHeight="1" x14ac:dyDescent="0.35">
      <c r="A795" s="3"/>
      <c r="B795" s="5"/>
      <c r="C795" s="6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75" customHeight="1" x14ac:dyDescent="0.35">
      <c r="A796" s="3"/>
      <c r="B796" s="5"/>
      <c r="C796" s="6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75" customHeight="1" x14ac:dyDescent="0.35">
      <c r="A797" s="3"/>
      <c r="B797" s="5"/>
      <c r="C797" s="6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75" customHeight="1" x14ac:dyDescent="0.35">
      <c r="A798" s="3"/>
      <c r="B798" s="5"/>
      <c r="C798" s="6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75" customHeight="1" x14ac:dyDescent="0.35">
      <c r="A799" s="3"/>
      <c r="B799" s="5"/>
      <c r="C799" s="6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75" customHeight="1" x14ac:dyDescent="0.35">
      <c r="A800" s="3"/>
      <c r="B800" s="5"/>
      <c r="C800" s="6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75" customHeight="1" x14ac:dyDescent="0.35">
      <c r="A801" s="3"/>
      <c r="B801" s="5"/>
      <c r="C801" s="6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75" customHeight="1" x14ac:dyDescent="0.35">
      <c r="A802" s="3"/>
      <c r="B802" s="5"/>
      <c r="C802" s="6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75" customHeight="1" x14ac:dyDescent="0.35">
      <c r="A803" s="3"/>
      <c r="B803" s="5"/>
      <c r="C803" s="6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75" customHeight="1" x14ac:dyDescent="0.35">
      <c r="A804" s="3"/>
      <c r="B804" s="5"/>
      <c r="C804" s="6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75" customHeight="1" x14ac:dyDescent="0.35">
      <c r="A805" s="3"/>
      <c r="B805" s="5"/>
      <c r="C805" s="6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75" customHeight="1" x14ac:dyDescent="0.35">
      <c r="A806" s="3"/>
      <c r="B806" s="5"/>
      <c r="C806" s="6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75" customHeight="1" x14ac:dyDescent="0.35">
      <c r="A807" s="3"/>
      <c r="B807" s="5"/>
      <c r="C807" s="6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75" customHeight="1" x14ac:dyDescent="0.35">
      <c r="A808" s="3"/>
      <c r="B808" s="5"/>
      <c r="C808" s="6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75" customHeight="1" x14ac:dyDescent="0.35">
      <c r="A809" s="3"/>
      <c r="B809" s="5"/>
      <c r="C809" s="6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75" customHeight="1" x14ac:dyDescent="0.35">
      <c r="A810" s="3"/>
      <c r="B810" s="5"/>
      <c r="C810" s="6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75" customHeight="1" x14ac:dyDescent="0.35">
      <c r="A811" s="3"/>
      <c r="B811" s="5"/>
      <c r="C811" s="6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75" customHeight="1" x14ac:dyDescent="0.35">
      <c r="A812" s="3"/>
      <c r="B812" s="5"/>
      <c r="C812" s="6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75" customHeight="1" x14ac:dyDescent="0.35">
      <c r="A813" s="3"/>
      <c r="B813" s="5"/>
      <c r="C813" s="6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75" customHeight="1" x14ac:dyDescent="0.35">
      <c r="A814" s="3"/>
      <c r="B814" s="5"/>
      <c r="C814" s="6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75" customHeight="1" x14ac:dyDescent="0.35">
      <c r="A815" s="3"/>
      <c r="B815" s="5"/>
      <c r="C815" s="6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75" customHeight="1" x14ac:dyDescent="0.35">
      <c r="A816" s="3"/>
      <c r="B816" s="5"/>
      <c r="C816" s="6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75" customHeight="1" x14ac:dyDescent="0.35">
      <c r="A817" s="3"/>
      <c r="B817" s="5"/>
      <c r="C817" s="6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75" customHeight="1" x14ac:dyDescent="0.35">
      <c r="A818" s="3"/>
      <c r="B818" s="5"/>
      <c r="C818" s="6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75" customHeight="1" x14ac:dyDescent="0.35">
      <c r="A819" s="3"/>
      <c r="B819" s="5"/>
      <c r="C819" s="6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75" customHeight="1" x14ac:dyDescent="0.35">
      <c r="A820" s="3"/>
      <c r="B820" s="5"/>
      <c r="C820" s="6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75" customHeight="1" x14ac:dyDescent="0.35">
      <c r="A821" s="3"/>
      <c r="B821" s="5"/>
      <c r="C821" s="6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75" customHeight="1" x14ac:dyDescent="0.35">
      <c r="A822" s="3"/>
      <c r="B822" s="5"/>
      <c r="C822" s="6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75" customHeight="1" x14ac:dyDescent="0.35">
      <c r="A823" s="3"/>
      <c r="B823" s="5"/>
      <c r="C823" s="6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75" customHeight="1" x14ac:dyDescent="0.35">
      <c r="A824" s="3"/>
      <c r="B824" s="5"/>
      <c r="C824" s="6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75" customHeight="1" x14ac:dyDescent="0.35">
      <c r="A825" s="3"/>
      <c r="B825" s="5"/>
      <c r="C825" s="6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75" customHeight="1" x14ac:dyDescent="0.35">
      <c r="A826" s="3"/>
      <c r="B826" s="5"/>
      <c r="C826" s="6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75" customHeight="1" x14ac:dyDescent="0.35">
      <c r="A827" s="3"/>
      <c r="B827" s="5"/>
      <c r="C827" s="6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75" customHeight="1" x14ac:dyDescent="0.35">
      <c r="A828" s="3"/>
      <c r="B828" s="5"/>
      <c r="C828" s="6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75" customHeight="1" x14ac:dyDescent="0.35">
      <c r="A829" s="3"/>
      <c r="B829" s="5"/>
      <c r="C829" s="6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75" customHeight="1" x14ac:dyDescent="0.35">
      <c r="A830" s="3"/>
      <c r="B830" s="5"/>
      <c r="C830" s="6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75" customHeight="1" x14ac:dyDescent="0.35">
      <c r="A831" s="3"/>
      <c r="B831" s="5"/>
      <c r="C831" s="6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75" customHeight="1" x14ac:dyDescent="0.35">
      <c r="A832" s="3"/>
      <c r="B832" s="5"/>
      <c r="C832" s="6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75" customHeight="1" x14ac:dyDescent="0.35">
      <c r="A833" s="3"/>
      <c r="B833" s="5"/>
      <c r="C833" s="6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75" customHeight="1" x14ac:dyDescent="0.35">
      <c r="A834" s="3"/>
      <c r="B834" s="5"/>
      <c r="C834" s="6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75" customHeight="1" x14ac:dyDescent="0.35">
      <c r="A835" s="3"/>
      <c r="B835" s="5"/>
      <c r="C835" s="6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75" customHeight="1" x14ac:dyDescent="0.35">
      <c r="A836" s="3"/>
      <c r="B836" s="5"/>
      <c r="C836" s="6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75" customHeight="1" x14ac:dyDescent="0.35">
      <c r="A837" s="3"/>
      <c r="B837" s="5"/>
      <c r="C837" s="6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75" customHeight="1" x14ac:dyDescent="0.35">
      <c r="A838" s="3"/>
      <c r="B838" s="5"/>
      <c r="C838" s="6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75" customHeight="1" x14ac:dyDescent="0.35">
      <c r="A839" s="3"/>
      <c r="B839" s="5"/>
      <c r="C839" s="6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75" customHeight="1" x14ac:dyDescent="0.35">
      <c r="A840" s="3"/>
      <c r="B840" s="5"/>
      <c r="C840" s="6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75" customHeight="1" x14ac:dyDescent="0.35">
      <c r="A841" s="3"/>
      <c r="B841" s="5"/>
      <c r="C841" s="6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75" customHeight="1" x14ac:dyDescent="0.35">
      <c r="A842" s="3"/>
      <c r="B842" s="5"/>
      <c r="C842" s="6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75" customHeight="1" x14ac:dyDescent="0.35">
      <c r="A843" s="3"/>
      <c r="B843" s="5"/>
      <c r="C843" s="6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75" customHeight="1" x14ac:dyDescent="0.35">
      <c r="A844" s="3"/>
      <c r="B844" s="5"/>
      <c r="C844" s="6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75" customHeight="1" x14ac:dyDescent="0.35">
      <c r="A845" s="3"/>
      <c r="B845" s="5"/>
      <c r="C845" s="6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75" customHeight="1" x14ac:dyDescent="0.35">
      <c r="A846" s="3"/>
      <c r="B846" s="5"/>
      <c r="C846" s="6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75" customHeight="1" x14ac:dyDescent="0.35">
      <c r="A847" s="3"/>
      <c r="B847" s="5"/>
      <c r="C847" s="6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75" customHeight="1" x14ac:dyDescent="0.35">
      <c r="A848" s="3"/>
      <c r="B848" s="5"/>
      <c r="C848" s="6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75" customHeight="1" x14ac:dyDescent="0.35">
      <c r="A849" s="3"/>
      <c r="B849" s="5"/>
      <c r="C849" s="6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75" customHeight="1" x14ac:dyDescent="0.35">
      <c r="A850" s="3"/>
      <c r="B850" s="5"/>
      <c r="C850" s="6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75" customHeight="1" x14ac:dyDescent="0.35">
      <c r="A851" s="3"/>
      <c r="B851" s="5"/>
      <c r="C851" s="6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75" customHeight="1" x14ac:dyDescent="0.35">
      <c r="A852" s="3"/>
      <c r="B852" s="5"/>
      <c r="C852" s="6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75" customHeight="1" x14ac:dyDescent="0.35">
      <c r="A853" s="3"/>
      <c r="B853" s="5"/>
      <c r="C853" s="6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75" customHeight="1" x14ac:dyDescent="0.35">
      <c r="A854" s="3"/>
      <c r="B854" s="5"/>
      <c r="C854" s="6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75" customHeight="1" x14ac:dyDescent="0.35">
      <c r="A855" s="3"/>
      <c r="B855" s="5"/>
      <c r="C855" s="6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75" customHeight="1" x14ac:dyDescent="0.35">
      <c r="A856" s="3"/>
      <c r="B856" s="5"/>
      <c r="C856" s="6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75" customHeight="1" x14ac:dyDescent="0.35">
      <c r="A857" s="3"/>
      <c r="B857" s="5"/>
      <c r="C857" s="6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75" customHeight="1" x14ac:dyDescent="0.35">
      <c r="A858" s="3"/>
      <c r="B858" s="5"/>
      <c r="C858" s="6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75" customHeight="1" x14ac:dyDescent="0.35">
      <c r="A859" s="3"/>
      <c r="B859" s="5"/>
      <c r="C859" s="6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75" customHeight="1" x14ac:dyDescent="0.35">
      <c r="A860" s="3"/>
      <c r="B860" s="5"/>
      <c r="C860" s="6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75" customHeight="1" x14ac:dyDescent="0.35">
      <c r="A861" s="3"/>
      <c r="B861" s="5"/>
      <c r="C861" s="6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75" customHeight="1" x14ac:dyDescent="0.35">
      <c r="A862" s="3"/>
      <c r="B862" s="5"/>
      <c r="C862" s="6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75" customHeight="1" x14ac:dyDescent="0.35">
      <c r="A863" s="3"/>
      <c r="B863" s="5"/>
      <c r="C863" s="6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75" customHeight="1" x14ac:dyDescent="0.35">
      <c r="A864" s="3"/>
      <c r="B864" s="5"/>
      <c r="C864" s="6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75" customHeight="1" x14ac:dyDescent="0.35">
      <c r="A865" s="3"/>
      <c r="B865" s="5"/>
      <c r="C865" s="6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75" customHeight="1" x14ac:dyDescent="0.35">
      <c r="A866" s="3"/>
      <c r="B866" s="5"/>
      <c r="C866" s="6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75" customHeight="1" x14ac:dyDescent="0.35">
      <c r="A867" s="3"/>
      <c r="B867" s="5"/>
      <c r="C867" s="6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75" customHeight="1" x14ac:dyDescent="0.35">
      <c r="A868" s="3"/>
      <c r="B868" s="5"/>
      <c r="C868" s="6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75" customHeight="1" x14ac:dyDescent="0.35">
      <c r="A869" s="3"/>
      <c r="B869" s="5"/>
      <c r="C869" s="6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75" customHeight="1" x14ac:dyDescent="0.35">
      <c r="A870" s="3"/>
      <c r="B870" s="5"/>
      <c r="C870" s="6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75" customHeight="1" x14ac:dyDescent="0.35">
      <c r="A871" s="3"/>
      <c r="B871" s="5"/>
      <c r="C871" s="6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75" customHeight="1" x14ac:dyDescent="0.35">
      <c r="A872" s="3"/>
      <c r="B872" s="5"/>
      <c r="C872" s="6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75" customHeight="1" x14ac:dyDescent="0.35">
      <c r="A873" s="3"/>
      <c r="B873" s="5"/>
      <c r="C873" s="6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75" customHeight="1" x14ac:dyDescent="0.35">
      <c r="A874" s="3"/>
      <c r="B874" s="5"/>
      <c r="C874" s="6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75" customHeight="1" x14ac:dyDescent="0.35">
      <c r="A875" s="3"/>
      <c r="B875" s="5"/>
      <c r="C875" s="6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75" customHeight="1" x14ac:dyDescent="0.35">
      <c r="A876" s="3"/>
      <c r="B876" s="5"/>
      <c r="C876" s="6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75" customHeight="1" x14ac:dyDescent="0.35">
      <c r="A877" s="3"/>
      <c r="B877" s="5"/>
      <c r="C877" s="6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75" customHeight="1" x14ac:dyDescent="0.35">
      <c r="A878" s="3"/>
      <c r="B878" s="5"/>
      <c r="C878" s="6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75" customHeight="1" x14ac:dyDescent="0.35">
      <c r="A879" s="3"/>
      <c r="B879" s="5"/>
      <c r="C879" s="6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75" customHeight="1" x14ac:dyDescent="0.35">
      <c r="A880" s="3"/>
      <c r="B880" s="5"/>
      <c r="C880" s="6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75" customHeight="1" x14ac:dyDescent="0.35">
      <c r="A881" s="3"/>
      <c r="B881" s="5"/>
      <c r="C881" s="6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75" customHeight="1" x14ac:dyDescent="0.35">
      <c r="A882" s="3"/>
      <c r="B882" s="5"/>
      <c r="C882" s="6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75" customHeight="1" x14ac:dyDescent="0.35">
      <c r="A883" s="3"/>
      <c r="B883" s="5"/>
      <c r="C883" s="6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75" customHeight="1" x14ac:dyDescent="0.35">
      <c r="A884" s="3"/>
      <c r="B884" s="5"/>
      <c r="C884" s="6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75" customHeight="1" x14ac:dyDescent="0.35">
      <c r="A885" s="3"/>
      <c r="B885" s="5"/>
      <c r="C885" s="6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75" customHeight="1" x14ac:dyDescent="0.35">
      <c r="A886" s="3"/>
      <c r="B886" s="5"/>
      <c r="C886" s="6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75" customHeight="1" x14ac:dyDescent="0.35">
      <c r="A887" s="3"/>
      <c r="B887" s="5"/>
      <c r="C887" s="6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75" customHeight="1" x14ac:dyDescent="0.35">
      <c r="A888" s="3"/>
      <c r="B888" s="5"/>
      <c r="C888" s="6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75" customHeight="1" x14ac:dyDescent="0.35">
      <c r="A889" s="3"/>
      <c r="B889" s="5"/>
      <c r="C889" s="6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75" customHeight="1" x14ac:dyDescent="0.35">
      <c r="A890" s="3"/>
      <c r="B890" s="5"/>
      <c r="C890" s="6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75" customHeight="1" x14ac:dyDescent="0.35">
      <c r="A891" s="3"/>
      <c r="B891" s="5"/>
      <c r="C891" s="6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75" customHeight="1" x14ac:dyDescent="0.35">
      <c r="A892" s="3"/>
      <c r="B892" s="5"/>
      <c r="C892" s="6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75" customHeight="1" x14ac:dyDescent="0.35">
      <c r="A893" s="3"/>
      <c r="B893" s="5"/>
      <c r="C893" s="6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75" customHeight="1" x14ac:dyDescent="0.35">
      <c r="A894" s="3"/>
      <c r="B894" s="5"/>
      <c r="C894" s="6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75" customHeight="1" x14ac:dyDescent="0.35">
      <c r="A895" s="3"/>
      <c r="B895" s="5"/>
      <c r="C895" s="6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75" customHeight="1" x14ac:dyDescent="0.35">
      <c r="A896" s="3"/>
      <c r="B896" s="5"/>
      <c r="C896" s="6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75" customHeight="1" x14ac:dyDescent="0.35">
      <c r="A897" s="3"/>
      <c r="B897" s="5"/>
      <c r="C897" s="6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75" customHeight="1" x14ac:dyDescent="0.35">
      <c r="A898" s="3"/>
      <c r="B898" s="5"/>
      <c r="C898" s="6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75" customHeight="1" x14ac:dyDescent="0.35">
      <c r="A899" s="3"/>
      <c r="B899" s="5"/>
      <c r="C899" s="6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75" customHeight="1" x14ac:dyDescent="0.35">
      <c r="A900" s="3"/>
      <c r="B900" s="5"/>
      <c r="C900" s="6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75" customHeight="1" x14ac:dyDescent="0.35">
      <c r="A901" s="3"/>
      <c r="B901" s="5"/>
      <c r="C901" s="6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75" customHeight="1" x14ac:dyDescent="0.35">
      <c r="A902" s="3"/>
      <c r="B902" s="5"/>
      <c r="C902" s="6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75" customHeight="1" x14ac:dyDescent="0.35">
      <c r="A903" s="3"/>
      <c r="B903" s="5"/>
      <c r="C903" s="6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75" customHeight="1" x14ac:dyDescent="0.35">
      <c r="A904" s="3"/>
      <c r="B904" s="5"/>
      <c r="C904" s="6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75" customHeight="1" x14ac:dyDescent="0.35">
      <c r="A905" s="3"/>
      <c r="B905" s="5"/>
      <c r="C905" s="6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75" customHeight="1" x14ac:dyDescent="0.35">
      <c r="A906" s="3"/>
      <c r="B906" s="5"/>
      <c r="C906" s="6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75" customHeight="1" x14ac:dyDescent="0.35">
      <c r="A907" s="3"/>
      <c r="B907" s="5"/>
      <c r="C907" s="6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75" customHeight="1" x14ac:dyDescent="0.35">
      <c r="A908" s="3"/>
      <c r="B908" s="5"/>
      <c r="C908" s="6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75" customHeight="1" x14ac:dyDescent="0.35">
      <c r="A909" s="3"/>
      <c r="B909" s="5"/>
      <c r="C909" s="6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75" customHeight="1" x14ac:dyDescent="0.35">
      <c r="A910" s="3"/>
      <c r="B910" s="5"/>
      <c r="C910" s="6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75" customHeight="1" x14ac:dyDescent="0.35">
      <c r="A911" s="3"/>
      <c r="B911" s="5"/>
      <c r="C911" s="6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75" customHeight="1" x14ac:dyDescent="0.35">
      <c r="A912" s="3"/>
      <c r="B912" s="5"/>
      <c r="C912" s="6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75" customHeight="1" x14ac:dyDescent="0.35">
      <c r="A913" s="3"/>
      <c r="B913" s="5"/>
      <c r="C913" s="6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75" customHeight="1" x14ac:dyDescent="0.35">
      <c r="A914" s="3"/>
      <c r="B914" s="5"/>
      <c r="C914" s="6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75" customHeight="1" x14ac:dyDescent="0.35">
      <c r="A915" s="3"/>
      <c r="B915" s="5"/>
      <c r="C915" s="6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75" customHeight="1" x14ac:dyDescent="0.35">
      <c r="A916" s="3"/>
      <c r="B916" s="5"/>
      <c r="C916" s="6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75" customHeight="1" x14ac:dyDescent="0.35">
      <c r="A917" s="3"/>
      <c r="B917" s="5"/>
      <c r="C917" s="6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75" customHeight="1" x14ac:dyDescent="0.35">
      <c r="A918" s="3"/>
      <c r="B918" s="5"/>
      <c r="C918" s="6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75" customHeight="1" x14ac:dyDescent="0.35">
      <c r="A919" s="3"/>
      <c r="B919" s="5"/>
      <c r="C919" s="6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75" customHeight="1" x14ac:dyDescent="0.35">
      <c r="A920" s="3"/>
      <c r="B920" s="5"/>
      <c r="C920" s="6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75" customHeight="1" x14ac:dyDescent="0.35">
      <c r="A921" s="3"/>
      <c r="B921" s="5"/>
      <c r="C921" s="6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75" customHeight="1" x14ac:dyDescent="0.35">
      <c r="A922" s="3"/>
      <c r="B922" s="5"/>
      <c r="C922" s="6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75" customHeight="1" x14ac:dyDescent="0.35">
      <c r="A923" s="3"/>
      <c r="B923" s="5"/>
      <c r="C923" s="6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75" customHeight="1" x14ac:dyDescent="0.35">
      <c r="A924" s="3"/>
      <c r="B924" s="5"/>
      <c r="C924" s="6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75" customHeight="1" x14ac:dyDescent="0.35">
      <c r="A925" s="3"/>
      <c r="B925" s="5"/>
      <c r="C925" s="6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75" customHeight="1" x14ac:dyDescent="0.35">
      <c r="A926" s="3"/>
      <c r="B926" s="5"/>
      <c r="C926" s="6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75" customHeight="1" x14ac:dyDescent="0.35">
      <c r="A927" s="3"/>
      <c r="B927" s="5"/>
      <c r="C927" s="6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75" customHeight="1" x14ac:dyDescent="0.35">
      <c r="A928" s="3"/>
      <c r="B928" s="5"/>
      <c r="C928" s="6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75" customHeight="1" x14ac:dyDescent="0.35">
      <c r="A929" s="3"/>
      <c r="B929" s="5"/>
      <c r="C929" s="6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75" customHeight="1" x14ac:dyDescent="0.35">
      <c r="A930" s="3"/>
      <c r="B930" s="5"/>
      <c r="C930" s="6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75" customHeight="1" x14ac:dyDescent="0.35">
      <c r="A931" s="3"/>
      <c r="B931" s="5"/>
      <c r="C931" s="6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75" customHeight="1" x14ac:dyDescent="0.35">
      <c r="A932" s="3"/>
      <c r="B932" s="5"/>
      <c r="C932" s="6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75" customHeight="1" x14ac:dyDescent="0.35">
      <c r="A933" s="3"/>
      <c r="B933" s="5"/>
      <c r="C933" s="6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75" customHeight="1" x14ac:dyDescent="0.35">
      <c r="A934" s="3"/>
      <c r="B934" s="5"/>
      <c r="C934" s="6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75" customHeight="1" x14ac:dyDescent="0.35">
      <c r="A935" s="3"/>
      <c r="B935" s="5"/>
      <c r="C935" s="6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75" customHeight="1" x14ac:dyDescent="0.35">
      <c r="A936" s="3"/>
      <c r="B936" s="5"/>
      <c r="C936" s="6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75" customHeight="1" x14ac:dyDescent="0.35">
      <c r="A937" s="3"/>
      <c r="B937" s="5"/>
      <c r="C937" s="6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75" customHeight="1" x14ac:dyDescent="0.35">
      <c r="A938" s="3"/>
      <c r="B938" s="5"/>
      <c r="C938" s="6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75" customHeight="1" x14ac:dyDescent="0.35">
      <c r="A939" s="3"/>
      <c r="B939" s="5"/>
      <c r="C939" s="6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75" customHeight="1" x14ac:dyDescent="0.35">
      <c r="A940" s="3"/>
      <c r="B940" s="5"/>
      <c r="C940" s="6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75" customHeight="1" x14ac:dyDescent="0.35">
      <c r="A941" s="3"/>
      <c r="B941" s="5"/>
      <c r="C941" s="6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75" customHeight="1" x14ac:dyDescent="0.35">
      <c r="A942" s="3"/>
      <c r="B942" s="5"/>
      <c r="C942" s="6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75" customHeight="1" x14ac:dyDescent="0.35">
      <c r="A943" s="3"/>
      <c r="B943" s="5"/>
      <c r="C943" s="6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75" customHeight="1" x14ac:dyDescent="0.35">
      <c r="A944" s="3"/>
      <c r="B944" s="5"/>
      <c r="C944" s="6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75" customHeight="1" x14ac:dyDescent="0.35">
      <c r="A945" s="3"/>
      <c r="B945" s="5"/>
      <c r="C945" s="6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75" customHeight="1" x14ac:dyDescent="0.35">
      <c r="A946" s="3"/>
      <c r="B946" s="5"/>
      <c r="C946" s="6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75" customHeight="1" x14ac:dyDescent="0.35">
      <c r="A947" s="3"/>
      <c r="B947" s="5"/>
      <c r="C947" s="6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75" customHeight="1" x14ac:dyDescent="0.35">
      <c r="A948" s="3"/>
      <c r="B948" s="5"/>
      <c r="C948" s="6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75" customHeight="1" x14ac:dyDescent="0.35">
      <c r="A949" s="3"/>
      <c r="B949" s="5"/>
      <c r="C949" s="6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75" customHeight="1" x14ac:dyDescent="0.35">
      <c r="A950" s="3"/>
      <c r="B950" s="5"/>
      <c r="C950" s="6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75" customHeight="1" x14ac:dyDescent="0.35">
      <c r="A951" s="3"/>
      <c r="B951" s="5"/>
      <c r="C951" s="6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75" customHeight="1" x14ac:dyDescent="0.35">
      <c r="A952" s="3"/>
      <c r="B952" s="5"/>
      <c r="C952" s="6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75" customHeight="1" x14ac:dyDescent="0.35">
      <c r="A953" s="3"/>
      <c r="B953" s="5"/>
      <c r="C953" s="6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75" customHeight="1" x14ac:dyDescent="0.35">
      <c r="A954" s="3"/>
      <c r="B954" s="5"/>
      <c r="C954" s="6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75" customHeight="1" x14ac:dyDescent="0.35">
      <c r="A955" s="3"/>
      <c r="B955" s="5"/>
      <c r="C955" s="6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75" customHeight="1" x14ac:dyDescent="0.35">
      <c r="A956" s="3"/>
      <c r="B956" s="5"/>
      <c r="C956" s="6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75" customHeight="1" x14ac:dyDescent="0.35">
      <c r="A957" s="3"/>
      <c r="B957" s="5"/>
      <c r="C957" s="6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75" customHeight="1" x14ac:dyDescent="0.35">
      <c r="A958" s="3"/>
      <c r="B958" s="5"/>
      <c r="C958" s="6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75" customHeight="1" x14ac:dyDescent="0.35">
      <c r="A959" s="3"/>
      <c r="B959" s="5"/>
      <c r="C959" s="6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5.75" customHeight="1" x14ac:dyDescent="0.35">
      <c r="A960" s="3"/>
      <c r="B960" s="5"/>
      <c r="C960" s="6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5.75" customHeight="1" x14ac:dyDescent="0.35">
      <c r="A961" s="3"/>
      <c r="B961" s="5"/>
      <c r="C961" s="6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5.75" customHeight="1" x14ac:dyDescent="0.35">
      <c r="A962" s="3"/>
      <c r="B962" s="5"/>
      <c r="C962" s="6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5.75" customHeight="1" x14ac:dyDescent="0.35">
      <c r="A963" s="3"/>
      <c r="B963" s="5"/>
      <c r="C963" s="6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5.75" customHeight="1" x14ac:dyDescent="0.35">
      <c r="A964" s="3"/>
      <c r="B964" s="5"/>
      <c r="C964" s="6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5.75" customHeight="1" x14ac:dyDescent="0.35">
      <c r="A965" s="3"/>
      <c r="B965" s="5"/>
      <c r="C965" s="6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5.75" customHeight="1" x14ac:dyDescent="0.35">
      <c r="A966" s="3"/>
      <c r="B966" s="5"/>
      <c r="C966" s="6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5.75" customHeight="1" x14ac:dyDescent="0.35">
      <c r="A967" s="3"/>
      <c r="B967" s="5"/>
      <c r="C967" s="6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5.75" customHeight="1" x14ac:dyDescent="0.35">
      <c r="A968" s="3"/>
      <c r="B968" s="5"/>
      <c r="C968" s="6"/>
      <c r="D968" s="5"/>
      <c r="E968" s="5"/>
      <c r="F968" s="5"/>
      <c r="G968" s="5"/>
      <c r="H968" s="5"/>
      <c r="I968" s="5"/>
      <c r="J968" s="5"/>
      <c r="K968" s="5"/>
      <c r="L968" s="5"/>
    </row>
  </sheetData>
  <autoFilter ref="A1:C137" xr:uid="{00000000-0009-0000-0000-000002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72"/>
  <sheetViews>
    <sheetView workbookViewId="0">
      <pane ySplit="1" topLeftCell="A130" activePane="bottomLeft" state="frozen"/>
      <selection pane="bottomLeft" activeCell="B113" sqref="B113"/>
    </sheetView>
  </sheetViews>
  <sheetFormatPr defaultColWidth="14.453125" defaultRowHeight="15" customHeight="1" x14ac:dyDescent="0.35"/>
  <cols>
    <col min="1" max="1" width="14.26953125" customWidth="1"/>
    <col min="2" max="2" width="11.26953125" customWidth="1"/>
    <col min="3" max="3" width="15" customWidth="1"/>
    <col min="4" max="11" width="8.7265625" customWidth="1"/>
  </cols>
  <sheetData>
    <row r="1" spans="1:11" ht="14.5" x14ac:dyDescent="0.35">
      <c r="A1" s="24" t="s">
        <v>178</v>
      </c>
      <c r="B1" s="25" t="s">
        <v>179</v>
      </c>
      <c r="C1" s="25" t="s">
        <v>180</v>
      </c>
      <c r="D1" s="26" t="s">
        <v>171</v>
      </c>
      <c r="E1" s="26" t="s">
        <v>181</v>
      </c>
      <c r="F1" s="26" t="s">
        <v>182</v>
      </c>
      <c r="G1" s="5"/>
      <c r="H1" s="5"/>
      <c r="I1" s="5"/>
      <c r="J1" s="5"/>
      <c r="K1" s="5"/>
    </row>
    <row r="2" spans="1:11" ht="15.5" x14ac:dyDescent="0.35">
      <c r="A2" s="3" t="s">
        <v>1</v>
      </c>
      <c r="B2" s="7">
        <v>2410</v>
      </c>
      <c r="C2" s="4">
        <v>2129</v>
      </c>
      <c r="D2" s="15">
        <v>37.053019552593398</v>
      </c>
      <c r="E2" s="5">
        <v>0</v>
      </c>
      <c r="F2" s="5">
        <v>23</v>
      </c>
      <c r="G2" s="5"/>
      <c r="H2" s="5"/>
      <c r="I2" s="5"/>
      <c r="J2" s="5"/>
      <c r="K2" s="5"/>
    </row>
    <row r="3" spans="1:11" ht="15.5" x14ac:dyDescent="0.35">
      <c r="A3" s="3" t="s">
        <v>3</v>
      </c>
      <c r="B3" s="7">
        <v>2916</v>
      </c>
      <c r="C3" s="4">
        <v>2129</v>
      </c>
      <c r="D3" s="15">
        <v>37.053019552593398</v>
      </c>
      <c r="E3" s="5">
        <v>24250</v>
      </c>
      <c r="F3" s="5">
        <v>23</v>
      </c>
      <c r="G3" s="5"/>
      <c r="H3" s="5"/>
      <c r="I3" s="5"/>
      <c r="J3" s="5"/>
      <c r="K3" s="5"/>
    </row>
    <row r="4" spans="1:11" ht="15.5" x14ac:dyDescent="0.35">
      <c r="A4" s="3" t="s">
        <v>4</v>
      </c>
      <c r="B4" s="7">
        <v>533</v>
      </c>
      <c r="C4" s="4">
        <v>2131</v>
      </c>
      <c r="D4" s="15">
        <v>37.053019552593398</v>
      </c>
      <c r="E4" s="5">
        <v>600</v>
      </c>
      <c r="F4" s="5">
        <v>23</v>
      </c>
      <c r="G4" s="5"/>
      <c r="H4" s="5"/>
      <c r="I4" s="5"/>
      <c r="J4" s="5"/>
      <c r="K4" s="5"/>
    </row>
    <row r="5" spans="1:11" ht="15.5" x14ac:dyDescent="0.35">
      <c r="A5" s="3" t="s">
        <v>5</v>
      </c>
      <c r="B5" s="7">
        <v>14929.166666666701</v>
      </c>
      <c r="C5" s="4">
        <v>2131</v>
      </c>
      <c r="D5" s="15">
        <v>37.053019552593398</v>
      </c>
      <c r="E5" s="5">
        <v>6850</v>
      </c>
      <c r="F5" s="5">
        <v>23</v>
      </c>
      <c r="G5" s="5"/>
      <c r="H5" s="5"/>
      <c r="I5" s="5"/>
      <c r="J5" s="5"/>
      <c r="K5" s="5"/>
    </row>
    <row r="6" spans="1:11" ht="15.5" x14ac:dyDescent="0.35">
      <c r="A6" s="3" t="s">
        <v>6</v>
      </c>
      <c r="B6" s="7">
        <v>12073</v>
      </c>
      <c r="C6" s="4">
        <v>2131</v>
      </c>
      <c r="D6" s="15">
        <v>37.053019552593398</v>
      </c>
      <c r="E6" s="5">
        <v>9373</v>
      </c>
      <c r="F6" s="5">
        <v>23</v>
      </c>
      <c r="G6" s="5"/>
      <c r="H6" s="5"/>
      <c r="I6" s="5"/>
      <c r="J6" s="5"/>
      <c r="K6" s="5"/>
    </row>
    <row r="7" spans="1:11" ht="15.5" x14ac:dyDescent="0.35">
      <c r="A7" s="3" t="s">
        <v>7</v>
      </c>
      <c r="B7" s="7">
        <v>2068.75</v>
      </c>
      <c r="C7" s="4">
        <v>2131</v>
      </c>
      <c r="D7" s="15">
        <v>37.053019552593398</v>
      </c>
      <c r="E7" s="5">
        <v>1612</v>
      </c>
      <c r="F7" s="5">
        <v>23</v>
      </c>
      <c r="G7" s="5"/>
      <c r="H7" s="5"/>
      <c r="I7" s="5"/>
      <c r="J7" s="5"/>
      <c r="K7" s="5"/>
    </row>
    <row r="8" spans="1:11" ht="15.5" x14ac:dyDescent="0.35">
      <c r="A8" s="3" t="s">
        <v>8</v>
      </c>
      <c r="B8" s="7">
        <v>44951.875</v>
      </c>
      <c r="C8" s="4">
        <v>1694</v>
      </c>
      <c r="D8" s="15">
        <v>37.053019552593398</v>
      </c>
      <c r="E8" s="5">
        <v>218750</v>
      </c>
      <c r="F8" s="5">
        <v>23</v>
      </c>
      <c r="G8" s="5"/>
      <c r="H8" s="5"/>
      <c r="I8" s="5"/>
      <c r="J8" s="5"/>
      <c r="K8" s="5"/>
    </row>
    <row r="9" spans="1:11" ht="15.5" x14ac:dyDescent="0.35">
      <c r="A9" s="3" t="s">
        <v>9</v>
      </c>
      <c r="B9" s="7">
        <v>1178.1666666666702</v>
      </c>
      <c r="C9" s="4">
        <v>1694</v>
      </c>
      <c r="D9" s="15">
        <v>37.053019552593398</v>
      </c>
      <c r="E9" s="5">
        <v>8639</v>
      </c>
      <c r="F9" s="5">
        <v>23</v>
      </c>
      <c r="G9" s="5"/>
      <c r="H9" s="5"/>
      <c r="I9" s="5"/>
      <c r="J9" s="5"/>
      <c r="K9" s="5"/>
    </row>
    <row r="10" spans="1:11" ht="15.5" x14ac:dyDescent="0.35">
      <c r="A10" s="3" t="s">
        <v>10</v>
      </c>
      <c r="B10" s="7">
        <v>60303.611111111102</v>
      </c>
      <c r="C10" s="4">
        <v>2846</v>
      </c>
      <c r="D10" s="15">
        <v>37.053019552593398</v>
      </c>
      <c r="E10" s="5">
        <v>168325</v>
      </c>
      <c r="F10" s="5">
        <v>23</v>
      </c>
      <c r="G10" s="5"/>
      <c r="H10" s="5"/>
      <c r="I10" s="5"/>
      <c r="J10" s="5"/>
      <c r="K10" s="5"/>
    </row>
    <row r="11" spans="1:11" ht="15.5" x14ac:dyDescent="0.35">
      <c r="A11" s="3" t="s">
        <v>11</v>
      </c>
      <c r="B11" s="7">
        <v>4008.3333333333298</v>
      </c>
      <c r="C11" s="4">
        <v>2129</v>
      </c>
      <c r="D11" s="15">
        <v>37.053019552593398</v>
      </c>
      <c r="E11" s="5">
        <v>1750</v>
      </c>
      <c r="F11" s="5">
        <v>23</v>
      </c>
      <c r="G11" s="5"/>
      <c r="H11" s="5"/>
      <c r="I11" s="5"/>
      <c r="J11" s="5"/>
      <c r="K11" s="5"/>
    </row>
    <row r="12" spans="1:11" ht="15.75" customHeight="1" x14ac:dyDescent="0.35">
      <c r="A12" s="3" t="s">
        <v>12</v>
      </c>
      <c r="B12" s="7">
        <v>9906.8125</v>
      </c>
      <c r="C12" s="4">
        <v>2263</v>
      </c>
      <c r="D12" s="15">
        <v>37.053019552593398</v>
      </c>
      <c r="E12" s="5">
        <v>46659</v>
      </c>
      <c r="F12" s="5">
        <v>23</v>
      </c>
      <c r="G12" s="5"/>
      <c r="H12" s="5"/>
      <c r="I12" s="5"/>
      <c r="J12" s="5"/>
      <c r="K12" s="5"/>
    </row>
    <row r="13" spans="1:11" ht="15.75" customHeight="1" x14ac:dyDescent="0.35">
      <c r="A13" s="3" t="s">
        <v>13</v>
      </c>
      <c r="B13" s="7">
        <v>5050</v>
      </c>
      <c r="C13" s="4">
        <v>2732</v>
      </c>
      <c r="D13" s="15">
        <v>37.053019552593398</v>
      </c>
      <c r="E13" s="5">
        <v>2000</v>
      </c>
      <c r="F13" s="5">
        <v>23</v>
      </c>
      <c r="G13" s="5"/>
      <c r="H13" s="5"/>
      <c r="I13" s="5"/>
      <c r="J13" s="5"/>
      <c r="K13" s="5"/>
    </row>
    <row r="14" spans="1:11" ht="15.75" customHeight="1" x14ac:dyDescent="0.35">
      <c r="A14" s="3" t="s">
        <v>14</v>
      </c>
      <c r="B14" s="7">
        <v>4430.75</v>
      </c>
      <c r="C14" s="4">
        <v>2962</v>
      </c>
      <c r="D14" s="15">
        <v>37.053019552593398</v>
      </c>
      <c r="E14" s="5">
        <v>4062</v>
      </c>
      <c r="F14" s="5">
        <v>23</v>
      </c>
      <c r="G14" s="5"/>
      <c r="H14" s="5"/>
      <c r="I14" s="5"/>
      <c r="J14" s="5"/>
      <c r="K14" s="5"/>
    </row>
    <row r="15" spans="1:11" ht="15.75" customHeight="1" x14ac:dyDescent="0.35">
      <c r="A15" s="3" t="s">
        <v>15</v>
      </c>
      <c r="B15" s="7">
        <v>124</v>
      </c>
      <c r="C15" s="4">
        <v>2263</v>
      </c>
      <c r="D15" s="15">
        <v>37.053019552593398</v>
      </c>
      <c r="E15" s="5">
        <v>0</v>
      </c>
      <c r="F15" s="5">
        <v>23</v>
      </c>
      <c r="G15" s="5"/>
      <c r="H15" s="5"/>
      <c r="I15" s="5"/>
      <c r="J15" s="5"/>
      <c r="K15" s="5"/>
    </row>
    <row r="16" spans="1:11" ht="15.75" customHeight="1" x14ac:dyDescent="0.35">
      <c r="A16" s="3" t="s">
        <v>16</v>
      </c>
      <c r="B16" s="7">
        <v>770</v>
      </c>
      <c r="C16" s="4">
        <v>2263</v>
      </c>
      <c r="D16" s="15">
        <v>37.053019552593398</v>
      </c>
      <c r="E16" s="5">
        <v>0</v>
      </c>
      <c r="F16" s="5">
        <v>23</v>
      </c>
      <c r="G16" s="5"/>
      <c r="H16" s="5"/>
      <c r="I16" s="5"/>
      <c r="J16" s="5"/>
      <c r="K16" s="5"/>
    </row>
    <row r="17" spans="1:11" ht="15.75" customHeight="1" x14ac:dyDescent="0.35">
      <c r="A17" s="3" t="s">
        <v>17</v>
      </c>
      <c r="B17" s="7">
        <v>0</v>
      </c>
      <c r="C17" s="4">
        <v>2268</v>
      </c>
      <c r="D17" s="15">
        <v>37.053019552593398</v>
      </c>
      <c r="E17" s="5">
        <v>0</v>
      </c>
      <c r="F17" s="5">
        <v>23</v>
      </c>
      <c r="G17" s="5"/>
      <c r="H17" s="5"/>
      <c r="I17" s="5"/>
      <c r="J17" s="5"/>
      <c r="K17" s="5"/>
    </row>
    <row r="18" spans="1:11" ht="15.75" customHeight="1" x14ac:dyDescent="0.35">
      <c r="A18" s="3" t="s">
        <v>18</v>
      </c>
      <c r="B18" s="7">
        <v>4188</v>
      </c>
      <c r="C18" s="4">
        <v>1956</v>
      </c>
      <c r="D18" s="15">
        <v>37.053019552593398</v>
      </c>
      <c r="E18" s="5">
        <v>14903</v>
      </c>
      <c r="F18" s="5">
        <v>23</v>
      </c>
      <c r="G18" s="5"/>
      <c r="H18" s="5"/>
      <c r="I18" s="5"/>
      <c r="J18" s="5"/>
      <c r="K18" s="5"/>
    </row>
    <row r="19" spans="1:11" ht="15.75" customHeight="1" x14ac:dyDescent="0.35">
      <c r="A19" s="3" t="s">
        <v>19</v>
      </c>
      <c r="B19" s="7">
        <v>2473.3333333333298</v>
      </c>
      <c r="C19" s="4">
        <v>2179</v>
      </c>
      <c r="D19" s="15">
        <v>37.053019552593398</v>
      </c>
      <c r="E19" s="5">
        <v>400</v>
      </c>
      <c r="F19" s="5">
        <v>23</v>
      </c>
      <c r="G19" s="5"/>
      <c r="H19" s="5"/>
      <c r="I19" s="5"/>
      <c r="J19" s="5"/>
      <c r="K19" s="5"/>
    </row>
    <row r="20" spans="1:11" ht="15.75" customHeight="1" x14ac:dyDescent="0.35">
      <c r="A20" s="3" t="s">
        <v>20</v>
      </c>
      <c r="B20" s="7">
        <v>3033</v>
      </c>
      <c r="C20" s="4">
        <v>2179</v>
      </c>
      <c r="D20" s="15">
        <v>37.053019552593398</v>
      </c>
      <c r="E20" s="5">
        <v>1475</v>
      </c>
      <c r="F20" s="5">
        <v>23</v>
      </c>
      <c r="G20" s="5"/>
      <c r="H20" s="5"/>
      <c r="I20" s="5"/>
      <c r="J20" s="5"/>
      <c r="K20" s="5"/>
    </row>
    <row r="21" spans="1:11" ht="15.75" customHeight="1" x14ac:dyDescent="0.35">
      <c r="A21" s="3" t="s">
        <v>21</v>
      </c>
      <c r="B21" s="7">
        <v>1495</v>
      </c>
      <c r="C21" s="4">
        <v>2179</v>
      </c>
      <c r="D21" s="15">
        <v>37.053019552593398</v>
      </c>
      <c r="E21" s="5">
        <v>0</v>
      </c>
      <c r="F21" s="5">
        <v>23</v>
      </c>
      <c r="G21" s="5"/>
      <c r="H21" s="5"/>
      <c r="I21" s="5"/>
      <c r="J21" s="5"/>
      <c r="K21" s="5"/>
    </row>
    <row r="22" spans="1:11" ht="15.75" customHeight="1" x14ac:dyDescent="0.35">
      <c r="A22" s="3" t="s">
        <v>129</v>
      </c>
      <c r="B22" s="7">
        <v>1975</v>
      </c>
      <c r="C22" s="4">
        <v>3145</v>
      </c>
      <c r="D22" s="15">
        <v>37.053019552593398</v>
      </c>
      <c r="E22" s="5">
        <v>475</v>
      </c>
      <c r="F22" s="5">
        <v>23</v>
      </c>
      <c r="G22" s="5"/>
      <c r="H22" s="5"/>
      <c r="I22" s="5"/>
      <c r="J22" s="5"/>
      <c r="K22" s="5"/>
    </row>
    <row r="23" spans="1:11" ht="15.75" customHeight="1" x14ac:dyDescent="0.35">
      <c r="A23" s="3" t="s">
        <v>22</v>
      </c>
      <c r="B23" s="7">
        <v>7657</v>
      </c>
      <c r="C23" s="4">
        <v>2179</v>
      </c>
      <c r="D23" s="15">
        <v>37.053019552593398</v>
      </c>
      <c r="E23" s="5">
        <v>33659</v>
      </c>
      <c r="F23" s="5">
        <v>23</v>
      </c>
      <c r="G23" s="5"/>
      <c r="H23" s="5"/>
      <c r="I23" s="5"/>
      <c r="J23" s="5"/>
      <c r="K23" s="5"/>
    </row>
    <row r="24" spans="1:11" ht="15.75" customHeight="1" x14ac:dyDescent="0.35">
      <c r="A24" s="3" t="s">
        <v>23</v>
      </c>
      <c r="B24" s="7">
        <v>0</v>
      </c>
      <c r="C24" s="4">
        <v>2268</v>
      </c>
      <c r="D24" s="15">
        <v>37.053019552593398</v>
      </c>
      <c r="E24" s="5">
        <v>0</v>
      </c>
      <c r="F24" s="5">
        <v>23</v>
      </c>
      <c r="G24" s="5"/>
      <c r="H24" s="5"/>
      <c r="I24" s="5"/>
      <c r="J24" s="5"/>
      <c r="K24" s="5"/>
    </row>
    <row r="25" spans="1:11" ht="15.75" customHeight="1" x14ac:dyDescent="0.35">
      <c r="A25" s="3" t="s">
        <v>130</v>
      </c>
      <c r="B25" s="7">
        <v>10694.4444444444</v>
      </c>
      <c r="C25" s="4">
        <v>2268</v>
      </c>
      <c r="D25" s="15">
        <v>37.053019552593398</v>
      </c>
      <c r="E25" s="5">
        <v>35000</v>
      </c>
      <c r="F25" s="5">
        <v>23</v>
      </c>
      <c r="G25" s="5"/>
      <c r="H25" s="5"/>
      <c r="I25" s="5"/>
      <c r="J25" s="5"/>
      <c r="K25" s="5"/>
    </row>
    <row r="26" spans="1:11" ht="15.75" customHeight="1" x14ac:dyDescent="0.35">
      <c r="A26" s="3" t="s">
        <v>24</v>
      </c>
      <c r="B26" s="7">
        <v>3109.6666666666702</v>
      </c>
      <c r="C26" s="4">
        <v>1956</v>
      </c>
      <c r="D26" s="15">
        <v>37.053019552593398</v>
      </c>
      <c r="E26" s="5">
        <v>4591</v>
      </c>
      <c r="F26" s="5">
        <v>23</v>
      </c>
      <c r="G26" s="5"/>
      <c r="H26" s="5"/>
      <c r="I26" s="5"/>
      <c r="J26" s="5"/>
      <c r="K26" s="5"/>
    </row>
    <row r="27" spans="1:11" ht="15.75" customHeight="1" x14ac:dyDescent="0.35">
      <c r="A27" s="3" t="s">
        <v>25</v>
      </c>
      <c r="B27" s="7">
        <v>2122.5</v>
      </c>
      <c r="C27" s="4">
        <v>2218</v>
      </c>
      <c r="D27" s="15">
        <v>37.053019552593398</v>
      </c>
      <c r="E27" s="5">
        <v>5575</v>
      </c>
      <c r="F27" s="5">
        <v>23</v>
      </c>
      <c r="G27" s="5"/>
      <c r="H27" s="5"/>
      <c r="I27" s="5"/>
      <c r="J27" s="5"/>
      <c r="K27" s="5"/>
    </row>
    <row r="28" spans="1:11" ht="15.75" customHeight="1" x14ac:dyDescent="0.35">
      <c r="A28" s="3" t="s">
        <v>131</v>
      </c>
      <c r="B28" s="7">
        <v>4383.3333333333303</v>
      </c>
      <c r="C28" s="4">
        <v>2218</v>
      </c>
      <c r="D28" s="15">
        <v>37.053019552593398</v>
      </c>
      <c r="E28" s="5">
        <v>11025</v>
      </c>
      <c r="F28" s="5">
        <v>23</v>
      </c>
      <c r="G28" s="5"/>
      <c r="H28" s="5"/>
      <c r="I28" s="5"/>
      <c r="J28" s="5"/>
      <c r="K28" s="5"/>
    </row>
    <row r="29" spans="1:11" ht="15.75" customHeight="1" x14ac:dyDescent="0.35">
      <c r="A29" s="3" t="s">
        <v>26</v>
      </c>
      <c r="B29" s="7">
        <v>88</v>
      </c>
      <c r="C29" s="4">
        <v>2218</v>
      </c>
      <c r="D29" s="15">
        <v>37.053019552593398</v>
      </c>
      <c r="E29" s="5">
        <v>0</v>
      </c>
      <c r="F29" s="5">
        <v>23</v>
      </c>
      <c r="G29" s="5"/>
      <c r="H29" s="5"/>
      <c r="I29" s="5"/>
      <c r="J29" s="5"/>
      <c r="K29" s="5"/>
    </row>
    <row r="30" spans="1:11" ht="15.75" customHeight="1" x14ac:dyDescent="0.35">
      <c r="A30" s="3" t="s">
        <v>27</v>
      </c>
      <c r="B30" s="7">
        <v>150</v>
      </c>
      <c r="C30" s="4">
        <v>2245</v>
      </c>
      <c r="D30" s="15">
        <v>37.053019552593398</v>
      </c>
      <c r="E30" s="5">
        <v>0</v>
      </c>
      <c r="F30" s="5">
        <v>23</v>
      </c>
      <c r="G30" s="5"/>
      <c r="H30" s="5"/>
      <c r="I30" s="5"/>
      <c r="J30" s="5"/>
      <c r="K30" s="5"/>
    </row>
    <row r="31" spans="1:11" ht="15.75" customHeight="1" x14ac:dyDescent="0.35">
      <c r="A31" s="3" t="s">
        <v>28</v>
      </c>
      <c r="B31" s="7">
        <v>1530</v>
      </c>
      <c r="C31" s="4">
        <v>2765</v>
      </c>
      <c r="D31" s="15">
        <v>37.053019552593398</v>
      </c>
      <c r="E31" s="5">
        <v>1179</v>
      </c>
      <c r="F31" s="5">
        <v>23</v>
      </c>
      <c r="G31" s="5"/>
      <c r="H31" s="5"/>
      <c r="I31" s="5"/>
      <c r="J31" s="5"/>
      <c r="K31" s="5"/>
    </row>
    <row r="32" spans="1:11" ht="15.75" customHeight="1" x14ac:dyDescent="0.35">
      <c r="A32" s="3" t="s">
        <v>29</v>
      </c>
      <c r="B32" s="7">
        <v>31489.600000000002</v>
      </c>
      <c r="C32" s="4">
        <v>4592</v>
      </c>
      <c r="D32" s="15">
        <v>37.053019552593398</v>
      </c>
      <c r="E32" s="5">
        <v>4762</v>
      </c>
      <c r="F32" s="5">
        <v>23</v>
      </c>
      <c r="G32" s="5"/>
      <c r="H32" s="5"/>
      <c r="I32" s="5"/>
      <c r="J32" s="5"/>
      <c r="K32" s="5"/>
    </row>
    <row r="33" spans="1:11" ht="15.75" customHeight="1" x14ac:dyDescent="0.35">
      <c r="A33" s="3" t="s">
        <v>30</v>
      </c>
      <c r="B33" s="7">
        <v>5610</v>
      </c>
      <c r="C33" s="4">
        <v>2297</v>
      </c>
      <c r="D33" s="15">
        <v>37.053019552593398</v>
      </c>
      <c r="E33" s="5">
        <v>33298</v>
      </c>
      <c r="F33" s="5">
        <v>23</v>
      </c>
      <c r="G33" s="5"/>
      <c r="H33" s="5"/>
      <c r="I33" s="5"/>
      <c r="J33" s="5"/>
      <c r="K33" s="5"/>
    </row>
    <row r="34" spans="1:11" ht="15.75" customHeight="1" x14ac:dyDescent="0.35">
      <c r="A34" s="3" t="s">
        <v>31</v>
      </c>
      <c r="B34" s="7">
        <v>1093.75</v>
      </c>
      <c r="C34" s="4">
        <v>2616</v>
      </c>
      <c r="D34" s="15">
        <v>37.053019552593398</v>
      </c>
      <c r="E34" s="5">
        <v>1953</v>
      </c>
      <c r="F34" s="5">
        <v>23</v>
      </c>
      <c r="G34" s="5"/>
      <c r="H34" s="5"/>
      <c r="I34" s="5"/>
      <c r="J34" s="5"/>
      <c r="K34" s="5"/>
    </row>
    <row r="35" spans="1:11" ht="15.75" customHeight="1" x14ac:dyDescent="0.35">
      <c r="A35" s="3" t="s">
        <v>33</v>
      </c>
      <c r="B35" s="7">
        <v>18654.277777777799</v>
      </c>
      <c r="C35" s="4">
        <v>1968</v>
      </c>
      <c r="D35" s="15">
        <v>37.053019552593398</v>
      </c>
      <c r="E35" s="5">
        <v>67850</v>
      </c>
      <c r="F35" s="5">
        <v>23</v>
      </c>
      <c r="G35" s="5"/>
      <c r="H35" s="5"/>
      <c r="I35" s="5"/>
      <c r="J35" s="5"/>
      <c r="K35" s="5"/>
    </row>
    <row r="36" spans="1:11" ht="15.75" customHeight="1" x14ac:dyDescent="0.35">
      <c r="A36" s="3" t="s">
        <v>34</v>
      </c>
      <c r="B36" s="7">
        <v>6420</v>
      </c>
      <c r="C36" s="4">
        <v>2503</v>
      </c>
      <c r="D36" s="15">
        <v>37.053019552593398</v>
      </c>
      <c r="E36" s="5">
        <v>0</v>
      </c>
      <c r="F36" s="5">
        <v>23</v>
      </c>
      <c r="G36" s="5"/>
      <c r="H36" s="5"/>
      <c r="I36" s="5"/>
      <c r="J36" s="5"/>
      <c r="K36" s="5"/>
    </row>
    <row r="37" spans="1:11" ht="15.75" customHeight="1" x14ac:dyDescent="0.35">
      <c r="A37" s="3" t="s">
        <v>35</v>
      </c>
      <c r="B37" s="7">
        <v>53047.8947368421</v>
      </c>
      <c r="C37" s="4">
        <v>2503</v>
      </c>
      <c r="D37" s="15">
        <v>37.053019552593398</v>
      </c>
      <c r="E37" s="5">
        <v>130000</v>
      </c>
      <c r="F37" s="5">
        <v>23</v>
      </c>
      <c r="G37" s="5"/>
      <c r="H37" s="5"/>
      <c r="I37" s="5"/>
      <c r="J37" s="5"/>
      <c r="K37" s="5"/>
    </row>
    <row r="38" spans="1:11" ht="15.75" customHeight="1" x14ac:dyDescent="0.35">
      <c r="A38" s="3" t="s">
        <v>36</v>
      </c>
      <c r="B38" s="7">
        <v>311</v>
      </c>
      <c r="C38" s="4">
        <v>2103</v>
      </c>
      <c r="D38" s="15">
        <v>37.053019552593398</v>
      </c>
      <c r="E38" s="5">
        <v>0</v>
      </c>
      <c r="F38" s="5">
        <v>23</v>
      </c>
      <c r="G38" s="5"/>
      <c r="H38" s="5"/>
      <c r="I38" s="5"/>
      <c r="J38" s="5"/>
      <c r="K38" s="5"/>
    </row>
    <row r="39" spans="1:11" ht="15.75" customHeight="1" x14ac:dyDescent="0.35">
      <c r="A39" s="3" t="s">
        <v>37</v>
      </c>
      <c r="B39" s="7">
        <v>19124</v>
      </c>
      <c r="C39" s="4">
        <v>2802</v>
      </c>
      <c r="D39" s="15">
        <v>37.053019552593398</v>
      </c>
      <c r="E39" s="5">
        <v>16575</v>
      </c>
      <c r="F39" s="5">
        <v>23</v>
      </c>
      <c r="G39" s="5"/>
      <c r="H39" s="5"/>
      <c r="I39" s="5"/>
      <c r="J39" s="5"/>
      <c r="K39" s="5"/>
    </row>
    <row r="40" spans="1:11" ht="15.75" customHeight="1" x14ac:dyDescent="0.35">
      <c r="A40" s="3" t="s">
        <v>38</v>
      </c>
      <c r="B40" s="7">
        <v>23157.8947368421</v>
      </c>
      <c r="C40" s="4">
        <v>2126</v>
      </c>
      <c r="D40" s="15">
        <v>37.053019552593398</v>
      </c>
      <c r="E40" s="5">
        <v>78750</v>
      </c>
      <c r="F40" s="5">
        <v>23</v>
      </c>
      <c r="G40" s="5"/>
      <c r="H40" s="5"/>
      <c r="I40" s="5"/>
      <c r="J40" s="5"/>
      <c r="K40" s="5"/>
    </row>
    <row r="41" spans="1:11" ht="15.75" customHeight="1" x14ac:dyDescent="0.35">
      <c r="A41" s="3" t="s">
        <v>144</v>
      </c>
      <c r="B41" s="7">
        <v>7133.3333333333303</v>
      </c>
      <c r="C41" s="4">
        <v>2514</v>
      </c>
      <c r="D41" s="15">
        <v>37.053019552593398</v>
      </c>
      <c r="E41" s="5">
        <v>15100</v>
      </c>
      <c r="F41" s="5">
        <v>23</v>
      </c>
      <c r="G41" s="5"/>
      <c r="H41" s="5"/>
      <c r="I41" s="5"/>
      <c r="J41" s="5"/>
      <c r="K41" s="5"/>
    </row>
    <row r="42" spans="1:11" ht="15.75" customHeight="1" x14ac:dyDescent="0.35">
      <c r="A42" s="3" t="s">
        <v>40</v>
      </c>
      <c r="B42" s="7">
        <v>5627.285714285711</v>
      </c>
      <c r="C42" s="4">
        <v>1956</v>
      </c>
      <c r="D42" s="15">
        <v>37.053019552593398</v>
      </c>
      <c r="E42" s="5">
        <v>21340</v>
      </c>
      <c r="F42" s="5">
        <v>23</v>
      </c>
      <c r="G42" s="5"/>
      <c r="H42" s="5"/>
      <c r="I42" s="5"/>
      <c r="J42" s="5"/>
      <c r="K42" s="5"/>
    </row>
    <row r="43" spans="1:11" ht="15.75" customHeight="1" x14ac:dyDescent="0.35">
      <c r="A43" s="3" t="s">
        <v>41</v>
      </c>
      <c r="B43" s="7">
        <v>18659.125</v>
      </c>
      <c r="C43" s="4">
        <v>3391</v>
      </c>
      <c r="D43" s="15">
        <v>37.053019552593398</v>
      </c>
      <c r="E43" s="5">
        <v>14915</v>
      </c>
      <c r="F43" s="5">
        <v>23</v>
      </c>
      <c r="G43" s="5"/>
      <c r="H43" s="5"/>
      <c r="I43" s="5"/>
      <c r="J43" s="5"/>
      <c r="K43" s="5"/>
    </row>
    <row r="44" spans="1:11" ht="15.75" customHeight="1" x14ac:dyDescent="0.35">
      <c r="A44" s="3" t="s">
        <v>42</v>
      </c>
      <c r="B44" s="7">
        <v>5241.4285714285697</v>
      </c>
      <c r="C44" s="4">
        <v>3549</v>
      </c>
      <c r="D44" s="15">
        <v>37.053019552593398</v>
      </c>
      <c r="E44" s="5">
        <v>24990</v>
      </c>
      <c r="F44" s="5">
        <v>23</v>
      </c>
      <c r="G44" s="5"/>
      <c r="H44" s="5"/>
      <c r="I44" s="5"/>
      <c r="J44" s="5"/>
      <c r="K44" s="5"/>
    </row>
    <row r="45" spans="1:11" ht="15.75" customHeight="1" x14ac:dyDescent="0.35">
      <c r="A45" s="3" t="s">
        <v>43</v>
      </c>
      <c r="B45" s="7">
        <v>21243.166666666697</v>
      </c>
      <c r="C45" s="4">
        <v>2129</v>
      </c>
      <c r="D45" s="15">
        <v>37.053019552593398</v>
      </c>
      <c r="E45" s="5">
        <v>33650</v>
      </c>
      <c r="F45" s="5">
        <v>23</v>
      </c>
      <c r="G45" s="5"/>
      <c r="H45" s="5"/>
      <c r="I45" s="5"/>
      <c r="J45" s="5"/>
      <c r="K45" s="5"/>
    </row>
    <row r="46" spans="1:11" ht="15.75" customHeight="1" x14ac:dyDescent="0.35">
      <c r="A46" s="3" t="s">
        <v>44</v>
      </c>
      <c r="B46" s="7">
        <v>6129.1666666666697</v>
      </c>
      <c r="C46" s="4">
        <v>2129</v>
      </c>
      <c r="D46" s="15">
        <v>37.053019552593398</v>
      </c>
      <c r="E46" s="5">
        <v>9983</v>
      </c>
      <c r="F46" s="5">
        <v>23</v>
      </c>
      <c r="G46" s="5"/>
      <c r="H46" s="5"/>
      <c r="I46" s="5"/>
      <c r="J46" s="5"/>
      <c r="K46" s="5"/>
    </row>
    <row r="47" spans="1:11" ht="15.75" customHeight="1" x14ac:dyDescent="0.35">
      <c r="A47" s="3" t="s">
        <v>45</v>
      </c>
      <c r="B47" s="7">
        <v>1469</v>
      </c>
      <c r="C47" s="4">
        <v>2131</v>
      </c>
      <c r="D47" s="15">
        <v>37.053019552593398</v>
      </c>
      <c r="E47" s="5">
        <v>0</v>
      </c>
      <c r="F47" s="5">
        <v>23</v>
      </c>
      <c r="G47" s="5"/>
      <c r="H47" s="5"/>
      <c r="I47" s="5"/>
      <c r="J47" s="5"/>
      <c r="K47" s="5"/>
    </row>
    <row r="48" spans="1:11" ht="15.75" customHeight="1" x14ac:dyDescent="0.35">
      <c r="A48" s="3" t="s">
        <v>46</v>
      </c>
      <c r="B48" s="7">
        <v>4877.6666666666697</v>
      </c>
      <c r="C48" s="4">
        <v>2131</v>
      </c>
      <c r="D48" s="15">
        <v>37.053019552593398</v>
      </c>
      <c r="E48" s="5">
        <v>3575</v>
      </c>
      <c r="F48" s="5">
        <v>23</v>
      </c>
      <c r="G48" s="5"/>
      <c r="H48" s="5"/>
      <c r="I48" s="5"/>
      <c r="J48" s="5"/>
      <c r="K48" s="5"/>
    </row>
    <row r="49" spans="1:11" ht="15.75" customHeight="1" x14ac:dyDescent="0.35">
      <c r="A49" s="3" t="s">
        <v>47</v>
      </c>
      <c r="B49" s="7">
        <v>27058.1538461538</v>
      </c>
      <c r="C49" s="4">
        <v>2245</v>
      </c>
      <c r="D49" s="15">
        <v>37.053019552593398</v>
      </c>
      <c r="E49" s="5">
        <v>26250</v>
      </c>
      <c r="F49" s="5">
        <v>23</v>
      </c>
      <c r="G49" s="5"/>
      <c r="H49" s="5"/>
      <c r="I49" s="5"/>
      <c r="J49" s="5"/>
      <c r="K49" s="5"/>
    </row>
    <row r="50" spans="1:11" ht="15.75" customHeight="1" x14ac:dyDescent="0.35">
      <c r="A50" s="3" t="s">
        <v>48</v>
      </c>
      <c r="B50" s="7">
        <v>10650.5</v>
      </c>
      <c r="C50" s="4">
        <v>2121</v>
      </c>
      <c r="D50" s="15">
        <v>37.053019552593398</v>
      </c>
      <c r="E50" s="5">
        <v>22964</v>
      </c>
      <c r="F50" s="5">
        <v>23</v>
      </c>
      <c r="G50" s="5"/>
      <c r="H50" s="5"/>
      <c r="I50" s="5"/>
      <c r="J50" s="5"/>
      <c r="K50" s="5"/>
    </row>
    <row r="51" spans="1:11" ht="15.75" customHeight="1" x14ac:dyDescent="0.35">
      <c r="A51" s="3" t="s">
        <v>150</v>
      </c>
      <c r="B51" s="7">
        <v>14735.833333333299</v>
      </c>
      <c r="C51" s="4">
        <v>2121</v>
      </c>
      <c r="D51" s="15">
        <v>37.053019552593398</v>
      </c>
      <c r="E51" s="5">
        <v>15490</v>
      </c>
      <c r="F51" s="5">
        <v>23</v>
      </c>
      <c r="G51" s="5"/>
      <c r="H51" s="5"/>
      <c r="I51" s="5"/>
      <c r="J51" s="5"/>
      <c r="K51" s="5"/>
    </row>
    <row r="52" spans="1:11" ht="15.75" customHeight="1" x14ac:dyDescent="0.35">
      <c r="A52" s="3" t="s">
        <v>49</v>
      </c>
      <c r="B52" s="7">
        <v>416.66666666666703</v>
      </c>
      <c r="C52" s="4">
        <v>2131</v>
      </c>
      <c r="D52" s="15">
        <v>37.053019552593398</v>
      </c>
      <c r="E52" s="5">
        <v>1200</v>
      </c>
      <c r="F52" s="5">
        <v>23</v>
      </c>
      <c r="G52" s="5"/>
      <c r="H52" s="5"/>
      <c r="I52" s="5"/>
      <c r="J52" s="5"/>
      <c r="K52" s="5"/>
    </row>
    <row r="53" spans="1:11" ht="15.75" customHeight="1" x14ac:dyDescent="0.35">
      <c r="A53" s="3" t="s">
        <v>151</v>
      </c>
      <c r="B53" s="7">
        <v>1050</v>
      </c>
      <c r="C53" s="4">
        <v>2121</v>
      </c>
      <c r="D53" s="15">
        <v>37.053019552593398</v>
      </c>
      <c r="E53" s="5">
        <v>1050</v>
      </c>
      <c r="F53" s="5">
        <v>23</v>
      </c>
      <c r="G53" s="5"/>
      <c r="H53" s="5"/>
      <c r="I53" s="5"/>
      <c r="J53" s="5"/>
      <c r="K53" s="5"/>
    </row>
    <row r="54" spans="1:11" ht="15.75" customHeight="1" x14ac:dyDescent="0.35">
      <c r="A54" s="3" t="s">
        <v>50</v>
      </c>
      <c r="B54" s="7">
        <v>1628</v>
      </c>
      <c r="C54" s="4">
        <v>4592</v>
      </c>
      <c r="D54" s="15">
        <v>37.053019552593398</v>
      </c>
      <c r="E54" s="5">
        <v>2441</v>
      </c>
      <c r="F54" s="5">
        <v>23</v>
      </c>
      <c r="G54" s="5"/>
      <c r="H54" s="5"/>
      <c r="I54" s="5"/>
      <c r="J54" s="5"/>
      <c r="K54" s="5"/>
    </row>
    <row r="55" spans="1:11" ht="15.75" customHeight="1" x14ac:dyDescent="0.35">
      <c r="A55" s="3" t="s">
        <v>51</v>
      </c>
      <c r="B55" s="7">
        <v>4344</v>
      </c>
      <c r="C55" s="4">
        <v>2297</v>
      </c>
      <c r="D55" s="15">
        <v>37.053019552593398</v>
      </c>
      <c r="E55" s="5">
        <v>10600</v>
      </c>
      <c r="F55" s="5">
        <v>23</v>
      </c>
      <c r="G55" s="5"/>
      <c r="H55" s="5"/>
      <c r="I55" s="5"/>
      <c r="J55" s="5"/>
      <c r="K55" s="5"/>
    </row>
    <row r="56" spans="1:11" ht="15.75" customHeight="1" x14ac:dyDescent="0.35">
      <c r="A56" s="3" t="s">
        <v>52</v>
      </c>
      <c r="B56" s="7">
        <v>1083.3333333333301</v>
      </c>
      <c r="C56" s="4">
        <v>4592</v>
      </c>
      <c r="D56" s="15">
        <v>37.053019552593398</v>
      </c>
      <c r="E56" s="5">
        <v>525</v>
      </c>
      <c r="F56" s="5">
        <v>23</v>
      </c>
      <c r="G56" s="5"/>
      <c r="H56" s="5"/>
      <c r="I56" s="5"/>
      <c r="J56" s="5"/>
      <c r="K56" s="5"/>
    </row>
    <row r="57" spans="1:11" ht="15.75" customHeight="1" x14ac:dyDescent="0.35">
      <c r="A57" s="3" t="s">
        <v>53</v>
      </c>
      <c r="B57" s="7">
        <v>2892</v>
      </c>
      <c r="C57" s="4">
        <v>4592</v>
      </c>
      <c r="D57" s="15">
        <v>37.053019552593398</v>
      </c>
      <c r="E57" s="5">
        <v>500</v>
      </c>
      <c r="F57" s="5">
        <v>23</v>
      </c>
      <c r="G57" s="5"/>
      <c r="H57" s="5"/>
      <c r="I57" s="5"/>
      <c r="J57" s="5"/>
      <c r="K57" s="5"/>
    </row>
    <row r="58" spans="1:11" ht="15.75" customHeight="1" x14ac:dyDescent="0.35">
      <c r="A58" s="3" t="s">
        <v>145</v>
      </c>
      <c r="B58" s="7">
        <v>3025</v>
      </c>
      <c r="C58" s="4">
        <v>2103</v>
      </c>
      <c r="D58" s="15">
        <v>37.053019552593398</v>
      </c>
      <c r="E58" s="5">
        <v>0</v>
      </c>
      <c r="F58" s="5">
        <v>23</v>
      </c>
      <c r="G58" s="5"/>
      <c r="H58" s="5"/>
      <c r="I58" s="5"/>
      <c r="J58" s="5"/>
      <c r="K58" s="5"/>
    </row>
    <row r="59" spans="1:11" ht="15.75" customHeight="1" x14ac:dyDescent="0.35">
      <c r="A59" s="3" t="s">
        <v>55</v>
      </c>
      <c r="B59" s="7">
        <v>12750</v>
      </c>
      <c r="C59" s="4">
        <v>2103</v>
      </c>
      <c r="D59" s="15">
        <v>37.053019552593398</v>
      </c>
      <c r="E59" s="5">
        <v>5075</v>
      </c>
      <c r="F59" s="5">
        <v>23</v>
      </c>
      <c r="G59" s="5"/>
      <c r="H59" s="5"/>
      <c r="I59" s="5"/>
      <c r="J59" s="5"/>
      <c r="K59" s="5"/>
    </row>
    <row r="60" spans="1:11" ht="15.75" customHeight="1" x14ac:dyDescent="0.35">
      <c r="A60" s="3" t="s">
        <v>56</v>
      </c>
      <c r="B60" s="7">
        <v>2356.5</v>
      </c>
      <c r="C60" s="4">
        <v>4592</v>
      </c>
      <c r="D60" s="15">
        <v>37.053019552593398</v>
      </c>
      <c r="E60" s="5">
        <v>2220</v>
      </c>
      <c r="F60" s="5">
        <v>23</v>
      </c>
      <c r="G60" s="5"/>
      <c r="H60" s="5"/>
      <c r="I60" s="5"/>
      <c r="J60" s="5"/>
      <c r="K60" s="5"/>
    </row>
    <row r="61" spans="1:11" ht="15.75" customHeight="1" x14ac:dyDescent="0.35">
      <c r="A61" s="3" t="s">
        <v>57</v>
      </c>
      <c r="B61" s="7">
        <v>1712</v>
      </c>
      <c r="C61" s="4">
        <v>2297</v>
      </c>
      <c r="D61" s="15">
        <v>37.053019552593398</v>
      </c>
      <c r="E61" s="5">
        <v>1745</v>
      </c>
      <c r="F61" s="5">
        <v>23</v>
      </c>
      <c r="G61" s="5"/>
      <c r="H61" s="5"/>
      <c r="I61" s="5"/>
      <c r="J61" s="5"/>
      <c r="K61" s="5"/>
    </row>
    <row r="62" spans="1:11" ht="15.75" customHeight="1" x14ac:dyDescent="0.35">
      <c r="A62" s="3" t="s">
        <v>58</v>
      </c>
      <c r="B62" s="7">
        <v>1435.2</v>
      </c>
      <c r="C62" s="4">
        <v>2616</v>
      </c>
      <c r="D62" s="15">
        <v>37.053019552593398</v>
      </c>
      <c r="E62" s="5">
        <v>275</v>
      </c>
      <c r="F62" s="5">
        <v>23</v>
      </c>
      <c r="G62" s="5"/>
      <c r="H62" s="5"/>
      <c r="I62" s="5"/>
      <c r="J62" s="5"/>
      <c r="K62" s="5"/>
    </row>
    <row r="63" spans="1:11" ht="15.75" customHeight="1" x14ac:dyDescent="0.35">
      <c r="A63" s="3" t="s">
        <v>59</v>
      </c>
      <c r="B63" s="7">
        <v>773</v>
      </c>
      <c r="C63" s="4">
        <v>2616</v>
      </c>
      <c r="D63" s="15">
        <v>37.053019552593398</v>
      </c>
      <c r="E63" s="5">
        <v>435</v>
      </c>
      <c r="F63" s="5">
        <v>23</v>
      </c>
      <c r="G63" s="5"/>
      <c r="H63" s="5"/>
      <c r="I63" s="5"/>
      <c r="J63" s="5"/>
      <c r="K63" s="5"/>
    </row>
    <row r="64" spans="1:11" ht="15.75" customHeight="1" x14ac:dyDescent="0.35">
      <c r="A64" s="3" t="s">
        <v>60</v>
      </c>
      <c r="B64" s="7">
        <v>360</v>
      </c>
      <c r="C64" s="4">
        <v>7550</v>
      </c>
      <c r="D64" s="15">
        <v>37.053019552593398</v>
      </c>
      <c r="E64" s="5">
        <v>0</v>
      </c>
      <c r="F64" s="5">
        <v>23</v>
      </c>
      <c r="G64" s="5"/>
      <c r="H64" s="5"/>
      <c r="I64" s="5"/>
      <c r="J64" s="5"/>
      <c r="K64" s="5"/>
    </row>
    <row r="65" spans="1:11" ht="15.75" customHeight="1" x14ac:dyDescent="0.35">
      <c r="A65" s="3" t="s">
        <v>61</v>
      </c>
      <c r="B65" s="7">
        <v>12938.388888888901</v>
      </c>
      <c r="C65" s="4">
        <v>7550</v>
      </c>
      <c r="D65" s="15">
        <v>37.053019552593398</v>
      </c>
      <c r="E65" s="5">
        <v>32730</v>
      </c>
      <c r="F65" s="5">
        <v>23</v>
      </c>
      <c r="G65" s="5"/>
      <c r="H65" s="5"/>
      <c r="I65" s="5"/>
      <c r="J65" s="5"/>
      <c r="K65" s="5"/>
    </row>
    <row r="66" spans="1:11" ht="15.75" customHeight="1" x14ac:dyDescent="0.35">
      <c r="A66" s="3" t="s">
        <v>62</v>
      </c>
      <c r="B66" s="7">
        <v>2991.2000000000003</v>
      </c>
      <c r="C66" s="4">
        <v>4592</v>
      </c>
      <c r="D66" s="15">
        <v>37.053019552593398</v>
      </c>
      <c r="E66" s="5">
        <v>2984</v>
      </c>
      <c r="F66" s="5">
        <v>23</v>
      </c>
      <c r="G66" s="5"/>
      <c r="H66" s="5"/>
      <c r="I66" s="5"/>
      <c r="J66" s="5"/>
      <c r="K66" s="5"/>
    </row>
    <row r="67" spans="1:11" ht="15.75" customHeight="1" x14ac:dyDescent="0.35">
      <c r="A67" s="3" t="s">
        <v>63</v>
      </c>
      <c r="B67" s="7">
        <v>3200.625</v>
      </c>
      <c r="C67" s="4">
        <v>2297</v>
      </c>
      <c r="D67" s="15">
        <v>37.053019552593398</v>
      </c>
      <c r="E67" s="5">
        <v>7096</v>
      </c>
      <c r="F67" s="5">
        <v>23</v>
      </c>
      <c r="G67" s="5"/>
      <c r="H67" s="5"/>
      <c r="I67" s="5"/>
      <c r="J67" s="5"/>
      <c r="K67" s="5"/>
    </row>
    <row r="68" spans="1:11" ht="15.75" customHeight="1" x14ac:dyDescent="0.35">
      <c r="A68" s="3" t="s">
        <v>64</v>
      </c>
      <c r="B68" s="7">
        <v>437.5</v>
      </c>
      <c r="C68" s="4">
        <v>2616</v>
      </c>
      <c r="D68" s="15">
        <v>37.053019552593398</v>
      </c>
      <c r="E68" s="5">
        <v>225</v>
      </c>
      <c r="F68" s="5">
        <v>23</v>
      </c>
      <c r="G68" s="5"/>
      <c r="H68" s="5"/>
      <c r="I68" s="5"/>
      <c r="J68" s="5"/>
      <c r="K68" s="5"/>
    </row>
    <row r="69" spans="1:11" ht="15.75" customHeight="1" x14ac:dyDescent="0.35">
      <c r="A69" s="3" t="s">
        <v>65</v>
      </c>
      <c r="B69" s="7">
        <v>1311</v>
      </c>
      <c r="C69" s="4">
        <v>2616</v>
      </c>
      <c r="D69" s="15">
        <v>37.053019552593398</v>
      </c>
      <c r="E69" s="5">
        <v>150</v>
      </c>
      <c r="F69" s="5">
        <v>23</v>
      </c>
      <c r="G69" s="5"/>
      <c r="H69" s="5"/>
      <c r="I69" s="5"/>
      <c r="J69" s="5"/>
      <c r="K69" s="5"/>
    </row>
    <row r="70" spans="1:11" ht="15.75" customHeight="1" x14ac:dyDescent="0.35">
      <c r="A70" s="3" t="s">
        <v>66</v>
      </c>
      <c r="B70" s="7">
        <v>1421.6666666666702</v>
      </c>
      <c r="C70" s="4">
        <v>4592</v>
      </c>
      <c r="D70" s="15">
        <v>37.053019552593398</v>
      </c>
      <c r="E70" s="5">
        <v>1110</v>
      </c>
      <c r="F70" s="5">
        <v>23</v>
      </c>
      <c r="G70" s="5"/>
      <c r="H70" s="5"/>
      <c r="I70" s="5"/>
      <c r="J70" s="5"/>
      <c r="K70" s="5"/>
    </row>
    <row r="71" spans="1:11" ht="15.75" customHeight="1" x14ac:dyDescent="0.35">
      <c r="A71" s="3" t="s">
        <v>67</v>
      </c>
      <c r="B71" s="7">
        <v>14915</v>
      </c>
      <c r="C71" s="4">
        <v>2297</v>
      </c>
      <c r="D71" s="15">
        <v>37.053019552593398</v>
      </c>
      <c r="E71" s="5">
        <v>2125</v>
      </c>
      <c r="F71" s="5">
        <v>23</v>
      </c>
      <c r="G71" s="5"/>
      <c r="H71" s="5"/>
      <c r="I71" s="5"/>
      <c r="J71" s="5"/>
      <c r="K71" s="5"/>
    </row>
    <row r="72" spans="1:11" ht="15.75" customHeight="1" x14ac:dyDescent="0.35">
      <c r="A72" s="3" t="s">
        <v>68</v>
      </c>
      <c r="B72" s="7">
        <v>1487.5</v>
      </c>
      <c r="C72" s="4">
        <v>2616</v>
      </c>
      <c r="D72" s="15">
        <v>37.053019552593398</v>
      </c>
      <c r="E72" s="5">
        <v>425</v>
      </c>
      <c r="F72" s="5">
        <v>23</v>
      </c>
      <c r="G72" s="5"/>
      <c r="H72" s="5"/>
      <c r="I72" s="5"/>
      <c r="J72" s="5"/>
      <c r="K72" s="5"/>
    </row>
    <row r="73" spans="1:11" ht="15.75" customHeight="1" x14ac:dyDescent="0.35">
      <c r="A73" s="3" t="s">
        <v>69</v>
      </c>
      <c r="B73" s="7">
        <v>764</v>
      </c>
      <c r="C73" s="4">
        <v>1419</v>
      </c>
      <c r="D73" s="15">
        <v>37.053019552593398</v>
      </c>
      <c r="E73" s="5">
        <v>550</v>
      </c>
      <c r="F73" s="5">
        <v>23</v>
      </c>
      <c r="G73" s="5"/>
      <c r="H73" s="5"/>
      <c r="I73" s="5"/>
      <c r="J73" s="5"/>
      <c r="K73" s="5"/>
    </row>
    <row r="74" spans="1:11" ht="15.75" customHeight="1" x14ac:dyDescent="0.35">
      <c r="A74" s="3" t="s">
        <v>70</v>
      </c>
      <c r="B74" s="7">
        <v>11803.75</v>
      </c>
      <c r="C74" s="4">
        <v>1968</v>
      </c>
      <c r="D74" s="15">
        <v>37.053019552593398</v>
      </c>
      <c r="E74" s="5">
        <v>22222</v>
      </c>
      <c r="F74" s="5">
        <v>23</v>
      </c>
      <c r="G74" s="5"/>
      <c r="H74" s="5"/>
      <c r="I74" s="5"/>
      <c r="J74" s="5"/>
      <c r="K74" s="5"/>
    </row>
    <row r="75" spans="1:11" ht="15.75" customHeight="1" x14ac:dyDescent="0.35">
      <c r="A75" s="3" t="s">
        <v>73</v>
      </c>
      <c r="B75" s="7">
        <v>9623.75</v>
      </c>
      <c r="C75" s="4">
        <v>1968</v>
      </c>
      <c r="D75" s="15">
        <v>37.053019552593398</v>
      </c>
      <c r="E75" s="5">
        <v>7575</v>
      </c>
      <c r="F75" s="5">
        <v>23</v>
      </c>
      <c r="G75" s="5"/>
      <c r="H75" s="5"/>
      <c r="I75" s="5"/>
      <c r="J75" s="5"/>
      <c r="K75" s="5"/>
    </row>
    <row r="76" spans="1:11" ht="15.75" customHeight="1" x14ac:dyDescent="0.35">
      <c r="A76" s="3" t="s">
        <v>146</v>
      </c>
      <c r="B76" s="7">
        <v>10830.75</v>
      </c>
      <c r="C76" s="4">
        <v>2157</v>
      </c>
      <c r="D76" s="15">
        <v>37.053019552593398</v>
      </c>
      <c r="E76" s="5">
        <v>8662</v>
      </c>
      <c r="F76" s="5">
        <v>23</v>
      </c>
      <c r="G76" s="5"/>
      <c r="H76" s="5"/>
      <c r="I76" s="5"/>
      <c r="J76" s="5"/>
      <c r="K76" s="5"/>
    </row>
    <row r="77" spans="1:11" ht="15.75" customHeight="1" x14ac:dyDescent="0.35">
      <c r="A77" s="3" t="s">
        <v>75</v>
      </c>
      <c r="B77" s="7">
        <v>2662.8</v>
      </c>
      <c r="C77" s="4">
        <v>2031</v>
      </c>
      <c r="D77" s="15">
        <v>37.053019552593398</v>
      </c>
      <c r="E77" s="5">
        <v>5325</v>
      </c>
      <c r="F77" s="5">
        <v>23</v>
      </c>
      <c r="G77" s="5"/>
      <c r="H77" s="5"/>
      <c r="I77" s="5"/>
      <c r="J77" s="5"/>
      <c r="K77" s="5"/>
    </row>
    <row r="78" spans="1:11" ht="15.75" customHeight="1" x14ac:dyDescent="0.35">
      <c r="A78" s="3" t="s">
        <v>76</v>
      </c>
      <c r="B78" s="7">
        <v>6646</v>
      </c>
      <c r="C78" s="4">
        <v>2031</v>
      </c>
      <c r="D78" s="15">
        <v>37.053019552593398</v>
      </c>
      <c r="E78" s="5">
        <v>10137</v>
      </c>
      <c r="F78" s="5">
        <v>23</v>
      </c>
      <c r="G78" s="5"/>
      <c r="H78" s="5"/>
      <c r="I78" s="5"/>
      <c r="J78" s="5"/>
      <c r="K78" s="5"/>
    </row>
    <row r="79" spans="1:11" ht="15.75" customHeight="1" x14ac:dyDescent="0.35">
      <c r="A79" s="3" t="s">
        <v>77</v>
      </c>
      <c r="B79" s="7">
        <v>1100</v>
      </c>
      <c r="C79" s="4">
        <v>2642</v>
      </c>
      <c r="D79" s="15">
        <v>37.053019552593398</v>
      </c>
      <c r="E79" s="5">
        <v>1050</v>
      </c>
      <c r="F79" s="5">
        <v>23</v>
      </c>
      <c r="G79" s="5"/>
      <c r="H79" s="5"/>
      <c r="I79" s="5"/>
      <c r="J79" s="5"/>
      <c r="K79" s="5"/>
    </row>
    <row r="80" spans="1:11" ht="15.75" customHeight="1" x14ac:dyDescent="0.35">
      <c r="A80" s="3" t="s">
        <v>78</v>
      </c>
      <c r="B80" s="7">
        <v>3108.3333333333298</v>
      </c>
      <c r="C80" s="4">
        <v>2642</v>
      </c>
      <c r="D80" s="15">
        <v>37.053019552593398</v>
      </c>
      <c r="E80" s="5">
        <v>1525</v>
      </c>
      <c r="F80" s="5">
        <v>23</v>
      </c>
      <c r="G80" s="5"/>
      <c r="H80" s="5"/>
      <c r="I80" s="5"/>
      <c r="J80" s="5"/>
      <c r="K80" s="5"/>
    </row>
    <row r="81" spans="1:11" ht="15.75" customHeight="1" x14ac:dyDescent="0.35">
      <c r="A81" s="3" t="s">
        <v>79</v>
      </c>
      <c r="B81" s="7">
        <v>625</v>
      </c>
      <c r="C81" s="4">
        <v>2488</v>
      </c>
      <c r="D81" s="15">
        <v>37.053019552593398</v>
      </c>
      <c r="E81" s="5">
        <v>50</v>
      </c>
      <c r="F81" s="5">
        <v>23</v>
      </c>
      <c r="G81" s="5"/>
      <c r="H81" s="5"/>
      <c r="I81" s="5"/>
      <c r="J81" s="5"/>
      <c r="K81" s="5"/>
    </row>
    <row r="82" spans="1:11" ht="15.75" customHeight="1" x14ac:dyDescent="0.35">
      <c r="A82" s="3" t="s">
        <v>80</v>
      </c>
      <c r="B82" s="7">
        <v>350</v>
      </c>
      <c r="C82" s="4">
        <v>2431</v>
      </c>
      <c r="D82" s="15">
        <v>37.053019552593398</v>
      </c>
      <c r="E82" s="5">
        <v>2050</v>
      </c>
      <c r="F82" s="5">
        <v>23</v>
      </c>
      <c r="G82" s="5"/>
      <c r="H82" s="5"/>
      <c r="I82" s="5"/>
      <c r="J82" s="5"/>
      <c r="K82" s="5"/>
    </row>
    <row r="83" spans="1:11" ht="15.75" customHeight="1" x14ac:dyDescent="0.35">
      <c r="A83" s="3" t="s">
        <v>81</v>
      </c>
      <c r="B83" s="7">
        <v>3668.6666666666702</v>
      </c>
      <c r="C83" s="4">
        <v>4592</v>
      </c>
      <c r="D83" s="15">
        <v>37.053019552593398</v>
      </c>
      <c r="E83" s="5">
        <v>4640</v>
      </c>
      <c r="F83" s="5">
        <v>23</v>
      </c>
      <c r="G83" s="5"/>
      <c r="H83" s="5"/>
      <c r="I83" s="5"/>
      <c r="J83" s="5"/>
      <c r="K83" s="5"/>
    </row>
    <row r="84" spans="1:11" ht="15.75" customHeight="1" x14ac:dyDescent="0.35">
      <c r="A84" s="3" t="s">
        <v>82</v>
      </c>
      <c r="B84" s="7">
        <v>2125</v>
      </c>
      <c r="C84" s="4">
        <v>2297</v>
      </c>
      <c r="D84" s="15">
        <v>37.053019552593398</v>
      </c>
      <c r="E84" s="5">
        <v>1575</v>
      </c>
      <c r="F84" s="5">
        <v>23</v>
      </c>
      <c r="G84" s="5"/>
      <c r="H84" s="5"/>
      <c r="I84" s="5"/>
      <c r="J84" s="5"/>
      <c r="K84" s="5"/>
    </row>
    <row r="85" spans="1:11" ht="15.75" customHeight="1" x14ac:dyDescent="0.35">
      <c r="A85" s="3" t="s">
        <v>83</v>
      </c>
      <c r="B85" s="7">
        <v>1100</v>
      </c>
      <c r="C85" s="4">
        <v>2616</v>
      </c>
      <c r="D85" s="15">
        <v>37.053019552593398</v>
      </c>
      <c r="E85" s="5">
        <v>375</v>
      </c>
      <c r="F85" s="5">
        <v>23</v>
      </c>
      <c r="G85" s="5"/>
      <c r="H85" s="5"/>
      <c r="I85" s="5"/>
      <c r="J85" s="5"/>
      <c r="K85" s="5"/>
    </row>
    <row r="86" spans="1:11" ht="15.75" customHeight="1" x14ac:dyDescent="0.35">
      <c r="A86" s="3" t="s">
        <v>84</v>
      </c>
      <c r="B86" s="7">
        <v>7035</v>
      </c>
      <c r="C86" s="4">
        <v>1419</v>
      </c>
      <c r="D86" s="15">
        <v>37.053019552593398</v>
      </c>
      <c r="E86" s="5">
        <v>10489</v>
      </c>
      <c r="F86" s="5">
        <v>23</v>
      </c>
      <c r="G86" s="5"/>
      <c r="H86" s="5"/>
      <c r="I86" s="5"/>
      <c r="J86" s="5"/>
      <c r="K86" s="5"/>
    </row>
    <row r="87" spans="1:11" ht="15.75" customHeight="1" x14ac:dyDescent="0.35">
      <c r="A87" s="3" t="s">
        <v>85</v>
      </c>
      <c r="B87" s="7">
        <v>950</v>
      </c>
      <c r="C87" s="4">
        <v>2616</v>
      </c>
      <c r="D87" s="15">
        <v>37.053019552593398</v>
      </c>
      <c r="E87" s="5">
        <v>0</v>
      </c>
      <c r="F87" s="5">
        <v>23</v>
      </c>
      <c r="G87" s="5"/>
      <c r="H87" s="5"/>
      <c r="I87" s="5"/>
      <c r="J87" s="5"/>
      <c r="K87" s="5"/>
    </row>
    <row r="88" spans="1:11" ht="15.75" customHeight="1" x14ac:dyDescent="0.35">
      <c r="A88" s="3" t="s">
        <v>86</v>
      </c>
      <c r="B88" s="7">
        <v>5013</v>
      </c>
      <c r="C88" s="4">
        <v>2246</v>
      </c>
      <c r="D88" s="15">
        <v>37.053019552593398</v>
      </c>
      <c r="E88" s="5">
        <v>5075</v>
      </c>
      <c r="F88" s="5">
        <v>23</v>
      </c>
      <c r="G88" s="5"/>
      <c r="H88" s="5"/>
      <c r="I88" s="5"/>
      <c r="J88" s="5"/>
      <c r="K88" s="5"/>
    </row>
    <row r="89" spans="1:11" ht="15.75" customHeight="1" x14ac:dyDescent="0.35">
      <c r="A89" s="3" t="s">
        <v>87</v>
      </c>
      <c r="B89" s="7">
        <v>4022.25</v>
      </c>
      <c r="C89" s="4">
        <v>2355</v>
      </c>
      <c r="D89" s="15">
        <v>37.053019552593398</v>
      </c>
      <c r="E89" s="5">
        <v>5805</v>
      </c>
      <c r="F89" s="5">
        <v>23</v>
      </c>
      <c r="G89" s="5"/>
      <c r="H89" s="5"/>
      <c r="I89" s="5"/>
      <c r="J89" s="5"/>
      <c r="K89" s="5"/>
    </row>
    <row r="90" spans="1:11" ht="15.75" customHeight="1" x14ac:dyDescent="0.35">
      <c r="A90" s="3" t="s">
        <v>88</v>
      </c>
      <c r="B90" s="7">
        <v>4580.7777777777801</v>
      </c>
      <c r="C90" s="4">
        <v>2031</v>
      </c>
      <c r="D90" s="15">
        <v>37.053019552593398</v>
      </c>
      <c r="E90" s="5">
        <v>10574</v>
      </c>
      <c r="F90" s="5">
        <v>23</v>
      </c>
      <c r="G90" s="5"/>
      <c r="H90" s="5"/>
      <c r="I90" s="5"/>
      <c r="J90" s="5"/>
      <c r="K90" s="5"/>
    </row>
    <row r="91" spans="1:11" ht="15.75" customHeight="1" x14ac:dyDescent="0.35">
      <c r="A91" s="3" t="s">
        <v>89</v>
      </c>
      <c r="B91" s="7">
        <v>3312.5</v>
      </c>
      <c r="C91" s="4">
        <v>2108</v>
      </c>
      <c r="D91" s="15">
        <v>37.053019552593398</v>
      </c>
      <c r="E91" s="5">
        <v>1975</v>
      </c>
      <c r="F91" s="5">
        <v>23</v>
      </c>
      <c r="G91" s="5"/>
      <c r="H91" s="5"/>
      <c r="I91" s="5"/>
      <c r="J91" s="5"/>
      <c r="K91" s="5"/>
    </row>
    <row r="92" spans="1:11" ht="15.75" customHeight="1" x14ac:dyDescent="0.35">
      <c r="A92" s="3" t="s">
        <v>90</v>
      </c>
      <c r="B92" s="7">
        <v>1500</v>
      </c>
      <c r="C92" s="4">
        <v>2173</v>
      </c>
      <c r="D92" s="15">
        <v>37.053019552593398</v>
      </c>
      <c r="E92" s="5">
        <v>0</v>
      </c>
      <c r="F92" s="5">
        <v>23</v>
      </c>
      <c r="G92" s="5"/>
      <c r="H92" s="5"/>
      <c r="I92" s="5"/>
      <c r="J92" s="5"/>
      <c r="K92" s="5"/>
    </row>
    <row r="93" spans="1:11" ht="15.75" customHeight="1" x14ac:dyDescent="0.35">
      <c r="A93" s="3" t="s">
        <v>92</v>
      </c>
      <c r="B93" s="7">
        <v>175</v>
      </c>
      <c r="C93" s="4">
        <v>1993</v>
      </c>
      <c r="D93" s="15">
        <v>37.053019552593398</v>
      </c>
      <c r="E93" s="5">
        <v>0</v>
      </c>
      <c r="F93" s="5">
        <v>23</v>
      </c>
      <c r="G93" s="5"/>
      <c r="H93" s="5"/>
      <c r="I93" s="5"/>
      <c r="J93" s="5"/>
      <c r="K93" s="5"/>
    </row>
    <row r="94" spans="1:11" ht="15.75" customHeight="1" x14ac:dyDescent="0.35">
      <c r="A94" s="3" t="s">
        <v>93</v>
      </c>
      <c r="B94" s="7">
        <v>805</v>
      </c>
      <c r="C94" s="4">
        <v>2205</v>
      </c>
      <c r="D94" s="15">
        <v>37.053019552593398</v>
      </c>
      <c r="E94" s="5">
        <v>600</v>
      </c>
      <c r="F94" s="5">
        <v>23</v>
      </c>
      <c r="G94" s="5"/>
      <c r="H94" s="5"/>
      <c r="I94" s="5"/>
      <c r="J94" s="5"/>
      <c r="K94" s="5"/>
    </row>
    <row r="95" spans="1:11" ht="15.75" customHeight="1" x14ac:dyDescent="0.35">
      <c r="A95" s="3" t="s">
        <v>94</v>
      </c>
      <c r="B95" s="7">
        <v>2200</v>
      </c>
      <c r="C95" s="4">
        <v>2503</v>
      </c>
      <c r="D95" s="15">
        <v>37.053019552593398</v>
      </c>
      <c r="E95" s="5">
        <v>1125</v>
      </c>
      <c r="F95" s="5">
        <v>23</v>
      </c>
      <c r="G95" s="5"/>
      <c r="H95" s="5"/>
      <c r="I95" s="5"/>
      <c r="J95" s="5"/>
      <c r="K95" s="5"/>
    </row>
    <row r="96" spans="1:11" ht="15.75" customHeight="1" x14ac:dyDescent="0.35">
      <c r="A96" s="3" t="s">
        <v>95</v>
      </c>
      <c r="B96" s="7">
        <v>7150</v>
      </c>
      <c r="C96" s="4">
        <v>2355</v>
      </c>
      <c r="D96" s="15">
        <v>37.053019552593398</v>
      </c>
      <c r="E96" s="5">
        <v>0</v>
      </c>
      <c r="F96" s="5">
        <v>23</v>
      </c>
      <c r="G96" s="5"/>
      <c r="H96" s="5"/>
      <c r="I96" s="5"/>
      <c r="J96" s="5"/>
      <c r="K96" s="5"/>
    </row>
    <row r="97" spans="1:11" ht="15.75" customHeight="1" x14ac:dyDescent="0.35">
      <c r="A97" s="3" t="s">
        <v>96</v>
      </c>
      <c r="B97" s="7">
        <v>1890</v>
      </c>
      <c r="C97" s="4">
        <v>2216</v>
      </c>
      <c r="D97" s="15">
        <v>37.053019552593398</v>
      </c>
      <c r="E97" s="5">
        <v>2725</v>
      </c>
      <c r="F97" s="5">
        <v>23</v>
      </c>
      <c r="G97" s="5"/>
      <c r="H97" s="5"/>
      <c r="I97" s="5"/>
      <c r="J97" s="5"/>
      <c r="K97" s="5"/>
    </row>
    <row r="98" spans="1:11" ht="15.75" customHeight="1" x14ac:dyDescent="0.35">
      <c r="A98" s="3" t="s">
        <v>97</v>
      </c>
      <c r="B98" s="7">
        <v>1741.25</v>
      </c>
      <c r="C98" s="4">
        <v>1968</v>
      </c>
      <c r="D98" s="15">
        <v>37.053019552593398</v>
      </c>
      <c r="E98" s="5">
        <v>400</v>
      </c>
      <c r="F98" s="5">
        <v>23</v>
      </c>
      <c r="G98" s="5"/>
      <c r="H98" s="5"/>
      <c r="I98" s="5"/>
      <c r="J98" s="5"/>
      <c r="K98" s="5"/>
    </row>
    <row r="99" spans="1:11" ht="15.75" customHeight="1" x14ac:dyDescent="0.35">
      <c r="A99" s="3" t="s">
        <v>147</v>
      </c>
      <c r="B99" s="7">
        <v>416.66666666666703</v>
      </c>
      <c r="C99" s="4">
        <v>2297</v>
      </c>
      <c r="D99" s="15">
        <v>37.053019552593398</v>
      </c>
      <c r="E99" s="5">
        <v>2300</v>
      </c>
      <c r="F99" s="5">
        <v>23</v>
      </c>
      <c r="G99" s="5"/>
      <c r="H99" s="5"/>
      <c r="I99" s="5"/>
      <c r="J99" s="5"/>
      <c r="K99" s="5"/>
    </row>
    <row r="100" spans="1:11" ht="15.75" customHeight="1" x14ac:dyDescent="0.35">
      <c r="A100" s="3" t="s">
        <v>148</v>
      </c>
      <c r="B100" s="7">
        <v>750</v>
      </c>
      <c r="C100" s="4">
        <v>2616</v>
      </c>
      <c r="D100" s="15">
        <v>37.053019552593398</v>
      </c>
      <c r="E100" s="5">
        <v>3300</v>
      </c>
      <c r="F100" s="5">
        <v>23</v>
      </c>
      <c r="G100" s="5"/>
      <c r="H100" s="5"/>
      <c r="I100" s="5"/>
      <c r="J100" s="5"/>
      <c r="K100" s="5"/>
    </row>
    <row r="101" spans="1:11" ht="15.75" customHeight="1" x14ac:dyDescent="0.35">
      <c r="A101" s="3" t="s">
        <v>101</v>
      </c>
      <c r="B101" s="7">
        <v>4696</v>
      </c>
      <c r="C101" s="4">
        <v>2355</v>
      </c>
      <c r="D101" s="15">
        <v>37.053019552593398</v>
      </c>
      <c r="E101" s="5">
        <v>0</v>
      </c>
      <c r="F101" s="5">
        <v>23</v>
      </c>
      <c r="G101" s="5"/>
      <c r="H101" s="5"/>
      <c r="I101" s="5"/>
      <c r="J101" s="5"/>
      <c r="K101" s="5"/>
    </row>
    <row r="102" spans="1:11" ht="15.75" customHeight="1" x14ac:dyDescent="0.35">
      <c r="A102" s="3" t="s">
        <v>102</v>
      </c>
      <c r="B102" s="7">
        <v>900</v>
      </c>
      <c r="C102" s="4">
        <v>2372</v>
      </c>
      <c r="D102" s="15">
        <v>37.053019552593398</v>
      </c>
      <c r="E102" s="5">
        <v>0</v>
      </c>
      <c r="F102" s="5">
        <v>23</v>
      </c>
      <c r="G102" s="5"/>
      <c r="H102" s="5"/>
      <c r="I102" s="5"/>
      <c r="J102" s="5"/>
      <c r="K102" s="5"/>
    </row>
    <row r="103" spans="1:11" ht="15.75" customHeight="1" x14ac:dyDescent="0.35">
      <c r="A103" s="3" t="s">
        <v>103</v>
      </c>
      <c r="B103" s="7">
        <v>1000</v>
      </c>
      <c r="C103" s="4">
        <v>3482</v>
      </c>
      <c r="D103" s="15">
        <v>37.053019552593398</v>
      </c>
      <c r="E103" s="5">
        <v>0</v>
      </c>
      <c r="F103" s="5">
        <v>23</v>
      </c>
      <c r="G103" s="5"/>
      <c r="H103" s="5"/>
      <c r="I103" s="5"/>
      <c r="J103" s="5"/>
      <c r="K103" s="5"/>
    </row>
    <row r="104" spans="1:11" ht="15.75" customHeight="1" x14ac:dyDescent="0.35">
      <c r="A104" s="3" t="s">
        <v>104</v>
      </c>
      <c r="B104" s="7">
        <v>1750</v>
      </c>
      <c r="C104" s="4">
        <v>2555</v>
      </c>
      <c r="D104" s="15">
        <v>37.053019552593398</v>
      </c>
      <c r="E104" s="5">
        <v>0</v>
      </c>
      <c r="F104" s="5">
        <v>23</v>
      </c>
      <c r="G104" s="5"/>
      <c r="H104" s="5"/>
      <c r="I104" s="5"/>
      <c r="J104" s="5"/>
      <c r="K104" s="5"/>
    </row>
    <row r="105" spans="1:11" ht="15.75" customHeight="1" x14ac:dyDescent="0.35">
      <c r="A105" s="3" t="s">
        <v>105</v>
      </c>
      <c r="B105" s="7">
        <v>1700</v>
      </c>
      <c r="C105" s="4">
        <v>3665</v>
      </c>
      <c r="D105" s="15">
        <v>37.053019552593398</v>
      </c>
      <c r="E105" s="5">
        <v>200</v>
      </c>
      <c r="F105" s="5">
        <v>23</v>
      </c>
      <c r="G105" s="5"/>
      <c r="H105" s="5"/>
      <c r="I105" s="5"/>
      <c r="J105" s="5"/>
      <c r="K105" s="5"/>
    </row>
    <row r="106" spans="1:11" ht="15.75" customHeight="1" x14ac:dyDescent="0.35">
      <c r="A106" s="3" t="s">
        <v>106</v>
      </c>
      <c r="B106" s="7">
        <v>2650</v>
      </c>
      <c r="C106" s="4">
        <v>1904</v>
      </c>
      <c r="D106" s="15">
        <v>37.053019552593398</v>
      </c>
      <c r="E106" s="5">
        <v>0</v>
      </c>
      <c r="F106" s="5">
        <v>23</v>
      </c>
      <c r="G106" s="5"/>
      <c r="H106" s="5"/>
      <c r="I106" s="5"/>
      <c r="J106" s="5"/>
      <c r="K106" s="5"/>
    </row>
    <row r="107" spans="1:11" ht="15.75" customHeight="1" x14ac:dyDescent="0.35">
      <c r="A107" s="3" t="s">
        <v>107</v>
      </c>
      <c r="B107" s="7">
        <v>4900</v>
      </c>
      <c r="C107" s="4">
        <v>994</v>
      </c>
      <c r="D107" s="15">
        <v>37.053019552593398</v>
      </c>
      <c r="E107" s="5">
        <v>0</v>
      </c>
      <c r="F107" s="5">
        <v>23</v>
      </c>
      <c r="G107" s="5"/>
      <c r="H107" s="5"/>
      <c r="I107" s="5"/>
      <c r="J107" s="5"/>
      <c r="K107" s="5"/>
    </row>
    <row r="108" spans="1:11" ht="15.75" customHeight="1" x14ac:dyDescent="0.35">
      <c r="A108" s="3" t="s">
        <v>108</v>
      </c>
      <c r="B108" s="7">
        <v>1741.6666666666702</v>
      </c>
      <c r="C108" s="4">
        <v>994</v>
      </c>
      <c r="D108" s="15">
        <v>37.053019552593398</v>
      </c>
      <c r="E108" s="5">
        <v>2500</v>
      </c>
      <c r="F108" s="5">
        <v>23</v>
      </c>
      <c r="G108" s="5"/>
      <c r="H108" s="5"/>
      <c r="I108" s="5"/>
      <c r="J108" s="5"/>
      <c r="K108" s="5"/>
    </row>
    <row r="109" spans="1:11" ht="15.75" customHeight="1" x14ac:dyDescent="0.35">
      <c r="A109" s="3" t="s">
        <v>109</v>
      </c>
      <c r="B109" s="7">
        <v>1407.5</v>
      </c>
      <c r="C109" s="4">
        <v>3489</v>
      </c>
      <c r="D109" s="15">
        <v>37.053019552593398</v>
      </c>
      <c r="E109" s="5">
        <v>225</v>
      </c>
      <c r="F109" s="5">
        <v>23</v>
      </c>
      <c r="G109" s="5"/>
      <c r="H109" s="5"/>
      <c r="I109" s="5"/>
      <c r="J109" s="5"/>
      <c r="K109" s="5"/>
    </row>
    <row r="110" spans="1:11" ht="15.75" customHeight="1" x14ac:dyDescent="0.35">
      <c r="A110" s="3" t="s">
        <v>132</v>
      </c>
      <c r="B110" s="7">
        <v>1287.5</v>
      </c>
      <c r="C110" s="4">
        <v>3162</v>
      </c>
      <c r="D110" s="15">
        <v>37.053019552593398</v>
      </c>
      <c r="E110" s="5">
        <v>250</v>
      </c>
      <c r="F110" s="5">
        <v>23</v>
      </c>
      <c r="G110" s="5"/>
      <c r="H110" s="5"/>
      <c r="I110" s="5"/>
      <c r="J110" s="5"/>
      <c r="K110" s="5"/>
    </row>
    <row r="111" spans="1:11" ht="15.75" customHeight="1" x14ac:dyDescent="0.35">
      <c r="A111" s="3" t="s">
        <v>133</v>
      </c>
      <c r="B111" s="7">
        <v>1900.6666666666702</v>
      </c>
      <c r="C111" s="4">
        <v>3567</v>
      </c>
      <c r="D111" s="15">
        <v>37.053019552593398</v>
      </c>
      <c r="E111" s="5">
        <v>4533</v>
      </c>
      <c r="F111" s="5">
        <v>23</v>
      </c>
      <c r="G111" s="5"/>
      <c r="H111" s="5"/>
      <c r="I111" s="5"/>
      <c r="J111" s="5"/>
      <c r="K111" s="5"/>
    </row>
    <row r="112" spans="1:11" ht="15.75" customHeight="1" x14ac:dyDescent="0.35">
      <c r="A112" s="3" t="s">
        <v>134</v>
      </c>
      <c r="B112" s="7">
        <v>650</v>
      </c>
      <c r="C112" s="4">
        <v>3850</v>
      </c>
      <c r="D112" s="15">
        <v>37.053019552593398</v>
      </c>
      <c r="E112" s="5">
        <v>75</v>
      </c>
      <c r="F112" s="5">
        <v>23</v>
      </c>
      <c r="G112" s="5"/>
      <c r="H112" s="5"/>
      <c r="I112" s="5"/>
      <c r="J112" s="5"/>
      <c r="K112" s="5"/>
    </row>
    <row r="113" spans="1:11" ht="15.75" customHeight="1" x14ac:dyDescent="0.35">
      <c r="A113" s="3" t="s">
        <v>135</v>
      </c>
      <c r="B113" s="7">
        <v>1500</v>
      </c>
      <c r="C113" s="4">
        <v>1402</v>
      </c>
      <c r="D113" s="15">
        <v>37.053019552593398</v>
      </c>
      <c r="E113" s="5">
        <v>0</v>
      </c>
      <c r="F113" s="5">
        <v>23</v>
      </c>
      <c r="G113" s="5"/>
      <c r="H113" s="5"/>
      <c r="I113" s="5"/>
      <c r="J113" s="5"/>
      <c r="K113" s="5"/>
    </row>
    <row r="114" spans="1:11" ht="15.75" customHeight="1" x14ac:dyDescent="0.35">
      <c r="A114" s="3" t="s">
        <v>111</v>
      </c>
      <c r="B114" s="7">
        <v>1587.1428571428601</v>
      </c>
      <c r="C114" s="4">
        <v>6112</v>
      </c>
      <c r="D114" s="15">
        <v>37.053019552593398</v>
      </c>
      <c r="E114" s="5">
        <v>9651</v>
      </c>
      <c r="F114" s="5">
        <v>23</v>
      </c>
      <c r="G114" s="5"/>
      <c r="H114" s="5"/>
      <c r="I114" s="5"/>
      <c r="J114" s="5"/>
      <c r="K114" s="5"/>
    </row>
    <row r="115" spans="1:11" ht="15.75" customHeight="1" x14ac:dyDescent="0.35">
      <c r="A115" s="3" t="s">
        <v>112</v>
      </c>
      <c r="B115" s="7">
        <v>1922</v>
      </c>
      <c r="C115" s="4">
        <v>2392</v>
      </c>
      <c r="D115" s="15">
        <v>37.053019552593398</v>
      </c>
      <c r="E115" s="5">
        <v>225</v>
      </c>
      <c r="F115" s="5">
        <v>23</v>
      </c>
      <c r="G115" s="5"/>
      <c r="H115" s="5"/>
      <c r="I115" s="5"/>
      <c r="J115" s="5"/>
      <c r="K115" s="5"/>
    </row>
    <row r="116" spans="1:11" ht="15.75" customHeight="1" x14ac:dyDescent="0.35">
      <c r="A116" s="3" t="s">
        <v>113</v>
      </c>
      <c r="B116" s="7">
        <v>532.33333333333303</v>
      </c>
      <c r="C116" s="4">
        <v>2651</v>
      </c>
      <c r="D116" s="15">
        <v>37.053019552593398</v>
      </c>
      <c r="E116" s="5">
        <v>2545</v>
      </c>
      <c r="F116" s="5">
        <v>23</v>
      </c>
      <c r="G116" s="5"/>
      <c r="H116" s="5"/>
      <c r="I116" s="5"/>
      <c r="J116" s="5"/>
      <c r="K116" s="5"/>
    </row>
    <row r="117" spans="1:11" ht="15.75" customHeight="1" x14ac:dyDescent="0.35">
      <c r="A117" s="3" t="s">
        <v>114</v>
      </c>
      <c r="B117" s="7">
        <v>901</v>
      </c>
      <c r="C117" s="4">
        <v>4343</v>
      </c>
      <c r="D117" s="15">
        <v>37.053019552593398</v>
      </c>
      <c r="E117" s="5">
        <v>1040</v>
      </c>
      <c r="F117" s="5">
        <v>23</v>
      </c>
      <c r="G117" s="5"/>
      <c r="H117" s="5"/>
      <c r="I117" s="5"/>
      <c r="J117" s="5"/>
      <c r="K117" s="5"/>
    </row>
    <row r="118" spans="1:11" ht="15.75" customHeight="1" x14ac:dyDescent="0.35">
      <c r="A118" s="3" t="s">
        <v>115</v>
      </c>
      <c r="B118" s="7">
        <v>1054.3333333333301</v>
      </c>
      <c r="C118" s="4">
        <v>2970</v>
      </c>
      <c r="D118" s="15">
        <v>37.053019552593398</v>
      </c>
      <c r="E118" s="5">
        <v>400</v>
      </c>
      <c r="F118" s="5">
        <v>23</v>
      </c>
      <c r="G118" s="5"/>
      <c r="H118" s="5"/>
      <c r="I118" s="5"/>
      <c r="J118" s="5"/>
      <c r="K118" s="5"/>
    </row>
    <row r="119" spans="1:11" ht="15.75" customHeight="1" x14ac:dyDescent="0.35">
      <c r="A119" s="3" t="s">
        <v>116</v>
      </c>
      <c r="B119" s="7">
        <v>362.75</v>
      </c>
      <c r="C119" s="4">
        <v>2970</v>
      </c>
      <c r="D119" s="15">
        <v>37.053019552593398</v>
      </c>
      <c r="E119" s="5">
        <v>1067</v>
      </c>
      <c r="F119" s="5">
        <v>23</v>
      </c>
      <c r="G119" s="5"/>
      <c r="H119" s="5"/>
      <c r="I119" s="5"/>
      <c r="J119" s="5"/>
      <c r="K119" s="5"/>
    </row>
    <row r="120" spans="1:11" ht="15.75" customHeight="1" x14ac:dyDescent="0.35">
      <c r="A120" s="3" t="s">
        <v>152</v>
      </c>
      <c r="B120" s="7">
        <v>1593.5</v>
      </c>
      <c r="C120" s="4">
        <v>2970</v>
      </c>
      <c r="D120" s="15">
        <v>37.053019552593398</v>
      </c>
      <c r="E120" s="5">
        <v>325</v>
      </c>
      <c r="F120" s="5">
        <v>23</v>
      </c>
      <c r="G120" s="5"/>
      <c r="H120" s="5"/>
      <c r="I120" s="5"/>
      <c r="J120" s="5"/>
      <c r="K120" s="5"/>
    </row>
    <row r="121" spans="1:11" ht="15.75" customHeight="1" x14ac:dyDescent="0.35">
      <c r="A121" s="3" t="s">
        <v>117</v>
      </c>
      <c r="B121" s="7">
        <v>980</v>
      </c>
      <c r="C121" s="4">
        <v>2607</v>
      </c>
      <c r="D121" s="15">
        <v>37.053019552593398</v>
      </c>
      <c r="E121" s="5">
        <v>50</v>
      </c>
      <c r="F121" s="5">
        <v>23</v>
      </c>
      <c r="G121" s="5"/>
      <c r="H121" s="5"/>
      <c r="I121" s="5"/>
      <c r="J121" s="5"/>
      <c r="K121" s="5"/>
    </row>
    <row r="122" spans="1:11" ht="15.75" customHeight="1" x14ac:dyDescent="0.35">
      <c r="A122" s="3" t="s">
        <v>118</v>
      </c>
      <c r="B122" s="7">
        <v>612.5</v>
      </c>
      <c r="C122" s="4">
        <v>1928</v>
      </c>
      <c r="D122" s="15">
        <v>37.053019552593398</v>
      </c>
      <c r="E122" s="5">
        <v>1225</v>
      </c>
      <c r="F122" s="5">
        <v>23</v>
      </c>
      <c r="G122" s="5"/>
      <c r="H122" s="5"/>
      <c r="I122" s="5"/>
      <c r="J122" s="5"/>
      <c r="K122" s="5"/>
    </row>
    <row r="123" spans="1:11" ht="15.75" customHeight="1" x14ac:dyDescent="0.35">
      <c r="A123" s="3" t="s">
        <v>119</v>
      </c>
      <c r="B123" s="7">
        <v>17676</v>
      </c>
      <c r="C123" s="4">
        <v>2129</v>
      </c>
      <c r="D123" s="15">
        <v>37.053019552593398</v>
      </c>
      <c r="E123" s="5">
        <v>70</v>
      </c>
      <c r="F123" s="5">
        <v>23</v>
      </c>
      <c r="G123" s="5"/>
      <c r="H123" s="5"/>
      <c r="I123" s="5"/>
      <c r="J123" s="5"/>
      <c r="K123" s="5"/>
    </row>
    <row r="124" spans="1:11" ht="15.75" customHeight="1" x14ac:dyDescent="0.35">
      <c r="A124" s="3" t="s">
        <v>120</v>
      </c>
      <c r="B124" s="7">
        <v>34057</v>
      </c>
      <c r="C124" s="4">
        <v>2177</v>
      </c>
      <c r="D124" s="15">
        <v>37.053019552593398</v>
      </c>
      <c r="E124" s="5">
        <v>9875</v>
      </c>
      <c r="F124" s="5">
        <v>23</v>
      </c>
      <c r="G124" s="5"/>
      <c r="H124" s="5"/>
      <c r="I124" s="5"/>
      <c r="J124" s="5"/>
      <c r="K124" s="5"/>
    </row>
    <row r="125" spans="1:11" ht="15.75" customHeight="1" x14ac:dyDescent="0.35">
      <c r="A125" s="3" t="s">
        <v>121</v>
      </c>
      <c r="B125" s="7">
        <v>2760.9090909090901</v>
      </c>
      <c r="C125" s="4">
        <v>2177</v>
      </c>
      <c r="D125" s="15">
        <v>37.053019552593398</v>
      </c>
      <c r="E125" s="5">
        <v>18415</v>
      </c>
      <c r="F125" s="5">
        <v>23</v>
      </c>
      <c r="G125" s="5"/>
      <c r="H125" s="5"/>
      <c r="I125" s="5"/>
      <c r="J125" s="5"/>
      <c r="K125" s="5"/>
    </row>
    <row r="126" spans="1:11" ht="15.75" customHeight="1" x14ac:dyDescent="0.35">
      <c r="A126" s="3" t="s">
        <v>122</v>
      </c>
      <c r="B126" s="7">
        <v>9993.125</v>
      </c>
      <c r="C126" s="4">
        <v>2177</v>
      </c>
      <c r="D126" s="15">
        <v>37.053019552593398</v>
      </c>
      <c r="E126" s="5">
        <v>8175</v>
      </c>
      <c r="F126" s="5">
        <v>23</v>
      </c>
      <c r="G126" s="5"/>
      <c r="H126" s="5"/>
      <c r="I126" s="5"/>
      <c r="J126" s="5"/>
      <c r="K126" s="5"/>
    </row>
    <row r="127" spans="1:11" ht="15.75" customHeight="1" x14ac:dyDescent="0.35">
      <c r="A127" s="3" t="s">
        <v>123</v>
      </c>
      <c r="B127" s="7">
        <v>8266</v>
      </c>
      <c r="C127" s="4">
        <v>1948</v>
      </c>
      <c r="D127" s="15">
        <v>37.053019552593398</v>
      </c>
      <c r="E127" s="5">
        <v>1515</v>
      </c>
      <c r="F127" s="5">
        <v>23</v>
      </c>
      <c r="G127" s="5"/>
      <c r="H127" s="5"/>
      <c r="I127" s="5"/>
      <c r="J127" s="5"/>
      <c r="K127" s="5"/>
    </row>
    <row r="128" spans="1:11" ht="15.75" customHeight="1" x14ac:dyDescent="0.35">
      <c r="A128" s="3" t="s">
        <v>124</v>
      </c>
      <c r="B128" s="7">
        <v>1171</v>
      </c>
      <c r="C128" s="4">
        <v>1989</v>
      </c>
      <c r="D128" s="15">
        <v>37.053019552593398</v>
      </c>
      <c r="E128" s="5">
        <v>3000</v>
      </c>
      <c r="F128" s="5">
        <v>23</v>
      </c>
      <c r="G128" s="5"/>
      <c r="H128" s="5"/>
      <c r="I128" s="5"/>
      <c r="J128" s="5"/>
      <c r="K128" s="5"/>
    </row>
    <row r="129" spans="1:11" ht="15.75" customHeight="1" x14ac:dyDescent="0.35">
      <c r="A129" s="3" t="s">
        <v>125</v>
      </c>
      <c r="B129" s="7">
        <v>21325</v>
      </c>
      <c r="C129" s="4">
        <v>2181</v>
      </c>
      <c r="D129" s="15">
        <v>37.053019552593398</v>
      </c>
      <c r="E129" s="5">
        <v>5000</v>
      </c>
      <c r="F129" s="5">
        <v>23</v>
      </c>
      <c r="G129" s="5"/>
      <c r="H129" s="5"/>
      <c r="I129" s="5"/>
      <c r="J129" s="5"/>
      <c r="K129" s="5"/>
    </row>
    <row r="130" spans="1:11" ht="15.75" customHeight="1" x14ac:dyDescent="0.35">
      <c r="A130" s="3" t="s">
        <v>136</v>
      </c>
      <c r="B130" s="7">
        <v>11062.5</v>
      </c>
      <c r="C130" s="4">
        <v>2181</v>
      </c>
      <c r="D130" s="15">
        <v>37.053019552593398</v>
      </c>
      <c r="E130" s="5">
        <v>18500</v>
      </c>
      <c r="F130" s="5">
        <v>23</v>
      </c>
      <c r="G130" s="5"/>
      <c r="H130" s="5"/>
      <c r="I130" s="5"/>
      <c r="J130" s="5"/>
      <c r="K130" s="5"/>
    </row>
    <row r="131" spans="1:11" ht="15.75" customHeight="1" x14ac:dyDescent="0.35">
      <c r="A131" s="3" t="s">
        <v>137</v>
      </c>
      <c r="B131" s="7">
        <v>8696.875</v>
      </c>
      <c r="C131" s="4">
        <v>2181</v>
      </c>
      <c r="D131" s="15">
        <v>37.053019552593398</v>
      </c>
      <c r="E131" s="5">
        <v>17425</v>
      </c>
      <c r="F131" s="5">
        <v>23</v>
      </c>
      <c r="G131" s="5"/>
      <c r="H131" s="5"/>
      <c r="I131" s="5"/>
      <c r="J131" s="5"/>
      <c r="K131" s="5"/>
    </row>
    <row r="132" spans="1:11" ht="15.75" customHeight="1" x14ac:dyDescent="0.35">
      <c r="A132" s="3" t="s">
        <v>128</v>
      </c>
      <c r="B132" s="7">
        <v>44869.470588235301</v>
      </c>
      <c r="C132" s="4">
        <v>2355</v>
      </c>
      <c r="D132" s="15">
        <v>37.053019552593398</v>
      </c>
      <c r="E132" s="5">
        <v>42800</v>
      </c>
      <c r="F132" s="5">
        <v>23</v>
      </c>
      <c r="G132" s="5"/>
      <c r="H132" s="5"/>
      <c r="I132" s="5"/>
      <c r="J132" s="5"/>
      <c r="K132" s="5"/>
    </row>
    <row r="133" spans="1:11" ht="15.75" customHeight="1" x14ac:dyDescent="0.35">
      <c r="A133" s="3" t="s">
        <v>138</v>
      </c>
      <c r="B133" s="7">
        <v>2366.5</v>
      </c>
      <c r="C133" s="4">
        <v>2021</v>
      </c>
      <c r="D133" s="15">
        <v>37.053019552593398</v>
      </c>
      <c r="E133" s="5">
        <v>8051</v>
      </c>
      <c r="F133" s="5">
        <v>23</v>
      </c>
      <c r="G133" s="5"/>
      <c r="H133" s="5"/>
      <c r="I133" s="5"/>
      <c r="J133" s="5"/>
      <c r="K133" s="5"/>
    </row>
    <row r="134" spans="1:11" ht="15.75" customHeight="1" x14ac:dyDescent="0.35">
      <c r="A134" s="3" t="s">
        <v>139</v>
      </c>
      <c r="B134" s="7">
        <v>4915</v>
      </c>
      <c r="C134" s="4">
        <v>2021</v>
      </c>
      <c r="D134" s="15">
        <v>37.053019552593398</v>
      </c>
      <c r="E134" s="5">
        <v>4255</v>
      </c>
      <c r="F134" s="5">
        <v>23</v>
      </c>
      <c r="G134" s="5"/>
      <c r="H134" s="5"/>
      <c r="I134" s="5"/>
      <c r="J134" s="5"/>
      <c r="K134" s="5"/>
    </row>
    <row r="135" spans="1:11" ht="15.75" customHeight="1" x14ac:dyDescent="0.35">
      <c r="A135" s="3" t="s">
        <v>140</v>
      </c>
      <c r="B135" s="7">
        <v>5246.8</v>
      </c>
      <c r="C135" s="4">
        <v>2021</v>
      </c>
      <c r="D135" s="15">
        <v>37.053019552593398</v>
      </c>
      <c r="E135" s="5">
        <v>8411</v>
      </c>
      <c r="F135" s="5">
        <v>23</v>
      </c>
      <c r="G135" s="5"/>
      <c r="H135" s="5"/>
      <c r="I135" s="5"/>
      <c r="J135" s="5"/>
      <c r="K135" s="5"/>
    </row>
    <row r="136" spans="1:11" ht="15.75" customHeight="1" x14ac:dyDescent="0.35">
      <c r="A136" s="3" t="s">
        <v>141</v>
      </c>
      <c r="B136" s="7">
        <v>6444.4444444444407</v>
      </c>
      <c r="C136" s="4">
        <v>2846</v>
      </c>
      <c r="D136" s="15">
        <v>37.053019552593398</v>
      </c>
      <c r="E136" s="5">
        <v>13000</v>
      </c>
      <c r="F136" s="5">
        <v>23</v>
      </c>
      <c r="G136" s="5"/>
      <c r="H136" s="5"/>
      <c r="I136" s="5"/>
      <c r="J136" s="5"/>
      <c r="K136" s="5"/>
    </row>
    <row r="137" spans="1:11" ht="15.75" customHeight="1" x14ac:dyDescent="0.35">
      <c r="A137" s="3" t="s">
        <v>142</v>
      </c>
      <c r="B137" s="7">
        <v>3496</v>
      </c>
      <c r="C137" s="4">
        <v>7550</v>
      </c>
      <c r="D137" s="15">
        <v>37.053019552593398</v>
      </c>
      <c r="E137" s="5">
        <v>15316</v>
      </c>
      <c r="F137" s="5">
        <v>23</v>
      </c>
      <c r="G137" s="5"/>
      <c r="H137" s="5"/>
      <c r="I137" s="5"/>
      <c r="J137" s="5"/>
      <c r="K137" s="5"/>
    </row>
    <row r="138" spans="1:11" ht="15.75" customHeight="1" x14ac:dyDescent="0.35">
      <c r="A138" s="3" t="s">
        <v>143</v>
      </c>
      <c r="B138" s="7">
        <v>1200</v>
      </c>
      <c r="C138" s="4">
        <v>2658</v>
      </c>
      <c r="D138" s="15">
        <v>37.053019552593398</v>
      </c>
      <c r="E138" s="5">
        <v>1200</v>
      </c>
      <c r="F138" s="5">
        <v>23</v>
      </c>
      <c r="G138" s="5"/>
      <c r="H138" s="5"/>
      <c r="I138" s="5"/>
      <c r="J138" s="5"/>
      <c r="K138" s="5"/>
    </row>
    <row r="139" spans="1:11" ht="15.75" customHeight="1" x14ac:dyDescent="0.35">
      <c r="A139" s="3" t="s">
        <v>149</v>
      </c>
      <c r="B139" s="7">
        <v>14575</v>
      </c>
      <c r="C139" s="4">
        <v>2103</v>
      </c>
      <c r="D139" s="15">
        <v>37.053019552593398</v>
      </c>
      <c r="E139" s="5">
        <v>15000</v>
      </c>
      <c r="F139" s="5">
        <v>23</v>
      </c>
      <c r="G139" s="5"/>
      <c r="H139" s="5"/>
      <c r="I139" s="5"/>
      <c r="J139" s="5"/>
      <c r="K139" s="5"/>
    </row>
    <row r="140" spans="1:11" ht="15.75" customHeight="1" x14ac:dyDescent="0.35">
      <c r="A140" s="3" t="s">
        <v>153</v>
      </c>
      <c r="B140" s="7">
        <v>21475</v>
      </c>
      <c r="C140" s="4">
        <v>2846</v>
      </c>
      <c r="D140" s="15">
        <v>37.053019552593398</v>
      </c>
      <c r="E140" s="5">
        <v>12000</v>
      </c>
      <c r="F140" s="5">
        <v>23</v>
      </c>
      <c r="G140" s="5"/>
      <c r="H140" s="5"/>
      <c r="I140" s="5"/>
      <c r="J140" s="5"/>
      <c r="K140" s="5"/>
    </row>
    <row r="141" spans="1:11" ht="15.75" customHeight="1" x14ac:dyDescent="0.35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</row>
    <row r="142" spans="1:11" ht="15.75" customHeight="1" x14ac:dyDescent="0.35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</row>
    <row r="143" spans="1:11" ht="15.75" customHeight="1" x14ac:dyDescent="0.35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</row>
    <row r="144" spans="1:11" ht="15.75" customHeight="1" x14ac:dyDescent="0.35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</row>
    <row r="145" spans="1:11" ht="15.75" customHeight="1" x14ac:dyDescent="0.35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</row>
    <row r="146" spans="1:11" ht="15.75" customHeight="1" x14ac:dyDescent="0.35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</row>
    <row r="147" spans="1:11" ht="15.75" customHeight="1" x14ac:dyDescent="0.35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</row>
    <row r="148" spans="1:11" ht="15.75" customHeight="1" x14ac:dyDescent="0.35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</row>
    <row r="149" spans="1:11" ht="15.75" customHeight="1" x14ac:dyDescent="0.35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</row>
    <row r="150" spans="1:11" ht="15.75" customHeight="1" x14ac:dyDescent="0.35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</row>
    <row r="151" spans="1:11" ht="15.75" customHeight="1" x14ac:dyDescent="0.35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</row>
    <row r="152" spans="1:11" ht="15.75" customHeight="1" x14ac:dyDescent="0.35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</row>
    <row r="153" spans="1:11" ht="15.75" customHeight="1" x14ac:dyDescent="0.35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</row>
    <row r="154" spans="1:11" ht="15.75" customHeight="1" x14ac:dyDescent="0.35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</row>
    <row r="155" spans="1:11" ht="15.75" customHeight="1" x14ac:dyDescent="0.35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</row>
    <row r="156" spans="1:11" ht="15.75" customHeight="1" x14ac:dyDescent="0.35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</row>
    <row r="157" spans="1:11" ht="15.75" customHeight="1" x14ac:dyDescent="0.35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</row>
    <row r="158" spans="1:11" ht="15.75" customHeight="1" x14ac:dyDescent="0.35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</row>
    <row r="159" spans="1:11" ht="15.75" customHeight="1" x14ac:dyDescent="0.35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</row>
    <row r="160" spans="1:11" ht="15.75" customHeight="1" x14ac:dyDescent="0.35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</row>
    <row r="161" spans="1:11" ht="15.75" customHeight="1" x14ac:dyDescent="0.35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</row>
    <row r="162" spans="1:11" ht="15.75" customHeight="1" x14ac:dyDescent="0.35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</row>
    <row r="163" spans="1:11" ht="15.75" customHeight="1" x14ac:dyDescent="0.35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</row>
    <row r="164" spans="1:11" ht="15.75" customHeight="1" x14ac:dyDescent="0.35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</row>
    <row r="165" spans="1:11" ht="15.75" customHeight="1" x14ac:dyDescent="0.35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</row>
    <row r="166" spans="1:11" ht="15.75" customHeight="1" x14ac:dyDescent="0.35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</row>
    <row r="167" spans="1:11" ht="15.75" customHeight="1" x14ac:dyDescent="0.35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</row>
    <row r="168" spans="1:11" ht="15.75" customHeight="1" x14ac:dyDescent="0.35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</row>
    <row r="169" spans="1:11" ht="15.75" customHeight="1" x14ac:dyDescent="0.35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</row>
    <row r="170" spans="1:11" ht="15.75" customHeight="1" x14ac:dyDescent="0.35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</row>
    <row r="171" spans="1:11" ht="15.75" customHeight="1" x14ac:dyDescent="0.35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</row>
    <row r="172" spans="1:11" ht="15.75" customHeight="1" x14ac:dyDescent="0.35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</row>
    <row r="173" spans="1:11" ht="15.75" customHeight="1" x14ac:dyDescent="0.35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</row>
    <row r="174" spans="1:11" ht="15.75" customHeight="1" x14ac:dyDescent="0.35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</row>
    <row r="175" spans="1:11" ht="15.75" customHeight="1" x14ac:dyDescent="0.35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</row>
    <row r="176" spans="1:11" ht="15.75" customHeight="1" x14ac:dyDescent="0.35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</row>
    <row r="177" spans="1:11" ht="15.75" customHeight="1" x14ac:dyDescent="0.35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</row>
    <row r="178" spans="1:11" ht="15.75" customHeight="1" x14ac:dyDescent="0.35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</row>
    <row r="179" spans="1:11" ht="15.75" customHeight="1" x14ac:dyDescent="0.35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</row>
    <row r="180" spans="1:11" ht="15.75" customHeight="1" x14ac:dyDescent="0.35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</row>
    <row r="181" spans="1:11" ht="15.75" customHeight="1" x14ac:dyDescent="0.35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</row>
    <row r="182" spans="1:11" ht="15.75" customHeight="1" x14ac:dyDescent="0.35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</row>
    <row r="183" spans="1:11" ht="15.75" customHeight="1" x14ac:dyDescent="0.35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</row>
    <row r="184" spans="1:11" ht="15.75" customHeight="1" x14ac:dyDescent="0.35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</row>
    <row r="185" spans="1:11" ht="15.75" customHeight="1" x14ac:dyDescent="0.35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</row>
    <row r="186" spans="1:11" ht="15.75" customHeight="1" x14ac:dyDescent="0.35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</row>
    <row r="187" spans="1:11" ht="15.75" customHeight="1" x14ac:dyDescent="0.35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</row>
    <row r="188" spans="1:11" ht="15.75" customHeight="1" x14ac:dyDescent="0.35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</row>
    <row r="189" spans="1:11" ht="15.75" customHeight="1" x14ac:dyDescent="0.35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</row>
    <row r="190" spans="1:11" ht="15.75" customHeight="1" x14ac:dyDescent="0.35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</row>
    <row r="191" spans="1:11" ht="15.75" customHeight="1" x14ac:dyDescent="0.35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</row>
    <row r="192" spans="1:11" ht="15.75" customHeight="1" x14ac:dyDescent="0.35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</row>
    <row r="193" spans="1:11" ht="15.75" customHeight="1" x14ac:dyDescent="0.35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</row>
    <row r="194" spans="1:11" ht="15.75" customHeight="1" x14ac:dyDescent="0.35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</row>
    <row r="195" spans="1:11" ht="15.75" customHeight="1" x14ac:dyDescent="0.35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</row>
    <row r="196" spans="1:11" ht="15.75" customHeight="1" x14ac:dyDescent="0.35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</row>
    <row r="197" spans="1:11" ht="15.75" customHeight="1" x14ac:dyDescent="0.35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</row>
    <row r="198" spans="1:11" ht="15.75" customHeight="1" x14ac:dyDescent="0.35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</row>
    <row r="199" spans="1:11" ht="15.75" customHeight="1" x14ac:dyDescent="0.35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</row>
    <row r="200" spans="1:11" ht="15.75" customHeight="1" x14ac:dyDescent="0.35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</row>
    <row r="201" spans="1:11" ht="15.75" customHeight="1" x14ac:dyDescent="0.35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</row>
    <row r="202" spans="1:11" ht="15.75" customHeight="1" x14ac:dyDescent="0.35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</row>
    <row r="203" spans="1:11" ht="15.75" customHeight="1" x14ac:dyDescent="0.35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</row>
    <row r="204" spans="1:11" ht="15.75" customHeight="1" x14ac:dyDescent="0.35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</row>
    <row r="205" spans="1:11" ht="15.75" customHeight="1" x14ac:dyDescent="0.35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</row>
    <row r="206" spans="1:11" ht="15.75" customHeight="1" x14ac:dyDescent="0.35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</row>
    <row r="207" spans="1:11" ht="15.75" customHeight="1" x14ac:dyDescent="0.35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</row>
    <row r="208" spans="1:11" ht="15.75" customHeight="1" x14ac:dyDescent="0.35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</row>
    <row r="209" spans="1:11" ht="15.75" customHeight="1" x14ac:dyDescent="0.35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</row>
    <row r="210" spans="1:11" ht="15.75" customHeight="1" x14ac:dyDescent="0.35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</row>
    <row r="211" spans="1:11" ht="15.75" customHeight="1" x14ac:dyDescent="0.35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</row>
    <row r="212" spans="1:11" ht="15.75" customHeight="1" x14ac:dyDescent="0.35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</row>
    <row r="213" spans="1:11" ht="15.75" customHeight="1" x14ac:dyDescent="0.35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</row>
    <row r="214" spans="1:11" ht="15.75" customHeight="1" x14ac:dyDescent="0.35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</row>
    <row r="215" spans="1:11" ht="15.75" customHeight="1" x14ac:dyDescent="0.35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</row>
    <row r="216" spans="1:11" ht="15.75" customHeight="1" x14ac:dyDescent="0.35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</row>
    <row r="217" spans="1:11" ht="15.75" customHeight="1" x14ac:dyDescent="0.35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</row>
    <row r="218" spans="1:11" ht="15.75" customHeight="1" x14ac:dyDescent="0.35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</row>
    <row r="219" spans="1:11" ht="15.75" customHeight="1" x14ac:dyDescent="0.35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</row>
    <row r="220" spans="1:11" ht="15.75" customHeight="1" x14ac:dyDescent="0.35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</row>
    <row r="221" spans="1:11" ht="15.75" customHeight="1" x14ac:dyDescent="0.35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</row>
    <row r="222" spans="1:11" ht="15.75" customHeight="1" x14ac:dyDescent="0.35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</row>
    <row r="223" spans="1:11" ht="15.75" customHeight="1" x14ac:dyDescent="0.35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</row>
    <row r="224" spans="1:11" ht="15.75" customHeight="1" x14ac:dyDescent="0.35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</row>
    <row r="225" spans="1:11" ht="15.75" customHeight="1" x14ac:dyDescent="0.35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</row>
    <row r="226" spans="1:11" ht="15.75" customHeight="1" x14ac:dyDescent="0.35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</row>
    <row r="227" spans="1:11" ht="15.75" customHeight="1" x14ac:dyDescent="0.35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</row>
    <row r="228" spans="1:11" ht="15.75" customHeight="1" x14ac:dyDescent="0.35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</row>
    <row r="229" spans="1:11" ht="15.75" customHeight="1" x14ac:dyDescent="0.35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</row>
    <row r="230" spans="1:11" ht="15.75" customHeight="1" x14ac:dyDescent="0.35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</row>
    <row r="231" spans="1:11" ht="15.75" customHeight="1" x14ac:dyDescent="0.35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</row>
    <row r="232" spans="1:11" ht="15.75" customHeight="1" x14ac:dyDescent="0.35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</row>
    <row r="233" spans="1:11" ht="15.75" customHeight="1" x14ac:dyDescent="0.35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</row>
    <row r="234" spans="1:11" ht="15.75" customHeight="1" x14ac:dyDescent="0.35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</row>
    <row r="235" spans="1:11" ht="15.75" customHeight="1" x14ac:dyDescent="0.35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</row>
    <row r="236" spans="1:11" ht="15.75" customHeight="1" x14ac:dyDescent="0.35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</row>
    <row r="237" spans="1:11" ht="15.75" customHeight="1" x14ac:dyDescent="0.35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</row>
    <row r="238" spans="1:11" ht="15.75" customHeight="1" x14ac:dyDescent="0.35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</row>
    <row r="239" spans="1:11" ht="15.75" customHeight="1" x14ac:dyDescent="0.35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</row>
    <row r="240" spans="1:11" ht="15.75" customHeight="1" x14ac:dyDescent="0.35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</row>
    <row r="241" spans="1:11" ht="15.75" customHeight="1" x14ac:dyDescent="0.35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</row>
    <row r="242" spans="1:11" ht="15.75" customHeight="1" x14ac:dyDescent="0.35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</row>
    <row r="243" spans="1:11" ht="15.75" customHeight="1" x14ac:dyDescent="0.35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</row>
    <row r="244" spans="1:11" ht="15.75" customHeight="1" x14ac:dyDescent="0.35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</row>
    <row r="245" spans="1:11" ht="15.75" customHeight="1" x14ac:dyDescent="0.35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</row>
    <row r="246" spans="1:11" ht="15.75" customHeight="1" x14ac:dyDescent="0.35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</row>
    <row r="247" spans="1:11" ht="15.75" customHeight="1" x14ac:dyDescent="0.35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</row>
    <row r="248" spans="1:11" ht="15.75" customHeight="1" x14ac:dyDescent="0.35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</row>
    <row r="249" spans="1:11" ht="15.75" customHeight="1" x14ac:dyDescent="0.35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</row>
    <row r="250" spans="1:11" ht="15.75" customHeight="1" x14ac:dyDescent="0.35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</row>
    <row r="251" spans="1:11" ht="15.75" customHeight="1" x14ac:dyDescent="0.35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</row>
    <row r="252" spans="1:11" ht="15.75" customHeight="1" x14ac:dyDescent="0.35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</row>
    <row r="253" spans="1:11" ht="15.75" customHeight="1" x14ac:dyDescent="0.35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</row>
    <row r="254" spans="1:11" ht="15.75" customHeight="1" x14ac:dyDescent="0.35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</row>
    <row r="255" spans="1:11" ht="15.75" customHeight="1" x14ac:dyDescent="0.35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</row>
    <row r="256" spans="1:11" ht="15.75" customHeight="1" x14ac:dyDescent="0.35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</row>
    <row r="257" spans="1:11" ht="15.75" customHeight="1" x14ac:dyDescent="0.35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</row>
    <row r="258" spans="1:11" ht="15.75" customHeight="1" x14ac:dyDescent="0.35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</row>
    <row r="259" spans="1:11" ht="15.75" customHeight="1" x14ac:dyDescent="0.35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</row>
    <row r="260" spans="1:11" ht="15.75" customHeight="1" x14ac:dyDescent="0.35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</row>
    <row r="261" spans="1:11" ht="15.75" customHeight="1" x14ac:dyDescent="0.35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</row>
    <row r="262" spans="1:11" ht="15.75" customHeight="1" x14ac:dyDescent="0.35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</row>
    <row r="263" spans="1:11" ht="15.75" customHeight="1" x14ac:dyDescent="0.35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</row>
    <row r="264" spans="1:11" ht="15.75" customHeight="1" x14ac:dyDescent="0.35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</row>
    <row r="265" spans="1:11" ht="15.75" customHeight="1" x14ac:dyDescent="0.35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</row>
    <row r="266" spans="1:11" ht="15.75" customHeight="1" x14ac:dyDescent="0.35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</row>
    <row r="267" spans="1:11" ht="15.75" customHeight="1" x14ac:dyDescent="0.35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</row>
    <row r="268" spans="1:11" ht="15.75" customHeight="1" x14ac:dyDescent="0.35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</row>
    <row r="269" spans="1:11" ht="15.75" customHeight="1" x14ac:dyDescent="0.35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</row>
    <row r="270" spans="1:11" ht="15.75" customHeight="1" x14ac:dyDescent="0.35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</row>
    <row r="271" spans="1:11" ht="15.75" customHeight="1" x14ac:dyDescent="0.35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</row>
    <row r="272" spans="1:11" ht="15.75" customHeight="1" x14ac:dyDescent="0.35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</row>
    <row r="273" spans="1:11" ht="15.75" customHeight="1" x14ac:dyDescent="0.35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</row>
    <row r="274" spans="1:11" ht="15.75" customHeight="1" x14ac:dyDescent="0.35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</row>
    <row r="275" spans="1:11" ht="15.75" customHeight="1" x14ac:dyDescent="0.35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</row>
    <row r="276" spans="1:11" ht="15.75" customHeight="1" x14ac:dyDescent="0.35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</row>
    <row r="277" spans="1:11" ht="15.75" customHeight="1" x14ac:dyDescent="0.35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</row>
    <row r="278" spans="1:11" ht="15.75" customHeight="1" x14ac:dyDescent="0.35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</row>
    <row r="279" spans="1:11" ht="15.75" customHeight="1" x14ac:dyDescent="0.35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</row>
    <row r="280" spans="1:11" ht="15.75" customHeight="1" x14ac:dyDescent="0.35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</row>
    <row r="281" spans="1:11" ht="15.75" customHeight="1" x14ac:dyDescent="0.35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</row>
    <row r="282" spans="1:11" ht="15.75" customHeight="1" x14ac:dyDescent="0.35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</row>
    <row r="283" spans="1:11" ht="15.75" customHeight="1" x14ac:dyDescent="0.35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</row>
    <row r="284" spans="1:11" ht="15.75" customHeight="1" x14ac:dyDescent="0.35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</row>
    <row r="285" spans="1:11" ht="15.75" customHeight="1" x14ac:dyDescent="0.35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</row>
    <row r="286" spans="1:11" ht="15.75" customHeight="1" x14ac:dyDescent="0.35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</row>
    <row r="287" spans="1:11" ht="15.75" customHeight="1" x14ac:dyDescent="0.35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</row>
    <row r="288" spans="1:11" ht="15.75" customHeight="1" x14ac:dyDescent="0.35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</row>
    <row r="289" spans="1:11" ht="15.75" customHeight="1" x14ac:dyDescent="0.35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</row>
    <row r="290" spans="1:11" ht="15.75" customHeight="1" x14ac:dyDescent="0.35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</row>
    <row r="291" spans="1:11" ht="15.75" customHeight="1" x14ac:dyDescent="0.35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</row>
    <row r="292" spans="1:11" ht="15.75" customHeight="1" x14ac:dyDescent="0.35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</row>
    <row r="293" spans="1:11" ht="15.75" customHeight="1" x14ac:dyDescent="0.35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</row>
    <row r="294" spans="1:11" ht="15.75" customHeight="1" x14ac:dyDescent="0.35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</row>
    <row r="295" spans="1:11" ht="15.75" customHeight="1" x14ac:dyDescent="0.35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</row>
    <row r="296" spans="1:11" ht="15.75" customHeight="1" x14ac:dyDescent="0.35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</row>
    <row r="297" spans="1:11" ht="15.75" customHeight="1" x14ac:dyDescent="0.35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</row>
    <row r="298" spans="1:11" ht="15.75" customHeight="1" x14ac:dyDescent="0.35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</row>
    <row r="299" spans="1:11" ht="15.75" customHeight="1" x14ac:dyDescent="0.35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</row>
    <row r="300" spans="1:11" ht="15.75" customHeight="1" x14ac:dyDescent="0.35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</row>
    <row r="301" spans="1:11" ht="15.75" customHeight="1" x14ac:dyDescent="0.35">
      <c r="A301" s="5"/>
      <c r="B301" s="5"/>
      <c r="C301" s="6"/>
      <c r="D301" s="5"/>
      <c r="E301" s="5"/>
      <c r="F301" s="5"/>
      <c r="G301" s="5"/>
      <c r="H301" s="5"/>
      <c r="I301" s="5"/>
      <c r="J301" s="5"/>
      <c r="K301" s="5"/>
    </row>
    <row r="302" spans="1:11" ht="15.75" customHeight="1" x14ac:dyDescent="0.35">
      <c r="A302" s="5"/>
      <c r="B302" s="5"/>
      <c r="C302" s="6"/>
      <c r="D302" s="5"/>
      <c r="E302" s="5"/>
      <c r="F302" s="5"/>
      <c r="G302" s="5"/>
      <c r="H302" s="5"/>
      <c r="I302" s="5"/>
      <c r="J302" s="5"/>
      <c r="K302" s="5"/>
    </row>
    <row r="303" spans="1:11" ht="15.75" customHeight="1" x14ac:dyDescent="0.35">
      <c r="A303" s="5"/>
      <c r="B303" s="5"/>
      <c r="C303" s="6"/>
      <c r="D303" s="5"/>
      <c r="E303" s="5"/>
      <c r="F303" s="5"/>
      <c r="G303" s="5"/>
      <c r="H303" s="5"/>
      <c r="I303" s="5"/>
      <c r="J303" s="5"/>
      <c r="K303" s="5"/>
    </row>
    <row r="304" spans="1:11" ht="15.75" customHeight="1" x14ac:dyDescent="0.35">
      <c r="A304" s="5"/>
      <c r="B304" s="5"/>
      <c r="C304" s="6"/>
      <c r="D304" s="5"/>
      <c r="E304" s="5"/>
      <c r="F304" s="5"/>
      <c r="G304" s="5"/>
      <c r="H304" s="5"/>
      <c r="I304" s="5"/>
      <c r="J304" s="5"/>
      <c r="K304" s="5"/>
    </row>
    <row r="305" spans="1:11" ht="15.75" customHeight="1" x14ac:dyDescent="0.35">
      <c r="A305" s="5"/>
      <c r="B305" s="5"/>
      <c r="C305" s="6"/>
      <c r="D305" s="5"/>
      <c r="E305" s="5"/>
      <c r="F305" s="5"/>
      <c r="G305" s="5"/>
      <c r="H305" s="5"/>
      <c r="I305" s="5"/>
      <c r="J305" s="5"/>
      <c r="K305" s="5"/>
    </row>
    <row r="306" spans="1:11" ht="15.75" customHeight="1" x14ac:dyDescent="0.35">
      <c r="A306" s="5"/>
      <c r="B306" s="5"/>
      <c r="C306" s="6"/>
      <c r="D306" s="5"/>
      <c r="E306" s="5"/>
      <c r="F306" s="5"/>
      <c r="G306" s="5"/>
      <c r="H306" s="5"/>
      <c r="I306" s="5"/>
      <c r="J306" s="5"/>
      <c r="K306" s="5"/>
    </row>
    <row r="307" spans="1:11" ht="15.75" customHeight="1" x14ac:dyDescent="0.35">
      <c r="A307" s="5"/>
      <c r="B307" s="5"/>
      <c r="C307" s="6"/>
      <c r="D307" s="5"/>
      <c r="E307" s="5"/>
      <c r="F307" s="5"/>
      <c r="G307" s="5"/>
      <c r="H307" s="5"/>
      <c r="I307" s="5"/>
      <c r="J307" s="5"/>
      <c r="K307" s="5"/>
    </row>
    <row r="308" spans="1:11" ht="15.75" customHeight="1" x14ac:dyDescent="0.35">
      <c r="A308" s="5"/>
      <c r="B308" s="5"/>
      <c r="C308" s="6"/>
      <c r="D308" s="5"/>
      <c r="E308" s="5"/>
      <c r="F308" s="5"/>
      <c r="G308" s="5"/>
      <c r="H308" s="5"/>
      <c r="I308" s="5"/>
      <c r="J308" s="5"/>
      <c r="K308" s="5"/>
    </row>
    <row r="309" spans="1:11" ht="15.75" customHeight="1" x14ac:dyDescent="0.35">
      <c r="A309" s="5"/>
      <c r="B309" s="5"/>
      <c r="C309" s="6"/>
      <c r="D309" s="5"/>
      <c r="E309" s="5"/>
      <c r="F309" s="5"/>
      <c r="G309" s="5"/>
      <c r="H309" s="5"/>
      <c r="I309" s="5"/>
      <c r="J309" s="5"/>
      <c r="K309" s="5"/>
    </row>
    <row r="310" spans="1:11" ht="15.75" customHeight="1" x14ac:dyDescent="0.35">
      <c r="A310" s="5"/>
      <c r="B310" s="5"/>
      <c r="C310" s="6"/>
      <c r="D310" s="5"/>
      <c r="E310" s="5"/>
      <c r="F310" s="5"/>
      <c r="G310" s="5"/>
      <c r="H310" s="5"/>
      <c r="I310" s="5"/>
      <c r="J310" s="5"/>
      <c r="K310" s="5"/>
    </row>
    <row r="311" spans="1:11" ht="15.75" customHeight="1" x14ac:dyDescent="0.35">
      <c r="A311" s="5"/>
      <c r="B311" s="5"/>
      <c r="C311" s="6"/>
      <c r="D311" s="5"/>
      <c r="E311" s="5"/>
      <c r="F311" s="5"/>
      <c r="G311" s="5"/>
      <c r="H311" s="5"/>
      <c r="I311" s="5"/>
      <c r="J311" s="5"/>
      <c r="K311" s="5"/>
    </row>
    <row r="312" spans="1:11" ht="15.75" customHeight="1" x14ac:dyDescent="0.35">
      <c r="A312" s="5"/>
      <c r="B312" s="5"/>
      <c r="C312" s="6"/>
      <c r="D312" s="5"/>
      <c r="E312" s="5"/>
      <c r="F312" s="5"/>
      <c r="G312" s="5"/>
      <c r="H312" s="5"/>
      <c r="I312" s="5"/>
      <c r="J312" s="5"/>
      <c r="K312" s="5"/>
    </row>
    <row r="313" spans="1:11" ht="15.75" customHeight="1" x14ac:dyDescent="0.35">
      <c r="A313" s="5"/>
      <c r="B313" s="5"/>
      <c r="C313" s="6"/>
      <c r="D313" s="5"/>
      <c r="E313" s="5"/>
      <c r="F313" s="5"/>
      <c r="G313" s="5"/>
      <c r="H313" s="5"/>
      <c r="I313" s="5"/>
      <c r="J313" s="5"/>
      <c r="K313" s="5"/>
    </row>
    <row r="314" spans="1:11" ht="15.75" customHeight="1" x14ac:dyDescent="0.35">
      <c r="A314" s="5"/>
      <c r="B314" s="5"/>
      <c r="C314" s="6"/>
      <c r="D314" s="5"/>
      <c r="E314" s="5"/>
      <c r="F314" s="5"/>
      <c r="G314" s="5"/>
      <c r="H314" s="5"/>
      <c r="I314" s="5"/>
      <c r="J314" s="5"/>
      <c r="K314" s="5"/>
    </row>
    <row r="315" spans="1:11" ht="15.75" customHeight="1" x14ac:dyDescent="0.35">
      <c r="A315" s="5"/>
      <c r="B315" s="5"/>
      <c r="C315" s="6"/>
      <c r="D315" s="5"/>
      <c r="E315" s="5"/>
      <c r="F315" s="5"/>
      <c r="G315" s="5"/>
      <c r="H315" s="5"/>
      <c r="I315" s="5"/>
      <c r="J315" s="5"/>
      <c r="K315" s="5"/>
    </row>
    <row r="316" spans="1:11" ht="15.75" customHeight="1" x14ac:dyDescent="0.35">
      <c r="A316" s="5"/>
      <c r="B316" s="5"/>
      <c r="C316" s="6"/>
      <c r="D316" s="5"/>
      <c r="E316" s="5"/>
      <c r="F316" s="5"/>
      <c r="G316" s="5"/>
      <c r="H316" s="5"/>
      <c r="I316" s="5"/>
      <c r="J316" s="5"/>
      <c r="K316" s="5"/>
    </row>
    <row r="317" spans="1:11" ht="15.75" customHeight="1" x14ac:dyDescent="0.35">
      <c r="A317" s="5"/>
      <c r="B317" s="5"/>
      <c r="C317" s="6"/>
      <c r="D317" s="5"/>
      <c r="E317" s="5"/>
      <c r="F317" s="5"/>
      <c r="G317" s="5"/>
      <c r="H317" s="5"/>
      <c r="I317" s="5"/>
      <c r="J317" s="5"/>
      <c r="K317" s="5"/>
    </row>
    <row r="318" spans="1:11" ht="15.75" customHeight="1" x14ac:dyDescent="0.35">
      <c r="A318" s="5"/>
      <c r="B318" s="5"/>
      <c r="C318" s="6"/>
      <c r="D318" s="5"/>
      <c r="E318" s="5"/>
      <c r="F318" s="5"/>
      <c r="G318" s="5"/>
      <c r="H318" s="5"/>
      <c r="I318" s="5"/>
      <c r="J318" s="5"/>
      <c r="K318" s="5"/>
    </row>
    <row r="319" spans="1:11" ht="15.75" customHeight="1" x14ac:dyDescent="0.35">
      <c r="A319" s="5"/>
      <c r="B319" s="5"/>
      <c r="C319" s="6"/>
      <c r="D319" s="5"/>
      <c r="E319" s="5"/>
      <c r="F319" s="5"/>
      <c r="G319" s="5"/>
      <c r="H319" s="5"/>
      <c r="I319" s="5"/>
      <c r="J319" s="5"/>
      <c r="K319" s="5"/>
    </row>
    <row r="320" spans="1:11" ht="15.75" customHeight="1" x14ac:dyDescent="0.35">
      <c r="A320" s="5"/>
      <c r="B320" s="5"/>
      <c r="C320" s="6"/>
      <c r="D320" s="5"/>
      <c r="E320" s="5"/>
      <c r="F320" s="5"/>
      <c r="G320" s="5"/>
      <c r="H320" s="5"/>
      <c r="I320" s="5"/>
      <c r="J320" s="5"/>
      <c r="K320" s="5"/>
    </row>
    <row r="321" spans="1:11" ht="15.75" customHeight="1" x14ac:dyDescent="0.35">
      <c r="A321" s="5"/>
      <c r="B321" s="5"/>
      <c r="C321" s="6"/>
      <c r="D321" s="5"/>
      <c r="E321" s="5"/>
      <c r="F321" s="5"/>
      <c r="G321" s="5"/>
      <c r="H321" s="5"/>
      <c r="I321" s="5"/>
      <c r="J321" s="5"/>
      <c r="K321" s="5"/>
    </row>
    <row r="322" spans="1:11" ht="15.75" customHeight="1" x14ac:dyDescent="0.35">
      <c r="A322" s="5"/>
      <c r="B322" s="5"/>
      <c r="C322" s="6"/>
      <c r="D322" s="5"/>
      <c r="E322" s="5"/>
      <c r="F322" s="5"/>
      <c r="G322" s="5"/>
      <c r="H322" s="5"/>
      <c r="I322" s="5"/>
      <c r="J322" s="5"/>
      <c r="K322" s="5"/>
    </row>
    <row r="323" spans="1:11" ht="15.75" customHeight="1" x14ac:dyDescent="0.35">
      <c r="A323" s="5"/>
      <c r="B323" s="5"/>
      <c r="C323" s="6"/>
      <c r="D323" s="5"/>
      <c r="E323" s="5"/>
      <c r="F323" s="5"/>
      <c r="G323" s="5"/>
      <c r="H323" s="5"/>
      <c r="I323" s="5"/>
      <c r="J323" s="5"/>
      <c r="K323" s="5"/>
    </row>
    <row r="324" spans="1:11" ht="15.75" customHeight="1" x14ac:dyDescent="0.35">
      <c r="A324" s="5"/>
      <c r="B324" s="5"/>
      <c r="C324" s="6"/>
      <c r="D324" s="5"/>
      <c r="E324" s="5"/>
      <c r="F324" s="5"/>
      <c r="G324" s="5"/>
      <c r="H324" s="5"/>
      <c r="I324" s="5"/>
      <c r="J324" s="5"/>
      <c r="K324" s="5"/>
    </row>
    <row r="325" spans="1:11" ht="15.75" customHeight="1" x14ac:dyDescent="0.35">
      <c r="A325" s="5"/>
      <c r="B325" s="5"/>
      <c r="C325" s="6"/>
      <c r="D325" s="5"/>
      <c r="E325" s="5"/>
      <c r="F325" s="5"/>
      <c r="G325" s="5"/>
      <c r="H325" s="5"/>
      <c r="I325" s="5"/>
      <c r="J325" s="5"/>
      <c r="K325" s="5"/>
    </row>
    <row r="326" spans="1:11" ht="15.75" customHeight="1" x14ac:dyDescent="0.35">
      <c r="A326" s="5"/>
      <c r="B326" s="5"/>
      <c r="C326" s="6"/>
      <c r="D326" s="5"/>
      <c r="E326" s="5"/>
      <c r="F326" s="5"/>
      <c r="G326" s="5"/>
      <c r="H326" s="5"/>
      <c r="I326" s="5"/>
      <c r="J326" s="5"/>
      <c r="K326" s="5"/>
    </row>
    <row r="327" spans="1:11" ht="15.75" customHeight="1" x14ac:dyDescent="0.35">
      <c r="A327" s="5"/>
      <c r="B327" s="5"/>
      <c r="C327" s="6"/>
      <c r="D327" s="5"/>
      <c r="E327" s="5"/>
      <c r="F327" s="5"/>
      <c r="G327" s="5"/>
      <c r="H327" s="5"/>
      <c r="I327" s="5"/>
      <c r="J327" s="5"/>
      <c r="K327" s="5"/>
    </row>
    <row r="328" spans="1:11" ht="15.75" customHeight="1" x14ac:dyDescent="0.35">
      <c r="A328" s="5"/>
      <c r="B328" s="5"/>
      <c r="C328" s="6"/>
      <c r="D328" s="5"/>
      <c r="E328" s="5"/>
      <c r="F328" s="5"/>
      <c r="G328" s="5"/>
      <c r="H328" s="5"/>
      <c r="I328" s="5"/>
      <c r="J328" s="5"/>
      <c r="K328" s="5"/>
    </row>
    <row r="329" spans="1:11" ht="15.75" customHeight="1" x14ac:dyDescent="0.35">
      <c r="A329" s="5"/>
      <c r="B329" s="5"/>
      <c r="C329" s="6"/>
      <c r="D329" s="5"/>
      <c r="E329" s="5"/>
      <c r="F329" s="5"/>
      <c r="G329" s="5"/>
      <c r="H329" s="5"/>
      <c r="I329" s="5"/>
      <c r="J329" s="5"/>
      <c r="K329" s="5"/>
    </row>
    <row r="330" spans="1:11" ht="15.75" customHeight="1" x14ac:dyDescent="0.35">
      <c r="A330" s="5"/>
      <c r="B330" s="5"/>
      <c r="C330" s="6"/>
      <c r="D330" s="5"/>
      <c r="E330" s="5"/>
      <c r="F330" s="5"/>
      <c r="G330" s="5"/>
      <c r="H330" s="5"/>
      <c r="I330" s="5"/>
      <c r="J330" s="5"/>
      <c r="K330" s="5"/>
    </row>
    <row r="331" spans="1:11" ht="15.75" customHeight="1" x14ac:dyDescent="0.35">
      <c r="A331" s="5"/>
      <c r="B331" s="5"/>
      <c r="C331" s="6"/>
      <c r="D331" s="5"/>
      <c r="E331" s="5"/>
      <c r="F331" s="5"/>
      <c r="G331" s="5"/>
      <c r="H331" s="5"/>
      <c r="I331" s="5"/>
      <c r="J331" s="5"/>
      <c r="K331" s="5"/>
    </row>
    <row r="332" spans="1:11" ht="15.75" customHeight="1" x14ac:dyDescent="0.35">
      <c r="A332" s="5"/>
      <c r="B332" s="5"/>
      <c r="C332" s="6"/>
      <c r="D332" s="5"/>
      <c r="E332" s="5"/>
      <c r="F332" s="5"/>
      <c r="G332" s="5"/>
      <c r="H332" s="5"/>
      <c r="I332" s="5"/>
      <c r="J332" s="5"/>
      <c r="K332" s="5"/>
    </row>
    <row r="333" spans="1:11" ht="15.75" customHeight="1" x14ac:dyDescent="0.35">
      <c r="A333" s="5"/>
      <c r="B333" s="5"/>
      <c r="C333" s="6"/>
      <c r="D333" s="5"/>
      <c r="E333" s="5"/>
      <c r="F333" s="5"/>
      <c r="G333" s="5"/>
      <c r="H333" s="5"/>
      <c r="I333" s="5"/>
      <c r="J333" s="5"/>
      <c r="K333" s="5"/>
    </row>
    <row r="334" spans="1:11" ht="15.75" customHeight="1" x14ac:dyDescent="0.35">
      <c r="A334" s="5"/>
      <c r="B334" s="5"/>
      <c r="C334" s="6"/>
      <c r="D334" s="5"/>
      <c r="E334" s="5"/>
      <c r="F334" s="5"/>
      <c r="G334" s="5"/>
      <c r="H334" s="5"/>
      <c r="I334" s="5"/>
      <c r="J334" s="5"/>
      <c r="K334" s="5"/>
    </row>
    <row r="335" spans="1:11" ht="15.75" customHeight="1" x14ac:dyDescent="0.35">
      <c r="A335" s="5"/>
      <c r="B335" s="5"/>
      <c r="C335" s="6"/>
      <c r="D335" s="5"/>
      <c r="E335" s="5"/>
      <c r="F335" s="5"/>
      <c r="G335" s="5"/>
      <c r="H335" s="5"/>
      <c r="I335" s="5"/>
      <c r="J335" s="5"/>
      <c r="K335" s="5"/>
    </row>
    <row r="336" spans="1:11" ht="15.75" customHeight="1" x14ac:dyDescent="0.35">
      <c r="A336" s="5"/>
      <c r="B336" s="5"/>
      <c r="C336" s="6"/>
      <c r="D336" s="5"/>
      <c r="E336" s="5"/>
      <c r="F336" s="5"/>
      <c r="G336" s="5"/>
      <c r="H336" s="5"/>
      <c r="I336" s="5"/>
      <c r="J336" s="5"/>
      <c r="K336" s="5"/>
    </row>
    <row r="337" spans="1:11" ht="15.75" customHeight="1" x14ac:dyDescent="0.35">
      <c r="A337" s="5"/>
      <c r="B337" s="5"/>
      <c r="C337" s="6"/>
      <c r="D337" s="5"/>
      <c r="E337" s="5"/>
      <c r="F337" s="5"/>
      <c r="G337" s="5"/>
      <c r="H337" s="5"/>
      <c r="I337" s="5"/>
      <c r="J337" s="5"/>
      <c r="K337" s="5"/>
    </row>
    <row r="338" spans="1:11" ht="15.75" customHeight="1" x14ac:dyDescent="0.35">
      <c r="A338" s="5"/>
      <c r="B338" s="5"/>
      <c r="C338" s="6"/>
      <c r="D338" s="5"/>
      <c r="E338" s="5"/>
      <c r="F338" s="5"/>
      <c r="G338" s="5"/>
      <c r="H338" s="5"/>
      <c r="I338" s="5"/>
      <c r="J338" s="5"/>
      <c r="K338" s="5"/>
    </row>
    <row r="339" spans="1:11" ht="15.75" customHeight="1" x14ac:dyDescent="0.35">
      <c r="A339" s="5"/>
      <c r="B339" s="5"/>
      <c r="C339" s="6"/>
      <c r="D339" s="5"/>
      <c r="E339" s="5"/>
      <c r="F339" s="5"/>
      <c r="G339" s="5"/>
      <c r="H339" s="5"/>
      <c r="I339" s="5"/>
      <c r="J339" s="5"/>
      <c r="K339" s="5"/>
    </row>
    <row r="340" spans="1:11" ht="15.75" customHeight="1" x14ac:dyDescent="0.35">
      <c r="A340" s="5"/>
      <c r="B340" s="5"/>
      <c r="C340" s="6"/>
      <c r="D340" s="5"/>
      <c r="E340" s="5"/>
      <c r="F340" s="5"/>
      <c r="G340" s="5"/>
      <c r="H340" s="5"/>
      <c r="I340" s="5"/>
      <c r="J340" s="5"/>
      <c r="K340" s="5"/>
    </row>
    <row r="341" spans="1:11" ht="15.75" customHeight="1" x14ac:dyDescent="0.35">
      <c r="A341" s="5"/>
      <c r="B341" s="5"/>
      <c r="C341" s="6"/>
      <c r="D341" s="5"/>
      <c r="E341" s="5"/>
      <c r="F341" s="5"/>
      <c r="G341" s="5"/>
      <c r="H341" s="5"/>
      <c r="I341" s="5"/>
      <c r="J341" s="5"/>
      <c r="K341" s="5"/>
    </row>
    <row r="342" spans="1:11" ht="15.75" customHeight="1" x14ac:dyDescent="0.35">
      <c r="A342" s="5"/>
      <c r="B342" s="5"/>
      <c r="C342" s="6"/>
      <c r="D342" s="5"/>
      <c r="E342" s="5"/>
      <c r="F342" s="5"/>
      <c r="G342" s="5"/>
      <c r="H342" s="5"/>
      <c r="I342" s="5"/>
      <c r="J342" s="5"/>
      <c r="K342" s="5"/>
    </row>
    <row r="343" spans="1:11" ht="15.75" customHeight="1" x14ac:dyDescent="0.35">
      <c r="A343" s="5"/>
      <c r="B343" s="5"/>
      <c r="C343" s="6"/>
      <c r="D343" s="5"/>
      <c r="E343" s="5"/>
      <c r="F343" s="5"/>
      <c r="G343" s="5"/>
      <c r="H343" s="5"/>
      <c r="I343" s="5"/>
      <c r="J343" s="5"/>
      <c r="K343" s="5"/>
    </row>
    <row r="344" spans="1:11" ht="15.75" customHeight="1" x14ac:dyDescent="0.35">
      <c r="A344" s="5"/>
      <c r="B344" s="5"/>
      <c r="C344" s="6"/>
      <c r="D344" s="5"/>
      <c r="E344" s="5"/>
      <c r="F344" s="5"/>
      <c r="G344" s="5"/>
      <c r="H344" s="5"/>
      <c r="I344" s="5"/>
      <c r="J344" s="5"/>
      <c r="K344" s="5"/>
    </row>
    <row r="345" spans="1:11" ht="15.75" customHeight="1" x14ac:dyDescent="0.35">
      <c r="A345" s="5"/>
      <c r="B345" s="5"/>
      <c r="C345" s="6"/>
      <c r="D345" s="5"/>
      <c r="E345" s="5"/>
      <c r="F345" s="5"/>
      <c r="G345" s="5"/>
      <c r="H345" s="5"/>
      <c r="I345" s="5"/>
      <c r="J345" s="5"/>
      <c r="K345" s="5"/>
    </row>
    <row r="346" spans="1:11" ht="15.75" customHeight="1" x14ac:dyDescent="0.35">
      <c r="A346" s="5"/>
      <c r="B346" s="5"/>
      <c r="C346" s="6"/>
      <c r="D346" s="5"/>
      <c r="E346" s="5"/>
      <c r="F346" s="5"/>
      <c r="G346" s="5"/>
      <c r="H346" s="5"/>
      <c r="I346" s="5"/>
      <c r="J346" s="5"/>
      <c r="K346" s="5"/>
    </row>
    <row r="347" spans="1:11" ht="15.75" customHeight="1" x14ac:dyDescent="0.35">
      <c r="A347" s="5"/>
      <c r="B347" s="5"/>
      <c r="C347" s="6"/>
      <c r="D347" s="5"/>
      <c r="E347" s="5"/>
      <c r="F347" s="5"/>
      <c r="G347" s="5"/>
      <c r="H347" s="5"/>
      <c r="I347" s="5"/>
      <c r="J347" s="5"/>
      <c r="K347" s="5"/>
    </row>
    <row r="348" spans="1:11" ht="15.75" customHeight="1" x14ac:dyDescent="0.35">
      <c r="A348" s="5"/>
      <c r="B348" s="5"/>
      <c r="C348" s="6"/>
      <c r="D348" s="5"/>
      <c r="E348" s="5"/>
      <c r="F348" s="5"/>
      <c r="G348" s="5"/>
      <c r="H348" s="5"/>
      <c r="I348" s="5"/>
      <c r="J348" s="5"/>
      <c r="K348" s="5"/>
    </row>
    <row r="349" spans="1:11" ht="15.75" customHeight="1" x14ac:dyDescent="0.35">
      <c r="A349" s="5"/>
      <c r="B349" s="5"/>
      <c r="C349" s="6"/>
      <c r="D349" s="5"/>
      <c r="E349" s="5"/>
      <c r="F349" s="5"/>
      <c r="G349" s="5"/>
      <c r="H349" s="5"/>
      <c r="I349" s="5"/>
      <c r="J349" s="5"/>
      <c r="K349" s="5"/>
    </row>
    <row r="350" spans="1:11" ht="15.75" customHeight="1" x14ac:dyDescent="0.35">
      <c r="A350" s="5"/>
      <c r="B350" s="5"/>
      <c r="C350" s="6"/>
      <c r="D350" s="5"/>
      <c r="E350" s="5"/>
      <c r="F350" s="5"/>
      <c r="G350" s="5"/>
      <c r="H350" s="5"/>
      <c r="I350" s="5"/>
      <c r="J350" s="5"/>
      <c r="K350" s="5"/>
    </row>
    <row r="351" spans="1:11" ht="15.75" customHeight="1" x14ac:dyDescent="0.35">
      <c r="A351" s="5"/>
      <c r="B351" s="5"/>
      <c r="C351" s="6"/>
      <c r="D351" s="5"/>
      <c r="E351" s="5"/>
      <c r="F351" s="5"/>
      <c r="G351" s="5"/>
      <c r="H351" s="5"/>
      <c r="I351" s="5"/>
      <c r="J351" s="5"/>
      <c r="K351" s="5"/>
    </row>
    <row r="352" spans="1:11" ht="15.75" customHeight="1" x14ac:dyDescent="0.35">
      <c r="A352" s="5"/>
      <c r="B352" s="5"/>
      <c r="C352" s="6"/>
      <c r="D352" s="5"/>
      <c r="E352" s="5"/>
      <c r="F352" s="5"/>
      <c r="G352" s="5"/>
      <c r="H352" s="5"/>
      <c r="I352" s="5"/>
      <c r="J352" s="5"/>
      <c r="K352" s="5"/>
    </row>
    <row r="353" spans="1:11" ht="15.75" customHeight="1" x14ac:dyDescent="0.35">
      <c r="A353" s="5"/>
      <c r="B353" s="5"/>
      <c r="C353" s="6"/>
      <c r="D353" s="5"/>
      <c r="E353" s="5"/>
      <c r="F353" s="5"/>
      <c r="G353" s="5"/>
      <c r="H353" s="5"/>
      <c r="I353" s="5"/>
      <c r="J353" s="5"/>
      <c r="K353" s="5"/>
    </row>
    <row r="354" spans="1:11" ht="15.75" customHeight="1" x14ac:dyDescent="0.35">
      <c r="A354" s="5"/>
      <c r="B354" s="5"/>
      <c r="C354" s="6"/>
      <c r="D354" s="5"/>
      <c r="E354" s="5"/>
      <c r="F354" s="5"/>
      <c r="G354" s="5"/>
      <c r="H354" s="5"/>
      <c r="I354" s="5"/>
      <c r="J354" s="5"/>
      <c r="K354" s="5"/>
    </row>
    <row r="355" spans="1:11" ht="15.75" customHeight="1" x14ac:dyDescent="0.35">
      <c r="A355" s="5"/>
      <c r="B355" s="5"/>
      <c r="C355" s="6"/>
      <c r="D355" s="5"/>
      <c r="E355" s="5"/>
      <c r="F355" s="5"/>
      <c r="G355" s="5"/>
      <c r="H355" s="5"/>
      <c r="I355" s="5"/>
      <c r="J355" s="5"/>
      <c r="K355" s="5"/>
    </row>
    <row r="356" spans="1:11" ht="15.75" customHeight="1" x14ac:dyDescent="0.35">
      <c r="A356" s="5"/>
      <c r="B356" s="5"/>
      <c r="C356" s="6"/>
      <c r="D356" s="5"/>
      <c r="E356" s="5"/>
      <c r="F356" s="5"/>
      <c r="G356" s="5"/>
      <c r="H356" s="5"/>
      <c r="I356" s="5"/>
      <c r="J356" s="5"/>
      <c r="K356" s="5"/>
    </row>
    <row r="357" spans="1:11" ht="15.75" customHeight="1" x14ac:dyDescent="0.35">
      <c r="A357" s="5"/>
      <c r="B357" s="5"/>
      <c r="C357" s="6"/>
      <c r="D357" s="5"/>
      <c r="E357" s="5"/>
      <c r="F357" s="5"/>
      <c r="G357" s="5"/>
      <c r="H357" s="5"/>
      <c r="I357" s="5"/>
      <c r="J357" s="5"/>
      <c r="K357" s="5"/>
    </row>
    <row r="358" spans="1:11" ht="15.75" customHeight="1" x14ac:dyDescent="0.35">
      <c r="A358" s="5"/>
      <c r="B358" s="5"/>
      <c r="C358" s="6"/>
      <c r="D358" s="5"/>
      <c r="E358" s="5"/>
      <c r="F358" s="5"/>
      <c r="G358" s="5"/>
      <c r="H358" s="5"/>
      <c r="I358" s="5"/>
      <c r="J358" s="5"/>
      <c r="K358" s="5"/>
    </row>
    <row r="359" spans="1:11" ht="15.75" customHeight="1" x14ac:dyDescent="0.35">
      <c r="A359" s="5"/>
      <c r="B359" s="5"/>
      <c r="C359" s="6"/>
      <c r="D359" s="5"/>
      <c r="E359" s="5"/>
      <c r="F359" s="5"/>
      <c r="G359" s="5"/>
      <c r="H359" s="5"/>
      <c r="I359" s="5"/>
      <c r="J359" s="5"/>
      <c r="K359" s="5"/>
    </row>
    <row r="360" spans="1:11" ht="15.75" customHeight="1" x14ac:dyDescent="0.35">
      <c r="A360" s="5"/>
      <c r="B360" s="5"/>
      <c r="C360" s="6"/>
      <c r="D360" s="5"/>
      <c r="E360" s="5"/>
      <c r="F360" s="5"/>
      <c r="G360" s="5"/>
      <c r="H360" s="5"/>
      <c r="I360" s="5"/>
      <c r="J360" s="5"/>
      <c r="K360" s="5"/>
    </row>
    <row r="361" spans="1:11" ht="15.75" customHeight="1" x14ac:dyDescent="0.35">
      <c r="A361" s="5"/>
      <c r="B361" s="5"/>
      <c r="C361" s="6"/>
      <c r="D361" s="5"/>
      <c r="E361" s="5"/>
      <c r="F361" s="5"/>
      <c r="G361" s="5"/>
      <c r="H361" s="5"/>
      <c r="I361" s="5"/>
      <c r="J361" s="5"/>
      <c r="K361" s="5"/>
    </row>
    <row r="362" spans="1:11" ht="15.75" customHeight="1" x14ac:dyDescent="0.35">
      <c r="A362" s="5"/>
      <c r="B362" s="5"/>
      <c r="C362" s="6"/>
      <c r="D362" s="5"/>
      <c r="E362" s="5"/>
      <c r="F362" s="5"/>
      <c r="G362" s="5"/>
      <c r="H362" s="5"/>
      <c r="I362" s="5"/>
      <c r="J362" s="5"/>
      <c r="K362" s="5"/>
    </row>
    <row r="363" spans="1:11" ht="15.75" customHeight="1" x14ac:dyDescent="0.35">
      <c r="A363" s="5"/>
      <c r="B363" s="5"/>
      <c r="C363" s="6"/>
      <c r="D363" s="5"/>
      <c r="E363" s="5"/>
      <c r="F363" s="5"/>
      <c r="G363" s="5"/>
      <c r="H363" s="5"/>
      <c r="I363" s="5"/>
      <c r="J363" s="5"/>
      <c r="K363" s="5"/>
    </row>
    <row r="364" spans="1:11" ht="15.75" customHeight="1" x14ac:dyDescent="0.35">
      <c r="A364" s="5"/>
      <c r="B364" s="5"/>
      <c r="C364" s="6"/>
      <c r="D364" s="5"/>
      <c r="E364" s="5"/>
      <c r="F364" s="5"/>
      <c r="G364" s="5"/>
      <c r="H364" s="5"/>
      <c r="I364" s="5"/>
      <c r="J364" s="5"/>
      <c r="K364" s="5"/>
    </row>
    <row r="365" spans="1:11" ht="15.75" customHeight="1" x14ac:dyDescent="0.35">
      <c r="A365" s="5"/>
      <c r="B365" s="5"/>
      <c r="C365" s="6"/>
      <c r="D365" s="5"/>
      <c r="E365" s="5"/>
      <c r="F365" s="5"/>
      <c r="G365" s="5"/>
      <c r="H365" s="5"/>
      <c r="I365" s="5"/>
      <c r="J365" s="5"/>
      <c r="K365" s="5"/>
    </row>
    <row r="366" spans="1:11" ht="15.75" customHeight="1" x14ac:dyDescent="0.35">
      <c r="A366" s="5"/>
      <c r="B366" s="5"/>
      <c r="C366" s="6"/>
      <c r="D366" s="5"/>
      <c r="E366" s="5"/>
      <c r="F366" s="5"/>
      <c r="G366" s="5"/>
      <c r="H366" s="5"/>
      <c r="I366" s="5"/>
      <c r="J366" s="5"/>
      <c r="K366" s="5"/>
    </row>
    <row r="367" spans="1:11" ht="15.75" customHeight="1" x14ac:dyDescent="0.35">
      <c r="A367" s="5"/>
      <c r="B367" s="5"/>
      <c r="C367" s="6"/>
      <c r="D367" s="5"/>
      <c r="E367" s="5"/>
      <c r="F367" s="5"/>
      <c r="G367" s="5"/>
      <c r="H367" s="5"/>
      <c r="I367" s="5"/>
      <c r="J367" s="5"/>
      <c r="K367" s="5"/>
    </row>
    <row r="368" spans="1:11" ht="15.75" customHeight="1" x14ac:dyDescent="0.35">
      <c r="A368" s="5"/>
      <c r="B368" s="5"/>
      <c r="C368" s="6"/>
      <c r="D368" s="5"/>
      <c r="E368" s="5"/>
      <c r="F368" s="5"/>
      <c r="G368" s="5"/>
      <c r="H368" s="5"/>
      <c r="I368" s="5"/>
      <c r="J368" s="5"/>
      <c r="K368" s="5"/>
    </row>
    <row r="369" spans="1:11" ht="15.75" customHeight="1" x14ac:dyDescent="0.35">
      <c r="A369" s="5"/>
      <c r="B369" s="5"/>
      <c r="C369" s="6"/>
      <c r="D369" s="5"/>
      <c r="E369" s="5"/>
      <c r="F369" s="5"/>
      <c r="G369" s="5"/>
      <c r="H369" s="5"/>
      <c r="I369" s="5"/>
      <c r="J369" s="5"/>
      <c r="K369" s="5"/>
    </row>
    <row r="370" spans="1:11" ht="15.75" customHeight="1" x14ac:dyDescent="0.35">
      <c r="A370" s="5"/>
      <c r="B370" s="5"/>
      <c r="C370" s="6"/>
      <c r="D370" s="5"/>
      <c r="E370" s="5"/>
      <c r="F370" s="5"/>
      <c r="G370" s="5"/>
      <c r="H370" s="5"/>
      <c r="I370" s="5"/>
      <c r="J370" s="5"/>
      <c r="K370" s="5"/>
    </row>
    <row r="371" spans="1:11" ht="15.75" customHeight="1" x14ac:dyDescent="0.35">
      <c r="A371" s="5"/>
      <c r="B371" s="5"/>
      <c r="C371" s="6"/>
      <c r="D371" s="5"/>
      <c r="E371" s="5"/>
      <c r="F371" s="5"/>
      <c r="G371" s="5"/>
      <c r="H371" s="5"/>
      <c r="I371" s="5"/>
      <c r="J371" s="5"/>
      <c r="K371" s="5"/>
    </row>
    <row r="372" spans="1:11" ht="15.75" customHeight="1" x14ac:dyDescent="0.35">
      <c r="A372" s="5"/>
      <c r="B372" s="5"/>
      <c r="C372" s="6"/>
      <c r="D372" s="5"/>
      <c r="E372" s="5"/>
      <c r="F372" s="5"/>
      <c r="G372" s="5"/>
      <c r="H372" s="5"/>
      <c r="I372" s="5"/>
      <c r="J372" s="5"/>
      <c r="K372" s="5"/>
    </row>
    <row r="373" spans="1:11" ht="15.75" customHeight="1" x14ac:dyDescent="0.35">
      <c r="A373" s="5"/>
      <c r="B373" s="5"/>
      <c r="C373" s="6"/>
      <c r="D373" s="5"/>
      <c r="E373" s="5"/>
      <c r="F373" s="5"/>
      <c r="G373" s="5"/>
      <c r="H373" s="5"/>
      <c r="I373" s="5"/>
      <c r="J373" s="5"/>
      <c r="K373" s="5"/>
    </row>
    <row r="374" spans="1:11" ht="15.75" customHeight="1" x14ac:dyDescent="0.35">
      <c r="A374" s="5"/>
      <c r="B374" s="5"/>
      <c r="C374" s="6"/>
      <c r="D374" s="5"/>
      <c r="E374" s="5"/>
      <c r="F374" s="5"/>
      <c r="G374" s="5"/>
      <c r="H374" s="5"/>
      <c r="I374" s="5"/>
      <c r="J374" s="5"/>
      <c r="K374" s="5"/>
    </row>
    <row r="375" spans="1:11" ht="15.75" customHeight="1" x14ac:dyDescent="0.35">
      <c r="A375" s="5"/>
      <c r="B375" s="5"/>
      <c r="C375" s="6"/>
      <c r="D375" s="5"/>
      <c r="E375" s="5"/>
      <c r="F375" s="5"/>
      <c r="G375" s="5"/>
      <c r="H375" s="5"/>
      <c r="I375" s="5"/>
      <c r="J375" s="5"/>
      <c r="K375" s="5"/>
    </row>
    <row r="376" spans="1:11" ht="15.75" customHeight="1" x14ac:dyDescent="0.35">
      <c r="A376" s="5"/>
      <c r="B376" s="5"/>
      <c r="C376" s="6"/>
      <c r="D376" s="5"/>
      <c r="E376" s="5"/>
      <c r="F376" s="5"/>
      <c r="G376" s="5"/>
      <c r="H376" s="5"/>
      <c r="I376" s="5"/>
      <c r="J376" s="5"/>
      <c r="K376" s="5"/>
    </row>
    <row r="377" spans="1:11" ht="15.75" customHeight="1" x14ac:dyDescent="0.35">
      <c r="A377" s="5"/>
      <c r="B377" s="5"/>
      <c r="C377" s="6"/>
      <c r="D377" s="5"/>
      <c r="E377" s="5"/>
      <c r="F377" s="5"/>
      <c r="G377" s="5"/>
      <c r="H377" s="5"/>
      <c r="I377" s="5"/>
      <c r="J377" s="5"/>
      <c r="K377" s="5"/>
    </row>
    <row r="378" spans="1:11" ht="15.75" customHeight="1" x14ac:dyDescent="0.35">
      <c r="A378" s="5"/>
      <c r="B378" s="5"/>
      <c r="C378" s="6"/>
      <c r="D378" s="5"/>
      <c r="E378" s="5"/>
      <c r="F378" s="5"/>
      <c r="G378" s="5"/>
      <c r="H378" s="5"/>
      <c r="I378" s="5"/>
      <c r="J378" s="5"/>
      <c r="K378" s="5"/>
    </row>
    <row r="379" spans="1:11" ht="15.75" customHeight="1" x14ac:dyDescent="0.35">
      <c r="A379" s="5"/>
      <c r="B379" s="5"/>
      <c r="C379" s="6"/>
      <c r="D379" s="5"/>
      <c r="E379" s="5"/>
      <c r="F379" s="5"/>
      <c r="G379" s="5"/>
      <c r="H379" s="5"/>
      <c r="I379" s="5"/>
      <c r="J379" s="5"/>
      <c r="K379" s="5"/>
    </row>
    <row r="380" spans="1:11" ht="15.75" customHeight="1" x14ac:dyDescent="0.35">
      <c r="A380" s="5"/>
      <c r="B380" s="5"/>
      <c r="C380" s="6"/>
      <c r="D380" s="5"/>
      <c r="E380" s="5"/>
      <c r="F380" s="5"/>
      <c r="G380" s="5"/>
      <c r="H380" s="5"/>
      <c r="I380" s="5"/>
      <c r="J380" s="5"/>
      <c r="K380" s="5"/>
    </row>
    <row r="381" spans="1:11" ht="15.75" customHeight="1" x14ac:dyDescent="0.35">
      <c r="A381" s="5"/>
      <c r="B381" s="5"/>
      <c r="C381" s="6"/>
      <c r="D381" s="5"/>
      <c r="E381" s="5"/>
      <c r="F381" s="5"/>
      <c r="G381" s="5"/>
      <c r="H381" s="5"/>
      <c r="I381" s="5"/>
      <c r="J381" s="5"/>
      <c r="K381" s="5"/>
    </row>
    <row r="382" spans="1:11" ht="15.75" customHeight="1" x14ac:dyDescent="0.35">
      <c r="A382" s="5"/>
      <c r="B382" s="5"/>
      <c r="C382" s="6"/>
      <c r="D382" s="5"/>
      <c r="E382" s="5"/>
      <c r="F382" s="5"/>
      <c r="G382" s="5"/>
      <c r="H382" s="5"/>
      <c r="I382" s="5"/>
      <c r="J382" s="5"/>
      <c r="K382" s="5"/>
    </row>
    <row r="383" spans="1:11" ht="15.75" customHeight="1" x14ac:dyDescent="0.35">
      <c r="A383" s="5"/>
      <c r="B383" s="5"/>
      <c r="C383" s="6"/>
      <c r="D383" s="5"/>
      <c r="E383" s="5"/>
      <c r="F383" s="5"/>
      <c r="G383" s="5"/>
      <c r="H383" s="5"/>
      <c r="I383" s="5"/>
      <c r="J383" s="5"/>
      <c r="K383" s="5"/>
    </row>
    <row r="384" spans="1:11" ht="15.75" customHeight="1" x14ac:dyDescent="0.35">
      <c r="A384" s="5"/>
      <c r="B384" s="5"/>
      <c r="C384" s="6"/>
      <c r="D384" s="5"/>
      <c r="E384" s="5"/>
      <c r="F384" s="5"/>
      <c r="G384" s="5"/>
      <c r="H384" s="5"/>
      <c r="I384" s="5"/>
      <c r="J384" s="5"/>
      <c r="K384" s="5"/>
    </row>
    <row r="385" spans="1:11" ht="15.75" customHeight="1" x14ac:dyDescent="0.35">
      <c r="A385" s="5"/>
      <c r="B385" s="5"/>
      <c r="C385" s="6"/>
      <c r="D385" s="5"/>
      <c r="E385" s="5"/>
      <c r="F385" s="5"/>
      <c r="G385" s="5"/>
      <c r="H385" s="5"/>
      <c r="I385" s="5"/>
      <c r="J385" s="5"/>
      <c r="K385" s="5"/>
    </row>
    <row r="386" spans="1:11" ht="15.75" customHeight="1" x14ac:dyDescent="0.35">
      <c r="A386" s="5"/>
      <c r="B386" s="5"/>
      <c r="C386" s="6"/>
      <c r="D386" s="5"/>
      <c r="E386" s="5"/>
      <c r="F386" s="5"/>
      <c r="G386" s="5"/>
      <c r="H386" s="5"/>
      <c r="I386" s="5"/>
      <c r="J386" s="5"/>
      <c r="K386" s="5"/>
    </row>
    <row r="387" spans="1:11" ht="15.75" customHeight="1" x14ac:dyDescent="0.35">
      <c r="A387" s="5"/>
      <c r="B387" s="5"/>
      <c r="C387" s="6"/>
      <c r="D387" s="5"/>
      <c r="E387" s="5"/>
      <c r="F387" s="5"/>
      <c r="G387" s="5"/>
      <c r="H387" s="5"/>
      <c r="I387" s="5"/>
      <c r="J387" s="5"/>
      <c r="K387" s="5"/>
    </row>
    <row r="388" spans="1:11" ht="15.75" customHeight="1" x14ac:dyDescent="0.35">
      <c r="A388" s="5"/>
      <c r="B388" s="5"/>
      <c r="C388" s="6"/>
      <c r="D388" s="5"/>
      <c r="E388" s="5"/>
      <c r="F388" s="5"/>
      <c r="G388" s="5"/>
      <c r="H388" s="5"/>
      <c r="I388" s="5"/>
      <c r="J388" s="5"/>
      <c r="K388" s="5"/>
    </row>
    <row r="389" spans="1:11" ht="15.75" customHeight="1" x14ac:dyDescent="0.35">
      <c r="A389" s="5"/>
      <c r="B389" s="5"/>
      <c r="C389" s="6"/>
      <c r="D389" s="5"/>
      <c r="E389" s="5"/>
      <c r="F389" s="5"/>
      <c r="G389" s="5"/>
      <c r="H389" s="5"/>
      <c r="I389" s="5"/>
      <c r="J389" s="5"/>
      <c r="K389" s="5"/>
    </row>
    <row r="390" spans="1:11" ht="15.75" customHeight="1" x14ac:dyDescent="0.35">
      <c r="A390" s="5"/>
      <c r="B390" s="5"/>
      <c r="C390" s="6"/>
      <c r="D390" s="5"/>
      <c r="E390" s="5"/>
      <c r="F390" s="5"/>
      <c r="G390" s="5"/>
      <c r="H390" s="5"/>
      <c r="I390" s="5"/>
      <c r="J390" s="5"/>
      <c r="K390" s="5"/>
    </row>
    <row r="391" spans="1:11" ht="15.75" customHeight="1" x14ac:dyDescent="0.35">
      <c r="A391" s="5"/>
      <c r="B391" s="5"/>
      <c r="C391" s="6"/>
      <c r="D391" s="5"/>
      <c r="E391" s="5"/>
      <c r="F391" s="5"/>
      <c r="G391" s="5"/>
      <c r="H391" s="5"/>
      <c r="I391" s="5"/>
      <c r="J391" s="5"/>
      <c r="K391" s="5"/>
    </row>
    <row r="392" spans="1:11" ht="15.75" customHeight="1" x14ac:dyDescent="0.35">
      <c r="A392" s="5"/>
      <c r="B392" s="5"/>
      <c r="C392" s="6"/>
      <c r="D392" s="5"/>
      <c r="E392" s="5"/>
      <c r="F392" s="5"/>
      <c r="G392" s="5"/>
      <c r="H392" s="5"/>
      <c r="I392" s="5"/>
      <c r="J392" s="5"/>
      <c r="K392" s="5"/>
    </row>
    <row r="393" spans="1:11" ht="15.75" customHeight="1" x14ac:dyDescent="0.35">
      <c r="A393" s="5"/>
      <c r="B393" s="5"/>
      <c r="C393" s="6"/>
      <c r="D393" s="5"/>
      <c r="E393" s="5"/>
      <c r="F393" s="5"/>
      <c r="G393" s="5"/>
      <c r="H393" s="5"/>
      <c r="I393" s="5"/>
      <c r="J393" s="5"/>
      <c r="K393" s="5"/>
    </row>
    <row r="394" spans="1:11" ht="15.75" customHeight="1" x14ac:dyDescent="0.35">
      <c r="A394" s="5"/>
      <c r="B394" s="5"/>
      <c r="C394" s="6"/>
      <c r="D394" s="5"/>
      <c r="E394" s="5"/>
      <c r="F394" s="5"/>
      <c r="G394" s="5"/>
      <c r="H394" s="5"/>
      <c r="I394" s="5"/>
      <c r="J394" s="5"/>
      <c r="K394" s="5"/>
    </row>
    <row r="395" spans="1:11" ht="15.75" customHeight="1" x14ac:dyDescent="0.35">
      <c r="A395" s="5"/>
      <c r="B395" s="5"/>
      <c r="C395" s="6"/>
      <c r="D395" s="5"/>
      <c r="E395" s="5"/>
      <c r="F395" s="5"/>
      <c r="G395" s="5"/>
      <c r="H395" s="5"/>
      <c r="I395" s="5"/>
      <c r="J395" s="5"/>
      <c r="K395" s="5"/>
    </row>
    <row r="396" spans="1:11" ht="15.75" customHeight="1" x14ac:dyDescent="0.35">
      <c r="A396" s="5"/>
      <c r="B396" s="5"/>
      <c r="C396" s="6"/>
      <c r="D396" s="5"/>
      <c r="E396" s="5"/>
      <c r="F396" s="5"/>
      <c r="G396" s="5"/>
      <c r="H396" s="5"/>
      <c r="I396" s="5"/>
      <c r="J396" s="5"/>
      <c r="K396" s="5"/>
    </row>
    <row r="397" spans="1:11" ht="15.75" customHeight="1" x14ac:dyDescent="0.35">
      <c r="A397" s="5"/>
      <c r="B397" s="5"/>
      <c r="C397" s="6"/>
      <c r="D397" s="5"/>
      <c r="E397" s="5"/>
      <c r="F397" s="5"/>
      <c r="G397" s="5"/>
      <c r="H397" s="5"/>
      <c r="I397" s="5"/>
      <c r="J397" s="5"/>
      <c r="K397" s="5"/>
    </row>
    <row r="398" spans="1:11" ht="15.75" customHeight="1" x14ac:dyDescent="0.35">
      <c r="A398" s="5"/>
      <c r="B398" s="5"/>
      <c r="C398" s="6"/>
      <c r="D398" s="5"/>
      <c r="E398" s="5"/>
      <c r="F398" s="5"/>
      <c r="G398" s="5"/>
      <c r="H398" s="5"/>
      <c r="I398" s="5"/>
      <c r="J398" s="5"/>
      <c r="K398" s="5"/>
    </row>
    <row r="399" spans="1:11" ht="15.75" customHeight="1" x14ac:dyDescent="0.35">
      <c r="A399" s="5"/>
      <c r="B399" s="5"/>
      <c r="C399" s="6"/>
      <c r="D399" s="5"/>
      <c r="E399" s="5"/>
      <c r="F399" s="5"/>
      <c r="G399" s="5"/>
      <c r="H399" s="5"/>
      <c r="I399" s="5"/>
      <c r="J399" s="5"/>
      <c r="K399" s="5"/>
    </row>
    <row r="400" spans="1:11" ht="15.75" customHeight="1" x14ac:dyDescent="0.35">
      <c r="A400" s="5"/>
      <c r="B400" s="5"/>
      <c r="C400" s="6"/>
      <c r="D400" s="5"/>
      <c r="E400" s="5"/>
      <c r="F400" s="5"/>
      <c r="G400" s="5"/>
      <c r="H400" s="5"/>
      <c r="I400" s="5"/>
      <c r="J400" s="5"/>
      <c r="K400" s="5"/>
    </row>
    <row r="401" spans="1:11" ht="15.75" customHeight="1" x14ac:dyDescent="0.35">
      <c r="A401" s="5"/>
      <c r="B401" s="5"/>
      <c r="C401" s="6"/>
      <c r="D401" s="5"/>
      <c r="E401" s="5"/>
      <c r="F401" s="5"/>
      <c r="G401" s="5"/>
      <c r="H401" s="5"/>
      <c r="I401" s="5"/>
      <c r="J401" s="5"/>
      <c r="K401" s="5"/>
    </row>
    <row r="402" spans="1:11" ht="15.75" customHeight="1" x14ac:dyDescent="0.35">
      <c r="A402" s="5"/>
      <c r="B402" s="5"/>
      <c r="C402" s="6"/>
      <c r="D402" s="5"/>
      <c r="E402" s="5"/>
      <c r="F402" s="5"/>
      <c r="G402" s="5"/>
      <c r="H402" s="5"/>
      <c r="I402" s="5"/>
      <c r="J402" s="5"/>
      <c r="K402" s="5"/>
    </row>
    <row r="403" spans="1:11" ht="15.75" customHeight="1" x14ac:dyDescent="0.35">
      <c r="A403" s="5"/>
      <c r="B403" s="5"/>
      <c r="C403" s="6"/>
      <c r="D403" s="5"/>
      <c r="E403" s="5"/>
      <c r="F403" s="5"/>
      <c r="G403" s="5"/>
      <c r="H403" s="5"/>
      <c r="I403" s="5"/>
      <c r="J403" s="5"/>
      <c r="K403" s="5"/>
    </row>
    <row r="404" spans="1:11" ht="15.75" customHeight="1" x14ac:dyDescent="0.35">
      <c r="A404" s="5"/>
      <c r="B404" s="5"/>
      <c r="C404" s="6"/>
      <c r="D404" s="5"/>
      <c r="E404" s="5"/>
      <c r="F404" s="5"/>
      <c r="G404" s="5"/>
      <c r="H404" s="5"/>
      <c r="I404" s="5"/>
      <c r="J404" s="5"/>
      <c r="K404" s="5"/>
    </row>
    <row r="405" spans="1:11" ht="15.75" customHeight="1" x14ac:dyDescent="0.35">
      <c r="A405" s="5"/>
      <c r="B405" s="5"/>
      <c r="C405" s="6"/>
      <c r="D405" s="5"/>
      <c r="E405" s="5"/>
      <c r="F405" s="5"/>
      <c r="G405" s="5"/>
      <c r="H405" s="5"/>
      <c r="I405" s="5"/>
      <c r="J405" s="5"/>
      <c r="K405" s="5"/>
    </row>
    <row r="406" spans="1:11" ht="15.75" customHeight="1" x14ac:dyDescent="0.35">
      <c r="A406" s="5"/>
      <c r="B406" s="5"/>
      <c r="C406" s="6"/>
      <c r="D406" s="5"/>
      <c r="E406" s="5"/>
      <c r="F406" s="5"/>
      <c r="G406" s="5"/>
      <c r="H406" s="5"/>
      <c r="I406" s="5"/>
      <c r="J406" s="5"/>
      <c r="K406" s="5"/>
    </row>
    <row r="407" spans="1:11" ht="15.75" customHeight="1" x14ac:dyDescent="0.35">
      <c r="A407" s="5"/>
      <c r="B407" s="5"/>
      <c r="C407" s="6"/>
      <c r="D407" s="5"/>
      <c r="E407" s="5"/>
      <c r="F407" s="5"/>
      <c r="G407" s="5"/>
      <c r="H407" s="5"/>
      <c r="I407" s="5"/>
      <c r="J407" s="5"/>
      <c r="K407" s="5"/>
    </row>
    <row r="408" spans="1:11" ht="15.75" customHeight="1" x14ac:dyDescent="0.35">
      <c r="A408" s="5"/>
      <c r="B408" s="5"/>
      <c r="C408" s="6"/>
      <c r="D408" s="5"/>
      <c r="E408" s="5"/>
      <c r="F408" s="5"/>
      <c r="G408" s="5"/>
      <c r="H408" s="5"/>
      <c r="I408" s="5"/>
      <c r="J408" s="5"/>
      <c r="K408" s="5"/>
    </row>
    <row r="409" spans="1:11" ht="15.75" customHeight="1" x14ac:dyDescent="0.35">
      <c r="A409" s="5"/>
      <c r="B409" s="5"/>
      <c r="C409" s="6"/>
      <c r="D409" s="5"/>
      <c r="E409" s="5"/>
      <c r="F409" s="5"/>
      <c r="G409" s="5"/>
      <c r="H409" s="5"/>
      <c r="I409" s="5"/>
      <c r="J409" s="5"/>
      <c r="K409" s="5"/>
    </row>
    <row r="410" spans="1:11" ht="15.75" customHeight="1" x14ac:dyDescent="0.35">
      <c r="A410" s="5"/>
      <c r="B410" s="5"/>
      <c r="C410" s="6"/>
      <c r="D410" s="5"/>
      <c r="E410" s="5"/>
      <c r="F410" s="5"/>
      <c r="G410" s="5"/>
      <c r="H410" s="5"/>
      <c r="I410" s="5"/>
      <c r="J410" s="5"/>
      <c r="K410" s="5"/>
    </row>
    <row r="411" spans="1:11" ht="15.75" customHeight="1" x14ac:dyDescent="0.35">
      <c r="A411" s="5"/>
      <c r="B411" s="5"/>
      <c r="C411" s="6"/>
      <c r="D411" s="5"/>
      <c r="E411" s="5"/>
      <c r="F411" s="5"/>
      <c r="G411" s="5"/>
      <c r="H411" s="5"/>
      <c r="I411" s="5"/>
      <c r="J411" s="5"/>
      <c r="K411" s="5"/>
    </row>
    <row r="412" spans="1:11" ht="15.75" customHeight="1" x14ac:dyDescent="0.35">
      <c r="A412" s="5"/>
      <c r="B412" s="5"/>
      <c r="C412" s="6"/>
      <c r="D412" s="5"/>
      <c r="E412" s="5"/>
      <c r="F412" s="5"/>
      <c r="G412" s="5"/>
      <c r="H412" s="5"/>
      <c r="I412" s="5"/>
      <c r="J412" s="5"/>
      <c r="K412" s="5"/>
    </row>
    <row r="413" spans="1:11" ht="15.75" customHeight="1" x14ac:dyDescent="0.35">
      <c r="A413" s="5"/>
      <c r="B413" s="5"/>
      <c r="C413" s="6"/>
      <c r="D413" s="5"/>
      <c r="E413" s="5"/>
      <c r="F413" s="5"/>
      <c r="G413" s="5"/>
      <c r="H413" s="5"/>
      <c r="I413" s="5"/>
      <c r="J413" s="5"/>
      <c r="K413" s="5"/>
    </row>
    <row r="414" spans="1:11" ht="15.75" customHeight="1" x14ac:dyDescent="0.35">
      <c r="A414" s="5"/>
      <c r="B414" s="5"/>
      <c r="C414" s="6"/>
      <c r="D414" s="5"/>
      <c r="E414" s="5"/>
      <c r="F414" s="5"/>
      <c r="G414" s="5"/>
      <c r="H414" s="5"/>
      <c r="I414" s="5"/>
      <c r="J414" s="5"/>
      <c r="K414" s="5"/>
    </row>
    <row r="415" spans="1:11" ht="15.75" customHeight="1" x14ac:dyDescent="0.35">
      <c r="A415" s="5"/>
      <c r="B415" s="5"/>
      <c r="C415" s="6"/>
      <c r="D415" s="5"/>
      <c r="E415" s="5"/>
      <c r="F415" s="5"/>
      <c r="G415" s="5"/>
      <c r="H415" s="5"/>
      <c r="I415" s="5"/>
      <c r="J415" s="5"/>
      <c r="K415" s="5"/>
    </row>
    <row r="416" spans="1:11" ht="15.75" customHeight="1" x14ac:dyDescent="0.35">
      <c r="A416" s="5"/>
      <c r="B416" s="5"/>
      <c r="C416" s="6"/>
      <c r="D416" s="5"/>
      <c r="E416" s="5"/>
      <c r="F416" s="5"/>
      <c r="G416" s="5"/>
      <c r="H416" s="5"/>
      <c r="I416" s="5"/>
      <c r="J416" s="5"/>
      <c r="K416" s="5"/>
    </row>
    <row r="417" spans="1:11" ht="15.75" customHeight="1" x14ac:dyDescent="0.35">
      <c r="A417" s="5"/>
      <c r="B417" s="5"/>
      <c r="C417" s="6"/>
      <c r="D417" s="5"/>
      <c r="E417" s="5"/>
      <c r="F417" s="5"/>
      <c r="G417" s="5"/>
      <c r="H417" s="5"/>
      <c r="I417" s="5"/>
      <c r="J417" s="5"/>
      <c r="K417" s="5"/>
    </row>
    <row r="418" spans="1:11" ht="15.75" customHeight="1" x14ac:dyDescent="0.35">
      <c r="A418" s="5"/>
      <c r="B418" s="5"/>
      <c r="C418" s="6"/>
      <c r="D418" s="5"/>
      <c r="E418" s="5"/>
      <c r="F418" s="5"/>
      <c r="G418" s="5"/>
      <c r="H418" s="5"/>
      <c r="I418" s="5"/>
      <c r="J418" s="5"/>
      <c r="K418" s="5"/>
    </row>
    <row r="419" spans="1:11" ht="15.75" customHeight="1" x14ac:dyDescent="0.35">
      <c r="A419" s="5"/>
      <c r="B419" s="5"/>
      <c r="C419" s="6"/>
      <c r="D419" s="5"/>
      <c r="E419" s="5"/>
      <c r="F419" s="5"/>
      <c r="G419" s="5"/>
      <c r="H419" s="5"/>
      <c r="I419" s="5"/>
      <c r="J419" s="5"/>
      <c r="K419" s="5"/>
    </row>
    <row r="420" spans="1:11" ht="15.75" customHeight="1" x14ac:dyDescent="0.35">
      <c r="A420" s="5"/>
      <c r="B420" s="5"/>
      <c r="C420" s="6"/>
      <c r="D420" s="5"/>
      <c r="E420" s="5"/>
      <c r="F420" s="5"/>
      <c r="G420" s="5"/>
      <c r="H420" s="5"/>
      <c r="I420" s="5"/>
      <c r="J420" s="5"/>
      <c r="K420" s="5"/>
    </row>
    <row r="421" spans="1:11" ht="15.75" customHeight="1" x14ac:dyDescent="0.35">
      <c r="A421" s="5"/>
      <c r="B421" s="5"/>
      <c r="C421" s="6"/>
      <c r="D421" s="5"/>
      <c r="E421" s="5"/>
      <c r="F421" s="5"/>
      <c r="G421" s="5"/>
      <c r="H421" s="5"/>
      <c r="I421" s="5"/>
      <c r="J421" s="5"/>
      <c r="K421" s="5"/>
    </row>
    <row r="422" spans="1:11" ht="15.75" customHeight="1" x14ac:dyDescent="0.35">
      <c r="A422" s="5"/>
      <c r="B422" s="5"/>
      <c r="C422" s="6"/>
      <c r="D422" s="5"/>
      <c r="E422" s="5"/>
      <c r="F422" s="5"/>
      <c r="G422" s="5"/>
      <c r="H422" s="5"/>
      <c r="I422" s="5"/>
      <c r="J422" s="5"/>
      <c r="K422" s="5"/>
    </row>
    <row r="423" spans="1:11" ht="15.75" customHeight="1" x14ac:dyDescent="0.35">
      <c r="A423" s="5"/>
      <c r="B423" s="5"/>
      <c r="C423" s="6"/>
      <c r="D423" s="5"/>
      <c r="E423" s="5"/>
      <c r="F423" s="5"/>
      <c r="G423" s="5"/>
      <c r="H423" s="5"/>
      <c r="I423" s="5"/>
      <c r="J423" s="5"/>
      <c r="K423" s="5"/>
    </row>
    <row r="424" spans="1:11" ht="15.75" customHeight="1" x14ac:dyDescent="0.35">
      <c r="A424" s="5"/>
      <c r="B424" s="5"/>
      <c r="C424" s="6"/>
      <c r="D424" s="5"/>
      <c r="E424" s="5"/>
      <c r="F424" s="5"/>
      <c r="G424" s="5"/>
      <c r="H424" s="5"/>
      <c r="I424" s="5"/>
      <c r="J424" s="5"/>
      <c r="K424" s="5"/>
    </row>
    <row r="425" spans="1:11" ht="15.75" customHeight="1" x14ac:dyDescent="0.35">
      <c r="A425" s="5"/>
      <c r="B425" s="5"/>
      <c r="C425" s="6"/>
      <c r="D425" s="5"/>
      <c r="E425" s="5"/>
      <c r="F425" s="5"/>
      <c r="G425" s="5"/>
      <c r="H425" s="5"/>
      <c r="I425" s="5"/>
      <c r="J425" s="5"/>
      <c r="K425" s="5"/>
    </row>
    <row r="426" spans="1:11" ht="15.75" customHeight="1" x14ac:dyDescent="0.35">
      <c r="A426" s="5"/>
      <c r="B426" s="5"/>
      <c r="C426" s="6"/>
      <c r="D426" s="5"/>
      <c r="E426" s="5"/>
      <c r="F426" s="5"/>
      <c r="G426" s="5"/>
      <c r="H426" s="5"/>
      <c r="I426" s="5"/>
      <c r="J426" s="5"/>
      <c r="K426" s="5"/>
    </row>
    <row r="427" spans="1:11" ht="15.75" customHeight="1" x14ac:dyDescent="0.35">
      <c r="A427" s="5"/>
      <c r="B427" s="5"/>
      <c r="C427" s="6"/>
      <c r="D427" s="5"/>
      <c r="E427" s="5"/>
      <c r="F427" s="5"/>
      <c r="G427" s="5"/>
      <c r="H427" s="5"/>
      <c r="I427" s="5"/>
      <c r="J427" s="5"/>
      <c r="K427" s="5"/>
    </row>
    <row r="428" spans="1:11" ht="15.75" customHeight="1" x14ac:dyDescent="0.35">
      <c r="A428" s="5"/>
      <c r="B428" s="5"/>
      <c r="C428" s="6"/>
      <c r="D428" s="5"/>
      <c r="E428" s="5"/>
      <c r="F428" s="5"/>
      <c r="G428" s="5"/>
      <c r="H428" s="5"/>
      <c r="I428" s="5"/>
      <c r="J428" s="5"/>
      <c r="K428" s="5"/>
    </row>
    <row r="429" spans="1:11" ht="15.75" customHeight="1" x14ac:dyDescent="0.35">
      <c r="A429" s="5"/>
      <c r="B429" s="5"/>
      <c r="C429" s="6"/>
      <c r="D429" s="5"/>
      <c r="E429" s="5"/>
      <c r="F429" s="5"/>
      <c r="G429" s="5"/>
      <c r="H429" s="5"/>
      <c r="I429" s="5"/>
      <c r="J429" s="5"/>
      <c r="K429" s="5"/>
    </row>
    <row r="430" spans="1:11" ht="15.75" customHeight="1" x14ac:dyDescent="0.35">
      <c r="A430" s="5"/>
      <c r="B430" s="5"/>
      <c r="C430" s="6"/>
      <c r="D430" s="5"/>
      <c r="E430" s="5"/>
      <c r="F430" s="5"/>
      <c r="G430" s="5"/>
      <c r="H430" s="5"/>
      <c r="I430" s="5"/>
      <c r="J430" s="5"/>
      <c r="K430" s="5"/>
    </row>
    <row r="431" spans="1:11" ht="15.75" customHeight="1" x14ac:dyDescent="0.35">
      <c r="A431" s="5"/>
      <c r="B431" s="5"/>
      <c r="C431" s="6"/>
      <c r="D431" s="5"/>
      <c r="E431" s="5"/>
      <c r="F431" s="5"/>
      <c r="G431" s="5"/>
      <c r="H431" s="5"/>
      <c r="I431" s="5"/>
      <c r="J431" s="5"/>
      <c r="K431" s="5"/>
    </row>
    <row r="432" spans="1:11" ht="15.75" customHeight="1" x14ac:dyDescent="0.35">
      <c r="A432" s="5"/>
      <c r="B432" s="5"/>
      <c r="C432" s="6"/>
      <c r="D432" s="5"/>
      <c r="E432" s="5"/>
      <c r="F432" s="5"/>
      <c r="G432" s="5"/>
      <c r="H432" s="5"/>
      <c r="I432" s="5"/>
      <c r="J432" s="5"/>
      <c r="K432" s="5"/>
    </row>
    <row r="433" spans="1:11" ht="15.75" customHeight="1" x14ac:dyDescent="0.35">
      <c r="A433" s="5"/>
      <c r="B433" s="5"/>
      <c r="C433" s="6"/>
      <c r="D433" s="5"/>
      <c r="E433" s="5"/>
      <c r="F433" s="5"/>
      <c r="G433" s="5"/>
      <c r="H433" s="5"/>
      <c r="I433" s="5"/>
      <c r="J433" s="5"/>
      <c r="K433" s="5"/>
    </row>
    <row r="434" spans="1:11" ht="15.75" customHeight="1" x14ac:dyDescent="0.35">
      <c r="A434" s="5"/>
      <c r="B434" s="5"/>
      <c r="C434" s="6"/>
      <c r="D434" s="5"/>
      <c r="E434" s="5"/>
      <c r="F434" s="5"/>
      <c r="G434" s="5"/>
      <c r="H434" s="5"/>
      <c r="I434" s="5"/>
      <c r="J434" s="5"/>
      <c r="K434" s="5"/>
    </row>
    <row r="435" spans="1:11" ht="15.75" customHeight="1" x14ac:dyDescent="0.35">
      <c r="A435" s="5"/>
      <c r="B435" s="5"/>
      <c r="C435" s="6"/>
      <c r="D435" s="5"/>
      <c r="E435" s="5"/>
      <c r="F435" s="5"/>
      <c r="G435" s="5"/>
      <c r="H435" s="5"/>
      <c r="I435" s="5"/>
      <c r="J435" s="5"/>
      <c r="K435" s="5"/>
    </row>
    <row r="436" spans="1:11" ht="15.75" customHeight="1" x14ac:dyDescent="0.35">
      <c r="A436" s="5"/>
      <c r="B436" s="5"/>
      <c r="C436" s="6"/>
      <c r="D436" s="5"/>
      <c r="E436" s="5"/>
      <c r="F436" s="5"/>
      <c r="G436" s="5"/>
      <c r="H436" s="5"/>
      <c r="I436" s="5"/>
      <c r="J436" s="5"/>
      <c r="K436" s="5"/>
    </row>
    <row r="437" spans="1:11" ht="15.75" customHeight="1" x14ac:dyDescent="0.35">
      <c r="A437" s="5"/>
      <c r="B437" s="5"/>
      <c r="C437" s="6"/>
      <c r="D437" s="5"/>
      <c r="E437" s="5"/>
      <c r="F437" s="5"/>
      <c r="G437" s="5"/>
      <c r="H437" s="5"/>
      <c r="I437" s="5"/>
      <c r="J437" s="5"/>
      <c r="K437" s="5"/>
    </row>
    <row r="438" spans="1:11" ht="15.75" customHeight="1" x14ac:dyDescent="0.35">
      <c r="A438" s="5"/>
      <c r="B438" s="5"/>
      <c r="C438" s="6"/>
      <c r="D438" s="5"/>
      <c r="E438" s="5"/>
      <c r="F438" s="5"/>
      <c r="G438" s="5"/>
      <c r="H438" s="5"/>
      <c r="I438" s="5"/>
      <c r="J438" s="5"/>
      <c r="K438" s="5"/>
    </row>
    <row r="439" spans="1:11" ht="15.75" customHeight="1" x14ac:dyDescent="0.35">
      <c r="A439" s="5"/>
      <c r="B439" s="5"/>
      <c r="C439" s="6"/>
      <c r="D439" s="5"/>
      <c r="E439" s="5"/>
      <c r="F439" s="5"/>
      <c r="G439" s="5"/>
      <c r="H439" s="5"/>
      <c r="I439" s="5"/>
      <c r="J439" s="5"/>
      <c r="K439" s="5"/>
    </row>
    <row r="440" spans="1:11" ht="15.75" customHeight="1" x14ac:dyDescent="0.35">
      <c r="A440" s="5"/>
      <c r="B440" s="5"/>
      <c r="C440" s="6"/>
      <c r="D440" s="5"/>
      <c r="E440" s="5"/>
      <c r="F440" s="5"/>
      <c r="G440" s="5"/>
      <c r="H440" s="5"/>
      <c r="I440" s="5"/>
      <c r="J440" s="5"/>
      <c r="K440" s="5"/>
    </row>
    <row r="441" spans="1:11" ht="15.75" customHeight="1" x14ac:dyDescent="0.35">
      <c r="A441" s="5"/>
      <c r="B441" s="5"/>
      <c r="C441" s="6"/>
      <c r="D441" s="5"/>
      <c r="E441" s="5"/>
      <c r="F441" s="5"/>
      <c r="G441" s="5"/>
      <c r="H441" s="5"/>
      <c r="I441" s="5"/>
      <c r="J441" s="5"/>
      <c r="K441" s="5"/>
    </row>
    <row r="442" spans="1:11" ht="15.75" customHeight="1" x14ac:dyDescent="0.35">
      <c r="A442" s="5"/>
      <c r="B442" s="5"/>
      <c r="C442" s="6"/>
      <c r="D442" s="5"/>
      <c r="E442" s="5"/>
      <c r="F442" s="5"/>
      <c r="G442" s="5"/>
      <c r="H442" s="5"/>
      <c r="I442" s="5"/>
      <c r="J442" s="5"/>
      <c r="K442" s="5"/>
    </row>
    <row r="443" spans="1:11" ht="15.75" customHeight="1" x14ac:dyDescent="0.35">
      <c r="A443" s="5"/>
      <c r="B443" s="5"/>
      <c r="C443" s="6"/>
      <c r="D443" s="5"/>
      <c r="E443" s="5"/>
      <c r="F443" s="5"/>
      <c r="G443" s="5"/>
      <c r="H443" s="5"/>
      <c r="I443" s="5"/>
      <c r="J443" s="5"/>
      <c r="K443" s="5"/>
    </row>
    <row r="444" spans="1:11" ht="15.75" customHeight="1" x14ac:dyDescent="0.35">
      <c r="A444" s="5"/>
      <c r="B444" s="5"/>
      <c r="C444" s="6"/>
      <c r="D444" s="5"/>
      <c r="E444" s="5"/>
      <c r="F444" s="5"/>
      <c r="G444" s="5"/>
      <c r="H444" s="5"/>
      <c r="I444" s="5"/>
      <c r="J444" s="5"/>
      <c r="K444" s="5"/>
    </row>
    <row r="445" spans="1:11" ht="15.75" customHeight="1" x14ac:dyDescent="0.35">
      <c r="A445" s="5"/>
      <c r="B445" s="5"/>
      <c r="C445" s="6"/>
      <c r="D445" s="5"/>
      <c r="E445" s="5"/>
      <c r="F445" s="5"/>
      <c r="G445" s="5"/>
      <c r="H445" s="5"/>
      <c r="I445" s="5"/>
      <c r="J445" s="5"/>
      <c r="K445" s="5"/>
    </row>
    <row r="446" spans="1:11" ht="15.75" customHeight="1" x14ac:dyDescent="0.35">
      <c r="A446" s="5"/>
      <c r="B446" s="5"/>
      <c r="C446" s="6"/>
      <c r="D446" s="5"/>
      <c r="E446" s="5"/>
      <c r="F446" s="5"/>
      <c r="G446" s="5"/>
      <c r="H446" s="5"/>
      <c r="I446" s="5"/>
      <c r="J446" s="5"/>
      <c r="K446" s="5"/>
    </row>
    <row r="447" spans="1:11" ht="15.75" customHeight="1" x14ac:dyDescent="0.35">
      <c r="A447" s="5"/>
      <c r="B447" s="5"/>
      <c r="C447" s="6"/>
      <c r="D447" s="5"/>
      <c r="E447" s="5"/>
      <c r="F447" s="5"/>
      <c r="G447" s="5"/>
      <c r="H447" s="5"/>
      <c r="I447" s="5"/>
      <c r="J447" s="5"/>
      <c r="K447" s="5"/>
    </row>
    <row r="448" spans="1:11" ht="15.75" customHeight="1" x14ac:dyDescent="0.35">
      <c r="A448" s="5"/>
      <c r="B448" s="5"/>
      <c r="C448" s="6"/>
      <c r="D448" s="5"/>
      <c r="E448" s="5"/>
      <c r="F448" s="5"/>
      <c r="G448" s="5"/>
      <c r="H448" s="5"/>
      <c r="I448" s="5"/>
      <c r="J448" s="5"/>
      <c r="K448" s="5"/>
    </row>
    <row r="449" spans="1:11" ht="15.75" customHeight="1" x14ac:dyDescent="0.35">
      <c r="A449" s="5"/>
      <c r="B449" s="5"/>
      <c r="C449" s="6"/>
      <c r="D449" s="5"/>
      <c r="E449" s="5"/>
      <c r="F449" s="5"/>
      <c r="G449" s="5"/>
      <c r="H449" s="5"/>
      <c r="I449" s="5"/>
      <c r="J449" s="5"/>
      <c r="K449" s="5"/>
    </row>
    <row r="450" spans="1:11" ht="15.75" customHeight="1" x14ac:dyDescent="0.35">
      <c r="A450" s="5"/>
      <c r="B450" s="5"/>
      <c r="C450" s="6"/>
      <c r="D450" s="5"/>
      <c r="E450" s="5"/>
      <c r="F450" s="5"/>
      <c r="G450" s="5"/>
      <c r="H450" s="5"/>
      <c r="I450" s="5"/>
      <c r="J450" s="5"/>
      <c r="K450" s="5"/>
    </row>
    <row r="451" spans="1:11" ht="15.75" customHeight="1" x14ac:dyDescent="0.35">
      <c r="A451" s="5"/>
      <c r="B451" s="5"/>
      <c r="C451" s="6"/>
      <c r="D451" s="5"/>
      <c r="E451" s="5"/>
      <c r="F451" s="5"/>
      <c r="G451" s="5"/>
      <c r="H451" s="5"/>
      <c r="I451" s="5"/>
      <c r="J451" s="5"/>
      <c r="K451" s="5"/>
    </row>
    <row r="452" spans="1:11" ht="15.75" customHeight="1" x14ac:dyDescent="0.35">
      <c r="A452" s="5"/>
      <c r="B452" s="5"/>
      <c r="C452" s="6"/>
      <c r="D452" s="5"/>
      <c r="E452" s="5"/>
      <c r="F452" s="5"/>
      <c r="G452" s="5"/>
      <c r="H452" s="5"/>
      <c r="I452" s="5"/>
      <c r="J452" s="5"/>
      <c r="K452" s="5"/>
    </row>
    <row r="453" spans="1:11" ht="15.75" customHeight="1" x14ac:dyDescent="0.35">
      <c r="A453" s="5"/>
      <c r="B453" s="5"/>
      <c r="C453" s="6"/>
      <c r="D453" s="5"/>
      <c r="E453" s="5"/>
      <c r="F453" s="5"/>
      <c r="G453" s="5"/>
      <c r="H453" s="5"/>
      <c r="I453" s="5"/>
      <c r="J453" s="5"/>
      <c r="K453" s="5"/>
    </row>
    <row r="454" spans="1:11" ht="15.75" customHeight="1" x14ac:dyDescent="0.35">
      <c r="A454" s="5"/>
      <c r="B454" s="5"/>
      <c r="C454" s="6"/>
      <c r="D454" s="5"/>
      <c r="E454" s="5"/>
      <c r="F454" s="5"/>
      <c r="G454" s="5"/>
      <c r="H454" s="5"/>
      <c r="I454" s="5"/>
      <c r="J454" s="5"/>
      <c r="K454" s="5"/>
    </row>
    <row r="455" spans="1:11" ht="15.75" customHeight="1" x14ac:dyDescent="0.35">
      <c r="A455" s="5"/>
      <c r="B455" s="5"/>
      <c r="C455" s="6"/>
      <c r="D455" s="5"/>
      <c r="E455" s="5"/>
      <c r="F455" s="5"/>
      <c r="G455" s="5"/>
      <c r="H455" s="5"/>
      <c r="I455" s="5"/>
      <c r="J455" s="5"/>
      <c r="K455" s="5"/>
    </row>
    <row r="456" spans="1:11" ht="15.75" customHeight="1" x14ac:dyDescent="0.35">
      <c r="A456" s="5"/>
      <c r="B456" s="5"/>
      <c r="C456" s="6"/>
      <c r="D456" s="5"/>
      <c r="E456" s="5"/>
      <c r="F456" s="5"/>
      <c r="G456" s="5"/>
      <c r="H456" s="5"/>
      <c r="I456" s="5"/>
      <c r="J456" s="5"/>
      <c r="K456" s="5"/>
    </row>
    <row r="457" spans="1:11" ht="15.75" customHeight="1" x14ac:dyDescent="0.35">
      <c r="A457" s="5"/>
      <c r="B457" s="5"/>
      <c r="C457" s="6"/>
      <c r="D457" s="5"/>
      <c r="E457" s="5"/>
      <c r="F457" s="5"/>
      <c r="G457" s="5"/>
      <c r="H457" s="5"/>
      <c r="I457" s="5"/>
      <c r="J457" s="5"/>
      <c r="K457" s="5"/>
    </row>
    <row r="458" spans="1:11" ht="15.75" customHeight="1" x14ac:dyDescent="0.35">
      <c r="A458" s="5"/>
      <c r="B458" s="5"/>
      <c r="C458" s="6"/>
      <c r="D458" s="5"/>
      <c r="E458" s="5"/>
      <c r="F458" s="5"/>
      <c r="G458" s="5"/>
      <c r="H458" s="5"/>
      <c r="I458" s="5"/>
      <c r="J458" s="5"/>
      <c r="K458" s="5"/>
    </row>
    <row r="459" spans="1:11" ht="15.75" customHeight="1" x14ac:dyDescent="0.35">
      <c r="A459" s="5"/>
      <c r="B459" s="5"/>
      <c r="C459" s="6"/>
      <c r="D459" s="5"/>
      <c r="E459" s="5"/>
      <c r="F459" s="5"/>
      <c r="G459" s="5"/>
      <c r="H459" s="5"/>
      <c r="I459" s="5"/>
      <c r="J459" s="5"/>
      <c r="K459" s="5"/>
    </row>
    <row r="460" spans="1:11" ht="15.75" customHeight="1" x14ac:dyDescent="0.35">
      <c r="A460" s="5"/>
      <c r="B460" s="5"/>
      <c r="C460" s="6"/>
      <c r="D460" s="5"/>
      <c r="E460" s="5"/>
      <c r="F460" s="5"/>
      <c r="G460" s="5"/>
      <c r="H460" s="5"/>
      <c r="I460" s="5"/>
      <c r="J460" s="5"/>
      <c r="K460" s="5"/>
    </row>
    <row r="461" spans="1:11" ht="15.75" customHeight="1" x14ac:dyDescent="0.35">
      <c r="A461" s="5"/>
      <c r="B461" s="5"/>
      <c r="C461" s="6"/>
      <c r="D461" s="5"/>
      <c r="E461" s="5"/>
      <c r="F461" s="5"/>
      <c r="G461" s="5"/>
      <c r="H461" s="5"/>
      <c r="I461" s="5"/>
      <c r="J461" s="5"/>
      <c r="K461" s="5"/>
    </row>
    <row r="462" spans="1:11" ht="15.75" customHeight="1" x14ac:dyDescent="0.35">
      <c r="A462" s="5"/>
      <c r="B462" s="5"/>
      <c r="C462" s="6"/>
      <c r="D462" s="5"/>
      <c r="E462" s="5"/>
      <c r="F462" s="5"/>
      <c r="G462" s="5"/>
      <c r="H462" s="5"/>
      <c r="I462" s="5"/>
      <c r="J462" s="5"/>
      <c r="K462" s="5"/>
    </row>
    <row r="463" spans="1:11" ht="15.75" customHeight="1" x14ac:dyDescent="0.35">
      <c r="A463" s="5"/>
      <c r="B463" s="5"/>
      <c r="C463" s="6"/>
      <c r="D463" s="5"/>
      <c r="E463" s="5"/>
      <c r="F463" s="5"/>
      <c r="G463" s="5"/>
      <c r="H463" s="5"/>
      <c r="I463" s="5"/>
      <c r="J463" s="5"/>
      <c r="K463" s="5"/>
    </row>
    <row r="464" spans="1:11" ht="15.75" customHeight="1" x14ac:dyDescent="0.35">
      <c r="A464" s="5"/>
      <c r="B464" s="5"/>
      <c r="C464" s="6"/>
      <c r="D464" s="5"/>
      <c r="E464" s="5"/>
      <c r="F464" s="5"/>
      <c r="G464" s="5"/>
      <c r="H464" s="5"/>
      <c r="I464" s="5"/>
      <c r="J464" s="5"/>
      <c r="K464" s="5"/>
    </row>
    <row r="465" spans="1:11" ht="15.75" customHeight="1" x14ac:dyDescent="0.35">
      <c r="A465" s="5"/>
      <c r="B465" s="5"/>
      <c r="C465" s="6"/>
      <c r="D465" s="5"/>
      <c r="E465" s="5"/>
      <c r="F465" s="5"/>
      <c r="G465" s="5"/>
      <c r="H465" s="5"/>
      <c r="I465" s="5"/>
      <c r="J465" s="5"/>
      <c r="K465" s="5"/>
    </row>
    <row r="466" spans="1:11" ht="15.75" customHeight="1" x14ac:dyDescent="0.35">
      <c r="A466" s="5"/>
      <c r="B466" s="5"/>
      <c r="C466" s="6"/>
      <c r="D466" s="5"/>
      <c r="E466" s="5"/>
      <c r="F466" s="5"/>
      <c r="G466" s="5"/>
      <c r="H466" s="5"/>
      <c r="I466" s="5"/>
      <c r="J466" s="5"/>
      <c r="K466" s="5"/>
    </row>
    <row r="467" spans="1:11" ht="15.75" customHeight="1" x14ac:dyDescent="0.35">
      <c r="A467" s="5"/>
      <c r="B467" s="5"/>
      <c r="C467" s="6"/>
      <c r="D467" s="5"/>
      <c r="E467" s="5"/>
      <c r="F467" s="5"/>
      <c r="G467" s="5"/>
      <c r="H467" s="5"/>
      <c r="I467" s="5"/>
      <c r="J467" s="5"/>
      <c r="K467" s="5"/>
    </row>
    <row r="468" spans="1:11" ht="15.75" customHeight="1" x14ac:dyDescent="0.35">
      <c r="A468" s="5"/>
      <c r="B468" s="5"/>
      <c r="C468" s="6"/>
      <c r="D468" s="5"/>
      <c r="E468" s="5"/>
      <c r="F468" s="5"/>
      <c r="G468" s="5"/>
      <c r="H468" s="5"/>
      <c r="I468" s="5"/>
      <c r="J468" s="5"/>
      <c r="K468" s="5"/>
    </row>
    <row r="469" spans="1:11" ht="15.75" customHeight="1" x14ac:dyDescent="0.35">
      <c r="A469" s="5"/>
      <c r="B469" s="5"/>
      <c r="C469" s="6"/>
      <c r="D469" s="5"/>
      <c r="E469" s="5"/>
      <c r="F469" s="5"/>
      <c r="G469" s="5"/>
      <c r="H469" s="5"/>
      <c r="I469" s="5"/>
      <c r="J469" s="5"/>
      <c r="K469" s="5"/>
    </row>
    <row r="470" spans="1:11" ht="15.75" customHeight="1" x14ac:dyDescent="0.35">
      <c r="A470" s="5"/>
      <c r="B470" s="5"/>
      <c r="C470" s="6"/>
      <c r="D470" s="5"/>
      <c r="E470" s="5"/>
      <c r="F470" s="5"/>
      <c r="G470" s="5"/>
      <c r="H470" s="5"/>
      <c r="I470" s="5"/>
      <c r="J470" s="5"/>
      <c r="K470" s="5"/>
    </row>
    <row r="471" spans="1:11" ht="15.75" customHeight="1" x14ac:dyDescent="0.35">
      <c r="A471" s="5"/>
      <c r="B471" s="5"/>
      <c r="C471" s="6"/>
      <c r="D471" s="5"/>
      <c r="E471" s="5"/>
      <c r="F471" s="5"/>
      <c r="G471" s="5"/>
      <c r="H471" s="5"/>
      <c r="I471" s="5"/>
      <c r="J471" s="5"/>
      <c r="K471" s="5"/>
    </row>
    <row r="472" spans="1:11" ht="15.75" customHeight="1" x14ac:dyDescent="0.35">
      <c r="A472" s="5"/>
      <c r="B472" s="5"/>
      <c r="C472" s="6"/>
      <c r="D472" s="5"/>
      <c r="E472" s="5"/>
      <c r="F472" s="5"/>
      <c r="G472" s="5"/>
      <c r="H472" s="5"/>
      <c r="I472" s="5"/>
      <c r="J472" s="5"/>
      <c r="K472" s="5"/>
    </row>
    <row r="473" spans="1:11" ht="15.75" customHeight="1" x14ac:dyDescent="0.35">
      <c r="A473" s="5"/>
      <c r="B473" s="5"/>
      <c r="C473" s="6"/>
      <c r="D473" s="5"/>
      <c r="E473" s="5"/>
      <c r="F473" s="5"/>
      <c r="G473" s="5"/>
      <c r="H473" s="5"/>
      <c r="I473" s="5"/>
      <c r="J473" s="5"/>
      <c r="K473" s="5"/>
    </row>
    <row r="474" spans="1:11" ht="15.75" customHeight="1" x14ac:dyDescent="0.35">
      <c r="A474" s="5"/>
      <c r="B474" s="5"/>
      <c r="C474" s="6"/>
      <c r="D474" s="5"/>
      <c r="E474" s="5"/>
      <c r="F474" s="5"/>
      <c r="G474" s="5"/>
      <c r="H474" s="5"/>
      <c r="I474" s="5"/>
      <c r="J474" s="5"/>
      <c r="K474" s="5"/>
    </row>
    <row r="475" spans="1:11" ht="15.75" customHeight="1" x14ac:dyDescent="0.35">
      <c r="A475" s="5"/>
      <c r="B475" s="5"/>
      <c r="C475" s="6"/>
      <c r="D475" s="5"/>
      <c r="E475" s="5"/>
      <c r="F475" s="5"/>
      <c r="G475" s="5"/>
      <c r="H475" s="5"/>
      <c r="I475" s="5"/>
      <c r="J475" s="5"/>
      <c r="K475" s="5"/>
    </row>
    <row r="476" spans="1:11" ht="15.75" customHeight="1" x14ac:dyDescent="0.35">
      <c r="A476" s="5"/>
      <c r="B476" s="5"/>
      <c r="C476" s="6"/>
      <c r="D476" s="5"/>
      <c r="E476" s="5"/>
      <c r="F476" s="5"/>
      <c r="G476" s="5"/>
      <c r="H476" s="5"/>
      <c r="I476" s="5"/>
      <c r="J476" s="5"/>
      <c r="K476" s="5"/>
    </row>
    <row r="477" spans="1:11" ht="15.75" customHeight="1" x14ac:dyDescent="0.35">
      <c r="A477" s="5"/>
      <c r="B477" s="5"/>
      <c r="C477" s="6"/>
      <c r="D477" s="5"/>
      <c r="E477" s="5"/>
      <c r="F477" s="5"/>
      <c r="G477" s="5"/>
      <c r="H477" s="5"/>
      <c r="I477" s="5"/>
      <c r="J477" s="5"/>
      <c r="K477" s="5"/>
    </row>
    <row r="478" spans="1:11" ht="15.75" customHeight="1" x14ac:dyDescent="0.35">
      <c r="A478" s="5"/>
      <c r="B478" s="5"/>
      <c r="C478" s="6"/>
      <c r="D478" s="5"/>
      <c r="E478" s="5"/>
      <c r="F478" s="5"/>
      <c r="G478" s="5"/>
      <c r="H478" s="5"/>
      <c r="I478" s="5"/>
      <c r="J478" s="5"/>
      <c r="K478" s="5"/>
    </row>
    <row r="479" spans="1:11" ht="15.75" customHeight="1" x14ac:dyDescent="0.35">
      <c r="A479" s="5"/>
      <c r="B479" s="5"/>
      <c r="C479" s="6"/>
      <c r="D479" s="5"/>
      <c r="E479" s="5"/>
      <c r="F479" s="5"/>
      <c r="G479" s="5"/>
      <c r="H479" s="5"/>
      <c r="I479" s="5"/>
      <c r="J479" s="5"/>
      <c r="K479" s="5"/>
    </row>
    <row r="480" spans="1:11" ht="15.75" customHeight="1" x14ac:dyDescent="0.35">
      <c r="A480" s="5"/>
      <c r="B480" s="5"/>
      <c r="C480" s="6"/>
      <c r="D480" s="5"/>
      <c r="E480" s="5"/>
      <c r="F480" s="5"/>
      <c r="G480" s="5"/>
      <c r="H480" s="5"/>
      <c r="I480" s="5"/>
      <c r="J480" s="5"/>
      <c r="K480" s="5"/>
    </row>
    <row r="481" spans="1:11" ht="15.75" customHeight="1" x14ac:dyDescent="0.35">
      <c r="A481" s="5"/>
      <c r="B481" s="5"/>
      <c r="C481" s="6"/>
      <c r="D481" s="5"/>
      <c r="E481" s="5"/>
      <c r="F481" s="5"/>
      <c r="G481" s="5"/>
      <c r="H481" s="5"/>
      <c r="I481" s="5"/>
      <c r="J481" s="5"/>
      <c r="K481" s="5"/>
    </row>
    <row r="482" spans="1:11" ht="15.75" customHeight="1" x14ac:dyDescent="0.35">
      <c r="A482" s="5"/>
      <c r="B482" s="5"/>
      <c r="C482" s="6"/>
      <c r="D482" s="5"/>
      <c r="E482" s="5"/>
      <c r="F482" s="5"/>
      <c r="G482" s="5"/>
      <c r="H482" s="5"/>
      <c r="I482" s="5"/>
      <c r="J482" s="5"/>
      <c r="K482" s="5"/>
    </row>
    <row r="483" spans="1:11" ht="15.75" customHeight="1" x14ac:dyDescent="0.35">
      <c r="A483" s="5"/>
      <c r="B483" s="5"/>
      <c r="C483" s="6"/>
      <c r="D483" s="5"/>
      <c r="E483" s="5"/>
      <c r="F483" s="5"/>
      <c r="G483" s="5"/>
      <c r="H483" s="5"/>
      <c r="I483" s="5"/>
      <c r="J483" s="5"/>
      <c r="K483" s="5"/>
    </row>
    <row r="484" spans="1:11" ht="15.75" customHeight="1" x14ac:dyDescent="0.35">
      <c r="A484" s="5"/>
      <c r="B484" s="5"/>
      <c r="C484" s="6"/>
      <c r="D484" s="5"/>
      <c r="E484" s="5"/>
      <c r="F484" s="5"/>
      <c r="G484" s="5"/>
      <c r="H484" s="5"/>
      <c r="I484" s="5"/>
      <c r="J484" s="5"/>
      <c r="K484" s="5"/>
    </row>
    <row r="485" spans="1:11" ht="15.75" customHeight="1" x14ac:dyDescent="0.35">
      <c r="A485" s="5"/>
      <c r="B485" s="5"/>
      <c r="C485" s="6"/>
      <c r="D485" s="5"/>
      <c r="E485" s="5"/>
      <c r="F485" s="5"/>
      <c r="G485" s="5"/>
      <c r="H485" s="5"/>
      <c r="I485" s="5"/>
      <c r="J485" s="5"/>
      <c r="K485" s="5"/>
    </row>
    <row r="486" spans="1:11" ht="15.75" customHeight="1" x14ac:dyDescent="0.35">
      <c r="A486" s="5"/>
      <c r="B486" s="5"/>
      <c r="C486" s="6"/>
      <c r="D486" s="5"/>
      <c r="E486" s="5"/>
      <c r="F486" s="5"/>
      <c r="G486" s="5"/>
      <c r="H486" s="5"/>
      <c r="I486" s="5"/>
      <c r="J486" s="5"/>
      <c r="K486" s="5"/>
    </row>
    <row r="487" spans="1:11" ht="15.75" customHeight="1" x14ac:dyDescent="0.35">
      <c r="A487" s="5"/>
      <c r="B487" s="5"/>
      <c r="C487" s="6"/>
      <c r="D487" s="5"/>
      <c r="E487" s="5"/>
      <c r="F487" s="5"/>
      <c r="G487" s="5"/>
      <c r="H487" s="5"/>
      <c r="I487" s="5"/>
      <c r="J487" s="5"/>
      <c r="K487" s="5"/>
    </row>
    <row r="488" spans="1:11" ht="15.75" customHeight="1" x14ac:dyDescent="0.35">
      <c r="A488" s="5"/>
      <c r="B488" s="5"/>
      <c r="C488" s="6"/>
      <c r="D488" s="5"/>
      <c r="E488" s="5"/>
      <c r="F488" s="5"/>
      <c r="G488" s="5"/>
      <c r="H488" s="5"/>
      <c r="I488" s="5"/>
      <c r="J488" s="5"/>
      <c r="K488" s="5"/>
    </row>
    <row r="489" spans="1:11" ht="15.75" customHeight="1" x14ac:dyDescent="0.35">
      <c r="A489" s="5"/>
      <c r="B489" s="5"/>
      <c r="C489" s="6"/>
      <c r="D489" s="5"/>
      <c r="E489" s="5"/>
      <c r="F489" s="5"/>
      <c r="G489" s="5"/>
      <c r="H489" s="5"/>
      <c r="I489" s="5"/>
      <c r="J489" s="5"/>
      <c r="K489" s="5"/>
    </row>
    <row r="490" spans="1:11" ht="15.75" customHeight="1" x14ac:dyDescent="0.35">
      <c r="A490" s="5"/>
      <c r="B490" s="5"/>
      <c r="C490" s="6"/>
      <c r="D490" s="5"/>
      <c r="E490" s="5"/>
      <c r="F490" s="5"/>
      <c r="G490" s="5"/>
      <c r="H490" s="5"/>
      <c r="I490" s="5"/>
      <c r="J490" s="5"/>
      <c r="K490" s="5"/>
    </row>
    <row r="491" spans="1:11" ht="15.75" customHeight="1" x14ac:dyDescent="0.35">
      <c r="A491" s="5"/>
      <c r="B491" s="5"/>
      <c r="C491" s="6"/>
      <c r="D491" s="5"/>
      <c r="E491" s="5"/>
      <c r="F491" s="5"/>
      <c r="G491" s="5"/>
      <c r="H491" s="5"/>
      <c r="I491" s="5"/>
      <c r="J491" s="5"/>
      <c r="K491" s="5"/>
    </row>
    <row r="492" spans="1:11" ht="15.75" customHeight="1" x14ac:dyDescent="0.35">
      <c r="A492" s="5"/>
      <c r="B492" s="5"/>
      <c r="C492" s="6"/>
      <c r="D492" s="5"/>
      <c r="E492" s="5"/>
      <c r="F492" s="5"/>
      <c r="G492" s="5"/>
      <c r="H492" s="5"/>
      <c r="I492" s="5"/>
      <c r="J492" s="5"/>
      <c r="K492" s="5"/>
    </row>
    <row r="493" spans="1:11" ht="15.75" customHeight="1" x14ac:dyDescent="0.35">
      <c r="A493" s="5"/>
      <c r="B493" s="5"/>
      <c r="C493" s="6"/>
      <c r="D493" s="5"/>
      <c r="E493" s="5"/>
      <c r="F493" s="5"/>
      <c r="G493" s="5"/>
      <c r="H493" s="5"/>
      <c r="I493" s="5"/>
      <c r="J493" s="5"/>
      <c r="K493" s="5"/>
    </row>
    <row r="494" spans="1:11" ht="15.75" customHeight="1" x14ac:dyDescent="0.35">
      <c r="A494" s="5"/>
      <c r="B494" s="5"/>
      <c r="C494" s="6"/>
      <c r="D494" s="5"/>
      <c r="E494" s="5"/>
      <c r="F494" s="5"/>
      <c r="G494" s="5"/>
      <c r="H494" s="5"/>
      <c r="I494" s="5"/>
      <c r="J494" s="5"/>
      <c r="K494" s="5"/>
    </row>
    <row r="495" spans="1:11" ht="15.75" customHeight="1" x14ac:dyDescent="0.35">
      <c r="A495" s="5"/>
      <c r="B495" s="5"/>
      <c r="C495" s="6"/>
      <c r="D495" s="5"/>
      <c r="E495" s="5"/>
      <c r="F495" s="5"/>
      <c r="G495" s="5"/>
      <c r="H495" s="5"/>
      <c r="I495" s="5"/>
      <c r="J495" s="5"/>
      <c r="K495" s="5"/>
    </row>
    <row r="496" spans="1:11" ht="15.75" customHeight="1" x14ac:dyDescent="0.35">
      <c r="A496" s="5"/>
      <c r="B496" s="5"/>
      <c r="C496" s="6"/>
      <c r="D496" s="5"/>
      <c r="E496" s="5"/>
      <c r="F496" s="5"/>
      <c r="G496" s="5"/>
      <c r="H496" s="5"/>
      <c r="I496" s="5"/>
      <c r="J496" s="5"/>
      <c r="K496" s="5"/>
    </row>
    <row r="497" spans="1:11" ht="15.75" customHeight="1" x14ac:dyDescent="0.35">
      <c r="A497" s="5"/>
      <c r="B497" s="5"/>
      <c r="C497" s="6"/>
      <c r="D497" s="5"/>
      <c r="E497" s="5"/>
      <c r="F497" s="5"/>
      <c r="G497" s="5"/>
      <c r="H497" s="5"/>
      <c r="I497" s="5"/>
      <c r="J497" s="5"/>
      <c r="K497" s="5"/>
    </row>
    <row r="498" spans="1:11" ht="15.75" customHeight="1" x14ac:dyDescent="0.35">
      <c r="A498" s="5"/>
      <c r="B498" s="5"/>
      <c r="C498" s="6"/>
      <c r="D498" s="5"/>
      <c r="E498" s="5"/>
      <c r="F498" s="5"/>
      <c r="G498" s="5"/>
      <c r="H498" s="5"/>
      <c r="I498" s="5"/>
      <c r="J498" s="5"/>
      <c r="K498" s="5"/>
    </row>
    <row r="499" spans="1:11" ht="15.75" customHeight="1" x14ac:dyDescent="0.35">
      <c r="A499" s="5"/>
      <c r="B499" s="5"/>
      <c r="C499" s="6"/>
      <c r="D499" s="5"/>
      <c r="E499" s="5"/>
      <c r="F499" s="5"/>
      <c r="G499" s="5"/>
      <c r="H499" s="5"/>
      <c r="I499" s="5"/>
      <c r="J499" s="5"/>
      <c r="K499" s="5"/>
    </row>
    <row r="500" spans="1:11" ht="15.75" customHeight="1" x14ac:dyDescent="0.35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</row>
    <row r="501" spans="1:11" ht="15.75" customHeight="1" x14ac:dyDescent="0.35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</row>
    <row r="502" spans="1:11" ht="15.75" customHeight="1" x14ac:dyDescent="0.35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</row>
    <row r="503" spans="1:11" ht="15.75" customHeight="1" x14ac:dyDescent="0.35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</row>
    <row r="504" spans="1:11" ht="15.75" customHeight="1" x14ac:dyDescent="0.35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</row>
    <row r="505" spans="1:11" ht="15.75" customHeight="1" x14ac:dyDescent="0.35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</row>
    <row r="506" spans="1:11" ht="15.75" customHeight="1" x14ac:dyDescent="0.35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</row>
    <row r="507" spans="1:11" ht="15.75" customHeight="1" x14ac:dyDescent="0.35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</row>
    <row r="508" spans="1:11" ht="15.75" customHeight="1" x14ac:dyDescent="0.35">
      <c r="A508" s="5"/>
      <c r="B508" s="5"/>
      <c r="C508" s="6"/>
      <c r="D508" s="5"/>
      <c r="E508" s="5"/>
      <c r="F508" s="5"/>
      <c r="G508" s="5"/>
      <c r="H508" s="5"/>
      <c r="I508" s="5"/>
      <c r="J508" s="5"/>
      <c r="K508" s="5"/>
    </row>
    <row r="509" spans="1:11" ht="15.75" customHeight="1" x14ac:dyDescent="0.35">
      <c r="A509" s="5"/>
      <c r="B509" s="5"/>
      <c r="C509" s="6"/>
      <c r="D509" s="5"/>
      <c r="E509" s="5"/>
      <c r="F509" s="5"/>
      <c r="G509" s="5"/>
      <c r="H509" s="5"/>
      <c r="I509" s="5"/>
      <c r="J509" s="5"/>
      <c r="K509" s="5"/>
    </row>
    <row r="510" spans="1:11" ht="15.75" customHeight="1" x14ac:dyDescent="0.35">
      <c r="A510" s="5"/>
      <c r="B510" s="5"/>
      <c r="C510" s="6"/>
      <c r="D510" s="5"/>
      <c r="E510" s="5"/>
      <c r="F510" s="5"/>
      <c r="G510" s="5"/>
      <c r="H510" s="5"/>
      <c r="I510" s="5"/>
      <c r="J510" s="5"/>
      <c r="K510" s="5"/>
    </row>
    <row r="511" spans="1:11" ht="15.75" customHeight="1" x14ac:dyDescent="0.35">
      <c r="A511" s="5"/>
      <c r="B511" s="5"/>
      <c r="C511" s="6"/>
      <c r="D511" s="5"/>
      <c r="E511" s="5"/>
      <c r="F511" s="5"/>
      <c r="G511" s="5"/>
      <c r="H511" s="5"/>
      <c r="I511" s="5"/>
      <c r="J511" s="5"/>
      <c r="K511" s="5"/>
    </row>
    <row r="512" spans="1:11" ht="15.75" customHeight="1" x14ac:dyDescent="0.35">
      <c r="A512" s="5"/>
      <c r="B512" s="5"/>
      <c r="C512" s="6"/>
      <c r="D512" s="5"/>
      <c r="E512" s="5"/>
      <c r="F512" s="5"/>
      <c r="G512" s="5"/>
      <c r="H512" s="5"/>
      <c r="I512" s="5"/>
      <c r="J512" s="5"/>
      <c r="K512" s="5"/>
    </row>
    <row r="513" spans="1:11" ht="15.75" customHeight="1" x14ac:dyDescent="0.35">
      <c r="A513" s="5"/>
      <c r="B513" s="5"/>
      <c r="C513" s="6"/>
      <c r="D513" s="5"/>
      <c r="E513" s="5"/>
      <c r="F513" s="5"/>
      <c r="G513" s="5"/>
      <c r="H513" s="5"/>
      <c r="I513" s="5"/>
      <c r="J513" s="5"/>
      <c r="K513" s="5"/>
    </row>
    <row r="514" spans="1:11" ht="15.75" customHeight="1" x14ac:dyDescent="0.35">
      <c r="A514" s="5"/>
      <c r="B514" s="5"/>
      <c r="C514" s="6"/>
      <c r="D514" s="5"/>
      <c r="E514" s="5"/>
      <c r="F514" s="5"/>
      <c r="G514" s="5"/>
      <c r="H514" s="5"/>
      <c r="I514" s="5"/>
      <c r="J514" s="5"/>
      <c r="K514" s="5"/>
    </row>
    <row r="515" spans="1:11" ht="15.75" customHeight="1" x14ac:dyDescent="0.35">
      <c r="A515" s="5"/>
      <c r="B515" s="5"/>
      <c r="C515" s="6"/>
      <c r="D515" s="5"/>
      <c r="E515" s="5"/>
      <c r="F515" s="5"/>
      <c r="G515" s="5"/>
      <c r="H515" s="5"/>
      <c r="I515" s="5"/>
      <c r="J515" s="5"/>
      <c r="K515" s="5"/>
    </row>
    <row r="516" spans="1:11" ht="15.75" customHeight="1" x14ac:dyDescent="0.35">
      <c r="A516" s="5"/>
      <c r="B516" s="5"/>
      <c r="C516" s="6"/>
      <c r="D516" s="5"/>
      <c r="E516" s="5"/>
      <c r="F516" s="5"/>
      <c r="G516" s="5"/>
      <c r="H516" s="5"/>
      <c r="I516" s="5"/>
      <c r="J516" s="5"/>
      <c r="K516" s="5"/>
    </row>
    <row r="517" spans="1:11" ht="15.75" customHeight="1" x14ac:dyDescent="0.35">
      <c r="A517" s="5"/>
      <c r="B517" s="5"/>
      <c r="C517" s="6"/>
      <c r="D517" s="5"/>
      <c r="E517" s="5"/>
      <c r="F517" s="5"/>
      <c r="G517" s="5"/>
      <c r="H517" s="5"/>
      <c r="I517" s="5"/>
      <c r="J517" s="5"/>
      <c r="K517" s="5"/>
    </row>
    <row r="518" spans="1:11" ht="15.75" customHeight="1" x14ac:dyDescent="0.35">
      <c r="A518" s="5"/>
      <c r="B518" s="5"/>
      <c r="C518" s="6"/>
      <c r="D518" s="5"/>
      <c r="E518" s="5"/>
      <c r="F518" s="5"/>
      <c r="G518" s="5"/>
      <c r="H518" s="5"/>
      <c r="I518" s="5"/>
      <c r="J518" s="5"/>
      <c r="K518" s="5"/>
    </row>
    <row r="519" spans="1:11" ht="15.75" customHeight="1" x14ac:dyDescent="0.35">
      <c r="A519" s="5"/>
      <c r="B519" s="5"/>
      <c r="C519" s="6"/>
      <c r="D519" s="5"/>
      <c r="E519" s="5"/>
      <c r="F519" s="5"/>
      <c r="G519" s="5"/>
      <c r="H519" s="5"/>
      <c r="I519" s="5"/>
      <c r="J519" s="5"/>
      <c r="K519" s="5"/>
    </row>
    <row r="520" spans="1:11" ht="15.75" customHeight="1" x14ac:dyDescent="0.35">
      <c r="A520" s="5"/>
      <c r="B520" s="5"/>
      <c r="C520" s="6"/>
      <c r="D520" s="5"/>
      <c r="E520" s="5"/>
      <c r="F520" s="5"/>
      <c r="G520" s="5"/>
      <c r="H520" s="5"/>
      <c r="I520" s="5"/>
      <c r="J520" s="5"/>
      <c r="K520" s="5"/>
    </row>
    <row r="521" spans="1:11" ht="15.75" customHeight="1" x14ac:dyDescent="0.35">
      <c r="A521" s="5"/>
      <c r="B521" s="5"/>
      <c r="C521" s="6"/>
      <c r="D521" s="5"/>
      <c r="E521" s="5"/>
      <c r="F521" s="5"/>
      <c r="G521" s="5"/>
      <c r="H521" s="5"/>
      <c r="I521" s="5"/>
      <c r="J521" s="5"/>
      <c r="K521" s="5"/>
    </row>
    <row r="522" spans="1:11" ht="15.75" customHeight="1" x14ac:dyDescent="0.35">
      <c r="A522" s="5"/>
      <c r="B522" s="5"/>
      <c r="C522" s="6"/>
      <c r="D522" s="5"/>
      <c r="E522" s="5"/>
      <c r="F522" s="5"/>
      <c r="G522" s="5"/>
      <c r="H522" s="5"/>
      <c r="I522" s="5"/>
      <c r="J522" s="5"/>
      <c r="K522" s="5"/>
    </row>
    <row r="523" spans="1:11" ht="15.75" customHeight="1" x14ac:dyDescent="0.35">
      <c r="A523" s="5"/>
      <c r="B523" s="5"/>
      <c r="C523" s="6"/>
      <c r="D523" s="5"/>
      <c r="E523" s="5"/>
      <c r="F523" s="5"/>
      <c r="G523" s="5"/>
      <c r="H523" s="5"/>
      <c r="I523" s="5"/>
      <c r="J523" s="5"/>
      <c r="K523" s="5"/>
    </row>
    <row r="524" spans="1:11" ht="15.75" customHeight="1" x14ac:dyDescent="0.35">
      <c r="A524" s="5"/>
      <c r="B524" s="5"/>
      <c r="C524" s="6"/>
      <c r="D524" s="5"/>
      <c r="E524" s="5"/>
      <c r="F524" s="5"/>
      <c r="G524" s="5"/>
      <c r="H524" s="5"/>
      <c r="I524" s="5"/>
      <c r="J524" s="5"/>
      <c r="K524" s="5"/>
    </row>
    <row r="525" spans="1:11" ht="15.75" customHeight="1" x14ac:dyDescent="0.35">
      <c r="A525" s="5"/>
      <c r="B525" s="5"/>
      <c r="C525" s="6"/>
      <c r="D525" s="5"/>
      <c r="E525" s="5"/>
      <c r="F525" s="5"/>
      <c r="G525" s="5"/>
      <c r="H525" s="5"/>
      <c r="I525" s="5"/>
      <c r="J525" s="5"/>
      <c r="K525" s="5"/>
    </row>
    <row r="526" spans="1:11" ht="15.75" customHeight="1" x14ac:dyDescent="0.35">
      <c r="A526" s="5"/>
      <c r="B526" s="5"/>
      <c r="C526" s="6"/>
      <c r="D526" s="5"/>
      <c r="E526" s="5"/>
      <c r="F526" s="5"/>
      <c r="G526" s="5"/>
      <c r="H526" s="5"/>
      <c r="I526" s="5"/>
      <c r="J526" s="5"/>
      <c r="K526" s="5"/>
    </row>
    <row r="527" spans="1:11" ht="15.75" customHeight="1" x14ac:dyDescent="0.35">
      <c r="A527" s="5"/>
      <c r="B527" s="5"/>
      <c r="C527" s="6"/>
      <c r="D527" s="5"/>
      <c r="E527" s="5"/>
      <c r="F527" s="5"/>
      <c r="G527" s="5"/>
      <c r="H527" s="5"/>
      <c r="I527" s="5"/>
      <c r="J527" s="5"/>
      <c r="K527" s="5"/>
    </row>
    <row r="528" spans="1:11" ht="15.75" customHeight="1" x14ac:dyDescent="0.35">
      <c r="A528" s="5"/>
      <c r="B528" s="5"/>
      <c r="C528" s="6"/>
      <c r="D528" s="5"/>
      <c r="E528" s="5"/>
      <c r="F528" s="5"/>
      <c r="G528" s="5"/>
      <c r="H528" s="5"/>
      <c r="I528" s="5"/>
      <c r="J528" s="5"/>
      <c r="K528" s="5"/>
    </row>
    <row r="529" spans="1:11" ht="15.75" customHeight="1" x14ac:dyDescent="0.35">
      <c r="A529" s="5"/>
      <c r="B529" s="5"/>
      <c r="C529" s="6"/>
      <c r="D529" s="5"/>
      <c r="E529" s="5"/>
      <c r="F529" s="5"/>
      <c r="G529" s="5"/>
      <c r="H529" s="5"/>
      <c r="I529" s="5"/>
      <c r="J529" s="5"/>
      <c r="K529" s="5"/>
    </row>
    <row r="530" spans="1:11" ht="15.75" customHeight="1" x14ac:dyDescent="0.35">
      <c r="A530" s="5"/>
      <c r="B530" s="5"/>
      <c r="C530" s="6"/>
      <c r="D530" s="5"/>
      <c r="E530" s="5"/>
      <c r="F530" s="5"/>
      <c r="G530" s="5"/>
      <c r="H530" s="5"/>
      <c r="I530" s="5"/>
      <c r="J530" s="5"/>
      <c r="K530" s="5"/>
    </row>
    <row r="531" spans="1:11" ht="15.75" customHeight="1" x14ac:dyDescent="0.35">
      <c r="A531" s="5"/>
      <c r="B531" s="5"/>
      <c r="C531" s="6"/>
      <c r="D531" s="5"/>
      <c r="E531" s="5"/>
      <c r="F531" s="5"/>
      <c r="G531" s="5"/>
      <c r="H531" s="5"/>
      <c r="I531" s="5"/>
      <c r="J531" s="5"/>
      <c r="K531" s="5"/>
    </row>
    <row r="532" spans="1:11" ht="15.75" customHeight="1" x14ac:dyDescent="0.35">
      <c r="A532" s="5"/>
      <c r="B532" s="5"/>
      <c r="C532" s="6"/>
      <c r="D532" s="5"/>
      <c r="E532" s="5"/>
      <c r="F532" s="5"/>
      <c r="G532" s="5"/>
      <c r="H532" s="5"/>
      <c r="I532" s="5"/>
      <c r="J532" s="5"/>
      <c r="K532" s="5"/>
    </row>
    <row r="533" spans="1:11" ht="15.75" customHeight="1" x14ac:dyDescent="0.35">
      <c r="A533" s="5"/>
      <c r="B533" s="5"/>
      <c r="C533" s="6"/>
      <c r="D533" s="5"/>
      <c r="E533" s="5"/>
      <c r="F533" s="5"/>
      <c r="G533" s="5"/>
      <c r="H533" s="5"/>
      <c r="I533" s="5"/>
      <c r="J533" s="5"/>
      <c r="K533" s="5"/>
    </row>
    <row r="534" spans="1:11" ht="15.75" customHeight="1" x14ac:dyDescent="0.35">
      <c r="A534" s="5"/>
      <c r="B534" s="5"/>
      <c r="C534" s="6"/>
      <c r="D534" s="5"/>
      <c r="E534" s="5"/>
      <c r="F534" s="5"/>
      <c r="G534" s="5"/>
      <c r="H534" s="5"/>
      <c r="I534" s="5"/>
      <c r="J534" s="5"/>
      <c r="K534" s="5"/>
    </row>
    <row r="535" spans="1:11" ht="15.75" customHeight="1" x14ac:dyDescent="0.35">
      <c r="A535" s="5"/>
      <c r="B535" s="5"/>
      <c r="C535" s="6"/>
      <c r="D535" s="5"/>
      <c r="E535" s="5"/>
      <c r="F535" s="5"/>
      <c r="G535" s="5"/>
      <c r="H535" s="5"/>
      <c r="I535" s="5"/>
      <c r="J535" s="5"/>
      <c r="K535" s="5"/>
    </row>
    <row r="536" spans="1:11" ht="15.75" customHeight="1" x14ac:dyDescent="0.35">
      <c r="A536" s="5"/>
      <c r="B536" s="5"/>
      <c r="C536" s="6"/>
      <c r="D536" s="5"/>
      <c r="E536" s="5"/>
      <c r="F536" s="5"/>
      <c r="G536" s="5"/>
      <c r="H536" s="5"/>
      <c r="I536" s="5"/>
      <c r="J536" s="5"/>
      <c r="K536" s="5"/>
    </row>
    <row r="537" spans="1:11" ht="15.75" customHeight="1" x14ac:dyDescent="0.35">
      <c r="A537" s="5"/>
      <c r="B537" s="5"/>
      <c r="C537" s="6"/>
      <c r="D537" s="5"/>
      <c r="E537" s="5"/>
      <c r="F537" s="5"/>
      <c r="G537" s="5"/>
      <c r="H537" s="5"/>
      <c r="I537" s="5"/>
      <c r="J537" s="5"/>
      <c r="K537" s="5"/>
    </row>
    <row r="538" spans="1:11" ht="15.75" customHeight="1" x14ac:dyDescent="0.35">
      <c r="A538" s="5"/>
      <c r="B538" s="5"/>
      <c r="C538" s="6"/>
      <c r="D538" s="5"/>
      <c r="E538" s="5"/>
      <c r="F538" s="5"/>
      <c r="G538" s="5"/>
      <c r="H538" s="5"/>
      <c r="I538" s="5"/>
      <c r="J538" s="5"/>
      <c r="K538" s="5"/>
    </row>
    <row r="539" spans="1:11" ht="15.75" customHeight="1" x14ac:dyDescent="0.35">
      <c r="A539" s="5"/>
      <c r="B539" s="5"/>
      <c r="C539" s="6"/>
      <c r="D539" s="5"/>
      <c r="E539" s="5"/>
      <c r="F539" s="5"/>
      <c r="G539" s="5"/>
      <c r="H539" s="5"/>
      <c r="I539" s="5"/>
      <c r="J539" s="5"/>
      <c r="K539" s="5"/>
    </row>
    <row r="540" spans="1:11" ht="15.75" customHeight="1" x14ac:dyDescent="0.35">
      <c r="A540" s="5"/>
      <c r="B540" s="5"/>
      <c r="C540" s="6"/>
      <c r="D540" s="5"/>
      <c r="E540" s="5"/>
      <c r="F540" s="5"/>
      <c r="G540" s="5"/>
      <c r="H540" s="5"/>
      <c r="I540" s="5"/>
      <c r="J540" s="5"/>
      <c r="K540" s="5"/>
    </row>
    <row r="541" spans="1:11" ht="15.75" customHeight="1" x14ac:dyDescent="0.35">
      <c r="A541" s="5"/>
      <c r="B541" s="5"/>
      <c r="C541" s="6"/>
      <c r="D541" s="5"/>
      <c r="E541" s="5"/>
      <c r="F541" s="5"/>
      <c r="G541" s="5"/>
      <c r="H541" s="5"/>
      <c r="I541" s="5"/>
      <c r="J541" s="5"/>
      <c r="K541" s="5"/>
    </row>
    <row r="542" spans="1:11" ht="15.75" customHeight="1" x14ac:dyDescent="0.35">
      <c r="A542" s="5"/>
      <c r="B542" s="5"/>
      <c r="C542" s="6"/>
      <c r="D542" s="5"/>
      <c r="E542" s="5"/>
      <c r="F542" s="5"/>
      <c r="G542" s="5"/>
      <c r="H542" s="5"/>
      <c r="I542" s="5"/>
      <c r="J542" s="5"/>
      <c r="K542" s="5"/>
    </row>
    <row r="543" spans="1:11" ht="15.75" customHeight="1" x14ac:dyDescent="0.35">
      <c r="A543" s="5"/>
      <c r="B543" s="5"/>
      <c r="C543" s="6"/>
      <c r="D543" s="5"/>
      <c r="E543" s="5"/>
      <c r="F543" s="5"/>
      <c r="G543" s="5"/>
      <c r="H543" s="5"/>
      <c r="I543" s="5"/>
      <c r="J543" s="5"/>
      <c r="K543" s="5"/>
    </row>
    <row r="544" spans="1:11" ht="15.75" customHeight="1" x14ac:dyDescent="0.35">
      <c r="A544" s="5"/>
      <c r="B544" s="5"/>
      <c r="C544" s="6"/>
      <c r="D544" s="5"/>
      <c r="E544" s="5"/>
      <c r="F544" s="5"/>
      <c r="G544" s="5"/>
      <c r="H544" s="5"/>
      <c r="I544" s="5"/>
      <c r="J544" s="5"/>
      <c r="K544" s="5"/>
    </row>
    <row r="545" spans="1:11" ht="15.75" customHeight="1" x14ac:dyDescent="0.35">
      <c r="A545" s="5"/>
      <c r="B545" s="5"/>
      <c r="C545" s="6"/>
      <c r="D545" s="5"/>
      <c r="E545" s="5"/>
      <c r="F545" s="5"/>
      <c r="G545" s="5"/>
      <c r="H545" s="5"/>
      <c r="I545" s="5"/>
      <c r="J545" s="5"/>
      <c r="K545" s="5"/>
    </row>
    <row r="546" spans="1:11" ht="15.75" customHeight="1" x14ac:dyDescent="0.35">
      <c r="A546" s="5"/>
      <c r="B546" s="5"/>
      <c r="C546" s="6"/>
      <c r="D546" s="5"/>
      <c r="E546" s="5"/>
      <c r="F546" s="5"/>
      <c r="G546" s="5"/>
      <c r="H546" s="5"/>
      <c r="I546" s="5"/>
      <c r="J546" s="5"/>
      <c r="K546" s="5"/>
    </row>
    <row r="547" spans="1:11" ht="15.75" customHeight="1" x14ac:dyDescent="0.35">
      <c r="A547" s="5"/>
      <c r="B547" s="5"/>
      <c r="C547" s="6"/>
      <c r="D547" s="5"/>
      <c r="E547" s="5"/>
      <c r="F547" s="5"/>
      <c r="G547" s="5"/>
      <c r="H547" s="5"/>
      <c r="I547" s="5"/>
      <c r="J547" s="5"/>
      <c r="K547" s="5"/>
    </row>
    <row r="548" spans="1:11" ht="15.75" customHeight="1" x14ac:dyDescent="0.35">
      <c r="A548" s="5"/>
      <c r="B548" s="5"/>
      <c r="C548" s="6"/>
      <c r="D548" s="5"/>
      <c r="E548" s="5"/>
      <c r="F548" s="5"/>
      <c r="G548" s="5"/>
      <c r="H548" s="5"/>
      <c r="I548" s="5"/>
      <c r="J548" s="5"/>
      <c r="K548" s="5"/>
    </row>
    <row r="549" spans="1:11" ht="15.75" customHeight="1" x14ac:dyDescent="0.35">
      <c r="A549" s="5"/>
      <c r="B549" s="5"/>
      <c r="C549" s="6"/>
      <c r="D549" s="5"/>
      <c r="E549" s="5"/>
      <c r="F549" s="5"/>
      <c r="G549" s="5"/>
      <c r="H549" s="5"/>
      <c r="I549" s="5"/>
      <c r="J549" s="5"/>
      <c r="K549" s="5"/>
    </row>
    <row r="550" spans="1:11" ht="15.75" customHeight="1" x14ac:dyDescent="0.35">
      <c r="A550" s="5"/>
      <c r="B550" s="5"/>
      <c r="C550" s="6"/>
      <c r="D550" s="5"/>
      <c r="E550" s="5"/>
      <c r="F550" s="5"/>
      <c r="G550" s="5"/>
      <c r="H550" s="5"/>
      <c r="I550" s="5"/>
      <c r="J550" s="5"/>
      <c r="K550" s="5"/>
    </row>
    <row r="551" spans="1:11" ht="15.75" customHeight="1" x14ac:dyDescent="0.35">
      <c r="A551" s="5"/>
      <c r="B551" s="5"/>
      <c r="C551" s="6"/>
      <c r="D551" s="5"/>
      <c r="E551" s="5"/>
      <c r="F551" s="5"/>
      <c r="G551" s="5"/>
      <c r="H551" s="5"/>
      <c r="I551" s="5"/>
      <c r="J551" s="5"/>
      <c r="K551" s="5"/>
    </row>
    <row r="552" spans="1:11" ht="15.75" customHeight="1" x14ac:dyDescent="0.35">
      <c r="A552" s="5"/>
      <c r="B552" s="5"/>
      <c r="C552" s="6"/>
      <c r="D552" s="5"/>
      <c r="E552" s="5"/>
      <c r="F552" s="5"/>
      <c r="G552" s="5"/>
      <c r="H552" s="5"/>
      <c r="I552" s="5"/>
      <c r="J552" s="5"/>
      <c r="K552" s="5"/>
    </row>
    <row r="553" spans="1:11" ht="15.75" customHeight="1" x14ac:dyDescent="0.35">
      <c r="A553" s="5"/>
      <c r="B553" s="5"/>
      <c r="C553" s="6"/>
      <c r="D553" s="5"/>
      <c r="E553" s="5"/>
      <c r="F553" s="5"/>
      <c r="G553" s="5"/>
      <c r="H553" s="5"/>
      <c r="I553" s="5"/>
      <c r="J553" s="5"/>
      <c r="K553" s="5"/>
    </row>
    <row r="554" spans="1:11" ht="15.75" customHeight="1" x14ac:dyDescent="0.35">
      <c r="A554" s="5"/>
      <c r="B554" s="5"/>
      <c r="C554" s="6"/>
      <c r="D554" s="5"/>
      <c r="E554" s="5"/>
      <c r="F554" s="5"/>
      <c r="G554" s="5"/>
      <c r="H554" s="5"/>
      <c r="I554" s="5"/>
      <c r="J554" s="5"/>
      <c r="K554" s="5"/>
    </row>
    <row r="555" spans="1:11" ht="15.75" customHeight="1" x14ac:dyDescent="0.35">
      <c r="A555" s="5"/>
      <c r="B555" s="5"/>
      <c r="C555" s="6"/>
      <c r="D555" s="5"/>
      <c r="E555" s="5"/>
      <c r="F555" s="5"/>
      <c r="G555" s="5"/>
      <c r="H555" s="5"/>
      <c r="I555" s="5"/>
      <c r="J555" s="5"/>
      <c r="K555" s="5"/>
    </row>
    <row r="556" spans="1:11" ht="15.75" customHeight="1" x14ac:dyDescent="0.35">
      <c r="A556" s="5"/>
      <c r="B556" s="5"/>
      <c r="C556" s="6"/>
      <c r="D556" s="5"/>
      <c r="E556" s="5"/>
      <c r="F556" s="5"/>
      <c r="G556" s="5"/>
      <c r="H556" s="5"/>
      <c r="I556" s="5"/>
      <c r="J556" s="5"/>
      <c r="K556" s="5"/>
    </row>
    <row r="557" spans="1:11" ht="15.75" customHeight="1" x14ac:dyDescent="0.35">
      <c r="A557" s="5"/>
      <c r="B557" s="5"/>
      <c r="C557" s="6"/>
      <c r="D557" s="5"/>
      <c r="E557" s="5"/>
      <c r="F557" s="5"/>
      <c r="G557" s="5"/>
      <c r="H557" s="5"/>
      <c r="I557" s="5"/>
      <c r="J557" s="5"/>
      <c r="K557" s="5"/>
    </row>
    <row r="558" spans="1:11" ht="15.75" customHeight="1" x14ac:dyDescent="0.35">
      <c r="A558" s="5"/>
      <c r="B558" s="5"/>
      <c r="C558" s="6"/>
      <c r="D558" s="5"/>
      <c r="E558" s="5"/>
      <c r="F558" s="5"/>
      <c r="G558" s="5"/>
      <c r="H558" s="5"/>
      <c r="I558" s="5"/>
      <c r="J558" s="5"/>
      <c r="K558" s="5"/>
    </row>
    <row r="559" spans="1:11" ht="15.75" customHeight="1" x14ac:dyDescent="0.35">
      <c r="A559" s="5"/>
      <c r="B559" s="5"/>
      <c r="C559" s="6"/>
      <c r="D559" s="5"/>
      <c r="E559" s="5"/>
      <c r="F559" s="5"/>
      <c r="G559" s="5"/>
      <c r="H559" s="5"/>
      <c r="I559" s="5"/>
      <c r="J559" s="5"/>
      <c r="K559" s="5"/>
    </row>
    <row r="560" spans="1:11" ht="15.75" customHeight="1" x14ac:dyDescent="0.35">
      <c r="A560" s="5"/>
      <c r="B560" s="5"/>
      <c r="C560" s="6"/>
      <c r="D560" s="5"/>
      <c r="E560" s="5"/>
      <c r="F560" s="5"/>
      <c r="G560" s="5"/>
      <c r="H560" s="5"/>
      <c r="I560" s="5"/>
      <c r="J560" s="5"/>
      <c r="K560" s="5"/>
    </row>
    <row r="561" spans="1:11" ht="15.75" customHeight="1" x14ac:dyDescent="0.35">
      <c r="A561" s="5"/>
      <c r="B561" s="5"/>
      <c r="C561" s="6"/>
      <c r="D561" s="5"/>
      <c r="E561" s="5"/>
      <c r="F561" s="5"/>
      <c r="G561" s="5"/>
      <c r="H561" s="5"/>
      <c r="I561" s="5"/>
      <c r="J561" s="5"/>
      <c r="K561" s="5"/>
    </row>
    <row r="562" spans="1:11" ht="15.75" customHeight="1" x14ac:dyDescent="0.35">
      <c r="A562" s="5"/>
      <c r="B562" s="5"/>
      <c r="C562" s="6"/>
      <c r="D562" s="5"/>
      <c r="E562" s="5"/>
      <c r="F562" s="5"/>
      <c r="G562" s="5"/>
      <c r="H562" s="5"/>
      <c r="I562" s="5"/>
      <c r="J562" s="5"/>
      <c r="K562" s="5"/>
    </row>
    <row r="563" spans="1:11" ht="15.75" customHeight="1" x14ac:dyDescent="0.35">
      <c r="A563" s="5"/>
      <c r="B563" s="5"/>
      <c r="C563" s="6"/>
      <c r="D563" s="5"/>
      <c r="E563" s="5"/>
      <c r="F563" s="5"/>
      <c r="G563" s="5"/>
      <c r="H563" s="5"/>
      <c r="I563" s="5"/>
      <c r="J563" s="5"/>
      <c r="K563" s="5"/>
    </row>
    <row r="564" spans="1:11" ht="15.75" customHeight="1" x14ac:dyDescent="0.35">
      <c r="A564" s="5"/>
      <c r="B564" s="5"/>
      <c r="C564" s="6"/>
      <c r="D564" s="5"/>
      <c r="E564" s="5"/>
      <c r="F564" s="5"/>
      <c r="G564" s="5"/>
      <c r="H564" s="5"/>
      <c r="I564" s="5"/>
      <c r="J564" s="5"/>
      <c r="K564" s="5"/>
    </row>
    <row r="565" spans="1:11" ht="15.75" customHeight="1" x14ac:dyDescent="0.35">
      <c r="A565" s="5"/>
      <c r="B565" s="5"/>
      <c r="C565" s="6"/>
      <c r="D565" s="5"/>
      <c r="E565" s="5"/>
      <c r="F565" s="5"/>
      <c r="G565" s="5"/>
      <c r="H565" s="5"/>
      <c r="I565" s="5"/>
      <c r="J565" s="5"/>
      <c r="K565" s="5"/>
    </row>
    <row r="566" spans="1:11" ht="15.75" customHeight="1" x14ac:dyDescent="0.35">
      <c r="A566" s="5"/>
      <c r="B566" s="5"/>
      <c r="C566" s="6"/>
      <c r="D566" s="5"/>
      <c r="E566" s="5"/>
      <c r="F566" s="5"/>
      <c r="G566" s="5"/>
      <c r="H566" s="5"/>
      <c r="I566" s="5"/>
      <c r="J566" s="5"/>
      <c r="K566" s="5"/>
    </row>
    <row r="567" spans="1:11" ht="15.75" customHeight="1" x14ac:dyDescent="0.35">
      <c r="A567" s="5"/>
      <c r="B567" s="5"/>
      <c r="C567" s="6"/>
      <c r="D567" s="5"/>
      <c r="E567" s="5"/>
      <c r="F567" s="5"/>
      <c r="G567" s="5"/>
      <c r="H567" s="5"/>
      <c r="I567" s="5"/>
      <c r="J567" s="5"/>
      <c r="K567" s="5"/>
    </row>
    <row r="568" spans="1:11" ht="15.75" customHeight="1" x14ac:dyDescent="0.35">
      <c r="A568" s="5"/>
      <c r="B568" s="5"/>
      <c r="C568" s="6"/>
      <c r="D568" s="5"/>
      <c r="E568" s="5"/>
      <c r="F568" s="5"/>
      <c r="G568" s="5"/>
      <c r="H568" s="5"/>
      <c r="I568" s="5"/>
      <c r="J568" s="5"/>
      <c r="K568" s="5"/>
    </row>
    <row r="569" spans="1:11" ht="15.75" customHeight="1" x14ac:dyDescent="0.35">
      <c r="A569" s="5"/>
      <c r="B569" s="5"/>
      <c r="C569" s="6"/>
      <c r="D569" s="5"/>
      <c r="E569" s="5"/>
      <c r="F569" s="5"/>
      <c r="G569" s="5"/>
      <c r="H569" s="5"/>
      <c r="I569" s="5"/>
      <c r="J569" s="5"/>
      <c r="K569" s="5"/>
    </row>
    <row r="570" spans="1:11" ht="15.75" customHeight="1" x14ac:dyDescent="0.35">
      <c r="A570" s="5"/>
      <c r="B570" s="5"/>
      <c r="C570" s="6"/>
      <c r="D570" s="5"/>
      <c r="E570" s="5"/>
      <c r="F570" s="5"/>
      <c r="G570" s="5"/>
      <c r="H570" s="5"/>
      <c r="I570" s="5"/>
      <c r="J570" s="5"/>
      <c r="K570" s="5"/>
    </row>
    <row r="571" spans="1:11" ht="15.75" customHeight="1" x14ac:dyDescent="0.35">
      <c r="A571" s="5"/>
      <c r="B571" s="5"/>
      <c r="C571" s="6"/>
      <c r="D571" s="5"/>
      <c r="E571" s="5"/>
      <c r="F571" s="5"/>
      <c r="G571" s="5"/>
      <c r="H571" s="5"/>
      <c r="I571" s="5"/>
      <c r="J571" s="5"/>
      <c r="K571" s="5"/>
    </row>
    <row r="572" spans="1:11" ht="15.75" customHeight="1" x14ac:dyDescent="0.35">
      <c r="A572" s="5"/>
      <c r="B572" s="5"/>
      <c r="C572" s="6"/>
      <c r="D572" s="5"/>
      <c r="E572" s="5"/>
      <c r="F572" s="5"/>
      <c r="G572" s="5"/>
      <c r="H572" s="5"/>
      <c r="I572" s="5"/>
      <c r="J572" s="5"/>
      <c r="K572" s="5"/>
    </row>
    <row r="573" spans="1:11" ht="15.75" customHeight="1" x14ac:dyDescent="0.35">
      <c r="A573" s="5"/>
      <c r="B573" s="5"/>
      <c r="C573" s="6"/>
      <c r="D573" s="5"/>
      <c r="E573" s="5"/>
      <c r="F573" s="5"/>
      <c r="G573" s="5"/>
      <c r="H573" s="5"/>
      <c r="I573" s="5"/>
      <c r="J573" s="5"/>
      <c r="K573" s="5"/>
    </row>
    <row r="574" spans="1:11" ht="15.75" customHeight="1" x14ac:dyDescent="0.35">
      <c r="A574" s="5"/>
      <c r="B574" s="5"/>
      <c r="C574" s="6"/>
      <c r="D574" s="5"/>
      <c r="E574" s="5"/>
      <c r="F574" s="5"/>
      <c r="G574" s="5"/>
      <c r="H574" s="5"/>
      <c r="I574" s="5"/>
      <c r="J574" s="5"/>
      <c r="K574" s="5"/>
    </row>
    <row r="575" spans="1:11" ht="15.75" customHeight="1" x14ac:dyDescent="0.35">
      <c r="A575" s="5"/>
      <c r="B575" s="5"/>
      <c r="C575" s="6"/>
      <c r="D575" s="5"/>
      <c r="E575" s="5"/>
      <c r="F575" s="5"/>
      <c r="G575" s="5"/>
      <c r="H575" s="5"/>
      <c r="I575" s="5"/>
      <c r="J575" s="5"/>
      <c r="K575" s="5"/>
    </row>
    <row r="576" spans="1:11" ht="15.75" customHeight="1" x14ac:dyDescent="0.35">
      <c r="A576" s="5"/>
      <c r="B576" s="5"/>
      <c r="C576" s="6"/>
      <c r="D576" s="5"/>
      <c r="E576" s="5"/>
      <c r="F576" s="5"/>
      <c r="G576" s="5"/>
      <c r="H576" s="5"/>
      <c r="I576" s="5"/>
      <c r="J576" s="5"/>
      <c r="K576" s="5"/>
    </row>
    <row r="577" spans="1:11" ht="15.75" customHeight="1" x14ac:dyDescent="0.35">
      <c r="A577" s="5"/>
      <c r="B577" s="5"/>
      <c r="C577" s="6"/>
      <c r="D577" s="5"/>
      <c r="E577" s="5"/>
      <c r="F577" s="5"/>
      <c r="G577" s="5"/>
      <c r="H577" s="5"/>
      <c r="I577" s="5"/>
      <c r="J577" s="5"/>
      <c r="K577" s="5"/>
    </row>
    <row r="578" spans="1:11" ht="15.75" customHeight="1" x14ac:dyDescent="0.35">
      <c r="A578" s="5"/>
      <c r="B578" s="5"/>
      <c r="C578" s="6"/>
      <c r="D578" s="5"/>
      <c r="E578" s="5"/>
      <c r="F578" s="5"/>
      <c r="G578" s="5"/>
      <c r="H578" s="5"/>
      <c r="I578" s="5"/>
      <c r="J578" s="5"/>
      <c r="K578" s="5"/>
    </row>
    <row r="579" spans="1:11" ht="15.75" customHeight="1" x14ac:dyDescent="0.35">
      <c r="A579" s="5"/>
      <c r="B579" s="5"/>
      <c r="C579" s="6"/>
      <c r="D579" s="5"/>
      <c r="E579" s="5"/>
      <c r="F579" s="5"/>
      <c r="G579" s="5"/>
      <c r="H579" s="5"/>
      <c r="I579" s="5"/>
      <c r="J579" s="5"/>
      <c r="K579" s="5"/>
    </row>
    <row r="580" spans="1:11" ht="15.75" customHeight="1" x14ac:dyDescent="0.35">
      <c r="A580" s="5"/>
      <c r="B580" s="5"/>
      <c r="C580" s="6"/>
      <c r="D580" s="5"/>
      <c r="E580" s="5"/>
      <c r="F580" s="5"/>
      <c r="G580" s="5"/>
      <c r="H580" s="5"/>
      <c r="I580" s="5"/>
      <c r="J580" s="5"/>
      <c r="K580" s="5"/>
    </row>
    <row r="581" spans="1:11" ht="15.75" customHeight="1" x14ac:dyDescent="0.35">
      <c r="A581" s="5"/>
      <c r="B581" s="5"/>
      <c r="C581" s="6"/>
      <c r="D581" s="5"/>
      <c r="E581" s="5"/>
      <c r="F581" s="5"/>
      <c r="G581" s="5"/>
      <c r="H581" s="5"/>
      <c r="I581" s="5"/>
      <c r="J581" s="5"/>
      <c r="K581" s="5"/>
    </row>
    <row r="582" spans="1:11" ht="15.75" customHeight="1" x14ac:dyDescent="0.35">
      <c r="A582" s="5"/>
      <c r="B582" s="5"/>
      <c r="C582" s="6"/>
      <c r="D582" s="5"/>
      <c r="E582" s="5"/>
      <c r="F582" s="5"/>
      <c r="G582" s="5"/>
      <c r="H582" s="5"/>
      <c r="I582" s="5"/>
      <c r="J582" s="5"/>
      <c r="K582" s="5"/>
    </row>
    <row r="583" spans="1:11" ht="15.75" customHeight="1" x14ac:dyDescent="0.35">
      <c r="A583" s="5"/>
      <c r="B583" s="5"/>
      <c r="C583" s="6"/>
      <c r="D583" s="5"/>
      <c r="E583" s="5"/>
      <c r="F583" s="5"/>
      <c r="G583" s="5"/>
      <c r="H583" s="5"/>
      <c r="I583" s="5"/>
      <c r="J583" s="5"/>
      <c r="K583" s="5"/>
    </row>
    <row r="584" spans="1:11" ht="15.75" customHeight="1" x14ac:dyDescent="0.35">
      <c r="A584" s="5"/>
      <c r="B584" s="5"/>
      <c r="C584" s="6"/>
      <c r="D584" s="5"/>
      <c r="E584" s="5"/>
      <c r="F584" s="5"/>
      <c r="G584" s="5"/>
      <c r="H584" s="5"/>
      <c r="I584" s="5"/>
      <c r="J584" s="5"/>
      <c r="K584" s="5"/>
    </row>
    <row r="585" spans="1:11" ht="15.75" customHeight="1" x14ac:dyDescent="0.35">
      <c r="A585" s="5"/>
      <c r="B585" s="5"/>
      <c r="C585" s="6"/>
      <c r="D585" s="5"/>
      <c r="E585" s="5"/>
      <c r="F585" s="5"/>
      <c r="G585" s="5"/>
      <c r="H585" s="5"/>
      <c r="I585" s="5"/>
      <c r="J585" s="5"/>
      <c r="K585" s="5"/>
    </row>
    <row r="586" spans="1:11" ht="15.75" customHeight="1" x14ac:dyDescent="0.35">
      <c r="A586" s="5"/>
      <c r="B586" s="5"/>
      <c r="C586" s="6"/>
      <c r="D586" s="5"/>
      <c r="E586" s="5"/>
      <c r="F586" s="5"/>
      <c r="G586" s="5"/>
      <c r="H586" s="5"/>
      <c r="I586" s="5"/>
      <c r="J586" s="5"/>
      <c r="K586" s="5"/>
    </row>
    <row r="587" spans="1:11" ht="15.75" customHeight="1" x14ac:dyDescent="0.35">
      <c r="A587" s="5"/>
      <c r="B587" s="5"/>
      <c r="C587" s="6"/>
      <c r="D587" s="5"/>
      <c r="E587" s="5"/>
      <c r="F587" s="5"/>
      <c r="G587" s="5"/>
      <c r="H587" s="5"/>
      <c r="I587" s="5"/>
      <c r="J587" s="5"/>
      <c r="K587" s="5"/>
    </row>
    <row r="588" spans="1:11" ht="15.75" customHeight="1" x14ac:dyDescent="0.35">
      <c r="A588" s="5"/>
      <c r="B588" s="5"/>
      <c r="C588" s="6"/>
      <c r="D588" s="5"/>
      <c r="E588" s="5"/>
      <c r="F588" s="5"/>
      <c r="G588" s="5"/>
      <c r="H588" s="5"/>
      <c r="I588" s="5"/>
      <c r="J588" s="5"/>
      <c r="K588" s="5"/>
    </row>
    <row r="589" spans="1:11" ht="15.75" customHeight="1" x14ac:dyDescent="0.35">
      <c r="A589" s="5"/>
      <c r="B589" s="5"/>
      <c r="C589" s="6"/>
      <c r="D589" s="5"/>
      <c r="E589" s="5"/>
      <c r="F589" s="5"/>
      <c r="G589" s="5"/>
      <c r="H589" s="5"/>
      <c r="I589" s="5"/>
      <c r="J589" s="5"/>
      <c r="K589" s="5"/>
    </row>
    <row r="590" spans="1:11" ht="15.75" customHeight="1" x14ac:dyDescent="0.35">
      <c r="A590" s="5"/>
      <c r="B590" s="5"/>
      <c r="C590" s="6"/>
      <c r="D590" s="5"/>
      <c r="E590" s="5"/>
      <c r="F590" s="5"/>
      <c r="G590" s="5"/>
      <c r="H590" s="5"/>
      <c r="I590" s="5"/>
      <c r="J590" s="5"/>
      <c r="K590" s="5"/>
    </row>
    <row r="591" spans="1:11" ht="15.75" customHeight="1" x14ac:dyDescent="0.35">
      <c r="A591" s="5"/>
      <c r="B591" s="5"/>
      <c r="C591" s="6"/>
      <c r="D591" s="5"/>
      <c r="E591" s="5"/>
      <c r="F591" s="5"/>
      <c r="G591" s="5"/>
      <c r="H591" s="5"/>
      <c r="I591" s="5"/>
      <c r="J591" s="5"/>
      <c r="K591" s="5"/>
    </row>
    <row r="592" spans="1:11" ht="15.75" customHeight="1" x14ac:dyDescent="0.35">
      <c r="A592" s="5"/>
      <c r="B592" s="5"/>
      <c r="C592" s="6"/>
      <c r="D592" s="5"/>
      <c r="E592" s="5"/>
      <c r="F592" s="5"/>
      <c r="G592" s="5"/>
      <c r="H592" s="5"/>
      <c r="I592" s="5"/>
      <c r="J592" s="5"/>
      <c r="K592" s="5"/>
    </row>
    <row r="593" spans="1:11" ht="15.75" customHeight="1" x14ac:dyDescent="0.35">
      <c r="A593" s="5"/>
      <c r="B593" s="5"/>
      <c r="C593" s="6"/>
      <c r="D593" s="5"/>
      <c r="E593" s="5"/>
      <c r="F593" s="5"/>
      <c r="G593" s="5"/>
      <c r="H593" s="5"/>
      <c r="I593" s="5"/>
      <c r="J593" s="5"/>
      <c r="K593" s="5"/>
    </row>
    <row r="594" spans="1:11" ht="15.75" customHeight="1" x14ac:dyDescent="0.35">
      <c r="A594" s="5"/>
      <c r="B594" s="5"/>
      <c r="C594" s="6"/>
      <c r="D594" s="5"/>
      <c r="E594" s="5"/>
      <c r="F594" s="5"/>
      <c r="G594" s="5"/>
      <c r="H594" s="5"/>
      <c r="I594" s="5"/>
      <c r="J594" s="5"/>
      <c r="K594" s="5"/>
    </row>
    <row r="595" spans="1:11" ht="15.75" customHeight="1" x14ac:dyDescent="0.35">
      <c r="A595" s="5"/>
      <c r="B595" s="5"/>
      <c r="C595" s="6"/>
      <c r="D595" s="5"/>
      <c r="E595" s="5"/>
      <c r="F595" s="5"/>
      <c r="G595" s="5"/>
      <c r="H595" s="5"/>
      <c r="I595" s="5"/>
      <c r="J595" s="5"/>
      <c r="K595" s="5"/>
    </row>
    <row r="596" spans="1:11" ht="15.75" customHeight="1" x14ac:dyDescent="0.35">
      <c r="A596" s="5"/>
      <c r="B596" s="5"/>
      <c r="C596" s="6"/>
      <c r="D596" s="5"/>
      <c r="E596" s="5"/>
      <c r="F596" s="5"/>
      <c r="G596" s="5"/>
      <c r="H596" s="5"/>
      <c r="I596" s="5"/>
      <c r="J596" s="5"/>
      <c r="K596" s="5"/>
    </row>
    <row r="597" spans="1:11" ht="15.75" customHeight="1" x14ac:dyDescent="0.35">
      <c r="A597" s="5"/>
      <c r="B597" s="5"/>
      <c r="C597" s="6"/>
      <c r="D597" s="5"/>
      <c r="E597" s="5"/>
      <c r="F597" s="5"/>
      <c r="G597" s="5"/>
      <c r="H597" s="5"/>
      <c r="I597" s="5"/>
      <c r="J597" s="5"/>
      <c r="K597" s="5"/>
    </row>
    <row r="598" spans="1:11" ht="15.75" customHeight="1" x14ac:dyDescent="0.35">
      <c r="A598" s="5"/>
      <c r="B598" s="5"/>
      <c r="C598" s="6"/>
      <c r="D598" s="5"/>
      <c r="E598" s="5"/>
      <c r="F598" s="5"/>
      <c r="G598" s="5"/>
      <c r="H598" s="5"/>
      <c r="I598" s="5"/>
      <c r="J598" s="5"/>
      <c r="K598" s="5"/>
    </row>
    <row r="599" spans="1:11" ht="15.75" customHeight="1" x14ac:dyDescent="0.35">
      <c r="A599" s="5"/>
      <c r="B599" s="5"/>
      <c r="C599" s="6"/>
      <c r="D599" s="5"/>
      <c r="E599" s="5"/>
      <c r="F599" s="5"/>
      <c r="G599" s="5"/>
      <c r="H599" s="5"/>
      <c r="I599" s="5"/>
      <c r="J599" s="5"/>
      <c r="K599" s="5"/>
    </row>
    <row r="600" spans="1:11" ht="15.75" customHeight="1" x14ac:dyDescent="0.35">
      <c r="A600" s="5"/>
      <c r="B600" s="5"/>
      <c r="C600" s="6"/>
      <c r="D600" s="5"/>
      <c r="E600" s="5"/>
      <c r="F600" s="5"/>
      <c r="G600" s="5"/>
      <c r="H600" s="5"/>
      <c r="I600" s="5"/>
      <c r="J600" s="5"/>
      <c r="K600" s="5"/>
    </row>
    <row r="601" spans="1:11" ht="15.75" customHeight="1" x14ac:dyDescent="0.35">
      <c r="A601" s="5"/>
      <c r="B601" s="5"/>
      <c r="C601" s="6"/>
      <c r="D601" s="5"/>
      <c r="E601" s="5"/>
      <c r="F601" s="5"/>
      <c r="G601" s="5"/>
      <c r="H601" s="5"/>
      <c r="I601" s="5"/>
      <c r="J601" s="5"/>
      <c r="K601" s="5"/>
    </row>
    <row r="602" spans="1:11" ht="15.75" customHeight="1" x14ac:dyDescent="0.35">
      <c r="A602" s="5"/>
      <c r="B602" s="5"/>
      <c r="C602" s="6"/>
      <c r="D602" s="5"/>
      <c r="E602" s="5"/>
      <c r="F602" s="5"/>
      <c r="G602" s="5"/>
      <c r="H602" s="5"/>
      <c r="I602" s="5"/>
      <c r="J602" s="5"/>
      <c r="K602" s="5"/>
    </row>
    <row r="603" spans="1:11" ht="15.75" customHeight="1" x14ac:dyDescent="0.35">
      <c r="A603" s="5"/>
      <c r="B603" s="5"/>
      <c r="C603" s="6"/>
      <c r="D603" s="5"/>
      <c r="E603" s="5"/>
      <c r="F603" s="5"/>
      <c r="G603" s="5"/>
      <c r="H603" s="5"/>
      <c r="I603" s="5"/>
      <c r="J603" s="5"/>
      <c r="K603" s="5"/>
    </row>
    <row r="604" spans="1:11" ht="15.75" customHeight="1" x14ac:dyDescent="0.35">
      <c r="A604" s="5"/>
      <c r="B604" s="5"/>
      <c r="C604" s="6"/>
      <c r="D604" s="5"/>
      <c r="E604" s="5"/>
      <c r="F604" s="5"/>
      <c r="G604" s="5"/>
      <c r="H604" s="5"/>
      <c r="I604" s="5"/>
      <c r="J604" s="5"/>
      <c r="K604" s="5"/>
    </row>
    <row r="605" spans="1:11" ht="15.75" customHeight="1" x14ac:dyDescent="0.35">
      <c r="A605" s="5"/>
      <c r="B605" s="5"/>
      <c r="C605" s="6"/>
      <c r="D605" s="5"/>
      <c r="E605" s="5"/>
      <c r="F605" s="5"/>
      <c r="G605" s="5"/>
      <c r="H605" s="5"/>
      <c r="I605" s="5"/>
      <c r="J605" s="5"/>
      <c r="K605" s="5"/>
    </row>
    <row r="606" spans="1:11" ht="15.75" customHeight="1" x14ac:dyDescent="0.35">
      <c r="A606" s="5"/>
      <c r="B606" s="5"/>
      <c r="C606" s="6"/>
      <c r="D606" s="5"/>
      <c r="E606" s="5"/>
      <c r="F606" s="5"/>
      <c r="G606" s="5"/>
      <c r="H606" s="5"/>
      <c r="I606" s="5"/>
      <c r="J606" s="5"/>
      <c r="K606" s="5"/>
    </row>
    <row r="607" spans="1:11" ht="15.75" customHeight="1" x14ac:dyDescent="0.35">
      <c r="A607" s="5"/>
      <c r="B607" s="5"/>
      <c r="C607" s="6"/>
      <c r="D607" s="5"/>
      <c r="E607" s="5"/>
      <c r="F607" s="5"/>
      <c r="G607" s="5"/>
      <c r="H607" s="5"/>
      <c r="I607" s="5"/>
      <c r="J607" s="5"/>
      <c r="K607" s="5"/>
    </row>
    <row r="608" spans="1:11" ht="15.75" customHeight="1" x14ac:dyDescent="0.35">
      <c r="A608" s="5"/>
      <c r="B608" s="5"/>
      <c r="C608" s="6"/>
      <c r="D608" s="5"/>
      <c r="E608" s="5"/>
      <c r="F608" s="5"/>
      <c r="G608" s="5"/>
      <c r="H608" s="5"/>
      <c r="I608" s="5"/>
      <c r="J608" s="5"/>
      <c r="K608" s="5"/>
    </row>
    <row r="609" spans="1:11" ht="15.75" customHeight="1" x14ac:dyDescent="0.35">
      <c r="A609" s="5"/>
      <c r="B609" s="5"/>
      <c r="C609" s="6"/>
      <c r="D609" s="5"/>
      <c r="E609" s="5"/>
      <c r="F609" s="5"/>
      <c r="G609" s="5"/>
      <c r="H609" s="5"/>
      <c r="I609" s="5"/>
      <c r="J609" s="5"/>
      <c r="K609" s="5"/>
    </row>
    <row r="610" spans="1:11" ht="15.75" customHeight="1" x14ac:dyDescent="0.35">
      <c r="A610" s="5"/>
      <c r="B610" s="5"/>
      <c r="C610" s="6"/>
      <c r="D610" s="5"/>
      <c r="E610" s="5"/>
      <c r="F610" s="5"/>
      <c r="G610" s="5"/>
      <c r="H610" s="5"/>
      <c r="I610" s="5"/>
      <c r="J610" s="5"/>
      <c r="K610" s="5"/>
    </row>
    <row r="611" spans="1:11" ht="15.75" customHeight="1" x14ac:dyDescent="0.35">
      <c r="A611" s="5"/>
      <c r="B611" s="5"/>
      <c r="C611" s="6"/>
      <c r="D611" s="5"/>
      <c r="E611" s="5"/>
      <c r="F611" s="5"/>
      <c r="G611" s="5"/>
      <c r="H611" s="5"/>
      <c r="I611" s="5"/>
      <c r="J611" s="5"/>
      <c r="K611" s="5"/>
    </row>
    <row r="612" spans="1:11" ht="15.75" customHeight="1" x14ac:dyDescent="0.35">
      <c r="A612" s="5"/>
      <c r="B612" s="5"/>
      <c r="C612" s="6"/>
      <c r="D612" s="5"/>
      <c r="E612" s="5"/>
      <c r="F612" s="5"/>
      <c r="G612" s="5"/>
      <c r="H612" s="5"/>
      <c r="I612" s="5"/>
      <c r="J612" s="5"/>
      <c r="K612" s="5"/>
    </row>
    <row r="613" spans="1:11" ht="15.75" customHeight="1" x14ac:dyDescent="0.35">
      <c r="A613" s="5"/>
      <c r="B613" s="5"/>
      <c r="C613" s="6"/>
      <c r="D613" s="5"/>
      <c r="E613" s="5"/>
      <c r="F613" s="5"/>
      <c r="G613" s="5"/>
      <c r="H613" s="5"/>
      <c r="I613" s="5"/>
      <c r="J613" s="5"/>
      <c r="K613" s="5"/>
    </row>
    <row r="614" spans="1:11" ht="15.75" customHeight="1" x14ac:dyDescent="0.35">
      <c r="A614" s="5"/>
      <c r="B614" s="5"/>
      <c r="C614" s="6"/>
      <c r="D614" s="5"/>
      <c r="E614" s="5"/>
      <c r="F614" s="5"/>
      <c r="G614" s="5"/>
      <c r="H614" s="5"/>
      <c r="I614" s="5"/>
      <c r="J614" s="5"/>
      <c r="K614" s="5"/>
    </row>
    <row r="615" spans="1:11" ht="15.75" customHeight="1" x14ac:dyDescent="0.35">
      <c r="A615" s="5"/>
      <c r="B615" s="5"/>
      <c r="C615" s="6"/>
      <c r="D615" s="5"/>
      <c r="E615" s="5"/>
      <c r="F615" s="5"/>
      <c r="G615" s="5"/>
      <c r="H615" s="5"/>
      <c r="I615" s="5"/>
      <c r="J615" s="5"/>
      <c r="K615" s="5"/>
    </row>
    <row r="616" spans="1:11" ht="15.75" customHeight="1" x14ac:dyDescent="0.35">
      <c r="A616" s="5"/>
      <c r="B616" s="5"/>
      <c r="C616" s="6"/>
      <c r="D616" s="5"/>
      <c r="E616" s="5"/>
      <c r="F616" s="5"/>
      <c r="G616" s="5"/>
      <c r="H616" s="5"/>
      <c r="I616" s="5"/>
      <c r="J616" s="5"/>
      <c r="K616" s="5"/>
    </row>
    <row r="617" spans="1:11" ht="15.75" customHeight="1" x14ac:dyDescent="0.35">
      <c r="A617" s="5"/>
      <c r="B617" s="5"/>
      <c r="C617" s="6"/>
      <c r="D617" s="5"/>
      <c r="E617" s="5"/>
      <c r="F617" s="5"/>
      <c r="G617" s="5"/>
      <c r="H617" s="5"/>
      <c r="I617" s="5"/>
      <c r="J617" s="5"/>
      <c r="K617" s="5"/>
    </row>
    <row r="618" spans="1:11" ht="15.75" customHeight="1" x14ac:dyDescent="0.35">
      <c r="A618" s="5"/>
      <c r="B618" s="5"/>
      <c r="C618" s="6"/>
      <c r="D618" s="5"/>
      <c r="E618" s="5"/>
      <c r="F618" s="5"/>
      <c r="G618" s="5"/>
      <c r="H618" s="5"/>
      <c r="I618" s="5"/>
      <c r="J618" s="5"/>
      <c r="K618" s="5"/>
    </row>
    <row r="619" spans="1:11" ht="15.75" customHeight="1" x14ac:dyDescent="0.35">
      <c r="A619" s="5"/>
      <c r="B619" s="5"/>
      <c r="C619" s="6"/>
      <c r="D619" s="5"/>
      <c r="E619" s="5"/>
      <c r="F619" s="5"/>
      <c r="G619" s="5"/>
      <c r="H619" s="5"/>
      <c r="I619" s="5"/>
      <c r="J619" s="5"/>
      <c r="K619" s="5"/>
    </row>
    <row r="620" spans="1:11" ht="15.75" customHeight="1" x14ac:dyDescent="0.35">
      <c r="A620" s="5"/>
      <c r="B620" s="5"/>
      <c r="C620" s="6"/>
      <c r="D620" s="5"/>
      <c r="E620" s="5"/>
      <c r="F620" s="5"/>
      <c r="G620" s="5"/>
      <c r="H620" s="5"/>
      <c r="I620" s="5"/>
      <c r="J620" s="5"/>
      <c r="K620" s="5"/>
    </row>
    <row r="621" spans="1:11" ht="15.75" customHeight="1" x14ac:dyDescent="0.35">
      <c r="A621" s="5"/>
      <c r="B621" s="5"/>
      <c r="C621" s="6"/>
      <c r="D621" s="5"/>
      <c r="E621" s="5"/>
      <c r="F621" s="5"/>
      <c r="G621" s="5"/>
      <c r="H621" s="5"/>
      <c r="I621" s="5"/>
      <c r="J621" s="5"/>
      <c r="K621" s="5"/>
    </row>
    <row r="622" spans="1:11" ht="15.75" customHeight="1" x14ac:dyDescent="0.35">
      <c r="A622" s="5"/>
      <c r="B622" s="5"/>
      <c r="C622" s="6"/>
      <c r="D622" s="5"/>
      <c r="E622" s="5"/>
      <c r="F622" s="5"/>
      <c r="G622" s="5"/>
      <c r="H622" s="5"/>
      <c r="I622" s="5"/>
      <c r="J622" s="5"/>
      <c r="K622" s="5"/>
    </row>
    <row r="623" spans="1:11" ht="15.75" customHeight="1" x14ac:dyDescent="0.35">
      <c r="A623" s="5"/>
      <c r="B623" s="5"/>
      <c r="C623" s="6"/>
      <c r="D623" s="5"/>
      <c r="E623" s="5"/>
      <c r="F623" s="5"/>
      <c r="G623" s="5"/>
      <c r="H623" s="5"/>
      <c r="I623" s="5"/>
      <c r="J623" s="5"/>
      <c r="K623" s="5"/>
    </row>
    <row r="624" spans="1:11" ht="15.75" customHeight="1" x14ac:dyDescent="0.35">
      <c r="A624" s="5"/>
      <c r="B624" s="5"/>
      <c r="C624" s="6"/>
      <c r="D624" s="5"/>
      <c r="E624" s="5"/>
      <c r="F624" s="5"/>
      <c r="G624" s="5"/>
      <c r="H624" s="5"/>
      <c r="I624" s="5"/>
      <c r="J624" s="5"/>
      <c r="K624" s="5"/>
    </row>
    <row r="625" spans="1:11" ht="15.75" customHeight="1" x14ac:dyDescent="0.35">
      <c r="A625" s="5"/>
      <c r="B625" s="5"/>
      <c r="C625" s="6"/>
      <c r="D625" s="5"/>
      <c r="E625" s="5"/>
      <c r="F625" s="5"/>
      <c r="G625" s="5"/>
      <c r="H625" s="5"/>
      <c r="I625" s="5"/>
      <c r="J625" s="5"/>
      <c r="K625" s="5"/>
    </row>
    <row r="626" spans="1:11" ht="15.75" customHeight="1" x14ac:dyDescent="0.35">
      <c r="A626" s="5"/>
      <c r="B626" s="5"/>
      <c r="C626" s="6"/>
      <c r="D626" s="5"/>
      <c r="E626" s="5"/>
      <c r="F626" s="5"/>
      <c r="G626" s="5"/>
      <c r="H626" s="5"/>
      <c r="I626" s="5"/>
      <c r="J626" s="5"/>
      <c r="K626" s="5"/>
    </row>
    <row r="627" spans="1:11" ht="15.75" customHeight="1" x14ac:dyDescent="0.35">
      <c r="A627" s="5"/>
      <c r="B627" s="5"/>
      <c r="C627" s="6"/>
      <c r="D627" s="5"/>
      <c r="E627" s="5"/>
      <c r="F627" s="5"/>
      <c r="G627" s="5"/>
      <c r="H627" s="5"/>
      <c r="I627" s="5"/>
      <c r="J627" s="5"/>
      <c r="K627" s="5"/>
    </row>
    <row r="628" spans="1:11" ht="15.75" customHeight="1" x14ac:dyDescent="0.35">
      <c r="A628" s="5"/>
      <c r="B628" s="5"/>
      <c r="C628" s="6"/>
      <c r="D628" s="5"/>
      <c r="E628" s="5"/>
      <c r="F628" s="5"/>
      <c r="G628" s="5"/>
      <c r="H628" s="5"/>
      <c r="I628" s="5"/>
      <c r="J628" s="5"/>
      <c r="K628" s="5"/>
    </row>
    <row r="629" spans="1:11" ht="15.75" customHeight="1" x14ac:dyDescent="0.35">
      <c r="A629" s="5"/>
      <c r="B629" s="5"/>
      <c r="C629" s="6"/>
      <c r="D629" s="5"/>
      <c r="E629" s="5"/>
      <c r="F629" s="5"/>
      <c r="G629" s="5"/>
      <c r="H629" s="5"/>
      <c r="I629" s="5"/>
      <c r="J629" s="5"/>
      <c r="K629" s="5"/>
    </row>
    <row r="630" spans="1:11" ht="15.75" customHeight="1" x14ac:dyDescent="0.35">
      <c r="A630" s="5"/>
      <c r="B630" s="5"/>
      <c r="C630" s="6"/>
      <c r="D630" s="5"/>
      <c r="E630" s="5"/>
      <c r="F630" s="5"/>
      <c r="G630" s="5"/>
      <c r="H630" s="5"/>
      <c r="I630" s="5"/>
      <c r="J630" s="5"/>
      <c r="K630" s="5"/>
    </row>
    <row r="631" spans="1:11" ht="15.75" customHeight="1" x14ac:dyDescent="0.35">
      <c r="A631" s="5"/>
      <c r="B631" s="5"/>
      <c r="C631" s="6"/>
      <c r="D631" s="5"/>
      <c r="E631" s="5"/>
      <c r="F631" s="5"/>
      <c r="G631" s="5"/>
      <c r="H631" s="5"/>
      <c r="I631" s="5"/>
      <c r="J631" s="5"/>
      <c r="K631" s="5"/>
    </row>
    <row r="632" spans="1:11" ht="15.75" customHeight="1" x14ac:dyDescent="0.35">
      <c r="A632" s="5"/>
      <c r="B632" s="5"/>
      <c r="C632" s="6"/>
      <c r="D632" s="5"/>
      <c r="E632" s="5"/>
      <c r="F632" s="5"/>
      <c r="G632" s="5"/>
      <c r="H632" s="5"/>
      <c r="I632" s="5"/>
      <c r="J632" s="5"/>
      <c r="K632" s="5"/>
    </row>
    <row r="633" spans="1:11" ht="15.75" customHeight="1" x14ac:dyDescent="0.35">
      <c r="A633" s="5"/>
      <c r="B633" s="5"/>
      <c r="C633" s="6"/>
      <c r="D633" s="5"/>
      <c r="E633" s="5"/>
      <c r="F633" s="5"/>
      <c r="G633" s="5"/>
      <c r="H633" s="5"/>
      <c r="I633" s="5"/>
      <c r="J633" s="5"/>
      <c r="K633" s="5"/>
    </row>
    <row r="634" spans="1:11" ht="15.75" customHeight="1" x14ac:dyDescent="0.35">
      <c r="A634" s="5"/>
      <c r="B634" s="5"/>
      <c r="C634" s="6"/>
      <c r="D634" s="5"/>
      <c r="E634" s="5"/>
      <c r="F634" s="5"/>
      <c r="G634" s="5"/>
      <c r="H634" s="5"/>
      <c r="I634" s="5"/>
      <c r="J634" s="5"/>
      <c r="K634" s="5"/>
    </row>
    <row r="635" spans="1:11" ht="15.75" customHeight="1" x14ac:dyDescent="0.35">
      <c r="A635" s="5"/>
      <c r="B635" s="5"/>
      <c r="C635" s="6"/>
      <c r="D635" s="5"/>
      <c r="E635" s="5"/>
      <c r="F635" s="5"/>
      <c r="G635" s="5"/>
      <c r="H635" s="5"/>
      <c r="I635" s="5"/>
      <c r="J635" s="5"/>
      <c r="K635" s="5"/>
    </row>
    <row r="636" spans="1:11" ht="15.75" customHeight="1" x14ac:dyDescent="0.35">
      <c r="A636" s="5"/>
      <c r="B636" s="5"/>
      <c r="C636" s="6"/>
      <c r="D636" s="5"/>
      <c r="E636" s="5"/>
      <c r="F636" s="5"/>
      <c r="G636" s="5"/>
      <c r="H636" s="5"/>
      <c r="I636" s="5"/>
      <c r="J636" s="5"/>
      <c r="K636" s="5"/>
    </row>
    <row r="637" spans="1:11" ht="15.75" customHeight="1" x14ac:dyDescent="0.35">
      <c r="A637" s="5"/>
      <c r="B637" s="5"/>
      <c r="C637" s="6"/>
      <c r="D637" s="5"/>
      <c r="E637" s="5"/>
      <c r="F637" s="5"/>
      <c r="G637" s="5"/>
      <c r="H637" s="5"/>
      <c r="I637" s="5"/>
      <c r="J637" s="5"/>
      <c r="K637" s="5"/>
    </row>
    <row r="638" spans="1:11" ht="15.75" customHeight="1" x14ac:dyDescent="0.35">
      <c r="A638" s="5"/>
      <c r="B638" s="5"/>
      <c r="C638" s="6"/>
      <c r="D638" s="5"/>
      <c r="E638" s="5"/>
      <c r="F638" s="5"/>
      <c r="G638" s="5"/>
      <c r="H638" s="5"/>
      <c r="I638" s="5"/>
      <c r="J638" s="5"/>
      <c r="K638" s="5"/>
    </row>
    <row r="639" spans="1:11" ht="15.75" customHeight="1" x14ac:dyDescent="0.35">
      <c r="A639" s="5"/>
      <c r="B639" s="5"/>
      <c r="C639" s="6"/>
      <c r="D639" s="5"/>
      <c r="E639" s="5"/>
      <c r="F639" s="5"/>
      <c r="G639" s="5"/>
      <c r="H639" s="5"/>
      <c r="I639" s="5"/>
      <c r="J639" s="5"/>
      <c r="K639" s="5"/>
    </row>
    <row r="640" spans="1:11" ht="15.75" customHeight="1" x14ac:dyDescent="0.35">
      <c r="A640" s="5"/>
      <c r="B640" s="5"/>
      <c r="C640" s="6"/>
      <c r="D640" s="5"/>
      <c r="E640" s="5"/>
      <c r="F640" s="5"/>
      <c r="G640" s="5"/>
      <c r="H640" s="5"/>
      <c r="I640" s="5"/>
      <c r="J640" s="5"/>
      <c r="K640" s="5"/>
    </row>
    <row r="641" spans="1:11" ht="15.75" customHeight="1" x14ac:dyDescent="0.35">
      <c r="A641" s="5"/>
      <c r="B641" s="5"/>
      <c r="C641" s="6"/>
      <c r="D641" s="5"/>
      <c r="E641" s="5"/>
      <c r="F641" s="5"/>
      <c r="G641" s="5"/>
      <c r="H641" s="5"/>
      <c r="I641" s="5"/>
      <c r="J641" s="5"/>
      <c r="K641" s="5"/>
    </row>
    <row r="642" spans="1:11" ht="15.75" customHeight="1" x14ac:dyDescent="0.35">
      <c r="A642" s="5"/>
      <c r="B642" s="5"/>
      <c r="C642" s="6"/>
      <c r="D642" s="5"/>
      <c r="E642" s="5"/>
      <c r="F642" s="5"/>
      <c r="G642" s="5"/>
      <c r="H642" s="5"/>
      <c r="I642" s="5"/>
      <c r="J642" s="5"/>
      <c r="K642" s="5"/>
    </row>
    <row r="643" spans="1:11" ht="15.75" customHeight="1" x14ac:dyDescent="0.35">
      <c r="A643" s="5"/>
      <c r="B643" s="5"/>
      <c r="C643" s="6"/>
      <c r="D643" s="5"/>
      <c r="E643" s="5"/>
      <c r="F643" s="5"/>
      <c r="G643" s="5"/>
      <c r="H643" s="5"/>
      <c r="I643" s="5"/>
      <c r="J643" s="5"/>
      <c r="K643" s="5"/>
    </row>
    <row r="644" spans="1:11" ht="15.75" customHeight="1" x14ac:dyDescent="0.35">
      <c r="A644" s="5"/>
      <c r="B644" s="5"/>
      <c r="C644" s="6"/>
      <c r="D644" s="5"/>
      <c r="E644" s="5"/>
      <c r="F644" s="5"/>
      <c r="G644" s="5"/>
      <c r="H644" s="5"/>
      <c r="I644" s="5"/>
      <c r="J644" s="5"/>
      <c r="K644" s="5"/>
    </row>
    <row r="645" spans="1:11" ht="15.75" customHeight="1" x14ac:dyDescent="0.35">
      <c r="A645" s="5"/>
      <c r="B645" s="5"/>
      <c r="C645" s="6"/>
      <c r="D645" s="5"/>
      <c r="E645" s="5"/>
      <c r="F645" s="5"/>
      <c r="G645" s="5"/>
      <c r="H645" s="5"/>
      <c r="I645" s="5"/>
      <c r="J645" s="5"/>
      <c r="K645" s="5"/>
    </row>
    <row r="646" spans="1:11" ht="15.75" customHeight="1" x14ac:dyDescent="0.35">
      <c r="A646" s="5"/>
      <c r="B646" s="5"/>
      <c r="C646" s="6"/>
      <c r="D646" s="5"/>
      <c r="E646" s="5"/>
      <c r="F646" s="5"/>
      <c r="G646" s="5"/>
      <c r="H646" s="5"/>
      <c r="I646" s="5"/>
      <c r="J646" s="5"/>
      <c r="K646" s="5"/>
    </row>
    <row r="647" spans="1:11" ht="15.75" customHeight="1" x14ac:dyDescent="0.35">
      <c r="A647" s="5"/>
      <c r="B647" s="5"/>
      <c r="C647" s="6"/>
      <c r="D647" s="5"/>
      <c r="E647" s="5"/>
      <c r="F647" s="5"/>
      <c r="G647" s="5"/>
      <c r="H647" s="5"/>
      <c r="I647" s="5"/>
      <c r="J647" s="5"/>
      <c r="K647" s="5"/>
    </row>
    <row r="648" spans="1:11" ht="15.75" customHeight="1" x14ac:dyDescent="0.35">
      <c r="A648" s="5"/>
      <c r="B648" s="5"/>
      <c r="C648" s="6"/>
      <c r="D648" s="5"/>
      <c r="E648" s="5"/>
      <c r="F648" s="5"/>
      <c r="G648" s="5"/>
      <c r="H648" s="5"/>
      <c r="I648" s="5"/>
      <c r="J648" s="5"/>
      <c r="K648" s="5"/>
    </row>
    <row r="649" spans="1:11" ht="15.75" customHeight="1" x14ac:dyDescent="0.35">
      <c r="A649" s="5"/>
      <c r="B649" s="5"/>
      <c r="C649" s="6"/>
      <c r="D649" s="5"/>
      <c r="E649" s="5"/>
      <c r="F649" s="5"/>
      <c r="G649" s="5"/>
      <c r="H649" s="5"/>
      <c r="I649" s="5"/>
      <c r="J649" s="5"/>
      <c r="K649" s="5"/>
    </row>
    <row r="650" spans="1:11" ht="15.75" customHeight="1" x14ac:dyDescent="0.35">
      <c r="A650" s="5"/>
      <c r="B650" s="5"/>
      <c r="C650" s="6"/>
      <c r="D650" s="5"/>
      <c r="E650" s="5"/>
      <c r="F650" s="5"/>
      <c r="G650" s="5"/>
      <c r="H650" s="5"/>
      <c r="I650" s="5"/>
      <c r="J650" s="5"/>
      <c r="K650" s="5"/>
    </row>
    <row r="651" spans="1:11" ht="15.75" customHeight="1" x14ac:dyDescent="0.35">
      <c r="A651" s="5"/>
      <c r="B651" s="5"/>
      <c r="C651" s="6"/>
      <c r="D651" s="5"/>
      <c r="E651" s="5"/>
      <c r="F651" s="5"/>
      <c r="G651" s="5"/>
      <c r="H651" s="5"/>
      <c r="I651" s="5"/>
      <c r="J651" s="5"/>
      <c r="K651" s="5"/>
    </row>
    <row r="652" spans="1:11" ht="15.75" customHeight="1" x14ac:dyDescent="0.35">
      <c r="A652" s="5"/>
      <c r="B652" s="5"/>
      <c r="C652" s="6"/>
      <c r="D652" s="5"/>
      <c r="E652" s="5"/>
      <c r="F652" s="5"/>
      <c r="G652" s="5"/>
      <c r="H652" s="5"/>
      <c r="I652" s="5"/>
      <c r="J652" s="5"/>
      <c r="K652" s="5"/>
    </row>
    <row r="653" spans="1:11" ht="15.75" customHeight="1" x14ac:dyDescent="0.35">
      <c r="A653" s="5"/>
      <c r="B653" s="5"/>
      <c r="C653" s="6"/>
      <c r="D653" s="5"/>
      <c r="E653" s="5"/>
      <c r="F653" s="5"/>
      <c r="G653" s="5"/>
      <c r="H653" s="5"/>
      <c r="I653" s="5"/>
      <c r="J653" s="5"/>
      <c r="K653" s="5"/>
    </row>
    <row r="654" spans="1:11" ht="15.75" customHeight="1" x14ac:dyDescent="0.35">
      <c r="A654" s="5"/>
      <c r="B654" s="5"/>
      <c r="C654" s="6"/>
      <c r="D654" s="5"/>
      <c r="E654" s="5"/>
      <c r="F654" s="5"/>
      <c r="G654" s="5"/>
      <c r="H654" s="5"/>
      <c r="I654" s="5"/>
      <c r="J654" s="5"/>
      <c r="K654" s="5"/>
    </row>
    <row r="655" spans="1:11" ht="15.75" customHeight="1" x14ac:dyDescent="0.35">
      <c r="A655" s="5"/>
      <c r="B655" s="5"/>
      <c r="C655" s="6"/>
      <c r="D655" s="5"/>
      <c r="E655" s="5"/>
      <c r="F655" s="5"/>
      <c r="G655" s="5"/>
      <c r="H655" s="5"/>
      <c r="I655" s="5"/>
      <c r="J655" s="5"/>
      <c r="K655" s="5"/>
    </row>
    <row r="656" spans="1:11" ht="15.75" customHeight="1" x14ac:dyDescent="0.35">
      <c r="A656" s="5"/>
      <c r="B656" s="5"/>
      <c r="C656" s="6"/>
      <c r="D656" s="5"/>
      <c r="E656" s="5"/>
      <c r="F656" s="5"/>
      <c r="G656" s="5"/>
      <c r="H656" s="5"/>
      <c r="I656" s="5"/>
      <c r="J656" s="5"/>
      <c r="K656" s="5"/>
    </row>
    <row r="657" spans="1:11" ht="15.75" customHeight="1" x14ac:dyDescent="0.35">
      <c r="A657" s="5"/>
      <c r="B657" s="5"/>
      <c r="C657" s="6"/>
      <c r="D657" s="5"/>
      <c r="E657" s="5"/>
      <c r="F657" s="5"/>
      <c r="G657" s="5"/>
      <c r="H657" s="5"/>
      <c r="I657" s="5"/>
      <c r="J657" s="5"/>
      <c r="K657" s="5"/>
    </row>
    <row r="658" spans="1:11" ht="15.75" customHeight="1" x14ac:dyDescent="0.35">
      <c r="A658" s="5"/>
      <c r="B658" s="5"/>
      <c r="C658" s="6"/>
      <c r="D658" s="5"/>
      <c r="E658" s="5"/>
      <c r="F658" s="5"/>
      <c r="G658" s="5"/>
      <c r="H658" s="5"/>
      <c r="I658" s="5"/>
      <c r="J658" s="5"/>
      <c r="K658" s="5"/>
    </row>
    <row r="659" spans="1:11" ht="15.75" customHeight="1" x14ac:dyDescent="0.35">
      <c r="A659" s="5"/>
      <c r="B659" s="5"/>
      <c r="C659" s="6"/>
      <c r="D659" s="5"/>
      <c r="E659" s="5"/>
      <c r="F659" s="5"/>
      <c r="G659" s="5"/>
      <c r="H659" s="5"/>
      <c r="I659" s="5"/>
      <c r="J659" s="5"/>
      <c r="K659" s="5"/>
    </row>
    <row r="660" spans="1:11" ht="15.75" customHeight="1" x14ac:dyDescent="0.35">
      <c r="A660" s="5"/>
      <c r="B660" s="5"/>
      <c r="C660" s="6"/>
      <c r="D660" s="5"/>
      <c r="E660" s="5"/>
      <c r="F660" s="5"/>
      <c r="G660" s="5"/>
      <c r="H660" s="5"/>
      <c r="I660" s="5"/>
      <c r="J660" s="5"/>
      <c r="K660" s="5"/>
    </row>
    <row r="661" spans="1:11" ht="15.75" customHeight="1" x14ac:dyDescent="0.35">
      <c r="A661" s="5"/>
      <c r="B661" s="5"/>
      <c r="C661" s="6"/>
      <c r="D661" s="5"/>
      <c r="E661" s="5"/>
      <c r="F661" s="5"/>
      <c r="G661" s="5"/>
      <c r="H661" s="5"/>
      <c r="I661" s="5"/>
      <c r="J661" s="5"/>
      <c r="K661" s="5"/>
    </row>
    <row r="662" spans="1:11" ht="15.75" customHeight="1" x14ac:dyDescent="0.35">
      <c r="A662" s="5"/>
      <c r="B662" s="5"/>
      <c r="C662" s="6"/>
      <c r="D662" s="5"/>
      <c r="E662" s="5"/>
      <c r="F662" s="5"/>
      <c r="G662" s="5"/>
      <c r="H662" s="5"/>
      <c r="I662" s="5"/>
      <c r="J662" s="5"/>
      <c r="K662" s="5"/>
    </row>
    <row r="663" spans="1:11" ht="15.75" customHeight="1" x14ac:dyDescent="0.35">
      <c r="A663" s="5"/>
      <c r="B663" s="5"/>
      <c r="C663" s="6"/>
      <c r="D663" s="5"/>
      <c r="E663" s="5"/>
      <c r="F663" s="5"/>
      <c r="G663" s="5"/>
      <c r="H663" s="5"/>
      <c r="I663" s="5"/>
      <c r="J663" s="5"/>
      <c r="K663" s="5"/>
    </row>
    <row r="664" spans="1:11" ht="15.75" customHeight="1" x14ac:dyDescent="0.35">
      <c r="A664" s="5"/>
      <c r="B664" s="5"/>
      <c r="C664" s="6"/>
      <c r="D664" s="5"/>
      <c r="E664" s="5"/>
      <c r="F664" s="5"/>
      <c r="G664" s="5"/>
      <c r="H664" s="5"/>
      <c r="I664" s="5"/>
      <c r="J664" s="5"/>
      <c r="K664" s="5"/>
    </row>
    <row r="665" spans="1:11" ht="15.75" customHeight="1" x14ac:dyDescent="0.35">
      <c r="A665" s="5"/>
      <c r="B665" s="5"/>
      <c r="C665" s="6"/>
      <c r="D665" s="5"/>
      <c r="E665" s="5"/>
      <c r="F665" s="5"/>
      <c r="G665" s="5"/>
      <c r="H665" s="5"/>
      <c r="I665" s="5"/>
      <c r="J665" s="5"/>
      <c r="K665" s="5"/>
    </row>
    <row r="666" spans="1:11" ht="15.75" customHeight="1" x14ac:dyDescent="0.35">
      <c r="A666" s="5"/>
      <c r="B666" s="5"/>
      <c r="C666" s="6"/>
      <c r="D666" s="5"/>
      <c r="E666" s="5"/>
      <c r="F666" s="5"/>
      <c r="G666" s="5"/>
      <c r="H666" s="5"/>
      <c r="I666" s="5"/>
      <c r="J666" s="5"/>
      <c r="K666" s="5"/>
    </row>
    <row r="667" spans="1:11" ht="15.75" customHeight="1" x14ac:dyDescent="0.35">
      <c r="A667" s="5"/>
      <c r="B667" s="5"/>
      <c r="C667" s="6"/>
      <c r="D667" s="5"/>
      <c r="E667" s="5"/>
      <c r="F667" s="5"/>
      <c r="G667" s="5"/>
      <c r="H667" s="5"/>
      <c r="I667" s="5"/>
      <c r="J667" s="5"/>
      <c r="K667" s="5"/>
    </row>
    <row r="668" spans="1:11" ht="15.75" customHeight="1" x14ac:dyDescent="0.35">
      <c r="A668" s="5"/>
      <c r="B668" s="5"/>
      <c r="C668" s="6"/>
      <c r="D668" s="5"/>
      <c r="E668" s="5"/>
      <c r="F668" s="5"/>
      <c r="G668" s="5"/>
      <c r="H668" s="5"/>
      <c r="I668" s="5"/>
      <c r="J668" s="5"/>
      <c r="K668" s="5"/>
    </row>
    <row r="669" spans="1:11" ht="15.75" customHeight="1" x14ac:dyDescent="0.35">
      <c r="A669" s="5"/>
      <c r="B669" s="5"/>
      <c r="C669" s="6"/>
      <c r="D669" s="5"/>
      <c r="E669" s="5"/>
      <c r="F669" s="5"/>
      <c r="G669" s="5"/>
      <c r="H669" s="5"/>
      <c r="I669" s="5"/>
      <c r="J669" s="5"/>
      <c r="K669" s="5"/>
    </row>
    <row r="670" spans="1:11" ht="15.75" customHeight="1" x14ac:dyDescent="0.35">
      <c r="A670" s="5"/>
      <c r="B670" s="5"/>
      <c r="C670" s="6"/>
      <c r="D670" s="5"/>
      <c r="E670" s="5"/>
      <c r="F670" s="5"/>
      <c r="G670" s="5"/>
      <c r="H670" s="5"/>
      <c r="I670" s="5"/>
      <c r="J670" s="5"/>
      <c r="K670" s="5"/>
    </row>
    <row r="671" spans="1:11" ht="15.75" customHeight="1" x14ac:dyDescent="0.35">
      <c r="A671" s="5"/>
      <c r="B671" s="5"/>
      <c r="C671" s="6"/>
      <c r="D671" s="5"/>
      <c r="E671" s="5"/>
      <c r="F671" s="5"/>
      <c r="G671" s="5"/>
      <c r="H671" s="5"/>
      <c r="I671" s="5"/>
      <c r="J671" s="5"/>
      <c r="K671" s="5"/>
    </row>
    <row r="672" spans="1:11" ht="15.75" customHeight="1" x14ac:dyDescent="0.35">
      <c r="A672" s="5"/>
      <c r="B672" s="5"/>
      <c r="C672" s="6"/>
      <c r="D672" s="5"/>
      <c r="E672" s="5"/>
      <c r="F672" s="5"/>
      <c r="G672" s="5"/>
      <c r="H672" s="5"/>
      <c r="I672" s="5"/>
      <c r="J672" s="5"/>
      <c r="K672" s="5"/>
    </row>
    <row r="673" spans="1:11" ht="15.75" customHeight="1" x14ac:dyDescent="0.35">
      <c r="A673" s="5"/>
      <c r="B673" s="5"/>
      <c r="C673" s="6"/>
      <c r="D673" s="5"/>
      <c r="E673" s="5"/>
      <c r="F673" s="5"/>
      <c r="G673" s="5"/>
      <c r="H673" s="5"/>
      <c r="I673" s="5"/>
      <c r="J673" s="5"/>
      <c r="K673" s="5"/>
    </row>
    <row r="674" spans="1:11" ht="15.75" customHeight="1" x14ac:dyDescent="0.35">
      <c r="A674" s="5"/>
      <c r="B674" s="5"/>
      <c r="C674" s="6"/>
      <c r="D674" s="5"/>
      <c r="E674" s="5"/>
      <c r="F674" s="5"/>
      <c r="G674" s="5"/>
      <c r="H674" s="5"/>
      <c r="I674" s="5"/>
      <c r="J674" s="5"/>
      <c r="K674" s="5"/>
    </row>
    <row r="675" spans="1:11" ht="15.75" customHeight="1" x14ac:dyDescent="0.35">
      <c r="A675" s="5"/>
      <c r="B675" s="5"/>
      <c r="C675" s="6"/>
      <c r="D675" s="5"/>
      <c r="E675" s="5"/>
      <c r="F675" s="5"/>
      <c r="G675" s="5"/>
      <c r="H675" s="5"/>
      <c r="I675" s="5"/>
      <c r="J675" s="5"/>
      <c r="K675" s="5"/>
    </row>
    <row r="676" spans="1:11" ht="15.75" customHeight="1" x14ac:dyDescent="0.35">
      <c r="A676" s="5"/>
      <c r="B676" s="5"/>
      <c r="C676" s="6"/>
      <c r="D676" s="5"/>
      <c r="E676" s="5"/>
      <c r="F676" s="5"/>
      <c r="G676" s="5"/>
      <c r="H676" s="5"/>
      <c r="I676" s="5"/>
      <c r="J676" s="5"/>
      <c r="K676" s="5"/>
    </row>
    <row r="677" spans="1:11" ht="15.75" customHeight="1" x14ac:dyDescent="0.35">
      <c r="A677" s="5"/>
      <c r="B677" s="5"/>
      <c r="C677" s="6"/>
      <c r="D677" s="5"/>
      <c r="E677" s="5"/>
      <c r="F677" s="5"/>
      <c r="G677" s="5"/>
      <c r="H677" s="5"/>
      <c r="I677" s="5"/>
      <c r="J677" s="5"/>
      <c r="K677" s="5"/>
    </row>
    <row r="678" spans="1:11" ht="15.75" customHeight="1" x14ac:dyDescent="0.35">
      <c r="A678" s="5"/>
      <c r="B678" s="5"/>
      <c r="C678" s="6"/>
      <c r="D678" s="5"/>
      <c r="E678" s="5"/>
      <c r="F678" s="5"/>
      <c r="G678" s="5"/>
      <c r="H678" s="5"/>
      <c r="I678" s="5"/>
      <c r="J678" s="5"/>
      <c r="K678" s="5"/>
    </row>
    <row r="679" spans="1:11" ht="15.75" customHeight="1" x14ac:dyDescent="0.35">
      <c r="A679" s="5"/>
      <c r="B679" s="5"/>
      <c r="C679" s="6"/>
      <c r="D679" s="5"/>
      <c r="E679" s="5"/>
      <c r="F679" s="5"/>
      <c r="G679" s="5"/>
      <c r="H679" s="5"/>
      <c r="I679" s="5"/>
      <c r="J679" s="5"/>
      <c r="K679" s="5"/>
    </row>
    <row r="680" spans="1:11" ht="15.75" customHeight="1" x14ac:dyDescent="0.35">
      <c r="A680" s="5"/>
      <c r="B680" s="5"/>
      <c r="C680" s="6"/>
      <c r="D680" s="5"/>
      <c r="E680" s="5"/>
      <c r="F680" s="5"/>
      <c r="G680" s="5"/>
      <c r="H680" s="5"/>
      <c r="I680" s="5"/>
      <c r="J680" s="5"/>
      <c r="K680" s="5"/>
    </row>
    <row r="681" spans="1:11" ht="15.75" customHeight="1" x14ac:dyDescent="0.35">
      <c r="A681" s="5"/>
      <c r="B681" s="5"/>
      <c r="C681" s="6"/>
      <c r="D681" s="5"/>
      <c r="E681" s="5"/>
      <c r="F681" s="5"/>
      <c r="G681" s="5"/>
      <c r="H681" s="5"/>
      <c r="I681" s="5"/>
      <c r="J681" s="5"/>
      <c r="K681" s="5"/>
    </row>
    <row r="682" spans="1:11" ht="15.75" customHeight="1" x14ac:dyDescent="0.35">
      <c r="A682" s="5"/>
      <c r="B682" s="5"/>
      <c r="C682" s="6"/>
      <c r="D682" s="5"/>
      <c r="E682" s="5"/>
      <c r="F682" s="5"/>
      <c r="G682" s="5"/>
      <c r="H682" s="5"/>
      <c r="I682" s="5"/>
      <c r="J682" s="5"/>
      <c r="K682" s="5"/>
    </row>
    <row r="683" spans="1:11" ht="15.75" customHeight="1" x14ac:dyDescent="0.35">
      <c r="A683" s="5"/>
      <c r="B683" s="5"/>
      <c r="C683" s="6"/>
      <c r="D683" s="5"/>
      <c r="E683" s="5"/>
      <c r="F683" s="5"/>
      <c r="G683" s="5"/>
      <c r="H683" s="5"/>
      <c r="I683" s="5"/>
      <c r="J683" s="5"/>
      <c r="K683" s="5"/>
    </row>
    <row r="684" spans="1:11" ht="15.75" customHeight="1" x14ac:dyDescent="0.35">
      <c r="A684" s="5"/>
      <c r="B684" s="5"/>
      <c r="C684" s="6"/>
      <c r="D684" s="5"/>
      <c r="E684" s="5"/>
      <c r="F684" s="5"/>
      <c r="G684" s="5"/>
      <c r="H684" s="5"/>
      <c r="I684" s="5"/>
      <c r="J684" s="5"/>
      <c r="K684" s="5"/>
    </row>
    <row r="685" spans="1:11" ht="15.75" customHeight="1" x14ac:dyDescent="0.35">
      <c r="A685" s="5"/>
      <c r="B685" s="5"/>
      <c r="C685" s="6"/>
      <c r="D685" s="5"/>
      <c r="E685" s="5"/>
      <c r="F685" s="5"/>
      <c r="G685" s="5"/>
      <c r="H685" s="5"/>
      <c r="I685" s="5"/>
      <c r="J685" s="5"/>
      <c r="K685" s="5"/>
    </row>
    <row r="686" spans="1:11" ht="15.75" customHeight="1" x14ac:dyDescent="0.35">
      <c r="A686" s="5"/>
      <c r="B686" s="5"/>
      <c r="C686" s="6"/>
      <c r="D686" s="5"/>
      <c r="E686" s="5"/>
      <c r="F686" s="5"/>
      <c r="G686" s="5"/>
      <c r="H686" s="5"/>
      <c r="I686" s="5"/>
      <c r="J686" s="5"/>
      <c r="K686" s="5"/>
    </row>
    <row r="687" spans="1:11" ht="15.75" customHeight="1" x14ac:dyDescent="0.35">
      <c r="A687" s="5"/>
      <c r="B687" s="5"/>
      <c r="C687" s="6"/>
      <c r="D687" s="5"/>
      <c r="E687" s="5"/>
      <c r="F687" s="5"/>
      <c r="G687" s="5"/>
      <c r="H687" s="5"/>
      <c r="I687" s="5"/>
      <c r="J687" s="5"/>
      <c r="K687" s="5"/>
    </row>
    <row r="688" spans="1:11" ht="15.75" customHeight="1" x14ac:dyDescent="0.35">
      <c r="A688" s="5"/>
      <c r="B688" s="5"/>
      <c r="C688" s="6"/>
      <c r="D688" s="5"/>
      <c r="E688" s="5"/>
      <c r="F688" s="5"/>
      <c r="G688" s="5"/>
      <c r="H688" s="5"/>
      <c r="I688" s="5"/>
      <c r="J688" s="5"/>
      <c r="K688" s="5"/>
    </row>
    <row r="689" spans="1:11" ht="15.75" customHeight="1" x14ac:dyDescent="0.35">
      <c r="A689" s="5"/>
      <c r="B689" s="5"/>
      <c r="C689" s="6"/>
      <c r="D689" s="5"/>
      <c r="E689" s="5"/>
      <c r="F689" s="5"/>
      <c r="G689" s="5"/>
      <c r="H689" s="5"/>
      <c r="I689" s="5"/>
      <c r="J689" s="5"/>
      <c r="K689" s="5"/>
    </row>
    <row r="690" spans="1:11" ht="15.75" customHeight="1" x14ac:dyDescent="0.35">
      <c r="A690" s="5"/>
      <c r="B690" s="5"/>
      <c r="C690" s="6"/>
      <c r="D690" s="5"/>
      <c r="E690" s="5"/>
      <c r="F690" s="5"/>
      <c r="G690" s="5"/>
      <c r="H690" s="5"/>
      <c r="I690" s="5"/>
      <c r="J690" s="5"/>
      <c r="K690" s="5"/>
    </row>
    <row r="691" spans="1:11" ht="15.75" customHeight="1" x14ac:dyDescent="0.35">
      <c r="A691" s="5"/>
      <c r="B691" s="5"/>
      <c r="C691" s="6"/>
      <c r="D691" s="5"/>
      <c r="E691" s="5"/>
      <c r="F691" s="5"/>
      <c r="G691" s="5"/>
      <c r="H691" s="5"/>
      <c r="I691" s="5"/>
      <c r="J691" s="5"/>
      <c r="K691" s="5"/>
    </row>
    <row r="692" spans="1:11" ht="15.75" customHeight="1" x14ac:dyDescent="0.35">
      <c r="A692" s="5"/>
      <c r="B692" s="5"/>
      <c r="C692" s="6"/>
      <c r="D692" s="5"/>
      <c r="E692" s="5"/>
      <c r="F692" s="5"/>
      <c r="G692" s="5"/>
      <c r="H692" s="5"/>
      <c r="I692" s="5"/>
      <c r="J692" s="5"/>
      <c r="K692" s="5"/>
    </row>
    <row r="693" spans="1:11" ht="15.75" customHeight="1" x14ac:dyDescent="0.35">
      <c r="A693" s="5"/>
      <c r="B693" s="5"/>
      <c r="C693" s="6"/>
      <c r="D693" s="5"/>
      <c r="E693" s="5"/>
      <c r="F693" s="5"/>
      <c r="G693" s="5"/>
      <c r="H693" s="5"/>
      <c r="I693" s="5"/>
      <c r="J693" s="5"/>
      <c r="K693" s="5"/>
    </row>
    <row r="694" spans="1:11" ht="15.75" customHeight="1" x14ac:dyDescent="0.35">
      <c r="A694" s="5"/>
      <c r="B694" s="5"/>
      <c r="C694" s="6"/>
      <c r="D694" s="5"/>
      <c r="E694" s="5"/>
      <c r="F694" s="5"/>
      <c r="G694" s="5"/>
      <c r="H694" s="5"/>
      <c r="I694" s="5"/>
      <c r="J694" s="5"/>
      <c r="K694" s="5"/>
    </row>
    <row r="695" spans="1:11" ht="15.75" customHeight="1" x14ac:dyDescent="0.35">
      <c r="A695" s="5"/>
      <c r="B695" s="5"/>
      <c r="C695" s="6"/>
      <c r="D695" s="5"/>
      <c r="E695" s="5"/>
      <c r="F695" s="5"/>
      <c r="G695" s="5"/>
      <c r="H695" s="5"/>
      <c r="I695" s="5"/>
      <c r="J695" s="5"/>
      <c r="K695" s="5"/>
    </row>
    <row r="696" spans="1:11" ht="15.75" customHeight="1" x14ac:dyDescent="0.35">
      <c r="A696" s="5"/>
      <c r="B696" s="5"/>
      <c r="C696" s="6"/>
      <c r="D696" s="5"/>
      <c r="E696" s="5"/>
      <c r="F696" s="5"/>
      <c r="G696" s="5"/>
      <c r="H696" s="5"/>
      <c r="I696" s="5"/>
      <c r="J696" s="5"/>
      <c r="K696" s="5"/>
    </row>
    <row r="697" spans="1:11" ht="15.75" customHeight="1" x14ac:dyDescent="0.35">
      <c r="A697" s="5"/>
      <c r="B697" s="5"/>
      <c r="C697" s="6"/>
      <c r="D697" s="5"/>
      <c r="E697" s="5"/>
      <c r="F697" s="5"/>
      <c r="G697" s="5"/>
      <c r="H697" s="5"/>
      <c r="I697" s="5"/>
      <c r="J697" s="5"/>
      <c r="K697" s="5"/>
    </row>
    <row r="698" spans="1:11" ht="15.75" customHeight="1" x14ac:dyDescent="0.35">
      <c r="A698" s="5"/>
      <c r="B698" s="5"/>
      <c r="C698" s="6"/>
      <c r="D698" s="5"/>
      <c r="E698" s="5"/>
      <c r="F698" s="5"/>
      <c r="G698" s="5"/>
      <c r="H698" s="5"/>
      <c r="I698" s="5"/>
      <c r="J698" s="5"/>
      <c r="K698" s="5"/>
    </row>
    <row r="699" spans="1:11" ht="15.75" customHeight="1" x14ac:dyDescent="0.35">
      <c r="A699" s="5"/>
      <c r="B699" s="5"/>
      <c r="C699" s="6"/>
      <c r="D699" s="5"/>
      <c r="E699" s="5"/>
      <c r="F699" s="5"/>
      <c r="G699" s="5"/>
      <c r="H699" s="5"/>
      <c r="I699" s="5"/>
      <c r="J699" s="5"/>
      <c r="K699" s="5"/>
    </row>
    <row r="700" spans="1:11" ht="15.75" customHeight="1" x14ac:dyDescent="0.35">
      <c r="A700" s="5"/>
      <c r="B700" s="5"/>
      <c r="C700" s="6"/>
      <c r="D700" s="5"/>
      <c r="E700" s="5"/>
      <c r="F700" s="5"/>
      <c r="G700" s="5"/>
      <c r="H700" s="5"/>
      <c r="I700" s="5"/>
      <c r="J700" s="5"/>
      <c r="K700" s="5"/>
    </row>
    <row r="701" spans="1:11" ht="15.75" customHeight="1" x14ac:dyDescent="0.35">
      <c r="A701" s="5"/>
      <c r="B701" s="5"/>
      <c r="C701" s="6"/>
      <c r="D701" s="5"/>
      <c r="E701" s="5"/>
      <c r="F701" s="5"/>
      <c r="G701" s="5"/>
      <c r="H701" s="5"/>
      <c r="I701" s="5"/>
      <c r="J701" s="5"/>
      <c r="K701" s="5"/>
    </row>
    <row r="702" spans="1:11" ht="15.75" customHeight="1" x14ac:dyDescent="0.35">
      <c r="A702" s="5"/>
      <c r="B702" s="5"/>
      <c r="C702" s="6"/>
      <c r="D702" s="5"/>
      <c r="E702" s="5"/>
      <c r="F702" s="5"/>
      <c r="G702" s="5"/>
      <c r="H702" s="5"/>
      <c r="I702" s="5"/>
      <c r="J702" s="5"/>
      <c r="K702" s="5"/>
    </row>
    <row r="703" spans="1:11" ht="15.75" customHeight="1" x14ac:dyDescent="0.35">
      <c r="A703" s="5"/>
      <c r="B703" s="5"/>
      <c r="C703" s="6"/>
      <c r="D703" s="5"/>
      <c r="E703" s="5"/>
      <c r="F703" s="5"/>
      <c r="G703" s="5"/>
      <c r="H703" s="5"/>
      <c r="I703" s="5"/>
      <c r="J703" s="5"/>
      <c r="K703" s="5"/>
    </row>
    <row r="704" spans="1:11" ht="15.75" customHeight="1" x14ac:dyDescent="0.35">
      <c r="A704" s="5"/>
      <c r="B704" s="5"/>
      <c r="C704" s="6"/>
      <c r="D704" s="5"/>
      <c r="E704" s="5"/>
      <c r="F704" s="5"/>
      <c r="G704" s="5"/>
      <c r="H704" s="5"/>
      <c r="I704" s="5"/>
      <c r="J704" s="5"/>
      <c r="K704" s="5"/>
    </row>
    <row r="705" spans="1:11" ht="15.75" customHeight="1" x14ac:dyDescent="0.35">
      <c r="A705" s="5"/>
      <c r="B705" s="5"/>
      <c r="C705" s="6"/>
      <c r="D705" s="5"/>
      <c r="E705" s="5"/>
      <c r="F705" s="5"/>
      <c r="G705" s="5"/>
      <c r="H705" s="5"/>
      <c r="I705" s="5"/>
      <c r="J705" s="5"/>
      <c r="K705" s="5"/>
    </row>
    <row r="706" spans="1:11" ht="15.75" customHeight="1" x14ac:dyDescent="0.35">
      <c r="A706" s="5"/>
      <c r="B706" s="5"/>
      <c r="C706" s="6"/>
      <c r="D706" s="5"/>
      <c r="E706" s="5"/>
      <c r="F706" s="5"/>
      <c r="G706" s="5"/>
      <c r="H706" s="5"/>
      <c r="I706" s="5"/>
      <c r="J706" s="5"/>
      <c r="K706" s="5"/>
    </row>
    <row r="707" spans="1:11" ht="15.75" customHeight="1" x14ac:dyDescent="0.35">
      <c r="A707" s="5"/>
      <c r="B707" s="5"/>
      <c r="C707" s="6"/>
      <c r="D707" s="5"/>
      <c r="E707" s="5"/>
      <c r="F707" s="5"/>
      <c r="G707" s="5"/>
      <c r="H707" s="5"/>
      <c r="I707" s="5"/>
      <c r="J707" s="5"/>
      <c r="K707" s="5"/>
    </row>
    <row r="708" spans="1:11" ht="15.75" customHeight="1" x14ac:dyDescent="0.35">
      <c r="A708" s="5"/>
      <c r="B708" s="5"/>
      <c r="C708" s="6"/>
      <c r="D708" s="5"/>
      <c r="E708" s="5"/>
      <c r="F708" s="5"/>
      <c r="G708" s="5"/>
      <c r="H708" s="5"/>
      <c r="I708" s="5"/>
      <c r="J708" s="5"/>
      <c r="K708" s="5"/>
    </row>
    <row r="709" spans="1:11" ht="15.75" customHeight="1" x14ac:dyDescent="0.35">
      <c r="A709" s="5"/>
      <c r="B709" s="5"/>
      <c r="C709" s="6"/>
      <c r="D709" s="5"/>
      <c r="E709" s="5"/>
      <c r="F709" s="5"/>
      <c r="G709" s="5"/>
      <c r="H709" s="5"/>
      <c r="I709" s="5"/>
      <c r="J709" s="5"/>
      <c r="K709" s="5"/>
    </row>
    <row r="710" spans="1:11" ht="15.75" customHeight="1" x14ac:dyDescent="0.35">
      <c r="A710" s="5"/>
      <c r="B710" s="5"/>
      <c r="C710" s="6"/>
      <c r="D710" s="5"/>
      <c r="E710" s="5"/>
      <c r="F710" s="5"/>
      <c r="G710" s="5"/>
      <c r="H710" s="5"/>
      <c r="I710" s="5"/>
      <c r="J710" s="5"/>
      <c r="K710" s="5"/>
    </row>
    <row r="711" spans="1:11" ht="15.75" customHeight="1" x14ac:dyDescent="0.35">
      <c r="A711" s="5"/>
      <c r="B711" s="5"/>
      <c r="C711" s="6"/>
      <c r="D711" s="5"/>
      <c r="E711" s="5"/>
      <c r="F711" s="5"/>
      <c r="G711" s="5"/>
      <c r="H711" s="5"/>
      <c r="I711" s="5"/>
      <c r="J711" s="5"/>
      <c r="K711" s="5"/>
    </row>
    <row r="712" spans="1:11" ht="15.75" customHeight="1" x14ac:dyDescent="0.35">
      <c r="A712" s="5"/>
      <c r="B712" s="5"/>
      <c r="C712" s="6"/>
      <c r="D712" s="5"/>
      <c r="E712" s="5"/>
      <c r="F712" s="5"/>
      <c r="G712" s="5"/>
      <c r="H712" s="5"/>
      <c r="I712" s="5"/>
      <c r="J712" s="5"/>
      <c r="K712" s="5"/>
    </row>
    <row r="713" spans="1:11" ht="15.75" customHeight="1" x14ac:dyDescent="0.35">
      <c r="A713" s="5"/>
      <c r="B713" s="5"/>
      <c r="C713" s="6"/>
      <c r="D713" s="5"/>
      <c r="E713" s="5"/>
      <c r="F713" s="5"/>
      <c r="G713" s="5"/>
      <c r="H713" s="5"/>
      <c r="I713" s="5"/>
      <c r="J713" s="5"/>
      <c r="K713" s="5"/>
    </row>
    <row r="714" spans="1:11" ht="15.75" customHeight="1" x14ac:dyDescent="0.35">
      <c r="A714" s="5"/>
      <c r="B714" s="5"/>
      <c r="C714" s="6"/>
      <c r="D714" s="5"/>
      <c r="E714" s="5"/>
      <c r="F714" s="5"/>
      <c r="G714" s="5"/>
      <c r="H714" s="5"/>
      <c r="I714" s="5"/>
      <c r="J714" s="5"/>
      <c r="K714" s="5"/>
    </row>
    <row r="715" spans="1:11" ht="15.75" customHeight="1" x14ac:dyDescent="0.35">
      <c r="A715" s="5"/>
      <c r="B715" s="5"/>
      <c r="C715" s="6"/>
      <c r="D715" s="5"/>
      <c r="E715" s="5"/>
      <c r="F715" s="5"/>
      <c r="G715" s="5"/>
      <c r="H715" s="5"/>
      <c r="I715" s="5"/>
      <c r="J715" s="5"/>
      <c r="K715" s="5"/>
    </row>
    <row r="716" spans="1:11" ht="15.75" customHeight="1" x14ac:dyDescent="0.35">
      <c r="A716" s="5"/>
      <c r="B716" s="5"/>
      <c r="C716" s="6"/>
      <c r="D716" s="5"/>
      <c r="E716" s="5"/>
      <c r="F716" s="5"/>
      <c r="G716" s="5"/>
      <c r="H716" s="5"/>
      <c r="I716" s="5"/>
      <c r="J716" s="5"/>
      <c r="K716" s="5"/>
    </row>
    <row r="717" spans="1:11" ht="15.75" customHeight="1" x14ac:dyDescent="0.35">
      <c r="A717" s="5"/>
      <c r="B717" s="5"/>
      <c r="C717" s="6"/>
      <c r="D717" s="5"/>
      <c r="E717" s="5"/>
      <c r="F717" s="5"/>
      <c r="G717" s="5"/>
      <c r="H717" s="5"/>
      <c r="I717" s="5"/>
      <c r="J717" s="5"/>
      <c r="K717" s="5"/>
    </row>
    <row r="718" spans="1:11" ht="15.75" customHeight="1" x14ac:dyDescent="0.35">
      <c r="A718" s="5"/>
      <c r="B718" s="5"/>
      <c r="C718" s="6"/>
      <c r="D718" s="5"/>
      <c r="E718" s="5"/>
      <c r="F718" s="5"/>
      <c r="G718" s="5"/>
      <c r="H718" s="5"/>
      <c r="I718" s="5"/>
      <c r="J718" s="5"/>
      <c r="K718" s="5"/>
    </row>
    <row r="719" spans="1:11" ht="15.75" customHeight="1" x14ac:dyDescent="0.35">
      <c r="A719" s="5"/>
      <c r="B719" s="5"/>
      <c r="C719" s="6"/>
      <c r="D719" s="5"/>
      <c r="E719" s="5"/>
      <c r="F719" s="5"/>
      <c r="G719" s="5"/>
      <c r="H719" s="5"/>
      <c r="I719" s="5"/>
      <c r="J719" s="5"/>
      <c r="K719" s="5"/>
    </row>
    <row r="720" spans="1:11" ht="15.75" customHeight="1" x14ac:dyDescent="0.35">
      <c r="A720" s="5"/>
      <c r="B720" s="5"/>
      <c r="C720" s="6"/>
      <c r="D720" s="5"/>
      <c r="E720" s="5"/>
      <c r="F720" s="5"/>
      <c r="G720" s="5"/>
      <c r="H720" s="5"/>
      <c r="I720" s="5"/>
      <c r="J720" s="5"/>
      <c r="K720" s="5"/>
    </row>
    <row r="721" spans="1:11" ht="15.75" customHeight="1" x14ac:dyDescent="0.35">
      <c r="A721" s="5"/>
      <c r="B721" s="5"/>
      <c r="C721" s="6"/>
      <c r="D721" s="5"/>
      <c r="E721" s="5"/>
      <c r="F721" s="5"/>
      <c r="G721" s="5"/>
      <c r="H721" s="5"/>
      <c r="I721" s="5"/>
      <c r="J721" s="5"/>
      <c r="K721" s="5"/>
    </row>
    <row r="722" spans="1:11" ht="15.75" customHeight="1" x14ac:dyDescent="0.35">
      <c r="A722" s="5"/>
      <c r="B722" s="5"/>
      <c r="C722" s="6"/>
      <c r="D722" s="5"/>
      <c r="E722" s="5"/>
      <c r="F722" s="5"/>
      <c r="G722" s="5"/>
      <c r="H722" s="5"/>
      <c r="I722" s="5"/>
      <c r="J722" s="5"/>
      <c r="K722" s="5"/>
    </row>
    <row r="723" spans="1:11" ht="15.75" customHeight="1" x14ac:dyDescent="0.35">
      <c r="A723" s="5"/>
      <c r="B723" s="5"/>
      <c r="C723" s="6"/>
      <c r="D723" s="5"/>
      <c r="E723" s="5"/>
      <c r="F723" s="5"/>
      <c r="G723" s="5"/>
      <c r="H723" s="5"/>
      <c r="I723" s="5"/>
      <c r="J723" s="5"/>
      <c r="K723" s="5"/>
    </row>
    <row r="724" spans="1:11" ht="15.75" customHeight="1" x14ac:dyDescent="0.35">
      <c r="A724" s="5"/>
      <c r="B724" s="5"/>
      <c r="C724" s="6"/>
      <c r="D724" s="5"/>
      <c r="E724" s="5"/>
      <c r="F724" s="5"/>
      <c r="G724" s="5"/>
      <c r="H724" s="5"/>
      <c r="I724" s="5"/>
      <c r="J724" s="5"/>
      <c r="K724" s="5"/>
    </row>
    <row r="725" spans="1:11" ht="15.75" customHeight="1" x14ac:dyDescent="0.35">
      <c r="A725" s="5"/>
      <c r="B725" s="5"/>
      <c r="C725" s="6"/>
      <c r="D725" s="5"/>
      <c r="E725" s="5"/>
      <c r="F725" s="5"/>
      <c r="G725" s="5"/>
      <c r="H725" s="5"/>
      <c r="I725" s="5"/>
      <c r="J725" s="5"/>
      <c r="K725" s="5"/>
    </row>
    <row r="726" spans="1:11" ht="15.75" customHeight="1" x14ac:dyDescent="0.35">
      <c r="A726" s="5"/>
      <c r="B726" s="5"/>
      <c r="C726" s="6"/>
      <c r="D726" s="5"/>
      <c r="E726" s="5"/>
      <c r="F726" s="5"/>
      <c r="G726" s="5"/>
      <c r="H726" s="5"/>
      <c r="I726" s="5"/>
      <c r="J726" s="5"/>
      <c r="K726" s="5"/>
    </row>
    <row r="727" spans="1:11" ht="15.75" customHeight="1" x14ac:dyDescent="0.35">
      <c r="A727" s="5"/>
      <c r="B727" s="5"/>
      <c r="C727" s="6"/>
      <c r="D727" s="5"/>
      <c r="E727" s="5"/>
      <c r="F727" s="5"/>
      <c r="G727" s="5"/>
      <c r="H727" s="5"/>
      <c r="I727" s="5"/>
      <c r="J727" s="5"/>
      <c r="K727" s="5"/>
    </row>
    <row r="728" spans="1:11" ht="15.75" customHeight="1" x14ac:dyDescent="0.35">
      <c r="A728" s="5"/>
      <c r="B728" s="5"/>
      <c r="C728" s="6"/>
      <c r="D728" s="5"/>
      <c r="E728" s="5"/>
      <c r="F728" s="5"/>
      <c r="G728" s="5"/>
      <c r="H728" s="5"/>
      <c r="I728" s="5"/>
      <c r="J728" s="5"/>
      <c r="K728" s="5"/>
    </row>
    <row r="729" spans="1:11" ht="15.75" customHeight="1" x14ac:dyDescent="0.35">
      <c r="A729" s="5"/>
      <c r="B729" s="5"/>
      <c r="C729" s="6"/>
      <c r="D729" s="5"/>
      <c r="E729" s="5"/>
      <c r="F729" s="5"/>
      <c r="G729" s="5"/>
      <c r="H729" s="5"/>
      <c r="I729" s="5"/>
      <c r="J729" s="5"/>
      <c r="K729" s="5"/>
    </row>
    <row r="730" spans="1:11" ht="15.75" customHeight="1" x14ac:dyDescent="0.35">
      <c r="A730" s="5"/>
      <c r="B730" s="5"/>
      <c r="C730" s="6"/>
      <c r="D730" s="5"/>
      <c r="E730" s="5"/>
      <c r="F730" s="5"/>
      <c r="G730" s="5"/>
      <c r="H730" s="5"/>
      <c r="I730" s="5"/>
      <c r="J730" s="5"/>
      <c r="K730" s="5"/>
    </row>
    <row r="731" spans="1:11" ht="15.75" customHeight="1" x14ac:dyDescent="0.35">
      <c r="A731" s="5"/>
      <c r="B731" s="5"/>
      <c r="C731" s="6"/>
      <c r="D731" s="5"/>
      <c r="E731" s="5"/>
      <c r="F731" s="5"/>
      <c r="G731" s="5"/>
      <c r="H731" s="5"/>
      <c r="I731" s="5"/>
      <c r="J731" s="5"/>
      <c r="K731" s="5"/>
    </row>
    <row r="732" spans="1:11" ht="15.75" customHeight="1" x14ac:dyDescent="0.35">
      <c r="A732" s="5"/>
      <c r="B732" s="5"/>
      <c r="C732" s="6"/>
      <c r="D732" s="5"/>
      <c r="E732" s="5"/>
      <c r="F732" s="5"/>
      <c r="G732" s="5"/>
      <c r="H732" s="5"/>
      <c r="I732" s="5"/>
      <c r="J732" s="5"/>
      <c r="K732" s="5"/>
    </row>
    <row r="733" spans="1:11" ht="15.75" customHeight="1" x14ac:dyDescent="0.35">
      <c r="A733" s="5"/>
      <c r="B733" s="5"/>
      <c r="C733" s="6"/>
      <c r="D733" s="5"/>
      <c r="E733" s="5"/>
      <c r="F733" s="5"/>
      <c r="G733" s="5"/>
      <c r="H733" s="5"/>
      <c r="I733" s="5"/>
      <c r="J733" s="5"/>
      <c r="K733" s="5"/>
    </row>
    <row r="734" spans="1:11" ht="15.75" customHeight="1" x14ac:dyDescent="0.35">
      <c r="A734" s="5"/>
      <c r="B734" s="5"/>
      <c r="C734" s="6"/>
      <c r="D734" s="5"/>
      <c r="E734" s="5"/>
      <c r="F734" s="5"/>
      <c r="G734" s="5"/>
      <c r="H734" s="5"/>
      <c r="I734" s="5"/>
      <c r="J734" s="5"/>
      <c r="K734" s="5"/>
    </row>
    <row r="735" spans="1:11" ht="15.75" customHeight="1" x14ac:dyDescent="0.35">
      <c r="A735" s="5"/>
      <c r="B735" s="5"/>
      <c r="C735" s="6"/>
      <c r="D735" s="5"/>
      <c r="E735" s="5"/>
      <c r="F735" s="5"/>
      <c r="G735" s="5"/>
      <c r="H735" s="5"/>
      <c r="I735" s="5"/>
      <c r="J735" s="5"/>
      <c r="K735" s="5"/>
    </row>
    <row r="736" spans="1:11" ht="15.75" customHeight="1" x14ac:dyDescent="0.35">
      <c r="A736" s="5"/>
      <c r="B736" s="5"/>
      <c r="C736" s="6"/>
      <c r="D736" s="5"/>
      <c r="E736" s="5"/>
      <c r="F736" s="5"/>
      <c r="G736" s="5"/>
      <c r="H736" s="5"/>
      <c r="I736" s="5"/>
      <c r="J736" s="5"/>
      <c r="K736" s="5"/>
    </row>
    <row r="737" spans="1:11" ht="15.75" customHeight="1" x14ac:dyDescent="0.35">
      <c r="A737" s="5"/>
      <c r="B737" s="5"/>
      <c r="C737" s="6"/>
      <c r="D737" s="5"/>
      <c r="E737" s="5"/>
      <c r="F737" s="5"/>
      <c r="G737" s="5"/>
      <c r="H737" s="5"/>
      <c r="I737" s="5"/>
      <c r="J737" s="5"/>
      <c r="K737" s="5"/>
    </row>
    <row r="738" spans="1:11" ht="15.75" customHeight="1" x14ac:dyDescent="0.35">
      <c r="A738" s="5"/>
      <c r="B738" s="5"/>
      <c r="C738" s="6"/>
      <c r="D738" s="5"/>
      <c r="E738" s="5"/>
      <c r="F738" s="5"/>
      <c r="G738" s="5"/>
      <c r="H738" s="5"/>
      <c r="I738" s="5"/>
      <c r="J738" s="5"/>
      <c r="K738" s="5"/>
    </row>
    <row r="739" spans="1:11" ht="15.75" customHeight="1" x14ac:dyDescent="0.35">
      <c r="A739" s="5"/>
      <c r="B739" s="5"/>
      <c r="C739" s="6"/>
      <c r="D739" s="5"/>
      <c r="E739" s="5"/>
      <c r="F739" s="5"/>
      <c r="G739" s="5"/>
      <c r="H739" s="5"/>
      <c r="I739" s="5"/>
      <c r="J739" s="5"/>
      <c r="K739" s="5"/>
    </row>
    <row r="740" spans="1:11" ht="15.75" customHeight="1" x14ac:dyDescent="0.35">
      <c r="A740" s="5"/>
      <c r="B740" s="5"/>
      <c r="C740" s="6"/>
      <c r="D740" s="5"/>
      <c r="E740" s="5"/>
      <c r="F740" s="5"/>
      <c r="G740" s="5"/>
      <c r="H740" s="5"/>
      <c r="I740" s="5"/>
      <c r="J740" s="5"/>
      <c r="K740" s="5"/>
    </row>
    <row r="741" spans="1:11" ht="15.75" customHeight="1" x14ac:dyDescent="0.35">
      <c r="A741" s="5"/>
      <c r="B741" s="5"/>
      <c r="C741" s="6"/>
      <c r="D741" s="5"/>
      <c r="E741" s="5"/>
      <c r="F741" s="5"/>
      <c r="G741" s="5"/>
      <c r="H741" s="5"/>
      <c r="I741" s="5"/>
      <c r="J741" s="5"/>
      <c r="K741" s="5"/>
    </row>
    <row r="742" spans="1:11" ht="15.75" customHeight="1" x14ac:dyDescent="0.35">
      <c r="A742" s="5"/>
      <c r="B742" s="5"/>
      <c r="C742" s="6"/>
      <c r="D742" s="5"/>
      <c r="E742" s="5"/>
      <c r="F742" s="5"/>
      <c r="G742" s="5"/>
      <c r="H742" s="5"/>
      <c r="I742" s="5"/>
      <c r="J742" s="5"/>
      <c r="K742" s="5"/>
    </row>
    <row r="743" spans="1:11" ht="15.75" customHeight="1" x14ac:dyDescent="0.35">
      <c r="A743" s="5"/>
      <c r="B743" s="5"/>
      <c r="C743" s="6"/>
      <c r="D743" s="5"/>
      <c r="E743" s="5"/>
      <c r="F743" s="5"/>
      <c r="G743" s="5"/>
      <c r="H743" s="5"/>
      <c r="I743" s="5"/>
      <c r="J743" s="5"/>
      <c r="K743" s="5"/>
    </row>
    <row r="744" spans="1:11" ht="15.75" customHeight="1" x14ac:dyDescent="0.35">
      <c r="A744" s="5"/>
      <c r="B744" s="5"/>
      <c r="C744" s="6"/>
      <c r="D744" s="5"/>
      <c r="E744" s="5"/>
      <c r="F744" s="5"/>
      <c r="G744" s="5"/>
      <c r="H744" s="5"/>
      <c r="I744" s="5"/>
      <c r="J744" s="5"/>
      <c r="K744" s="5"/>
    </row>
    <row r="745" spans="1:11" ht="15.75" customHeight="1" x14ac:dyDescent="0.35">
      <c r="A745" s="5"/>
      <c r="B745" s="5"/>
      <c r="C745" s="6"/>
      <c r="D745" s="5"/>
      <c r="E745" s="5"/>
      <c r="F745" s="5"/>
      <c r="G745" s="5"/>
      <c r="H745" s="5"/>
      <c r="I745" s="5"/>
      <c r="J745" s="5"/>
      <c r="K745" s="5"/>
    </row>
    <row r="746" spans="1:11" ht="15.75" customHeight="1" x14ac:dyDescent="0.35">
      <c r="A746" s="5"/>
      <c r="B746" s="5"/>
      <c r="C746" s="6"/>
      <c r="D746" s="5"/>
      <c r="E746" s="5"/>
      <c r="F746" s="5"/>
      <c r="G746" s="5"/>
      <c r="H746" s="5"/>
      <c r="I746" s="5"/>
      <c r="J746" s="5"/>
      <c r="K746" s="5"/>
    </row>
    <row r="747" spans="1:11" ht="15.75" customHeight="1" x14ac:dyDescent="0.35">
      <c r="A747" s="5"/>
      <c r="B747" s="5"/>
      <c r="C747" s="6"/>
      <c r="D747" s="5"/>
      <c r="E747" s="5"/>
      <c r="F747" s="5"/>
      <c r="G747" s="5"/>
      <c r="H747" s="5"/>
      <c r="I747" s="5"/>
      <c r="J747" s="5"/>
      <c r="K747" s="5"/>
    </row>
    <row r="748" spans="1:11" ht="15.75" customHeight="1" x14ac:dyDescent="0.35">
      <c r="A748" s="5"/>
      <c r="B748" s="5"/>
      <c r="C748" s="6"/>
      <c r="D748" s="5"/>
      <c r="E748" s="5"/>
      <c r="F748" s="5"/>
      <c r="G748" s="5"/>
      <c r="H748" s="5"/>
      <c r="I748" s="5"/>
      <c r="J748" s="5"/>
      <c r="K748" s="5"/>
    </row>
    <row r="749" spans="1:11" ht="15.75" customHeight="1" x14ac:dyDescent="0.35">
      <c r="A749" s="5"/>
      <c r="B749" s="5"/>
      <c r="C749" s="6"/>
      <c r="D749" s="5"/>
      <c r="E749" s="5"/>
      <c r="F749" s="5"/>
      <c r="G749" s="5"/>
      <c r="H749" s="5"/>
      <c r="I749" s="5"/>
      <c r="J749" s="5"/>
      <c r="K749" s="5"/>
    </row>
    <row r="750" spans="1:11" ht="15.75" customHeight="1" x14ac:dyDescent="0.35">
      <c r="A750" s="5"/>
      <c r="B750" s="5"/>
      <c r="C750" s="6"/>
      <c r="D750" s="5"/>
      <c r="E750" s="5"/>
      <c r="F750" s="5"/>
      <c r="G750" s="5"/>
      <c r="H750" s="5"/>
      <c r="I750" s="5"/>
      <c r="J750" s="5"/>
      <c r="K750" s="5"/>
    </row>
    <row r="751" spans="1:11" ht="15.75" customHeight="1" x14ac:dyDescent="0.35">
      <c r="A751" s="5"/>
      <c r="B751" s="5"/>
      <c r="C751" s="6"/>
      <c r="D751" s="5"/>
      <c r="E751" s="5"/>
      <c r="F751" s="5"/>
      <c r="G751" s="5"/>
      <c r="H751" s="5"/>
      <c r="I751" s="5"/>
      <c r="J751" s="5"/>
      <c r="K751" s="5"/>
    </row>
    <row r="752" spans="1:11" ht="15.75" customHeight="1" x14ac:dyDescent="0.35">
      <c r="A752" s="5"/>
      <c r="B752" s="5"/>
      <c r="C752" s="6"/>
      <c r="D752" s="5"/>
      <c r="E752" s="5"/>
      <c r="F752" s="5"/>
      <c r="G752" s="5"/>
      <c r="H752" s="5"/>
      <c r="I752" s="5"/>
      <c r="J752" s="5"/>
      <c r="K752" s="5"/>
    </row>
    <row r="753" spans="1:11" ht="15.75" customHeight="1" x14ac:dyDescent="0.35">
      <c r="A753" s="5"/>
      <c r="B753" s="5"/>
      <c r="C753" s="6"/>
      <c r="D753" s="5"/>
      <c r="E753" s="5"/>
      <c r="F753" s="5"/>
      <c r="G753" s="5"/>
      <c r="H753" s="5"/>
      <c r="I753" s="5"/>
      <c r="J753" s="5"/>
      <c r="K753" s="5"/>
    </row>
    <row r="754" spans="1:11" ht="15.75" customHeight="1" x14ac:dyDescent="0.35">
      <c r="A754" s="5"/>
      <c r="B754" s="5"/>
      <c r="C754" s="6"/>
      <c r="D754" s="5"/>
      <c r="E754" s="5"/>
      <c r="F754" s="5"/>
      <c r="G754" s="5"/>
      <c r="H754" s="5"/>
      <c r="I754" s="5"/>
      <c r="J754" s="5"/>
      <c r="K754" s="5"/>
    </row>
    <row r="755" spans="1:11" ht="15.75" customHeight="1" x14ac:dyDescent="0.35">
      <c r="A755" s="5"/>
      <c r="B755" s="5"/>
      <c r="C755" s="6"/>
      <c r="D755" s="5"/>
      <c r="E755" s="5"/>
      <c r="F755" s="5"/>
      <c r="G755" s="5"/>
      <c r="H755" s="5"/>
      <c r="I755" s="5"/>
      <c r="J755" s="5"/>
      <c r="K755" s="5"/>
    </row>
    <row r="756" spans="1:11" ht="15.75" customHeight="1" x14ac:dyDescent="0.35">
      <c r="A756" s="5"/>
      <c r="B756" s="5"/>
      <c r="C756" s="6"/>
      <c r="D756" s="5"/>
      <c r="E756" s="5"/>
      <c r="F756" s="5"/>
      <c r="G756" s="5"/>
      <c r="H756" s="5"/>
      <c r="I756" s="5"/>
      <c r="J756" s="5"/>
      <c r="K756" s="5"/>
    </row>
    <row r="757" spans="1:11" ht="15.75" customHeight="1" x14ac:dyDescent="0.35">
      <c r="A757" s="5"/>
      <c r="B757" s="5"/>
      <c r="C757" s="6"/>
      <c r="D757" s="5"/>
      <c r="E757" s="5"/>
      <c r="F757" s="5"/>
      <c r="G757" s="5"/>
      <c r="H757" s="5"/>
      <c r="I757" s="5"/>
      <c r="J757" s="5"/>
      <c r="K757" s="5"/>
    </row>
    <row r="758" spans="1:11" ht="15.75" customHeight="1" x14ac:dyDescent="0.35">
      <c r="A758" s="5"/>
      <c r="B758" s="5"/>
      <c r="C758" s="6"/>
      <c r="D758" s="5"/>
      <c r="E758" s="5"/>
      <c r="F758" s="5"/>
      <c r="G758" s="5"/>
      <c r="H758" s="5"/>
      <c r="I758" s="5"/>
      <c r="J758" s="5"/>
      <c r="K758" s="5"/>
    </row>
    <row r="759" spans="1:11" ht="15.75" customHeight="1" x14ac:dyDescent="0.35">
      <c r="A759" s="5"/>
      <c r="B759" s="5"/>
      <c r="C759" s="6"/>
      <c r="D759" s="5"/>
      <c r="E759" s="5"/>
      <c r="F759" s="5"/>
      <c r="G759" s="5"/>
      <c r="H759" s="5"/>
      <c r="I759" s="5"/>
      <c r="J759" s="5"/>
      <c r="K759" s="5"/>
    </row>
    <row r="760" spans="1:11" ht="15.75" customHeight="1" x14ac:dyDescent="0.35">
      <c r="A760" s="5"/>
      <c r="B760" s="5"/>
      <c r="C760" s="6"/>
      <c r="D760" s="5"/>
      <c r="E760" s="5"/>
      <c r="F760" s="5"/>
      <c r="G760" s="5"/>
      <c r="H760" s="5"/>
      <c r="I760" s="5"/>
      <c r="J760" s="5"/>
      <c r="K760" s="5"/>
    </row>
    <row r="761" spans="1:11" ht="15.75" customHeight="1" x14ac:dyDescent="0.35">
      <c r="A761" s="5"/>
      <c r="B761" s="5"/>
      <c r="C761" s="6"/>
      <c r="D761" s="5"/>
      <c r="E761" s="5"/>
      <c r="F761" s="5"/>
      <c r="G761" s="5"/>
      <c r="H761" s="5"/>
      <c r="I761" s="5"/>
      <c r="J761" s="5"/>
      <c r="K761" s="5"/>
    </row>
    <row r="762" spans="1:11" ht="15.75" customHeight="1" x14ac:dyDescent="0.35">
      <c r="A762" s="5"/>
      <c r="B762" s="5"/>
      <c r="C762" s="6"/>
      <c r="D762" s="5"/>
      <c r="E762" s="5"/>
      <c r="F762" s="5"/>
      <c r="G762" s="5"/>
      <c r="H762" s="5"/>
      <c r="I762" s="5"/>
      <c r="J762" s="5"/>
      <c r="K762" s="5"/>
    </row>
    <row r="763" spans="1:11" ht="15.75" customHeight="1" x14ac:dyDescent="0.35">
      <c r="A763" s="5"/>
      <c r="B763" s="5"/>
      <c r="C763" s="6"/>
      <c r="D763" s="5"/>
      <c r="E763" s="5"/>
      <c r="F763" s="5"/>
      <c r="G763" s="5"/>
      <c r="H763" s="5"/>
      <c r="I763" s="5"/>
      <c r="J763" s="5"/>
      <c r="K763" s="5"/>
    </row>
    <row r="764" spans="1:11" ht="15.75" customHeight="1" x14ac:dyDescent="0.35">
      <c r="A764" s="5"/>
      <c r="B764" s="5"/>
      <c r="C764" s="6"/>
      <c r="D764" s="5"/>
      <c r="E764" s="5"/>
      <c r="F764" s="5"/>
      <c r="G764" s="5"/>
      <c r="H764" s="5"/>
      <c r="I764" s="5"/>
      <c r="J764" s="5"/>
      <c r="K764" s="5"/>
    </row>
    <row r="765" spans="1:11" ht="15.75" customHeight="1" x14ac:dyDescent="0.35">
      <c r="A765" s="5"/>
      <c r="B765" s="5"/>
      <c r="C765" s="6"/>
      <c r="D765" s="5"/>
      <c r="E765" s="5"/>
      <c r="F765" s="5"/>
      <c r="G765" s="5"/>
      <c r="H765" s="5"/>
      <c r="I765" s="5"/>
      <c r="J765" s="5"/>
      <c r="K765" s="5"/>
    </row>
    <row r="766" spans="1:11" ht="15.75" customHeight="1" x14ac:dyDescent="0.35">
      <c r="A766" s="5"/>
      <c r="B766" s="5"/>
      <c r="C766" s="6"/>
      <c r="D766" s="5"/>
      <c r="E766" s="5"/>
      <c r="F766" s="5"/>
      <c r="G766" s="5"/>
      <c r="H766" s="5"/>
      <c r="I766" s="5"/>
      <c r="J766" s="5"/>
      <c r="K766" s="5"/>
    </row>
    <row r="767" spans="1:11" ht="15.75" customHeight="1" x14ac:dyDescent="0.35">
      <c r="A767" s="5"/>
      <c r="B767" s="5"/>
      <c r="C767" s="6"/>
      <c r="D767" s="5"/>
      <c r="E767" s="5"/>
      <c r="F767" s="5"/>
      <c r="G767" s="5"/>
      <c r="H767" s="5"/>
      <c r="I767" s="5"/>
      <c r="J767" s="5"/>
      <c r="K767" s="5"/>
    </row>
    <row r="768" spans="1:11" ht="15.75" customHeight="1" x14ac:dyDescent="0.35">
      <c r="A768" s="5"/>
      <c r="B768" s="5"/>
      <c r="C768" s="6"/>
      <c r="D768" s="5"/>
      <c r="E768" s="5"/>
      <c r="F768" s="5"/>
      <c r="G768" s="5"/>
      <c r="H768" s="5"/>
      <c r="I768" s="5"/>
      <c r="J768" s="5"/>
      <c r="K768" s="5"/>
    </row>
    <row r="769" spans="1:11" ht="15.75" customHeight="1" x14ac:dyDescent="0.35">
      <c r="A769" s="5"/>
      <c r="B769" s="5"/>
      <c r="C769" s="6"/>
      <c r="D769" s="5"/>
      <c r="E769" s="5"/>
      <c r="F769" s="5"/>
      <c r="G769" s="5"/>
      <c r="H769" s="5"/>
      <c r="I769" s="5"/>
      <c r="J769" s="5"/>
      <c r="K769" s="5"/>
    </row>
    <row r="770" spans="1:11" ht="15.75" customHeight="1" x14ac:dyDescent="0.35">
      <c r="A770" s="5"/>
      <c r="B770" s="5"/>
      <c r="C770" s="6"/>
      <c r="D770" s="5"/>
      <c r="E770" s="5"/>
      <c r="F770" s="5"/>
      <c r="G770" s="5"/>
      <c r="H770" s="5"/>
      <c r="I770" s="5"/>
      <c r="J770" s="5"/>
      <c r="K770" s="5"/>
    </row>
    <row r="771" spans="1:11" ht="15.75" customHeight="1" x14ac:dyDescent="0.35">
      <c r="A771" s="5"/>
      <c r="B771" s="5"/>
      <c r="C771" s="6"/>
      <c r="D771" s="5"/>
      <c r="E771" s="5"/>
      <c r="F771" s="5"/>
      <c r="G771" s="5"/>
      <c r="H771" s="5"/>
      <c r="I771" s="5"/>
      <c r="J771" s="5"/>
      <c r="K771" s="5"/>
    </row>
    <row r="772" spans="1:11" ht="15.75" customHeight="1" x14ac:dyDescent="0.35">
      <c r="A772" s="5"/>
      <c r="B772" s="5"/>
      <c r="C772" s="6"/>
      <c r="D772" s="5"/>
      <c r="E772" s="5"/>
      <c r="F772" s="5"/>
      <c r="G772" s="5"/>
      <c r="H772" s="5"/>
      <c r="I772" s="5"/>
      <c r="J772" s="5"/>
      <c r="K772" s="5"/>
    </row>
    <row r="773" spans="1:11" ht="15.75" customHeight="1" x14ac:dyDescent="0.35">
      <c r="A773" s="5"/>
      <c r="B773" s="5"/>
      <c r="C773" s="6"/>
      <c r="D773" s="5"/>
      <c r="E773" s="5"/>
      <c r="F773" s="5"/>
      <c r="G773" s="5"/>
      <c r="H773" s="5"/>
      <c r="I773" s="5"/>
      <c r="J773" s="5"/>
      <c r="K773" s="5"/>
    </row>
    <row r="774" spans="1:11" ht="15.75" customHeight="1" x14ac:dyDescent="0.35">
      <c r="A774" s="5"/>
      <c r="B774" s="5"/>
      <c r="C774" s="6"/>
      <c r="D774" s="5"/>
      <c r="E774" s="5"/>
      <c r="F774" s="5"/>
      <c r="G774" s="5"/>
      <c r="H774" s="5"/>
      <c r="I774" s="5"/>
      <c r="J774" s="5"/>
      <c r="K774" s="5"/>
    </row>
    <row r="775" spans="1:11" ht="15.75" customHeight="1" x14ac:dyDescent="0.35">
      <c r="A775" s="5"/>
      <c r="B775" s="5"/>
      <c r="C775" s="6"/>
      <c r="D775" s="5"/>
      <c r="E775" s="5"/>
      <c r="F775" s="5"/>
      <c r="G775" s="5"/>
      <c r="H775" s="5"/>
      <c r="I775" s="5"/>
      <c r="J775" s="5"/>
      <c r="K775" s="5"/>
    </row>
    <row r="776" spans="1:11" ht="15.75" customHeight="1" x14ac:dyDescent="0.35">
      <c r="A776" s="5"/>
      <c r="B776" s="5"/>
      <c r="C776" s="6"/>
      <c r="D776" s="5"/>
      <c r="E776" s="5"/>
      <c r="F776" s="5"/>
      <c r="G776" s="5"/>
      <c r="H776" s="5"/>
      <c r="I776" s="5"/>
      <c r="J776" s="5"/>
      <c r="K776" s="5"/>
    </row>
    <row r="777" spans="1:11" ht="15.75" customHeight="1" x14ac:dyDescent="0.35">
      <c r="A777" s="5"/>
      <c r="B777" s="5"/>
      <c r="C777" s="6"/>
      <c r="D777" s="5"/>
      <c r="E777" s="5"/>
      <c r="F777" s="5"/>
      <c r="G777" s="5"/>
      <c r="H777" s="5"/>
      <c r="I777" s="5"/>
      <c r="J777" s="5"/>
      <c r="K777" s="5"/>
    </row>
    <row r="778" spans="1:11" ht="15.75" customHeight="1" x14ac:dyDescent="0.35">
      <c r="A778" s="5"/>
      <c r="B778" s="5"/>
      <c r="C778" s="6"/>
      <c r="D778" s="5"/>
      <c r="E778" s="5"/>
      <c r="F778" s="5"/>
      <c r="G778" s="5"/>
      <c r="H778" s="5"/>
      <c r="I778" s="5"/>
      <c r="J778" s="5"/>
      <c r="K778" s="5"/>
    </row>
    <row r="779" spans="1:11" ht="15.75" customHeight="1" x14ac:dyDescent="0.35">
      <c r="A779" s="5"/>
      <c r="B779" s="5"/>
      <c r="C779" s="6"/>
      <c r="D779" s="5"/>
      <c r="E779" s="5"/>
      <c r="F779" s="5"/>
      <c r="G779" s="5"/>
      <c r="H779" s="5"/>
      <c r="I779" s="5"/>
      <c r="J779" s="5"/>
      <c r="K779" s="5"/>
    </row>
    <row r="780" spans="1:11" ht="15.75" customHeight="1" x14ac:dyDescent="0.35">
      <c r="A780" s="5"/>
      <c r="B780" s="5"/>
      <c r="C780" s="6"/>
      <c r="D780" s="5"/>
      <c r="E780" s="5"/>
      <c r="F780" s="5"/>
      <c r="G780" s="5"/>
      <c r="H780" s="5"/>
      <c r="I780" s="5"/>
      <c r="J780" s="5"/>
      <c r="K780" s="5"/>
    </row>
    <row r="781" spans="1:11" ht="15.75" customHeight="1" x14ac:dyDescent="0.35">
      <c r="A781" s="5"/>
      <c r="B781" s="5"/>
      <c r="C781" s="6"/>
      <c r="D781" s="5"/>
      <c r="E781" s="5"/>
      <c r="F781" s="5"/>
      <c r="G781" s="5"/>
      <c r="H781" s="5"/>
      <c r="I781" s="5"/>
      <c r="J781" s="5"/>
      <c r="K781" s="5"/>
    </row>
    <row r="782" spans="1:11" ht="15.75" customHeight="1" x14ac:dyDescent="0.35">
      <c r="A782" s="5"/>
      <c r="B782" s="5"/>
      <c r="C782" s="6"/>
      <c r="D782" s="5"/>
      <c r="E782" s="5"/>
      <c r="F782" s="5"/>
      <c r="G782" s="5"/>
      <c r="H782" s="5"/>
      <c r="I782" s="5"/>
      <c r="J782" s="5"/>
      <c r="K782" s="5"/>
    </row>
    <row r="783" spans="1:11" ht="15.75" customHeight="1" x14ac:dyDescent="0.35">
      <c r="A783" s="5"/>
      <c r="B783" s="5"/>
      <c r="C783" s="6"/>
      <c r="D783" s="5"/>
      <c r="E783" s="5"/>
      <c r="F783" s="5"/>
      <c r="G783" s="5"/>
      <c r="H783" s="5"/>
      <c r="I783" s="5"/>
      <c r="J783" s="5"/>
      <c r="K783" s="5"/>
    </row>
    <row r="784" spans="1:11" ht="15.75" customHeight="1" x14ac:dyDescent="0.35">
      <c r="A784" s="5"/>
      <c r="B784" s="5"/>
      <c r="C784" s="6"/>
      <c r="D784" s="5"/>
      <c r="E784" s="5"/>
      <c r="F784" s="5"/>
      <c r="G784" s="5"/>
      <c r="H784" s="5"/>
      <c r="I784" s="5"/>
      <c r="J784" s="5"/>
      <c r="K784" s="5"/>
    </row>
    <row r="785" spans="1:11" ht="15.75" customHeight="1" x14ac:dyDescent="0.35">
      <c r="A785" s="5"/>
      <c r="B785" s="5"/>
      <c r="C785" s="6"/>
      <c r="D785" s="5"/>
      <c r="E785" s="5"/>
      <c r="F785" s="5"/>
      <c r="G785" s="5"/>
      <c r="H785" s="5"/>
      <c r="I785" s="5"/>
      <c r="J785" s="5"/>
      <c r="K785" s="5"/>
    </row>
    <row r="786" spans="1:11" ht="15.75" customHeight="1" x14ac:dyDescent="0.35">
      <c r="A786" s="5"/>
      <c r="B786" s="5"/>
      <c r="C786" s="6"/>
      <c r="D786" s="5"/>
      <c r="E786" s="5"/>
      <c r="F786" s="5"/>
      <c r="G786" s="5"/>
      <c r="H786" s="5"/>
      <c r="I786" s="5"/>
      <c r="J786" s="5"/>
      <c r="K786" s="5"/>
    </row>
    <row r="787" spans="1:11" ht="15.75" customHeight="1" x14ac:dyDescent="0.35">
      <c r="A787" s="5"/>
      <c r="B787" s="5"/>
      <c r="C787" s="6"/>
      <c r="D787" s="5"/>
      <c r="E787" s="5"/>
      <c r="F787" s="5"/>
      <c r="G787" s="5"/>
      <c r="H787" s="5"/>
      <c r="I787" s="5"/>
      <c r="J787" s="5"/>
      <c r="K787" s="5"/>
    </row>
    <row r="788" spans="1:11" ht="15.75" customHeight="1" x14ac:dyDescent="0.35">
      <c r="A788" s="5"/>
      <c r="B788" s="5"/>
      <c r="C788" s="6"/>
      <c r="D788" s="5"/>
      <c r="E788" s="5"/>
      <c r="F788" s="5"/>
      <c r="G788" s="5"/>
      <c r="H788" s="5"/>
      <c r="I788" s="5"/>
      <c r="J788" s="5"/>
      <c r="K788" s="5"/>
    </row>
    <row r="789" spans="1:11" ht="15.75" customHeight="1" x14ac:dyDescent="0.35">
      <c r="A789" s="5"/>
      <c r="B789" s="5"/>
      <c r="C789" s="6"/>
      <c r="D789" s="5"/>
      <c r="E789" s="5"/>
      <c r="F789" s="5"/>
      <c r="G789" s="5"/>
      <c r="H789" s="5"/>
      <c r="I789" s="5"/>
      <c r="J789" s="5"/>
      <c r="K789" s="5"/>
    </row>
    <row r="790" spans="1:11" ht="15.75" customHeight="1" x14ac:dyDescent="0.35">
      <c r="A790" s="5"/>
      <c r="B790" s="5"/>
      <c r="C790" s="6"/>
      <c r="D790" s="5"/>
      <c r="E790" s="5"/>
      <c r="F790" s="5"/>
      <c r="G790" s="5"/>
      <c r="H790" s="5"/>
      <c r="I790" s="5"/>
      <c r="J790" s="5"/>
      <c r="K790" s="5"/>
    </row>
    <row r="791" spans="1:11" ht="15.75" customHeight="1" x14ac:dyDescent="0.35">
      <c r="A791" s="5"/>
      <c r="B791" s="5"/>
      <c r="C791" s="6"/>
      <c r="D791" s="5"/>
      <c r="E791" s="5"/>
      <c r="F791" s="5"/>
      <c r="G791" s="5"/>
      <c r="H791" s="5"/>
      <c r="I791" s="5"/>
      <c r="J791" s="5"/>
      <c r="K791" s="5"/>
    </row>
    <row r="792" spans="1:11" ht="15.75" customHeight="1" x14ac:dyDescent="0.35">
      <c r="A792" s="5"/>
      <c r="B792" s="5"/>
      <c r="C792" s="6"/>
      <c r="D792" s="5"/>
      <c r="E792" s="5"/>
      <c r="F792" s="5"/>
      <c r="G792" s="5"/>
      <c r="H792" s="5"/>
      <c r="I792" s="5"/>
      <c r="J792" s="5"/>
      <c r="K792" s="5"/>
    </row>
    <row r="793" spans="1:11" ht="15.75" customHeight="1" x14ac:dyDescent="0.35">
      <c r="A793" s="5"/>
      <c r="B793" s="5"/>
      <c r="C793" s="6"/>
      <c r="D793" s="5"/>
      <c r="E793" s="5"/>
      <c r="F793" s="5"/>
      <c r="G793" s="5"/>
      <c r="H793" s="5"/>
      <c r="I793" s="5"/>
      <c r="J793" s="5"/>
      <c r="K793" s="5"/>
    </row>
    <row r="794" spans="1:11" ht="15.75" customHeight="1" x14ac:dyDescent="0.35">
      <c r="A794" s="5"/>
      <c r="B794" s="5"/>
      <c r="C794" s="6"/>
      <c r="D794" s="5"/>
      <c r="E794" s="5"/>
      <c r="F794" s="5"/>
      <c r="G794" s="5"/>
      <c r="H794" s="5"/>
      <c r="I794" s="5"/>
      <c r="J794" s="5"/>
      <c r="K794" s="5"/>
    </row>
    <row r="795" spans="1:11" ht="15.75" customHeight="1" x14ac:dyDescent="0.35">
      <c r="A795" s="5"/>
      <c r="B795" s="5"/>
      <c r="C795" s="6"/>
      <c r="D795" s="5"/>
      <c r="E795" s="5"/>
      <c r="F795" s="5"/>
      <c r="G795" s="5"/>
      <c r="H795" s="5"/>
      <c r="I795" s="5"/>
      <c r="J795" s="5"/>
      <c r="K795" s="5"/>
    </row>
    <row r="796" spans="1:11" ht="15.75" customHeight="1" x14ac:dyDescent="0.35">
      <c r="A796" s="5"/>
      <c r="B796" s="5"/>
      <c r="C796" s="6"/>
      <c r="D796" s="5"/>
      <c r="E796" s="5"/>
      <c r="F796" s="5"/>
      <c r="G796" s="5"/>
      <c r="H796" s="5"/>
      <c r="I796" s="5"/>
      <c r="J796" s="5"/>
      <c r="K796" s="5"/>
    </row>
    <row r="797" spans="1:11" ht="15.75" customHeight="1" x14ac:dyDescent="0.35">
      <c r="A797" s="5"/>
      <c r="B797" s="5"/>
      <c r="C797" s="6"/>
      <c r="D797" s="5"/>
      <c r="E797" s="5"/>
      <c r="F797" s="5"/>
      <c r="G797" s="5"/>
      <c r="H797" s="5"/>
      <c r="I797" s="5"/>
      <c r="J797" s="5"/>
      <c r="K797" s="5"/>
    </row>
    <row r="798" spans="1:11" ht="15.75" customHeight="1" x14ac:dyDescent="0.35">
      <c r="A798" s="5"/>
      <c r="B798" s="5"/>
      <c r="C798" s="6"/>
      <c r="D798" s="5"/>
      <c r="E798" s="5"/>
      <c r="F798" s="5"/>
      <c r="G798" s="5"/>
      <c r="H798" s="5"/>
      <c r="I798" s="5"/>
      <c r="J798" s="5"/>
      <c r="K798" s="5"/>
    </row>
    <row r="799" spans="1:11" ht="15.75" customHeight="1" x14ac:dyDescent="0.35">
      <c r="A799" s="5"/>
      <c r="B799" s="5"/>
      <c r="C799" s="6"/>
      <c r="D799" s="5"/>
      <c r="E799" s="5"/>
      <c r="F799" s="5"/>
      <c r="G799" s="5"/>
      <c r="H799" s="5"/>
      <c r="I799" s="5"/>
      <c r="J799" s="5"/>
      <c r="K799" s="5"/>
    </row>
    <row r="800" spans="1:11" ht="15.75" customHeight="1" x14ac:dyDescent="0.35">
      <c r="A800" s="5"/>
      <c r="B800" s="5"/>
      <c r="C800" s="6"/>
      <c r="D800" s="5"/>
      <c r="E800" s="5"/>
      <c r="F800" s="5"/>
      <c r="G800" s="5"/>
      <c r="H800" s="5"/>
      <c r="I800" s="5"/>
      <c r="J800" s="5"/>
      <c r="K800" s="5"/>
    </row>
    <row r="801" spans="1:11" ht="15.75" customHeight="1" x14ac:dyDescent="0.35">
      <c r="A801" s="5"/>
      <c r="B801" s="5"/>
      <c r="C801" s="6"/>
      <c r="D801" s="5"/>
      <c r="E801" s="5"/>
      <c r="F801" s="5"/>
      <c r="G801" s="5"/>
      <c r="H801" s="5"/>
      <c r="I801" s="5"/>
      <c r="J801" s="5"/>
      <c r="K801" s="5"/>
    </row>
    <row r="802" spans="1:11" ht="15.75" customHeight="1" x14ac:dyDescent="0.35">
      <c r="A802" s="5"/>
      <c r="B802" s="5"/>
      <c r="C802" s="6"/>
      <c r="D802" s="5"/>
      <c r="E802" s="5"/>
      <c r="F802" s="5"/>
      <c r="G802" s="5"/>
      <c r="H802" s="5"/>
      <c r="I802" s="5"/>
      <c r="J802" s="5"/>
      <c r="K802" s="5"/>
    </row>
    <row r="803" spans="1:11" ht="15.75" customHeight="1" x14ac:dyDescent="0.35">
      <c r="A803" s="5"/>
      <c r="B803" s="5"/>
      <c r="C803" s="6"/>
      <c r="D803" s="5"/>
      <c r="E803" s="5"/>
      <c r="F803" s="5"/>
      <c r="G803" s="5"/>
      <c r="H803" s="5"/>
      <c r="I803" s="5"/>
      <c r="J803" s="5"/>
      <c r="K803" s="5"/>
    </row>
    <row r="804" spans="1:11" ht="15.75" customHeight="1" x14ac:dyDescent="0.35">
      <c r="A804" s="5"/>
      <c r="B804" s="5"/>
      <c r="C804" s="6"/>
      <c r="D804" s="5"/>
      <c r="E804" s="5"/>
      <c r="F804" s="5"/>
      <c r="G804" s="5"/>
      <c r="H804" s="5"/>
      <c r="I804" s="5"/>
      <c r="J804" s="5"/>
      <c r="K804" s="5"/>
    </row>
    <row r="805" spans="1:11" ht="15.75" customHeight="1" x14ac:dyDescent="0.35">
      <c r="A805" s="5"/>
      <c r="B805" s="5"/>
      <c r="C805" s="6"/>
      <c r="D805" s="5"/>
      <c r="E805" s="5"/>
      <c r="F805" s="5"/>
      <c r="G805" s="5"/>
      <c r="H805" s="5"/>
      <c r="I805" s="5"/>
      <c r="J805" s="5"/>
      <c r="K805" s="5"/>
    </row>
    <row r="806" spans="1:11" ht="15.75" customHeight="1" x14ac:dyDescent="0.35">
      <c r="A806" s="5"/>
      <c r="B806" s="5"/>
      <c r="C806" s="6"/>
      <c r="D806" s="5"/>
      <c r="E806" s="5"/>
      <c r="F806" s="5"/>
      <c r="G806" s="5"/>
      <c r="H806" s="5"/>
      <c r="I806" s="5"/>
      <c r="J806" s="5"/>
      <c r="K806" s="5"/>
    </row>
    <row r="807" spans="1:11" ht="15.75" customHeight="1" x14ac:dyDescent="0.35">
      <c r="A807" s="5"/>
      <c r="B807" s="5"/>
      <c r="C807" s="6"/>
      <c r="D807" s="5"/>
      <c r="E807" s="5"/>
      <c r="F807" s="5"/>
      <c r="G807" s="5"/>
      <c r="H807" s="5"/>
      <c r="I807" s="5"/>
      <c r="J807" s="5"/>
      <c r="K807" s="5"/>
    </row>
    <row r="808" spans="1:11" ht="15.75" customHeight="1" x14ac:dyDescent="0.35">
      <c r="A808" s="5"/>
      <c r="B808" s="5"/>
      <c r="C808" s="6"/>
      <c r="D808" s="5"/>
      <c r="E808" s="5"/>
      <c r="F808" s="5"/>
      <c r="G808" s="5"/>
      <c r="H808" s="5"/>
      <c r="I808" s="5"/>
      <c r="J808" s="5"/>
      <c r="K808" s="5"/>
    </row>
    <row r="809" spans="1:11" ht="15.75" customHeight="1" x14ac:dyDescent="0.35">
      <c r="A809" s="5"/>
      <c r="B809" s="5"/>
      <c r="C809" s="6"/>
      <c r="D809" s="5"/>
      <c r="E809" s="5"/>
      <c r="F809" s="5"/>
      <c r="G809" s="5"/>
      <c r="H809" s="5"/>
      <c r="I809" s="5"/>
      <c r="J809" s="5"/>
      <c r="K809" s="5"/>
    </row>
    <row r="810" spans="1:11" ht="15.75" customHeight="1" x14ac:dyDescent="0.35">
      <c r="A810" s="5"/>
      <c r="B810" s="5"/>
      <c r="C810" s="6"/>
      <c r="D810" s="5"/>
      <c r="E810" s="5"/>
      <c r="F810" s="5"/>
      <c r="G810" s="5"/>
      <c r="H810" s="5"/>
      <c r="I810" s="5"/>
      <c r="J810" s="5"/>
      <c r="K810" s="5"/>
    </row>
    <row r="811" spans="1:11" ht="15.75" customHeight="1" x14ac:dyDescent="0.35">
      <c r="A811" s="5"/>
      <c r="B811" s="5"/>
      <c r="C811" s="6"/>
      <c r="D811" s="5"/>
      <c r="E811" s="5"/>
      <c r="F811" s="5"/>
      <c r="G811" s="5"/>
      <c r="H811" s="5"/>
      <c r="I811" s="5"/>
      <c r="J811" s="5"/>
      <c r="K811" s="5"/>
    </row>
    <row r="812" spans="1:11" ht="15.75" customHeight="1" x14ac:dyDescent="0.35">
      <c r="A812" s="5"/>
      <c r="B812" s="5"/>
      <c r="C812" s="6"/>
      <c r="D812" s="5"/>
      <c r="E812" s="5"/>
      <c r="F812" s="5"/>
      <c r="G812" s="5"/>
      <c r="H812" s="5"/>
      <c r="I812" s="5"/>
      <c r="J812" s="5"/>
      <c r="K812" s="5"/>
    </row>
    <row r="813" spans="1:11" ht="15.75" customHeight="1" x14ac:dyDescent="0.35">
      <c r="A813" s="5"/>
      <c r="B813" s="5"/>
      <c r="C813" s="6"/>
      <c r="D813" s="5"/>
      <c r="E813" s="5"/>
      <c r="F813" s="5"/>
      <c r="G813" s="5"/>
      <c r="H813" s="5"/>
      <c r="I813" s="5"/>
      <c r="J813" s="5"/>
      <c r="K813" s="5"/>
    </row>
    <row r="814" spans="1:11" ht="15.75" customHeight="1" x14ac:dyDescent="0.35">
      <c r="A814" s="5"/>
      <c r="B814" s="5"/>
      <c r="C814" s="6"/>
      <c r="D814" s="5"/>
      <c r="E814" s="5"/>
      <c r="F814" s="5"/>
      <c r="G814" s="5"/>
      <c r="H814" s="5"/>
      <c r="I814" s="5"/>
      <c r="J814" s="5"/>
      <c r="K814" s="5"/>
    </row>
    <row r="815" spans="1:11" ht="15.75" customHeight="1" x14ac:dyDescent="0.35">
      <c r="A815" s="5"/>
      <c r="B815" s="5"/>
      <c r="C815" s="6"/>
      <c r="D815" s="5"/>
      <c r="E815" s="5"/>
      <c r="F815" s="5"/>
      <c r="G815" s="5"/>
      <c r="H815" s="5"/>
      <c r="I815" s="5"/>
      <c r="J815" s="5"/>
      <c r="K815" s="5"/>
    </row>
    <row r="816" spans="1:11" ht="15.75" customHeight="1" x14ac:dyDescent="0.35">
      <c r="A816" s="5"/>
      <c r="B816" s="5"/>
      <c r="C816" s="6"/>
      <c r="D816" s="5"/>
      <c r="E816" s="5"/>
      <c r="F816" s="5"/>
      <c r="G816" s="5"/>
      <c r="H816" s="5"/>
      <c r="I816" s="5"/>
      <c r="J816" s="5"/>
      <c r="K816" s="5"/>
    </row>
    <row r="817" spans="1:11" ht="15.75" customHeight="1" x14ac:dyDescent="0.35">
      <c r="A817" s="5"/>
      <c r="B817" s="5"/>
      <c r="C817" s="6"/>
      <c r="D817" s="5"/>
      <c r="E817" s="5"/>
      <c r="F817" s="5"/>
      <c r="G817" s="5"/>
      <c r="H817" s="5"/>
      <c r="I817" s="5"/>
      <c r="J817" s="5"/>
      <c r="K817" s="5"/>
    </row>
    <row r="818" spans="1:11" ht="15.75" customHeight="1" x14ac:dyDescent="0.35">
      <c r="A818" s="5"/>
      <c r="B818" s="5"/>
      <c r="C818" s="6"/>
      <c r="D818" s="5"/>
      <c r="E818" s="5"/>
      <c r="F818" s="5"/>
      <c r="G818" s="5"/>
      <c r="H818" s="5"/>
      <c r="I818" s="5"/>
      <c r="J818" s="5"/>
      <c r="K818" s="5"/>
    </row>
    <row r="819" spans="1:11" ht="15.75" customHeight="1" x14ac:dyDescent="0.35">
      <c r="A819" s="5"/>
      <c r="B819" s="5"/>
      <c r="C819" s="6"/>
      <c r="D819" s="5"/>
      <c r="E819" s="5"/>
      <c r="F819" s="5"/>
      <c r="G819" s="5"/>
      <c r="H819" s="5"/>
      <c r="I819" s="5"/>
      <c r="J819" s="5"/>
      <c r="K819" s="5"/>
    </row>
    <row r="820" spans="1:11" ht="15.75" customHeight="1" x14ac:dyDescent="0.35">
      <c r="A820" s="5"/>
      <c r="B820" s="5"/>
      <c r="C820" s="6"/>
      <c r="D820" s="5"/>
      <c r="E820" s="5"/>
      <c r="F820" s="5"/>
      <c r="G820" s="5"/>
      <c r="H820" s="5"/>
      <c r="I820" s="5"/>
      <c r="J820" s="5"/>
      <c r="K820" s="5"/>
    </row>
    <row r="821" spans="1:11" ht="15.75" customHeight="1" x14ac:dyDescent="0.35">
      <c r="A821" s="5"/>
      <c r="B821" s="5"/>
      <c r="C821" s="6"/>
      <c r="D821" s="5"/>
      <c r="E821" s="5"/>
      <c r="F821" s="5"/>
      <c r="G821" s="5"/>
      <c r="H821" s="5"/>
      <c r="I821" s="5"/>
      <c r="J821" s="5"/>
      <c r="K821" s="5"/>
    </row>
    <row r="822" spans="1:11" ht="15.75" customHeight="1" x14ac:dyDescent="0.35">
      <c r="A822" s="5"/>
      <c r="B822" s="5"/>
      <c r="C822" s="6"/>
      <c r="D822" s="5"/>
      <c r="E822" s="5"/>
      <c r="F822" s="5"/>
      <c r="G822" s="5"/>
      <c r="H822" s="5"/>
      <c r="I822" s="5"/>
      <c r="J822" s="5"/>
      <c r="K822" s="5"/>
    </row>
    <row r="823" spans="1:11" ht="15.75" customHeight="1" x14ac:dyDescent="0.35">
      <c r="A823" s="5"/>
      <c r="B823" s="5"/>
      <c r="C823" s="6"/>
      <c r="D823" s="5"/>
      <c r="E823" s="5"/>
      <c r="F823" s="5"/>
      <c r="G823" s="5"/>
      <c r="H823" s="5"/>
      <c r="I823" s="5"/>
      <c r="J823" s="5"/>
      <c r="K823" s="5"/>
    </row>
    <row r="824" spans="1:11" ht="15.75" customHeight="1" x14ac:dyDescent="0.35">
      <c r="A824" s="5"/>
      <c r="B824" s="5"/>
      <c r="C824" s="6"/>
      <c r="D824" s="5"/>
      <c r="E824" s="5"/>
      <c r="F824" s="5"/>
      <c r="G824" s="5"/>
      <c r="H824" s="5"/>
      <c r="I824" s="5"/>
      <c r="J824" s="5"/>
      <c r="K824" s="5"/>
    </row>
    <row r="825" spans="1:11" ht="15.75" customHeight="1" x14ac:dyDescent="0.35">
      <c r="A825" s="5"/>
      <c r="B825" s="5"/>
      <c r="C825" s="6"/>
      <c r="D825" s="5"/>
      <c r="E825" s="5"/>
      <c r="F825" s="5"/>
      <c r="G825" s="5"/>
      <c r="H825" s="5"/>
      <c r="I825" s="5"/>
      <c r="J825" s="5"/>
      <c r="K825" s="5"/>
    </row>
    <row r="826" spans="1:11" ht="15.75" customHeight="1" x14ac:dyDescent="0.35">
      <c r="A826" s="5"/>
      <c r="B826" s="5"/>
      <c r="C826" s="6"/>
      <c r="D826" s="5"/>
      <c r="E826" s="5"/>
      <c r="F826" s="5"/>
      <c r="G826" s="5"/>
      <c r="H826" s="5"/>
      <c r="I826" s="5"/>
      <c r="J826" s="5"/>
      <c r="K826" s="5"/>
    </row>
    <row r="827" spans="1:11" ht="15.75" customHeight="1" x14ac:dyDescent="0.35">
      <c r="A827" s="5"/>
      <c r="B827" s="5"/>
      <c r="C827" s="6"/>
      <c r="D827" s="5"/>
      <c r="E827" s="5"/>
      <c r="F827" s="5"/>
      <c r="G827" s="5"/>
      <c r="H827" s="5"/>
      <c r="I827" s="5"/>
      <c r="J827" s="5"/>
      <c r="K827" s="5"/>
    </row>
    <row r="828" spans="1:11" ht="15.75" customHeight="1" x14ac:dyDescent="0.35">
      <c r="A828" s="5"/>
      <c r="B828" s="5"/>
      <c r="C828" s="6"/>
      <c r="D828" s="5"/>
      <c r="E828" s="5"/>
      <c r="F828" s="5"/>
      <c r="G828" s="5"/>
      <c r="H828" s="5"/>
      <c r="I828" s="5"/>
      <c r="J828" s="5"/>
      <c r="K828" s="5"/>
    </row>
    <row r="829" spans="1:11" ht="15.75" customHeight="1" x14ac:dyDescent="0.35">
      <c r="A829" s="5"/>
      <c r="B829" s="5"/>
      <c r="C829" s="6"/>
      <c r="D829" s="5"/>
      <c r="E829" s="5"/>
      <c r="F829" s="5"/>
      <c r="G829" s="5"/>
      <c r="H829" s="5"/>
      <c r="I829" s="5"/>
      <c r="J829" s="5"/>
      <c r="K829" s="5"/>
    </row>
    <row r="830" spans="1:11" ht="15.75" customHeight="1" x14ac:dyDescent="0.35">
      <c r="A830" s="5"/>
      <c r="B830" s="5"/>
      <c r="C830" s="6"/>
      <c r="D830" s="5"/>
      <c r="E830" s="5"/>
      <c r="F830" s="5"/>
      <c r="G830" s="5"/>
      <c r="H830" s="5"/>
      <c r="I830" s="5"/>
      <c r="J830" s="5"/>
      <c r="K830" s="5"/>
    </row>
    <row r="831" spans="1:11" ht="15.75" customHeight="1" x14ac:dyDescent="0.35">
      <c r="A831" s="5"/>
      <c r="B831" s="5"/>
      <c r="C831" s="6"/>
      <c r="D831" s="5"/>
      <c r="E831" s="5"/>
      <c r="F831" s="5"/>
      <c r="G831" s="5"/>
      <c r="H831" s="5"/>
      <c r="I831" s="5"/>
      <c r="J831" s="5"/>
      <c r="K831" s="5"/>
    </row>
    <row r="832" spans="1:11" ht="15.75" customHeight="1" x14ac:dyDescent="0.35">
      <c r="A832" s="5"/>
      <c r="B832" s="5"/>
      <c r="C832" s="6"/>
      <c r="D832" s="5"/>
      <c r="E832" s="5"/>
      <c r="F832" s="5"/>
      <c r="G832" s="5"/>
      <c r="H832" s="5"/>
      <c r="I832" s="5"/>
      <c r="J832" s="5"/>
      <c r="K832" s="5"/>
    </row>
    <row r="833" spans="1:11" ht="15.75" customHeight="1" x14ac:dyDescent="0.35">
      <c r="A833" s="5"/>
      <c r="B833" s="5"/>
      <c r="C833" s="6"/>
      <c r="D833" s="5"/>
      <c r="E833" s="5"/>
      <c r="F833" s="5"/>
      <c r="G833" s="5"/>
      <c r="H833" s="5"/>
      <c r="I833" s="5"/>
      <c r="J833" s="5"/>
      <c r="K833" s="5"/>
    </row>
    <row r="834" spans="1:11" ht="15.75" customHeight="1" x14ac:dyDescent="0.35">
      <c r="A834" s="5"/>
      <c r="B834" s="5"/>
      <c r="C834" s="6"/>
      <c r="D834" s="5"/>
      <c r="E834" s="5"/>
      <c r="F834" s="5"/>
      <c r="G834" s="5"/>
      <c r="H834" s="5"/>
      <c r="I834" s="5"/>
      <c r="J834" s="5"/>
      <c r="K834" s="5"/>
    </row>
    <row r="835" spans="1:11" ht="15.75" customHeight="1" x14ac:dyDescent="0.35">
      <c r="A835" s="5"/>
      <c r="B835" s="5"/>
      <c r="C835" s="6"/>
      <c r="D835" s="5"/>
      <c r="E835" s="5"/>
      <c r="F835" s="5"/>
      <c r="G835" s="5"/>
      <c r="H835" s="5"/>
      <c r="I835" s="5"/>
      <c r="J835" s="5"/>
      <c r="K835" s="5"/>
    </row>
    <row r="836" spans="1:11" ht="15.75" customHeight="1" x14ac:dyDescent="0.35">
      <c r="A836" s="5"/>
      <c r="B836" s="5"/>
      <c r="C836" s="6"/>
      <c r="D836" s="5"/>
      <c r="E836" s="5"/>
      <c r="F836" s="5"/>
      <c r="G836" s="5"/>
      <c r="H836" s="5"/>
      <c r="I836" s="5"/>
      <c r="J836" s="5"/>
      <c r="K836" s="5"/>
    </row>
    <row r="837" spans="1:11" ht="15.75" customHeight="1" x14ac:dyDescent="0.35">
      <c r="A837" s="5"/>
      <c r="B837" s="5"/>
      <c r="C837" s="6"/>
      <c r="D837" s="5"/>
      <c r="E837" s="5"/>
      <c r="F837" s="5"/>
      <c r="G837" s="5"/>
      <c r="H837" s="5"/>
      <c r="I837" s="5"/>
      <c r="J837" s="5"/>
      <c r="K837" s="5"/>
    </row>
    <row r="838" spans="1:11" ht="15.75" customHeight="1" x14ac:dyDescent="0.35">
      <c r="A838" s="5"/>
      <c r="B838" s="5"/>
      <c r="C838" s="6"/>
      <c r="D838" s="5"/>
      <c r="E838" s="5"/>
      <c r="F838" s="5"/>
      <c r="G838" s="5"/>
      <c r="H838" s="5"/>
      <c r="I838" s="5"/>
      <c r="J838" s="5"/>
      <c r="K838" s="5"/>
    </row>
    <row r="839" spans="1:11" ht="15.75" customHeight="1" x14ac:dyDescent="0.35">
      <c r="A839" s="5"/>
      <c r="B839" s="5"/>
      <c r="C839" s="6"/>
      <c r="D839" s="5"/>
      <c r="E839" s="5"/>
      <c r="F839" s="5"/>
      <c r="G839" s="5"/>
      <c r="H839" s="5"/>
      <c r="I839" s="5"/>
      <c r="J839" s="5"/>
      <c r="K839" s="5"/>
    </row>
    <row r="840" spans="1:11" ht="15.75" customHeight="1" x14ac:dyDescent="0.35">
      <c r="A840" s="5"/>
      <c r="B840" s="5"/>
      <c r="C840" s="6"/>
      <c r="D840" s="5"/>
      <c r="E840" s="5"/>
      <c r="F840" s="5"/>
      <c r="G840" s="5"/>
      <c r="H840" s="5"/>
      <c r="I840" s="5"/>
      <c r="J840" s="5"/>
      <c r="K840" s="5"/>
    </row>
    <row r="841" spans="1:11" ht="15.75" customHeight="1" x14ac:dyDescent="0.35">
      <c r="A841" s="5"/>
      <c r="B841" s="5"/>
      <c r="C841" s="6"/>
      <c r="D841" s="5"/>
      <c r="E841" s="5"/>
      <c r="F841" s="5"/>
      <c r="G841" s="5"/>
      <c r="H841" s="5"/>
      <c r="I841" s="5"/>
      <c r="J841" s="5"/>
      <c r="K841" s="5"/>
    </row>
    <row r="842" spans="1:11" ht="15.75" customHeight="1" x14ac:dyDescent="0.35">
      <c r="A842" s="5"/>
      <c r="B842" s="5"/>
      <c r="C842" s="6"/>
      <c r="D842" s="5"/>
      <c r="E842" s="5"/>
      <c r="F842" s="5"/>
      <c r="G842" s="5"/>
      <c r="H842" s="5"/>
      <c r="I842" s="5"/>
      <c r="J842" s="5"/>
      <c r="K842" s="5"/>
    </row>
    <row r="843" spans="1:11" ht="15.75" customHeight="1" x14ac:dyDescent="0.35">
      <c r="A843" s="5"/>
      <c r="B843" s="5"/>
      <c r="C843" s="6"/>
      <c r="D843" s="5"/>
      <c r="E843" s="5"/>
      <c r="F843" s="5"/>
      <c r="G843" s="5"/>
      <c r="H843" s="5"/>
      <c r="I843" s="5"/>
      <c r="J843" s="5"/>
      <c r="K843" s="5"/>
    </row>
    <row r="844" spans="1:11" ht="15.75" customHeight="1" x14ac:dyDescent="0.35">
      <c r="A844" s="5"/>
      <c r="B844" s="5"/>
      <c r="C844" s="6"/>
      <c r="D844" s="5"/>
      <c r="E844" s="5"/>
      <c r="F844" s="5"/>
      <c r="G844" s="5"/>
      <c r="H844" s="5"/>
      <c r="I844" s="5"/>
      <c r="J844" s="5"/>
      <c r="K844" s="5"/>
    </row>
    <row r="845" spans="1:11" ht="15.75" customHeight="1" x14ac:dyDescent="0.35">
      <c r="A845" s="5"/>
      <c r="B845" s="5"/>
      <c r="C845" s="6"/>
      <c r="D845" s="5"/>
      <c r="E845" s="5"/>
      <c r="F845" s="5"/>
      <c r="G845" s="5"/>
      <c r="H845" s="5"/>
      <c r="I845" s="5"/>
      <c r="J845" s="5"/>
      <c r="K845" s="5"/>
    </row>
    <row r="846" spans="1:11" ht="15.75" customHeight="1" x14ac:dyDescent="0.35">
      <c r="A846" s="5"/>
      <c r="B846" s="5"/>
      <c r="C846" s="6"/>
      <c r="D846" s="5"/>
      <c r="E846" s="5"/>
      <c r="F846" s="5"/>
      <c r="G846" s="5"/>
      <c r="H846" s="5"/>
      <c r="I846" s="5"/>
      <c r="J846" s="5"/>
      <c r="K846" s="5"/>
    </row>
    <row r="847" spans="1:11" ht="15.75" customHeight="1" x14ac:dyDescent="0.35">
      <c r="A847" s="5"/>
      <c r="B847" s="5"/>
      <c r="C847" s="6"/>
      <c r="D847" s="5"/>
      <c r="E847" s="5"/>
      <c r="F847" s="5"/>
      <c r="G847" s="5"/>
      <c r="H847" s="5"/>
      <c r="I847" s="5"/>
      <c r="J847" s="5"/>
      <c r="K847" s="5"/>
    </row>
    <row r="848" spans="1:11" ht="15.75" customHeight="1" x14ac:dyDescent="0.35">
      <c r="A848" s="5"/>
      <c r="B848" s="5"/>
      <c r="C848" s="6"/>
      <c r="D848" s="5"/>
      <c r="E848" s="5"/>
      <c r="F848" s="5"/>
      <c r="G848" s="5"/>
      <c r="H848" s="5"/>
      <c r="I848" s="5"/>
      <c r="J848" s="5"/>
      <c r="K848" s="5"/>
    </row>
    <row r="849" spans="1:11" ht="15.75" customHeight="1" x14ac:dyDescent="0.35">
      <c r="A849" s="5"/>
      <c r="B849" s="5"/>
      <c r="C849" s="6"/>
      <c r="D849" s="5"/>
      <c r="E849" s="5"/>
      <c r="F849" s="5"/>
      <c r="G849" s="5"/>
      <c r="H849" s="5"/>
      <c r="I849" s="5"/>
      <c r="J849" s="5"/>
      <c r="K849" s="5"/>
    </row>
    <row r="850" spans="1:11" ht="15.75" customHeight="1" x14ac:dyDescent="0.35">
      <c r="A850" s="5"/>
      <c r="B850" s="5"/>
      <c r="C850" s="6"/>
      <c r="D850" s="5"/>
      <c r="E850" s="5"/>
      <c r="F850" s="5"/>
      <c r="G850" s="5"/>
      <c r="H850" s="5"/>
      <c r="I850" s="5"/>
      <c r="J850" s="5"/>
      <c r="K850" s="5"/>
    </row>
    <row r="851" spans="1:11" ht="15.75" customHeight="1" x14ac:dyDescent="0.35">
      <c r="A851" s="5"/>
      <c r="B851" s="5"/>
      <c r="C851" s="6"/>
      <c r="D851" s="5"/>
      <c r="E851" s="5"/>
      <c r="F851" s="5"/>
      <c r="G851" s="5"/>
      <c r="H851" s="5"/>
      <c r="I851" s="5"/>
      <c r="J851" s="5"/>
      <c r="K851" s="5"/>
    </row>
    <row r="852" spans="1:11" ht="15.75" customHeight="1" x14ac:dyDescent="0.35">
      <c r="A852" s="5"/>
      <c r="B852" s="5"/>
      <c r="C852" s="6"/>
      <c r="D852" s="5"/>
      <c r="E852" s="5"/>
      <c r="F852" s="5"/>
      <c r="G852" s="5"/>
      <c r="H852" s="5"/>
      <c r="I852" s="5"/>
      <c r="J852" s="5"/>
      <c r="K852" s="5"/>
    </row>
    <row r="853" spans="1:11" ht="15.75" customHeight="1" x14ac:dyDescent="0.35">
      <c r="A853" s="5"/>
      <c r="B853" s="5"/>
      <c r="C853" s="6"/>
      <c r="D853" s="5"/>
      <c r="E853" s="5"/>
      <c r="F853" s="5"/>
      <c r="G853" s="5"/>
      <c r="H853" s="5"/>
      <c r="I853" s="5"/>
      <c r="J853" s="5"/>
      <c r="K853" s="5"/>
    </row>
    <row r="854" spans="1:11" ht="15.75" customHeight="1" x14ac:dyDescent="0.35">
      <c r="A854" s="5"/>
      <c r="B854" s="5"/>
      <c r="C854" s="6"/>
      <c r="D854" s="5"/>
      <c r="E854" s="5"/>
      <c r="F854" s="5"/>
      <c r="G854" s="5"/>
      <c r="H854" s="5"/>
      <c r="I854" s="5"/>
      <c r="J854" s="5"/>
      <c r="K854" s="5"/>
    </row>
    <row r="855" spans="1:11" ht="15.75" customHeight="1" x14ac:dyDescent="0.35">
      <c r="A855" s="5"/>
      <c r="B855" s="5"/>
      <c r="C855" s="6"/>
      <c r="D855" s="5"/>
      <c r="E855" s="5"/>
      <c r="F855" s="5"/>
      <c r="G855" s="5"/>
      <c r="H855" s="5"/>
      <c r="I855" s="5"/>
      <c r="J855" s="5"/>
      <c r="K855" s="5"/>
    </row>
    <row r="856" spans="1:11" ht="15.75" customHeight="1" x14ac:dyDescent="0.35">
      <c r="A856" s="5"/>
      <c r="B856" s="5"/>
      <c r="C856" s="6"/>
      <c r="D856" s="5"/>
      <c r="E856" s="5"/>
      <c r="F856" s="5"/>
      <c r="G856" s="5"/>
      <c r="H856" s="5"/>
      <c r="I856" s="5"/>
      <c r="J856" s="5"/>
      <c r="K856" s="5"/>
    </row>
    <row r="857" spans="1:11" ht="15.75" customHeight="1" x14ac:dyDescent="0.35">
      <c r="A857" s="5"/>
      <c r="B857" s="5"/>
      <c r="C857" s="6"/>
      <c r="D857" s="5"/>
      <c r="E857" s="5"/>
      <c r="F857" s="5"/>
      <c r="G857" s="5"/>
      <c r="H857" s="5"/>
      <c r="I857" s="5"/>
      <c r="J857" s="5"/>
      <c r="K857" s="5"/>
    </row>
    <row r="858" spans="1:11" ht="15.75" customHeight="1" x14ac:dyDescent="0.35">
      <c r="A858" s="5"/>
      <c r="B858" s="5"/>
      <c r="C858" s="6"/>
      <c r="D858" s="5"/>
      <c r="E858" s="5"/>
      <c r="F858" s="5"/>
      <c r="G858" s="5"/>
      <c r="H858" s="5"/>
      <c r="I858" s="5"/>
      <c r="J858" s="5"/>
      <c r="K858" s="5"/>
    </row>
    <row r="859" spans="1:11" ht="15.75" customHeight="1" x14ac:dyDescent="0.35">
      <c r="A859" s="5"/>
      <c r="B859" s="5"/>
      <c r="C859" s="6"/>
      <c r="D859" s="5"/>
      <c r="E859" s="5"/>
      <c r="F859" s="5"/>
      <c r="G859" s="5"/>
      <c r="H859" s="5"/>
      <c r="I859" s="5"/>
      <c r="J859" s="5"/>
      <c r="K859" s="5"/>
    </row>
    <row r="860" spans="1:11" ht="15.75" customHeight="1" x14ac:dyDescent="0.35">
      <c r="A860" s="5"/>
      <c r="B860" s="5"/>
      <c r="C860" s="6"/>
      <c r="D860" s="5"/>
      <c r="E860" s="5"/>
      <c r="F860" s="5"/>
      <c r="G860" s="5"/>
      <c r="H860" s="5"/>
      <c r="I860" s="5"/>
      <c r="J860" s="5"/>
      <c r="K860" s="5"/>
    </row>
    <row r="861" spans="1:11" ht="15.75" customHeight="1" x14ac:dyDescent="0.35">
      <c r="A861" s="5"/>
      <c r="B861" s="5"/>
      <c r="C861" s="6"/>
      <c r="D861" s="5"/>
      <c r="E861" s="5"/>
      <c r="F861" s="5"/>
      <c r="G861" s="5"/>
      <c r="H861" s="5"/>
      <c r="I861" s="5"/>
      <c r="J861" s="5"/>
      <c r="K861" s="5"/>
    </row>
    <row r="862" spans="1:11" ht="15.75" customHeight="1" x14ac:dyDescent="0.35">
      <c r="A862" s="5"/>
      <c r="B862" s="5"/>
      <c r="C862" s="6"/>
      <c r="D862" s="5"/>
      <c r="E862" s="5"/>
      <c r="F862" s="5"/>
      <c r="G862" s="5"/>
      <c r="H862" s="5"/>
      <c r="I862" s="5"/>
      <c r="J862" s="5"/>
      <c r="K862" s="5"/>
    </row>
    <row r="863" spans="1:11" ht="15.75" customHeight="1" x14ac:dyDescent="0.35">
      <c r="A863" s="5"/>
      <c r="B863" s="5"/>
      <c r="C863" s="6"/>
      <c r="D863" s="5"/>
      <c r="E863" s="5"/>
      <c r="F863" s="5"/>
      <c r="G863" s="5"/>
      <c r="H863" s="5"/>
      <c r="I863" s="5"/>
      <c r="J863" s="5"/>
      <c r="K863" s="5"/>
    </row>
    <row r="864" spans="1:11" ht="15.75" customHeight="1" x14ac:dyDescent="0.35">
      <c r="A864" s="5"/>
      <c r="B864" s="5"/>
      <c r="C864" s="6"/>
      <c r="D864" s="5"/>
      <c r="E864" s="5"/>
      <c r="F864" s="5"/>
      <c r="G864" s="5"/>
      <c r="H864" s="5"/>
      <c r="I864" s="5"/>
      <c r="J864" s="5"/>
      <c r="K864" s="5"/>
    </row>
    <row r="865" spans="1:11" ht="15.75" customHeight="1" x14ac:dyDescent="0.35">
      <c r="A865" s="5"/>
      <c r="B865" s="5"/>
      <c r="C865" s="6"/>
      <c r="D865" s="5"/>
      <c r="E865" s="5"/>
      <c r="F865" s="5"/>
      <c r="G865" s="5"/>
      <c r="H865" s="5"/>
      <c r="I865" s="5"/>
      <c r="J865" s="5"/>
      <c r="K865" s="5"/>
    </row>
    <row r="866" spans="1:11" ht="15.75" customHeight="1" x14ac:dyDescent="0.35">
      <c r="A866" s="5"/>
      <c r="B866" s="5"/>
      <c r="C866" s="6"/>
      <c r="D866" s="5"/>
      <c r="E866" s="5"/>
      <c r="F866" s="5"/>
      <c r="G866" s="5"/>
      <c r="H866" s="5"/>
      <c r="I866" s="5"/>
      <c r="J866" s="5"/>
      <c r="K866" s="5"/>
    </row>
    <row r="867" spans="1:11" ht="15.75" customHeight="1" x14ac:dyDescent="0.35">
      <c r="A867" s="5"/>
      <c r="B867" s="5"/>
      <c r="C867" s="6"/>
      <c r="D867" s="5"/>
      <c r="E867" s="5"/>
      <c r="F867" s="5"/>
      <c r="G867" s="5"/>
      <c r="H867" s="5"/>
      <c r="I867" s="5"/>
      <c r="J867" s="5"/>
      <c r="K867" s="5"/>
    </row>
    <row r="868" spans="1:11" ht="15.75" customHeight="1" x14ac:dyDescent="0.35">
      <c r="A868" s="5"/>
      <c r="B868" s="5"/>
      <c r="C868" s="6"/>
      <c r="D868" s="5"/>
      <c r="E868" s="5"/>
      <c r="F868" s="5"/>
      <c r="G868" s="5"/>
      <c r="H868" s="5"/>
      <c r="I868" s="5"/>
      <c r="J868" s="5"/>
      <c r="K868" s="5"/>
    </row>
    <row r="869" spans="1:11" ht="15.75" customHeight="1" x14ac:dyDescent="0.35">
      <c r="A869" s="5"/>
      <c r="B869" s="5"/>
      <c r="C869" s="6"/>
      <c r="D869" s="5"/>
      <c r="E869" s="5"/>
      <c r="F869" s="5"/>
      <c r="G869" s="5"/>
      <c r="H869" s="5"/>
      <c r="I869" s="5"/>
      <c r="J869" s="5"/>
      <c r="K869" s="5"/>
    </row>
    <row r="870" spans="1:11" ht="15.75" customHeight="1" x14ac:dyDescent="0.35">
      <c r="A870" s="5"/>
      <c r="B870" s="5"/>
      <c r="C870" s="6"/>
      <c r="D870" s="5"/>
      <c r="E870" s="5"/>
      <c r="F870" s="5"/>
      <c r="G870" s="5"/>
      <c r="H870" s="5"/>
      <c r="I870" s="5"/>
      <c r="J870" s="5"/>
      <c r="K870" s="5"/>
    </row>
    <row r="871" spans="1:11" ht="15.75" customHeight="1" x14ac:dyDescent="0.35">
      <c r="A871" s="5"/>
      <c r="B871" s="5"/>
      <c r="C871" s="6"/>
      <c r="D871" s="5"/>
      <c r="E871" s="5"/>
      <c r="F871" s="5"/>
      <c r="G871" s="5"/>
      <c r="H871" s="5"/>
      <c r="I871" s="5"/>
      <c r="J871" s="5"/>
      <c r="K871" s="5"/>
    </row>
    <row r="872" spans="1:11" ht="15.75" customHeight="1" x14ac:dyDescent="0.35">
      <c r="A872" s="5"/>
      <c r="B872" s="5"/>
      <c r="C872" s="6"/>
      <c r="D872" s="5"/>
      <c r="E872" s="5"/>
      <c r="F872" s="5"/>
      <c r="G872" s="5"/>
      <c r="H872" s="5"/>
      <c r="I872" s="5"/>
      <c r="J872" s="5"/>
      <c r="K872" s="5"/>
    </row>
    <row r="873" spans="1:11" ht="15.75" customHeight="1" x14ac:dyDescent="0.35">
      <c r="A873" s="5"/>
      <c r="B873" s="5"/>
      <c r="C873" s="6"/>
      <c r="D873" s="5"/>
      <c r="E873" s="5"/>
      <c r="F873" s="5"/>
      <c r="G873" s="5"/>
      <c r="H873" s="5"/>
      <c r="I873" s="5"/>
      <c r="J873" s="5"/>
      <c r="K873" s="5"/>
    </row>
    <row r="874" spans="1:11" ht="15.75" customHeight="1" x14ac:dyDescent="0.35">
      <c r="A874" s="5"/>
      <c r="B874" s="5"/>
      <c r="C874" s="6"/>
      <c r="D874" s="5"/>
      <c r="E874" s="5"/>
      <c r="F874" s="5"/>
      <c r="G874" s="5"/>
      <c r="H874" s="5"/>
      <c r="I874" s="5"/>
      <c r="J874" s="5"/>
      <c r="K874" s="5"/>
    </row>
    <row r="875" spans="1:11" ht="15.75" customHeight="1" x14ac:dyDescent="0.35">
      <c r="A875" s="5"/>
      <c r="B875" s="5"/>
      <c r="C875" s="6"/>
      <c r="D875" s="5"/>
      <c r="E875" s="5"/>
      <c r="F875" s="5"/>
      <c r="G875" s="5"/>
      <c r="H875" s="5"/>
      <c r="I875" s="5"/>
      <c r="J875" s="5"/>
      <c r="K875" s="5"/>
    </row>
    <row r="876" spans="1:11" ht="15.75" customHeight="1" x14ac:dyDescent="0.35">
      <c r="A876" s="5"/>
      <c r="B876" s="5"/>
      <c r="C876" s="6"/>
      <c r="D876" s="5"/>
      <c r="E876" s="5"/>
      <c r="F876" s="5"/>
      <c r="G876" s="5"/>
      <c r="H876" s="5"/>
      <c r="I876" s="5"/>
      <c r="J876" s="5"/>
      <c r="K876" s="5"/>
    </row>
    <row r="877" spans="1:11" ht="15.75" customHeight="1" x14ac:dyDescent="0.35">
      <c r="A877" s="5"/>
      <c r="B877" s="5"/>
      <c r="C877" s="6"/>
      <c r="D877" s="5"/>
      <c r="E877" s="5"/>
      <c r="F877" s="5"/>
      <c r="G877" s="5"/>
      <c r="H877" s="5"/>
      <c r="I877" s="5"/>
      <c r="J877" s="5"/>
      <c r="K877" s="5"/>
    </row>
    <row r="878" spans="1:11" ht="15.75" customHeight="1" x14ac:dyDescent="0.35">
      <c r="A878" s="5"/>
      <c r="B878" s="5"/>
      <c r="C878" s="6"/>
      <c r="D878" s="5"/>
      <c r="E878" s="5"/>
      <c r="F878" s="5"/>
      <c r="G878" s="5"/>
      <c r="H878" s="5"/>
      <c r="I878" s="5"/>
      <c r="J878" s="5"/>
      <c r="K878" s="5"/>
    </row>
    <row r="879" spans="1:11" ht="15.75" customHeight="1" x14ac:dyDescent="0.35">
      <c r="A879" s="5"/>
      <c r="B879" s="5"/>
      <c r="C879" s="6"/>
      <c r="D879" s="5"/>
      <c r="E879" s="5"/>
      <c r="F879" s="5"/>
      <c r="G879" s="5"/>
      <c r="H879" s="5"/>
      <c r="I879" s="5"/>
      <c r="J879" s="5"/>
      <c r="K879" s="5"/>
    </row>
    <row r="880" spans="1:11" ht="15.75" customHeight="1" x14ac:dyDescent="0.35">
      <c r="A880" s="5"/>
      <c r="B880" s="5"/>
      <c r="C880" s="6"/>
      <c r="D880" s="5"/>
      <c r="E880" s="5"/>
      <c r="F880" s="5"/>
      <c r="G880" s="5"/>
      <c r="H880" s="5"/>
      <c r="I880" s="5"/>
      <c r="J880" s="5"/>
      <c r="K880" s="5"/>
    </row>
    <row r="881" spans="1:11" ht="15.75" customHeight="1" x14ac:dyDescent="0.35">
      <c r="A881" s="5"/>
      <c r="B881" s="5"/>
      <c r="C881" s="6"/>
      <c r="D881" s="5"/>
      <c r="E881" s="5"/>
      <c r="F881" s="5"/>
      <c r="G881" s="5"/>
      <c r="H881" s="5"/>
      <c r="I881" s="5"/>
      <c r="J881" s="5"/>
      <c r="K881" s="5"/>
    </row>
    <row r="882" spans="1:11" ht="15.75" customHeight="1" x14ac:dyDescent="0.35">
      <c r="A882" s="5"/>
      <c r="B882" s="5"/>
      <c r="C882" s="6"/>
      <c r="D882" s="5"/>
      <c r="E882" s="5"/>
      <c r="F882" s="5"/>
      <c r="G882" s="5"/>
      <c r="H882" s="5"/>
      <c r="I882" s="5"/>
      <c r="J882" s="5"/>
      <c r="K882" s="5"/>
    </row>
    <row r="883" spans="1:11" ht="15.75" customHeight="1" x14ac:dyDescent="0.35">
      <c r="A883" s="5"/>
      <c r="B883" s="5"/>
      <c r="C883" s="6"/>
      <c r="D883" s="5"/>
      <c r="E883" s="5"/>
      <c r="F883" s="5"/>
      <c r="G883" s="5"/>
      <c r="H883" s="5"/>
      <c r="I883" s="5"/>
      <c r="J883" s="5"/>
      <c r="K883" s="5"/>
    </row>
    <row r="884" spans="1:11" ht="15.75" customHeight="1" x14ac:dyDescent="0.35">
      <c r="A884" s="5"/>
      <c r="B884" s="5"/>
      <c r="C884" s="6"/>
      <c r="D884" s="5"/>
      <c r="E884" s="5"/>
      <c r="F884" s="5"/>
      <c r="G884" s="5"/>
      <c r="H884" s="5"/>
      <c r="I884" s="5"/>
      <c r="J884" s="5"/>
      <c r="K884" s="5"/>
    </row>
    <row r="885" spans="1:11" ht="15.75" customHeight="1" x14ac:dyDescent="0.35">
      <c r="A885" s="5"/>
      <c r="B885" s="5"/>
      <c r="C885" s="6"/>
      <c r="D885" s="5"/>
      <c r="E885" s="5"/>
      <c r="F885" s="5"/>
      <c r="G885" s="5"/>
      <c r="H885" s="5"/>
      <c r="I885" s="5"/>
      <c r="J885" s="5"/>
      <c r="K885" s="5"/>
    </row>
    <row r="886" spans="1:11" ht="15.75" customHeight="1" x14ac:dyDescent="0.35">
      <c r="A886" s="5"/>
      <c r="B886" s="5"/>
      <c r="C886" s="6"/>
      <c r="D886" s="5"/>
      <c r="E886" s="5"/>
      <c r="F886" s="5"/>
      <c r="G886" s="5"/>
      <c r="H886" s="5"/>
      <c r="I886" s="5"/>
      <c r="J886" s="5"/>
      <c r="K886" s="5"/>
    </row>
    <row r="887" spans="1:11" ht="15.75" customHeight="1" x14ac:dyDescent="0.35">
      <c r="A887" s="5"/>
      <c r="B887" s="5"/>
      <c r="C887" s="6"/>
      <c r="D887" s="5"/>
      <c r="E887" s="5"/>
      <c r="F887" s="5"/>
      <c r="G887" s="5"/>
      <c r="H887" s="5"/>
      <c r="I887" s="5"/>
      <c r="J887" s="5"/>
      <c r="K887" s="5"/>
    </row>
    <row r="888" spans="1:11" ht="15.75" customHeight="1" x14ac:dyDescent="0.35">
      <c r="A888" s="5"/>
      <c r="B888" s="5"/>
      <c r="C888" s="6"/>
      <c r="D888" s="5"/>
      <c r="E888" s="5"/>
      <c r="F888" s="5"/>
      <c r="G888" s="5"/>
      <c r="H888" s="5"/>
      <c r="I888" s="5"/>
      <c r="J888" s="5"/>
      <c r="K888" s="5"/>
    </row>
    <row r="889" spans="1:11" ht="15.75" customHeight="1" x14ac:dyDescent="0.35">
      <c r="A889" s="5"/>
      <c r="B889" s="5"/>
      <c r="C889" s="6"/>
      <c r="D889" s="5"/>
      <c r="E889" s="5"/>
      <c r="F889" s="5"/>
      <c r="G889" s="5"/>
      <c r="H889" s="5"/>
      <c r="I889" s="5"/>
      <c r="J889" s="5"/>
      <c r="K889" s="5"/>
    </row>
    <row r="890" spans="1:11" ht="15.75" customHeight="1" x14ac:dyDescent="0.35">
      <c r="A890" s="5"/>
      <c r="B890" s="5"/>
      <c r="C890" s="6"/>
      <c r="D890" s="5"/>
      <c r="E890" s="5"/>
      <c r="F890" s="5"/>
      <c r="G890" s="5"/>
      <c r="H890" s="5"/>
      <c r="I890" s="5"/>
      <c r="J890" s="5"/>
      <c r="K890" s="5"/>
    </row>
    <row r="891" spans="1:11" ht="15.75" customHeight="1" x14ac:dyDescent="0.35">
      <c r="A891" s="5"/>
      <c r="B891" s="5"/>
      <c r="C891" s="6"/>
      <c r="D891" s="5"/>
      <c r="E891" s="5"/>
      <c r="F891" s="5"/>
      <c r="G891" s="5"/>
      <c r="H891" s="5"/>
      <c r="I891" s="5"/>
      <c r="J891" s="5"/>
      <c r="K891" s="5"/>
    </row>
    <row r="892" spans="1:11" ht="15.75" customHeight="1" x14ac:dyDescent="0.35">
      <c r="A892" s="5"/>
      <c r="B892" s="5"/>
      <c r="C892" s="6"/>
      <c r="D892" s="5"/>
      <c r="E892" s="5"/>
      <c r="F892" s="5"/>
      <c r="G892" s="5"/>
      <c r="H892" s="5"/>
      <c r="I892" s="5"/>
      <c r="J892" s="5"/>
      <c r="K892" s="5"/>
    </row>
    <row r="893" spans="1:11" ht="15.75" customHeight="1" x14ac:dyDescent="0.35">
      <c r="A893" s="5"/>
      <c r="B893" s="5"/>
      <c r="C893" s="6"/>
      <c r="D893" s="5"/>
      <c r="E893" s="5"/>
      <c r="F893" s="5"/>
      <c r="G893" s="5"/>
      <c r="H893" s="5"/>
      <c r="I893" s="5"/>
      <c r="J893" s="5"/>
      <c r="K893" s="5"/>
    </row>
    <row r="894" spans="1:11" ht="15.75" customHeight="1" x14ac:dyDescent="0.35">
      <c r="A894" s="5"/>
      <c r="B894" s="5"/>
      <c r="C894" s="6"/>
      <c r="D894" s="5"/>
      <c r="E894" s="5"/>
      <c r="F894" s="5"/>
      <c r="G894" s="5"/>
      <c r="H894" s="5"/>
      <c r="I894" s="5"/>
      <c r="J894" s="5"/>
      <c r="K894" s="5"/>
    </row>
    <row r="895" spans="1:11" ht="15.75" customHeight="1" x14ac:dyDescent="0.35">
      <c r="A895" s="5"/>
      <c r="B895" s="5"/>
      <c r="C895" s="6"/>
      <c r="D895" s="5"/>
      <c r="E895" s="5"/>
      <c r="F895" s="5"/>
      <c r="G895" s="5"/>
      <c r="H895" s="5"/>
      <c r="I895" s="5"/>
      <c r="J895" s="5"/>
      <c r="K895" s="5"/>
    </row>
    <row r="896" spans="1:11" ht="15.75" customHeight="1" x14ac:dyDescent="0.35">
      <c r="A896" s="5"/>
      <c r="B896" s="5"/>
      <c r="C896" s="6"/>
      <c r="D896" s="5"/>
      <c r="E896" s="5"/>
      <c r="F896" s="5"/>
      <c r="G896" s="5"/>
      <c r="H896" s="5"/>
      <c r="I896" s="5"/>
      <c r="J896" s="5"/>
      <c r="K896" s="5"/>
    </row>
    <row r="897" spans="1:11" ht="15.75" customHeight="1" x14ac:dyDescent="0.35">
      <c r="A897" s="5"/>
      <c r="B897" s="5"/>
      <c r="C897" s="6"/>
      <c r="D897" s="5"/>
      <c r="E897" s="5"/>
      <c r="F897" s="5"/>
      <c r="G897" s="5"/>
      <c r="H897" s="5"/>
      <c r="I897" s="5"/>
      <c r="J897" s="5"/>
      <c r="K897" s="5"/>
    </row>
    <row r="898" spans="1:11" ht="15.75" customHeight="1" x14ac:dyDescent="0.35">
      <c r="A898" s="5"/>
      <c r="B898" s="5"/>
      <c r="C898" s="6"/>
      <c r="D898" s="5"/>
      <c r="E898" s="5"/>
      <c r="F898" s="5"/>
      <c r="G898" s="5"/>
      <c r="H898" s="5"/>
      <c r="I898" s="5"/>
      <c r="J898" s="5"/>
      <c r="K898" s="5"/>
    </row>
    <row r="899" spans="1:11" ht="15.75" customHeight="1" x14ac:dyDescent="0.35">
      <c r="A899" s="5"/>
      <c r="B899" s="5"/>
      <c r="C899" s="6"/>
      <c r="D899" s="5"/>
      <c r="E899" s="5"/>
      <c r="F899" s="5"/>
      <c r="G899" s="5"/>
      <c r="H899" s="5"/>
      <c r="I899" s="5"/>
      <c r="J899" s="5"/>
      <c r="K899" s="5"/>
    </row>
    <row r="900" spans="1:11" ht="15.75" customHeight="1" x14ac:dyDescent="0.35">
      <c r="A900" s="5"/>
      <c r="B900" s="5"/>
      <c r="C900" s="6"/>
      <c r="D900" s="5"/>
      <c r="E900" s="5"/>
      <c r="F900" s="5"/>
      <c r="G900" s="5"/>
      <c r="H900" s="5"/>
      <c r="I900" s="5"/>
      <c r="J900" s="5"/>
      <c r="K900" s="5"/>
    </row>
    <row r="901" spans="1:11" ht="15.75" customHeight="1" x14ac:dyDescent="0.35">
      <c r="A901" s="5"/>
      <c r="B901" s="5"/>
      <c r="C901" s="6"/>
      <c r="D901" s="5"/>
      <c r="E901" s="5"/>
      <c r="F901" s="5"/>
      <c r="G901" s="5"/>
      <c r="H901" s="5"/>
      <c r="I901" s="5"/>
      <c r="J901" s="5"/>
      <c r="K901" s="5"/>
    </row>
    <row r="902" spans="1:11" ht="15.75" customHeight="1" x14ac:dyDescent="0.35">
      <c r="A902" s="5"/>
      <c r="B902" s="5"/>
      <c r="C902" s="6"/>
      <c r="D902" s="5"/>
      <c r="E902" s="5"/>
      <c r="F902" s="5"/>
      <c r="G902" s="5"/>
      <c r="H902" s="5"/>
      <c r="I902" s="5"/>
      <c r="J902" s="5"/>
      <c r="K902" s="5"/>
    </row>
    <row r="903" spans="1:11" ht="15.75" customHeight="1" x14ac:dyDescent="0.35">
      <c r="A903" s="5"/>
      <c r="B903" s="5"/>
      <c r="C903" s="6"/>
      <c r="D903" s="5"/>
      <c r="E903" s="5"/>
      <c r="F903" s="5"/>
      <c r="G903" s="5"/>
      <c r="H903" s="5"/>
      <c r="I903" s="5"/>
      <c r="J903" s="5"/>
      <c r="K903" s="5"/>
    </row>
    <row r="904" spans="1:11" ht="15.75" customHeight="1" x14ac:dyDescent="0.35">
      <c r="A904" s="5"/>
      <c r="B904" s="5"/>
      <c r="C904" s="6"/>
      <c r="D904" s="5"/>
      <c r="E904" s="5"/>
      <c r="F904" s="5"/>
      <c r="G904" s="5"/>
      <c r="H904" s="5"/>
      <c r="I904" s="5"/>
      <c r="J904" s="5"/>
      <c r="K904" s="5"/>
    </row>
    <row r="905" spans="1:11" ht="15.75" customHeight="1" x14ac:dyDescent="0.35">
      <c r="A905" s="5"/>
      <c r="B905" s="5"/>
      <c r="C905" s="6"/>
      <c r="D905" s="5"/>
      <c r="E905" s="5"/>
      <c r="F905" s="5"/>
      <c r="G905" s="5"/>
      <c r="H905" s="5"/>
      <c r="I905" s="5"/>
      <c r="J905" s="5"/>
      <c r="K905" s="5"/>
    </row>
    <row r="906" spans="1:11" ht="15.75" customHeight="1" x14ac:dyDescent="0.35">
      <c r="A906" s="5"/>
      <c r="B906" s="5"/>
      <c r="C906" s="6"/>
      <c r="D906" s="5"/>
      <c r="E906" s="5"/>
      <c r="F906" s="5"/>
      <c r="G906" s="5"/>
      <c r="H906" s="5"/>
      <c r="I906" s="5"/>
      <c r="J906" s="5"/>
      <c r="K906" s="5"/>
    </row>
    <row r="907" spans="1:11" ht="15.75" customHeight="1" x14ac:dyDescent="0.35">
      <c r="A907" s="5"/>
      <c r="B907" s="5"/>
      <c r="C907" s="6"/>
      <c r="D907" s="5"/>
      <c r="E907" s="5"/>
      <c r="F907" s="5"/>
      <c r="G907" s="5"/>
      <c r="H907" s="5"/>
      <c r="I907" s="5"/>
      <c r="J907" s="5"/>
      <c r="K907" s="5"/>
    </row>
    <row r="908" spans="1:11" ht="15.75" customHeight="1" x14ac:dyDescent="0.35">
      <c r="A908" s="5"/>
      <c r="B908" s="5"/>
      <c r="C908" s="6"/>
      <c r="D908" s="5"/>
      <c r="E908" s="5"/>
      <c r="F908" s="5"/>
      <c r="G908" s="5"/>
      <c r="H908" s="5"/>
      <c r="I908" s="5"/>
      <c r="J908" s="5"/>
      <c r="K908" s="5"/>
    </row>
    <row r="909" spans="1:11" ht="15.75" customHeight="1" x14ac:dyDescent="0.35">
      <c r="A909" s="5"/>
      <c r="B909" s="5"/>
      <c r="C909" s="6"/>
      <c r="D909" s="5"/>
      <c r="E909" s="5"/>
      <c r="F909" s="5"/>
      <c r="G909" s="5"/>
      <c r="H909" s="5"/>
      <c r="I909" s="5"/>
      <c r="J909" s="5"/>
      <c r="K909" s="5"/>
    </row>
    <row r="910" spans="1:11" ht="15.75" customHeight="1" x14ac:dyDescent="0.35">
      <c r="A910" s="5"/>
      <c r="B910" s="5"/>
      <c r="C910" s="6"/>
      <c r="D910" s="5"/>
      <c r="E910" s="5"/>
      <c r="F910" s="5"/>
      <c r="G910" s="5"/>
      <c r="H910" s="5"/>
      <c r="I910" s="5"/>
      <c r="J910" s="5"/>
      <c r="K910" s="5"/>
    </row>
    <row r="911" spans="1:11" ht="15.75" customHeight="1" x14ac:dyDescent="0.35">
      <c r="A911" s="5"/>
      <c r="B911" s="5"/>
      <c r="C911" s="6"/>
      <c r="D911" s="5"/>
      <c r="E911" s="5"/>
      <c r="F911" s="5"/>
      <c r="G911" s="5"/>
      <c r="H911" s="5"/>
      <c r="I911" s="5"/>
      <c r="J911" s="5"/>
      <c r="K911" s="5"/>
    </row>
    <row r="912" spans="1:11" ht="15.75" customHeight="1" x14ac:dyDescent="0.35">
      <c r="A912" s="5"/>
      <c r="B912" s="5"/>
      <c r="C912" s="6"/>
      <c r="D912" s="5"/>
      <c r="E912" s="5"/>
      <c r="F912" s="5"/>
      <c r="G912" s="5"/>
      <c r="H912" s="5"/>
      <c r="I912" s="5"/>
      <c r="J912" s="5"/>
      <c r="K912" s="5"/>
    </row>
    <row r="913" spans="1:11" ht="15.75" customHeight="1" x14ac:dyDescent="0.35">
      <c r="A913" s="5"/>
      <c r="B913" s="5"/>
      <c r="C913" s="6"/>
      <c r="D913" s="5"/>
      <c r="E913" s="5"/>
      <c r="F913" s="5"/>
      <c r="G913" s="5"/>
      <c r="H913" s="5"/>
      <c r="I913" s="5"/>
      <c r="J913" s="5"/>
      <c r="K913" s="5"/>
    </row>
    <row r="914" spans="1:11" ht="15.75" customHeight="1" x14ac:dyDescent="0.35">
      <c r="A914" s="5"/>
      <c r="B914" s="5"/>
      <c r="C914" s="6"/>
      <c r="D914" s="5"/>
      <c r="E914" s="5"/>
      <c r="F914" s="5"/>
      <c r="G914" s="5"/>
      <c r="H914" s="5"/>
      <c r="I914" s="5"/>
      <c r="J914" s="5"/>
      <c r="K914" s="5"/>
    </row>
    <row r="915" spans="1:11" ht="15.75" customHeight="1" x14ac:dyDescent="0.35">
      <c r="A915" s="5"/>
      <c r="B915" s="5"/>
      <c r="C915" s="6"/>
      <c r="D915" s="5"/>
      <c r="E915" s="5"/>
      <c r="F915" s="5"/>
      <c r="G915" s="5"/>
      <c r="H915" s="5"/>
      <c r="I915" s="5"/>
      <c r="J915" s="5"/>
      <c r="K915" s="5"/>
    </row>
    <row r="916" spans="1:11" ht="15.75" customHeight="1" x14ac:dyDescent="0.35">
      <c r="A916" s="5"/>
      <c r="B916" s="5"/>
      <c r="C916" s="6"/>
      <c r="D916" s="5"/>
      <c r="E916" s="5"/>
      <c r="F916" s="5"/>
      <c r="G916" s="5"/>
      <c r="H916" s="5"/>
      <c r="I916" s="5"/>
      <c r="J916" s="5"/>
      <c r="K916" s="5"/>
    </row>
    <row r="917" spans="1:11" ht="15.75" customHeight="1" x14ac:dyDescent="0.35">
      <c r="A917" s="5"/>
      <c r="B917" s="5"/>
      <c r="C917" s="6"/>
      <c r="D917" s="5"/>
      <c r="E917" s="5"/>
      <c r="F917" s="5"/>
      <c r="G917" s="5"/>
      <c r="H917" s="5"/>
      <c r="I917" s="5"/>
      <c r="J917" s="5"/>
      <c r="K917" s="5"/>
    </row>
    <row r="918" spans="1:11" ht="15.75" customHeight="1" x14ac:dyDescent="0.35">
      <c r="A918" s="5"/>
      <c r="B918" s="5"/>
      <c r="C918" s="6"/>
      <c r="D918" s="5"/>
      <c r="E918" s="5"/>
      <c r="F918" s="5"/>
      <c r="G918" s="5"/>
      <c r="H918" s="5"/>
      <c r="I918" s="5"/>
      <c r="J918" s="5"/>
      <c r="K918" s="5"/>
    </row>
    <row r="919" spans="1:11" ht="15.75" customHeight="1" x14ac:dyDescent="0.35">
      <c r="A919" s="5"/>
      <c r="B919" s="5"/>
      <c r="C919" s="6"/>
      <c r="D919" s="5"/>
      <c r="E919" s="5"/>
      <c r="F919" s="5"/>
      <c r="G919" s="5"/>
      <c r="H919" s="5"/>
      <c r="I919" s="5"/>
      <c r="J919" s="5"/>
      <c r="K919" s="5"/>
    </row>
    <row r="920" spans="1:11" ht="15.75" customHeight="1" x14ac:dyDescent="0.35">
      <c r="A920" s="5"/>
      <c r="B920" s="5"/>
      <c r="C920" s="6"/>
      <c r="D920" s="5"/>
      <c r="E920" s="5"/>
      <c r="F920" s="5"/>
      <c r="G920" s="5"/>
      <c r="H920" s="5"/>
      <c r="I920" s="5"/>
      <c r="J920" s="5"/>
      <c r="K920" s="5"/>
    </row>
    <row r="921" spans="1:11" ht="15.75" customHeight="1" x14ac:dyDescent="0.35">
      <c r="A921" s="5"/>
      <c r="B921" s="5"/>
      <c r="C921" s="6"/>
      <c r="D921" s="5"/>
      <c r="E921" s="5"/>
      <c r="F921" s="5"/>
      <c r="G921" s="5"/>
      <c r="H921" s="5"/>
      <c r="I921" s="5"/>
      <c r="J921" s="5"/>
      <c r="K921" s="5"/>
    </row>
    <row r="922" spans="1:11" ht="15.75" customHeight="1" x14ac:dyDescent="0.35">
      <c r="A922" s="5"/>
      <c r="B922" s="5"/>
      <c r="C922" s="6"/>
      <c r="D922" s="5"/>
      <c r="E922" s="5"/>
      <c r="F922" s="5"/>
      <c r="G922" s="5"/>
      <c r="H922" s="5"/>
      <c r="I922" s="5"/>
      <c r="J922" s="5"/>
      <c r="K922" s="5"/>
    </row>
    <row r="923" spans="1:11" ht="15.75" customHeight="1" x14ac:dyDescent="0.35">
      <c r="A923" s="5"/>
      <c r="B923" s="5"/>
      <c r="C923" s="6"/>
      <c r="D923" s="5"/>
      <c r="E923" s="5"/>
      <c r="F923" s="5"/>
      <c r="G923" s="5"/>
      <c r="H923" s="5"/>
      <c r="I923" s="5"/>
      <c r="J923" s="5"/>
      <c r="K923" s="5"/>
    </row>
    <row r="924" spans="1:11" ht="15.75" customHeight="1" x14ac:dyDescent="0.35">
      <c r="A924" s="5"/>
      <c r="B924" s="5"/>
      <c r="C924" s="6"/>
      <c r="D924" s="5"/>
      <c r="E924" s="5"/>
      <c r="F924" s="5"/>
      <c r="G924" s="5"/>
      <c r="H924" s="5"/>
      <c r="I924" s="5"/>
      <c r="J924" s="5"/>
      <c r="K924" s="5"/>
    </row>
    <row r="925" spans="1:11" ht="15.75" customHeight="1" x14ac:dyDescent="0.35">
      <c r="A925" s="5"/>
      <c r="B925" s="5"/>
      <c r="C925" s="6"/>
      <c r="D925" s="5"/>
      <c r="E925" s="5"/>
      <c r="F925" s="5"/>
      <c r="G925" s="5"/>
      <c r="H925" s="5"/>
      <c r="I925" s="5"/>
      <c r="J925" s="5"/>
      <c r="K925" s="5"/>
    </row>
    <row r="926" spans="1:11" ht="15.75" customHeight="1" x14ac:dyDescent="0.35">
      <c r="A926" s="5"/>
      <c r="B926" s="5"/>
      <c r="C926" s="6"/>
      <c r="D926" s="5"/>
      <c r="E926" s="5"/>
      <c r="F926" s="5"/>
      <c r="G926" s="5"/>
      <c r="H926" s="5"/>
      <c r="I926" s="5"/>
      <c r="J926" s="5"/>
      <c r="K926" s="5"/>
    </row>
    <row r="927" spans="1:11" ht="15.75" customHeight="1" x14ac:dyDescent="0.35">
      <c r="A927" s="5"/>
      <c r="B927" s="5"/>
      <c r="C927" s="6"/>
      <c r="D927" s="5"/>
      <c r="E927" s="5"/>
      <c r="F927" s="5"/>
      <c r="G927" s="5"/>
      <c r="H927" s="5"/>
      <c r="I927" s="5"/>
      <c r="J927" s="5"/>
      <c r="K927" s="5"/>
    </row>
    <row r="928" spans="1:11" ht="15.75" customHeight="1" x14ac:dyDescent="0.35">
      <c r="A928" s="5"/>
      <c r="B928" s="5"/>
      <c r="C928" s="6"/>
      <c r="D928" s="5"/>
      <c r="E928" s="5"/>
      <c r="F928" s="5"/>
      <c r="G928" s="5"/>
      <c r="H928" s="5"/>
      <c r="I928" s="5"/>
      <c r="J928" s="5"/>
      <c r="K928" s="5"/>
    </row>
    <row r="929" spans="1:11" ht="15.75" customHeight="1" x14ac:dyDescent="0.35">
      <c r="A929" s="5"/>
      <c r="B929" s="5"/>
      <c r="C929" s="6"/>
      <c r="D929" s="5"/>
      <c r="E929" s="5"/>
      <c r="F929" s="5"/>
      <c r="G929" s="5"/>
      <c r="H929" s="5"/>
      <c r="I929" s="5"/>
      <c r="J929" s="5"/>
      <c r="K929" s="5"/>
    </row>
    <row r="930" spans="1:11" ht="15.75" customHeight="1" x14ac:dyDescent="0.35">
      <c r="A930" s="5"/>
      <c r="B930" s="5"/>
      <c r="C930" s="6"/>
      <c r="D930" s="5"/>
      <c r="E930" s="5"/>
      <c r="F930" s="5"/>
      <c r="G930" s="5"/>
      <c r="H930" s="5"/>
      <c r="I930" s="5"/>
      <c r="J930" s="5"/>
      <c r="K930" s="5"/>
    </row>
    <row r="931" spans="1:11" ht="15.75" customHeight="1" x14ac:dyDescent="0.35">
      <c r="A931" s="5"/>
      <c r="B931" s="5"/>
      <c r="C931" s="6"/>
      <c r="D931" s="5"/>
      <c r="E931" s="5"/>
      <c r="F931" s="5"/>
      <c r="G931" s="5"/>
      <c r="H931" s="5"/>
      <c r="I931" s="5"/>
      <c r="J931" s="5"/>
      <c r="K931" s="5"/>
    </row>
    <row r="932" spans="1:11" ht="15.75" customHeight="1" x14ac:dyDescent="0.35">
      <c r="A932" s="5"/>
      <c r="B932" s="5"/>
      <c r="C932" s="6"/>
      <c r="D932" s="5"/>
      <c r="E932" s="5"/>
      <c r="F932" s="5"/>
      <c r="G932" s="5"/>
      <c r="H932" s="5"/>
      <c r="I932" s="5"/>
      <c r="J932" s="5"/>
      <c r="K932" s="5"/>
    </row>
    <row r="933" spans="1:11" ht="15.75" customHeight="1" x14ac:dyDescent="0.35">
      <c r="A933" s="5"/>
      <c r="B933" s="5"/>
      <c r="C933" s="6"/>
      <c r="D933" s="5"/>
      <c r="E933" s="5"/>
      <c r="F933" s="5"/>
      <c r="G933" s="5"/>
      <c r="H933" s="5"/>
      <c r="I933" s="5"/>
      <c r="J933" s="5"/>
      <c r="K933" s="5"/>
    </row>
    <row r="934" spans="1:11" ht="15.75" customHeight="1" x14ac:dyDescent="0.35">
      <c r="A934" s="5"/>
      <c r="B934" s="5"/>
      <c r="C934" s="6"/>
      <c r="D934" s="5"/>
      <c r="E934" s="5"/>
      <c r="F934" s="5"/>
      <c r="G934" s="5"/>
      <c r="H934" s="5"/>
      <c r="I934" s="5"/>
      <c r="J934" s="5"/>
      <c r="K934" s="5"/>
    </row>
    <row r="935" spans="1:11" ht="15.75" customHeight="1" x14ac:dyDescent="0.35">
      <c r="A935" s="5"/>
      <c r="B935" s="5"/>
      <c r="C935" s="6"/>
      <c r="D935" s="5"/>
      <c r="E935" s="5"/>
      <c r="F935" s="5"/>
      <c r="G935" s="5"/>
      <c r="H935" s="5"/>
      <c r="I935" s="5"/>
      <c r="J935" s="5"/>
      <c r="K935" s="5"/>
    </row>
    <row r="936" spans="1:11" ht="15.75" customHeight="1" x14ac:dyDescent="0.35">
      <c r="A936" s="5"/>
      <c r="B936" s="5"/>
      <c r="C936" s="6"/>
      <c r="D936" s="5"/>
      <c r="E936" s="5"/>
      <c r="F936" s="5"/>
      <c r="G936" s="5"/>
      <c r="H936" s="5"/>
      <c r="I936" s="5"/>
      <c r="J936" s="5"/>
      <c r="K936" s="5"/>
    </row>
    <row r="937" spans="1:11" ht="15.75" customHeight="1" x14ac:dyDescent="0.35">
      <c r="A937" s="5"/>
      <c r="B937" s="5"/>
      <c r="C937" s="6"/>
      <c r="D937" s="5"/>
      <c r="E937" s="5"/>
      <c r="F937" s="5"/>
      <c r="G937" s="5"/>
      <c r="H937" s="5"/>
      <c r="I937" s="5"/>
      <c r="J937" s="5"/>
      <c r="K937" s="5"/>
    </row>
    <row r="938" spans="1:11" ht="15.75" customHeight="1" x14ac:dyDescent="0.35">
      <c r="A938" s="5"/>
      <c r="B938" s="5"/>
      <c r="C938" s="6"/>
      <c r="D938" s="5"/>
      <c r="E938" s="5"/>
      <c r="F938" s="5"/>
      <c r="G938" s="5"/>
      <c r="H938" s="5"/>
      <c r="I938" s="5"/>
      <c r="J938" s="5"/>
      <c r="K938" s="5"/>
    </row>
    <row r="939" spans="1:11" ht="15.75" customHeight="1" x14ac:dyDescent="0.35">
      <c r="A939" s="5"/>
      <c r="B939" s="5"/>
      <c r="C939" s="6"/>
      <c r="D939" s="5"/>
      <c r="E939" s="5"/>
      <c r="F939" s="5"/>
      <c r="G939" s="5"/>
      <c r="H939" s="5"/>
      <c r="I939" s="5"/>
      <c r="J939" s="5"/>
      <c r="K939" s="5"/>
    </row>
    <row r="940" spans="1:11" ht="15.75" customHeight="1" x14ac:dyDescent="0.35">
      <c r="A940" s="5"/>
      <c r="B940" s="5"/>
      <c r="C940" s="6"/>
      <c r="D940" s="5"/>
      <c r="E940" s="5"/>
      <c r="F940" s="5"/>
      <c r="G940" s="5"/>
      <c r="H940" s="5"/>
      <c r="I940" s="5"/>
      <c r="J940" s="5"/>
      <c r="K940" s="5"/>
    </row>
    <row r="941" spans="1:11" ht="15.75" customHeight="1" x14ac:dyDescent="0.35">
      <c r="A941" s="5"/>
      <c r="B941" s="5"/>
      <c r="C941" s="6"/>
      <c r="D941" s="5"/>
      <c r="E941" s="5"/>
      <c r="F941" s="5"/>
      <c r="G941" s="5"/>
      <c r="H941" s="5"/>
      <c r="I941" s="5"/>
      <c r="J941" s="5"/>
      <c r="K941" s="5"/>
    </row>
    <row r="942" spans="1:11" ht="15.75" customHeight="1" x14ac:dyDescent="0.35">
      <c r="A942" s="5"/>
      <c r="B942" s="5"/>
      <c r="C942" s="6"/>
      <c r="D942" s="5"/>
      <c r="E942" s="5"/>
      <c r="F942" s="5"/>
      <c r="G942" s="5"/>
      <c r="H942" s="5"/>
      <c r="I942" s="5"/>
      <c r="J942" s="5"/>
      <c r="K942" s="5"/>
    </row>
    <row r="943" spans="1:11" ht="15.75" customHeight="1" x14ac:dyDescent="0.35">
      <c r="A943" s="5"/>
      <c r="B943" s="5"/>
      <c r="C943" s="6"/>
      <c r="D943" s="5"/>
      <c r="E943" s="5"/>
      <c r="F943" s="5"/>
      <c r="G943" s="5"/>
      <c r="H943" s="5"/>
      <c r="I943" s="5"/>
      <c r="J943" s="5"/>
      <c r="K943" s="5"/>
    </row>
    <row r="944" spans="1:11" ht="15.75" customHeight="1" x14ac:dyDescent="0.35">
      <c r="A944" s="5"/>
      <c r="B944" s="5"/>
      <c r="C944" s="6"/>
      <c r="D944" s="5"/>
      <c r="E944" s="5"/>
      <c r="F944" s="5"/>
      <c r="G944" s="5"/>
      <c r="H944" s="5"/>
      <c r="I944" s="5"/>
      <c r="J944" s="5"/>
      <c r="K944" s="5"/>
    </row>
    <row r="945" spans="1:11" ht="15.75" customHeight="1" x14ac:dyDescent="0.35">
      <c r="A945" s="5"/>
      <c r="B945" s="5"/>
      <c r="C945" s="6"/>
      <c r="D945" s="5"/>
      <c r="E945" s="5"/>
      <c r="F945" s="5"/>
      <c r="G945" s="5"/>
      <c r="H945" s="5"/>
      <c r="I945" s="5"/>
      <c r="J945" s="5"/>
      <c r="K945" s="5"/>
    </row>
    <row r="946" spans="1:11" ht="15.75" customHeight="1" x14ac:dyDescent="0.35">
      <c r="A946" s="5"/>
      <c r="B946" s="5"/>
      <c r="C946" s="6"/>
      <c r="D946" s="5"/>
      <c r="E946" s="5"/>
      <c r="F946" s="5"/>
      <c r="G946" s="5"/>
      <c r="H946" s="5"/>
      <c r="I946" s="5"/>
      <c r="J946" s="5"/>
      <c r="K946" s="5"/>
    </row>
    <row r="947" spans="1:11" ht="15.75" customHeight="1" x14ac:dyDescent="0.35">
      <c r="A947" s="5"/>
      <c r="B947" s="5"/>
      <c r="C947" s="6"/>
      <c r="D947" s="5"/>
      <c r="E947" s="5"/>
      <c r="F947" s="5"/>
      <c r="G947" s="5"/>
      <c r="H947" s="5"/>
      <c r="I947" s="5"/>
      <c r="J947" s="5"/>
      <c r="K947" s="5"/>
    </row>
    <row r="948" spans="1:11" ht="15.75" customHeight="1" x14ac:dyDescent="0.35">
      <c r="A948" s="5"/>
      <c r="B948" s="5"/>
      <c r="C948" s="6"/>
      <c r="D948" s="5"/>
      <c r="E948" s="5"/>
      <c r="F948" s="5"/>
      <c r="G948" s="5"/>
      <c r="H948" s="5"/>
      <c r="I948" s="5"/>
      <c r="J948" s="5"/>
      <c r="K948" s="5"/>
    </row>
    <row r="949" spans="1:11" ht="15.75" customHeight="1" x14ac:dyDescent="0.35">
      <c r="A949" s="5"/>
      <c r="B949" s="5"/>
      <c r="C949" s="6"/>
      <c r="D949" s="5"/>
      <c r="E949" s="5"/>
      <c r="F949" s="5"/>
      <c r="G949" s="5"/>
      <c r="H949" s="5"/>
      <c r="I949" s="5"/>
      <c r="J949" s="5"/>
      <c r="K949" s="5"/>
    </row>
    <row r="950" spans="1:11" ht="15.75" customHeight="1" x14ac:dyDescent="0.35">
      <c r="A950" s="5"/>
      <c r="B950" s="5"/>
      <c r="C950" s="6"/>
      <c r="D950" s="5"/>
      <c r="E950" s="5"/>
      <c r="F950" s="5"/>
      <c r="G950" s="5"/>
      <c r="H950" s="5"/>
      <c r="I950" s="5"/>
      <c r="J950" s="5"/>
      <c r="K950" s="5"/>
    </row>
    <row r="951" spans="1:11" ht="15.75" customHeight="1" x14ac:dyDescent="0.35">
      <c r="A951" s="5"/>
      <c r="B951" s="5"/>
      <c r="C951" s="6"/>
      <c r="D951" s="5"/>
      <c r="E951" s="5"/>
      <c r="F951" s="5"/>
      <c r="G951" s="5"/>
      <c r="H951" s="5"/>
      <c r="I951" s="5"/>
      <c r="J951" s="5"/>
      <c r="K951" s="5"/>
    </row>
    <row r="952" spans="1:11" ht="15.75" customHeight="1" x14ac:dyDescent="0.35">
      <c r="A952" s="5"/>
      <c r="B952" s="5"/>
      <c r="C952" s="6"/>
      <c r="D952" s="5"/>
      <c r="E952" s="5"/>
      <c r="F952" s="5"/>
      <c r="G952" s="5"/>
      <c r="H952" s="5"/>
      <c r="I952" s="5"/>
      <c r="J952" s="5"/>
      <c r="K952" s="5"/>
    </row>
    <row r="953" spans="1:11" ht="15.75" customHeight="1" x14ac:dyDescent="0.35">
      <c r="A953" s="5"/>
      <c r="B953" s="5"/>
      <c r="C953" s="6"/>
      <c r="D953" s="5"/>
      <c r="E953" s="5"/>
      <c r="F953" s="5"/>
      <c r="G953" s="5"/>
      <c r="H953" s="5"/>
      <c r="I953" s="5"/>
      <c r="J953" s="5"/>
      <c r="K953" s="5"/>
    </row>
    <row r="954" spans="1:11" ht="15.75" customHeight="1" x14ac:dyDescent="0.35">
      <c r="A954" s="5"/>
      <c r="B954" s="5"/>
      <c r="C954" s="6"/>
      <c r="D954" s="5"/>
      <c r="E954" s="5"/>
      <c r="F954" s="5"/>
      <c r="G954" s="5"/>
      <c r="H954" s="5"/>
      <c r="I954" s="5"/>
      <c r="J954" s="5"/>
      <c r="K954" s="5"/>
    </row>
    <row r="955" spans="1:11" ht="15.75" customHeight="1" x14ac:dyDescent="0.35">
      <c r="A955" s="5"/>
      <c r="B955" s="5"/>
      <c r="C955" s="6"/>
      <c r="D955" s="5"/>
      <c r="E955" s="5"/>
      <c r="F955" s="5"/>
      <c r="G955" s="5"/>
      <c r="H955" s="5"/>
      <c r="I955" s="5"/>
      <c r="J955" s="5"/>
      <c r="K955" s="5"/>
    </row>
    <row r="956" spans="1:11" ht="15.75" customHeight="1" x14ac:dyDescent="0.35">
      <c r="A956" s="5"/>
      <c r="B956" s="5"/>
      <c r="C956" s="6"/>
      <c r="D956" s="5"/>
      <c r="E956" s="5"/>
      <c r="F956" s="5"/>
      <c r="G956" s="5"/>
      <c r="H956" s="5"/>
      <c r="I956" s="5"/>
      <c r="J956" s="5"/>
      <c r="K956" s="5"/>
    </row>
    <row r="957" spans="1:11" ht="15.75" customHeight="1" x14ac:dyDescent="0.35">
      <c r="A957" s="5"/>
      <c r="B957" s="5"/>
      <c r="C957" s="6"/>
      <c r="D957" s="5"/>
      <c r="E957" s="5"/>
      <c r="F957" s="5"/>
      <c r="G957" s="5"/>
      <c r="H957" s="5"/>
      <c r="I957" s="5"/>
      <c r="J957" s="5"/>
      <c r="K957" s="5"/>
    </row>
    <row r="958" spans="1:11" ht="15.75" customHeight="1" x14ac:dyDescent="0.35">
      <c r="A958" s="5"/>
      <c r="B958" s="5"/>
      <c r="C958" s="6"/>
      <c r="D958" s="5"/>
      <c r="E958" s="5"/>
      <c r="F958" s="5"/>
      <c r="G958" s="5"/>
      <c r="H958" s="5"/>
      <c r="I958" s="5"/>
      <c r="J958" s="5"/>
      <c r="K958" s="5"/>
    </row>
    <row r="959" spans="1:11" ht="15.75" customHeight="1" x14ac:dyDescent="0.35">
      <c r="A959" s="5"/>
      <c r="B959" s="5"/>
      <c r="C959" s="6"/>
      <c r="D959" s="5"/>
      <c r="E959" s="5"/>
      <c r="F959" s="5"/>
      <c r="G959" s="5"/>
      <c r="H959" s="5"/>
      <c r="I959" s="5"/>
      <c r="J959" s="5"/>
      <c r="K959" s="5"/>
    </row>
    <row r="960" spans="1:11" ht="15.75" customHeight="1" x14ac:dyDescent="0.35">
      <c r="A960" s="5"/>
      <c r="B960" s="5"/>
      <c r="C960" s="6"/>
      <c r="D960" s="5"/>
      <c r="E960" s="5"/>
      <c r="F960" s="5"/>
      <c r="G960" s="5"/>
      <c r="H960" s="5"/>
      <c r="I960" s="5"/>
      <c r="J960" s="5"/>
      <c r="K960" s="5"/>
    </row>
    <row r="961" spans="1:11" ht="15.75" customHeight="1" x14ac:dyDescent="0.35">
      <c r="A961" s="5"/>
      <c r="B961" s="5"/>
      <c r="C961" s="6"/>
      <c r="D961" s="5"/>
      <c r="E961" s="5"/>
      <c r="F961" s="5"/>
      <c r="G961" s="5"/>
      <c r="H961" s="5"/>
      <c r="I961" s="5"/>
      <c r="J961" s="5"/>
      <c r="K961" s="5"/>
    </row>
    <row r="962" spans="1:11" ht="15.75" customHeight="1" x14ac:dyDescent="0.35">
      <c r="A962" s="5"/>
      <c r="B962" s="5"/>
      <c r="C962" s="6"/>
      <c r="D962" s="5"/>
      <c r="E962" s="5"/>
      <c r="F962" s="5"/>
      <c r="G962" s="5"/>
      <c r="H962" s="5"/>
      <c r="I962" s="5"/>
      <c r="J962" s="5"/>
      <c r="K962" s="5"/>
    </row>
    <row r="963" spans="1:11" ht="15.75" customHeight="1" x14ac:dyDescent="0.35">
      <c r="A963" s="5"/>
      <c r="B963" s="5"/>
      <c r="C963" s="6"/>
      <c r="D963" s="5"/>
      <c r="E963" s="5"/>
      <c r="F963" s="5"/>
      <c r="G963" s="5"/>
      <c r="H963" s="5"/>
      <c r="I963" s="5"/>
      <c r="J963" s="5"/>
      <c r="K963" s="5"/>
    </row>
    <row r="964" spans="1:11" ht="15.75" customHeight="1" x14ac:dyDescent="0.35">
      <c r="A964" s="5"/>
      <c r="B964" s="5"/>
      <c r="C964" s="6"/>
      <c r="D964" s="5"/>
      <c r="E964" s="5"/>
      <c r="F964" s="5"/>
      <c r="G964" s="5"/>
      <c r="H964" s="5"/>
      <c r="I964" s="5"/>
      <c r="J964" s="5"/>
      <c r="K964" s="5"/>
    </row>
    <row r="965" spans="1:11" ht="15.75" customHeight="1" x14ac:dyDescent="0.35">
      <c r="A965" s="5"/>
      <c r="B965" s="5"/>
      <c r="C965" s="6"/>
      <c r="D965" s="5"/>
      <c r="E965" s="5"/>
      <c r="F965" s="5"/>
      <c r="G965" s="5"/>
      <c r="H965" s="5"/>
      <c r="I965" s="5"/>
      <c r="J965" s="5"/>
      <c r="K965" s="5"/>
    </row>
    <row r="966" spans="1:11" ht="15.75" customHeight="1" x14ac:dyDescent="0.35">
      <c r="A966" s="5"/>
      <c r="B966" s="5"/>
      <c r="C966" s="6"/>
      <c r="D966" s="5"/>
      <c r="E966" s="5"/>
      <c r="F966" s="5"/>
      <c r="G966" s="5"/>
      <c r="H966" s="5"/>
      <c r="I966" s="5"/>
      <c r="J966" s="5"/>
      <c r="K966" s="5"/>
    </row>
    <row r="967" spans="1:11" ht="15.75" customHeight="1" x14ac:dyDescent="0.35">
      <c r="A967" s="5"/>
      <c r="B967" s="5"/>
      <c r="C967" s="6"/>
      <c r="D967" s="5"/>
      <c r="E967" s="5"/>
      <c r="F967" s="5"/>
      <c r="G967" s="5"/>
      <c r="H967" s="5"/>
      <c r="I967" s="5"/>
      <c r="J967" s="5"/>
      <c r="K967" s="5"/>
    </row>
    <row r="968" spans="1:11" ht="15.75" customHeight="1" x14ac:dyDescent="0.35">
      <c r="A968" s="5"/>
      <c r="B968" s="5"/>
      <c r="C968" s="6"/>
      <c r="D968" s="5"/>
      <c r="E968" s="5"/>
      <c r="F968" s="5"/>
      <c r="G968" s="5"/>
      <c r="H968" s="5"/>
      <c r="I968" s="5"/>
      <c r="J968" s="5"/>
      <c r="K968" s="5"/>
    </row>
    <row r="969" spans="1:11" ht="15.75" customHeight="1" x14ac:dyDescent="0.35">
      <c r="A969" s="5"/>
      <c r="B969" s="5"/>
      <c r="C969" s="6"/>
      <c r="D969" s="5"/>
      <c r="E969" s="5"/>
      <c r="F969" s="5"/>
      <c r="G969" s="5"/>
      <c r="H969" s="5"/>
      <c r="I969" s="5"/>
      <c r="J969" s="5"/>
      <c r="K969" s="5"/>
    </row>
    <row r="970" spans="1:11" ht="15.75" customHeight="1" x14ac:dyDescent="0.35">
      <c r="A970" s="5"/>
      <c r="B970" s="5"/>
      <c r="C970" s="6"/>
      <c r="D970" s="5"/>
      <c r="E970" s="5"/>
      <c r="F970" s="5"/>
      <c r="G970" s="5"/>
      <c r="H970" s="5"/>
      <c r="I970" s="5"/>
      <c r="J970" s="5"/>
      <c r="K970" s="5"/>
    </row>
    <row r="971" spans="1:11" ht="15.75" customHeight="1" x14ac:dyDescent="0.35">
      <c r="A971" s="5"/>
      <c r="B971" s="5"/>
      <c r="C971" s="6"/>
      <c r="D971" s="5"/>
      <c r="E971" s="5"/>
      <c r="F971" s="5"/>
      <c r="G971" s="5"/>
      <c r="H971" s="5"/>
      <c r="I971" s="5"/>
      <c r="J971" s="5"/>
      <c r="K971" s="5"/>
    </row>
    <row r="972" spans="1:11" ht="15.75" customHeight="1" x14ac:dyDescent="0.35">
      <c r="A972" s="5"/>
      <c r="B972" s="5"/>
      <c r="C972" s="6"/>
      <c r="D972" s="5"/>
      <c r="E972" s="5"/>
      <c r="F972" s="5"/>
      <c r="G972" s="5"/>
      <c r="H972" s="5"/>
      <c r="I972" s="5"/>
      <c r="J972" s="5"/>
      <c r="K972" s="5"/>
    </row>
  </sheetData>
  <autoFilter ref="A1:C140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69"/>
  <sheetViews>
    <sheetView workbookViewId="0">
      <pane ySplit="1" topLeftCell="A130" activePane="bottomLeft" state="frozen"/>
      <selection pane="bottomLeft" activeCell="B111" sqref="B111"/>
    </sheetView>
  </sheetViews>
  <sheetFormatPr defaultColWidth="14.453125" defaultRowHeight="15" customHeight="1" x14ac:dyDescent="0.35"/>
  <cols>
    <col min="1" max="1" width="13.26953125" customWidth="1"/>
    <col min="2" max="2" width="14.08984375" customWidth="1"/>
    <col min="3" max="3" width="19.08984375" customWidth="1"/>
    <col min="4" max="12" width="8.7265625" customWidth="1"/>
  </cols>
  <sheetData>
    <row r="1" spans="1:12" ht="14.5" x14ac:dyDescent="0.35">
      <c r="A1" s="24" t="s">
        <v>178</v>
      </c>
      <c r="B1" s="25" t="s">
        <v>179</v>
      </c>
      <c r="C1" s="25" t="s">
        <v>180</v>
      </c>
      <c r="D1" s="26" t="s">
        <v>171</v>
      </c>
      <c r="E1" s="26" t="s">
        <v>181</v>
      </c>
      <c r="F1" s="26" t="s">
        <v>182</v>
      </c>
      <c r="G1" s="5"/>
      <c r="H1" s="5"/>
      <c r="I1" s="5"/>
      <c r="J1" s="5"/>
      <c r="K1" s="5"/>
      <c r="L1" s="5"/>
    </row>
    <row r="2" spans="1:12" ht="15.5" x14ac:dyDescent="0.35">
      <c r="A2" s="3" t="s">
        <v>1</v>
      </c>
      <c r="B2" s="6">
        <v>2410</v>
      </c>
      <c r="C2" s="4">
        <v>2129</v>
      </c>
      <c r="D2" s="15">
        <v>20.708484106642459</v>
      </c>
      <c r="E2" s="5">
        <v>0</v>
      </c>
      <c r="F2" s="5">
        <v>24</v>
      </c>
      <c r="G2" s="5"/>
      <c r="H2" s="5"/>
      <c r="I2" s="5"/>
      <c r="J2" s="5"/>
      <c r="K2" s="5"/>
      <c r="L2" s="5"/>
    </row>
    <row r="3" spans="1:12" ht="15.5" x14ac:dyDescent="0.35">
      <c r="A3" s="3" t="s">
        <v>3</v>
      </c>
      <c r="B3" s="6">
        <v>12245.0666666667</v>
      </c>
      <c r="C3" s="4">
        <v>2129</v>
      </c>
      <c r="D3" s="15">
        <v>20.708484106642459</v>
      </c>
      <c r="E3" s="5">
        <v>22822</v>
      </c>
      <c r="F3" s="5">
        <v>24</v>
      </c>
      <c r="G3" s="5"/>
      <c r="H3" s="5"/>
      <c r="I3" s="5"/>
      <c r="J3" s="5"/>
      <c r="K3" s="5"/>
      <c r="L3" s="5"/>
    </row>
    <row r="4" spans="1:12" ht="15.5" x14ac:dyDescent="0.35">
      <c r="A4" s="3" t="s">
        <v>4</v>
      </c>
      <c r="B4" s="6">
        <v>1616.42857142857</v>
      </c>
      <c r="C4" s="4">
        <v>2131</v>
      </c>
      <c r="D4" s="15">
        <v>20.708484106642459</v>
      </c>
      <c r="E4" s="5">
        <v>625</v>
      </c>
      <c r="F4" s="5">
        <v>24</v>
      </c>
      <c r="G4" s="5"/>
      <c r="H4" s="5"/>
      <c r="I4" s="5"/>
      <c r="J4" s="5"/>
      <c r="K4" s="5"/>
      <c r="L4" s="5"/>
    </row>
    <row r="5" spans="1:12" ht="15.5" x14ac:dyDescent="0.35">
      <c r="A5" s="3" t="s">
        <v>5</v>
      </c>
      <c r="B5" s="6">
        <v>15641.9</v>
      </c>
      <c r="C5" s="4">
        <v>2131</v>
      </c>
      <c r="D5" s="15">
        <v>20.708484106642459</v>
      </c>
      <c r="E5" s="5">
        <v>8900</v>
      </c>
      <c r="F5" s="5">
        <v>24</v>
      </c>
      <c r="G5" s="5"/>
      <c r="H5" s="5"/>
      <c r="I5" s="5"/>
      <c r="J5" s="5"/>
      <c r="K5" s="5"/>
      <c r="L5" s="5"/>
    </row>
    <row r="6" spans="1:12" ht="15.5" x14ac:dyDescent="0.35">
      <c r="A6" s="3" t="s">
        <v>6</v>
      </c>
      <c r="B6" s="6">
        <v>9646.6</v>
      </c>
      <c r="C6" s="4">
        <v>2131</v>
      </c>
      <c r="D6" s="15">
        <v>20.708484106642459</v>
      </c>
      <c r="E6" s="5">
        <v>17526</v>
      </c>
      <c r="F6" s="5">
        <v>24</v>
      </c>
      <c r="G6" s="5"/>
      <c r="H6" s="5"/>
      <c r="I6" s="5"/>
      <c r="J6" s="5"/>
      <c r="K6" s="5"/>
      <c r="L6" s="5"/>
    </row>
    <row r="7" spans="1:12" ht="15.5" x14ac:dyDescent="0.35">
      <c r="A7" s="3" t="s">
        <v>7</v>
      </c>
      <c r="B7" s="6">
        <v>990.5</v>
      </c>
      <c r="C7" s="4">
        <v>2131</v>
      </c>
      <c r="D7" s="15">
        <v>20.708484106642459</v>
      </c>
      <c r="E7">
        <v>1325</v>
      </c>
      <c r="F7">
        <v>24</v>
      </c>
    </row>
    <row r="8" spans="1:12" ht="15.5" x14ac:dyDescent="0.35">
      <c r="A8" s="3" t="s">
        <v>8</v>
      </c>
      <c r="B8" s="6">
        <v>3780</v>
      </c>
      <c r="C8" s="4">
        <v>1694</v>
      </c>
      <c r="D8" s="15">
        <v>20.708484106642459</v>
      </c>
      <c r="E8">
        <v>0</v>
      </c>
      <c r="F8">
        <v>24</v>
      </c>
    </row>
    <row r="9" spans="1:12" ht="15.5" x14ac:dyDescent="0.35">
      <c r="A9" s="3" t="s">
        <v>10</v>
      </c>
      <c r="B9" s="6">
        <v>66171.666666666701</v>
      </c>
      <c r="C9" s="4">
        <v>2846</v>
      </c>
      <c r="D9" s="15">
        <v>20.708484106642459</v>
      </c>
      <c r="E9">
        <v>282875</v>
      </c>
      <c r="F9">
        <v>24</v>
      </c>
    </row>
    <row r="10" spans="1:12" ht="15.5" x14ac:dyDescent="0.35">
      <c r="A10" s="3" t="s">
        <v>11</v>
      </c>
      <c r="B10" s="6">
        <v>4511.6666666666697</v>
      </c>
      <c r="C10" s="4">
        <v>2129</v>
      </c>
      <c r="D10" s="15">
        <v>20.708484106642459</v>
      </c>
      <c r="E10">
        <v>3020</v>
      </c>
      <c r="F10">
        <v>24</v>
      </c>
    </row>
    <row r="11" spans="1:12" ht="15.5" x14ac:dyDescent="0.35">
      <c r="A11" s="3" t="s">
        <v>12</v>
      </c>
      <c r="B11" s="6">
        <v>15600.863636363601</v>
      </c>
      <c r="C11" s="4">
        <v>2263</v>
      </c>
      <c r="D11" s="15">
        <v>20.708484106642459</v>
      </c>
      <c r="E11">
        <v>58900</v>
      </c>
      <c r="F11">
        <v>24</v>
      </c>
    </row>
    <row r="12" spans="1:12" ht="15.75" customHeight="1" x14ac:dyDescent="0.35">
      <c r="A12" s="3" t="s">
        <v>13</v>
      </c>
      <c r="B12" s="6">
        <v>3478.4</v>
      </c>
      <c r="C12" s="4">
        <v>2732</v>
      </c>
      <c r="D12" s="15">
        <v>20.708484106642459</v>
      </c>
      <c r="E12">
        <v>2104</v>
      </c>
      <c r="F12">
        <v>24</v>
      </c>
    </row>
    <row r="13" spans="1:12" ht="15.75" customHeight="1" x14ac:dyDescent="0.35">
      <c r="A13" s="3" t="s">
        <v>14</v>
      </c>
      <c r="B13" s="6">
        <v>18362.666666666697</v>
      </c>
      <c r="C13" s="4">
        <v>2962</v>
      </c>
      <c r="D13" s="15">
        <v>20.708484106642459</v>
      </c>
      <c r="E13">
        <v>27500</v>
      </c>
      <c r="F13">
        <v>24</v>
      </c>
    </row>
    <row r="14" spans="1:12" ht="15.75" customHeight="1" x14ac:dyDescent="0.35">
      <c r="A14" s="3" t="s">
        <v>15</v>
      </c>
      <c r="B14" s="6">
        <v>124</v>
      </c>
      <c r="C14" s="4">
        <v>2263</v>
      </c>
      <c r="D14" s="15">
        <v>20.708484106642459</v>
      </c>
      <c r="E14">
        <v>0</v>
      </c>
      <c r="F14">
        <v>24</v>
      </c>
    </row>
    <row r="15" spans="1:12" ht="15.75" customHeight="1" x14ac:dyDescent="0.35">
      <c r="A15" s="3" t="s">
        <v>16</v>
      </c>
      <c r="B15" s="6">
        <v>770</v>
      </c>
      <c r="C15" s="4">
        <v>2263</v>
      </c>
      <c r="D15" s="15">
        <v>20.708484106642459</v>
      </c>
      <c r="E15">
        <v>0</v>
      </c>
      <c r="F15">
        <v>24</v>
      </c>
    </row>
    <row r="16" spans="1:12" ht="15.75" customHeight="1" x14ac:dyDescent="0.35">
      <c r="A16" s="3" t="s">
        <v>17</v>
      </c>
      <c r="B16" s="6">
        <v>0</v>
      </c>
      <c r="C16" s="4">
        <v>2268</v>
      </c>
      <c r="D16" s="15">
        <v>20.708484106642459</v>
      </c>
      <c r="E16">
        <v>0</v>
      </c>
      <c r="F16">
        <v>24</v>
      </c>
    </row>
    <row r="17" spans="1:6" ht="15.75" customHeight="1" x14ac:dyDescent="0.35">
      <c r="A17" s="3" t="s">
        <v>18</v>
      </c>
      <c r="B17" s="6">
        <v>7056.0909090909099</v>
      </c>
      <c r="C17" s="4">
        <v>1956</v>
      </c>
      <c r="D17" s="15">
        <v>20.708484106642459</v>
      </c>
      <c r="E17">
        <v>19429</v>
      </c>
      <c r="F17">
        <v>24</v>
      </c>
    </row>
    <row r="18" spans="1:6" ht="15.75" customHeight="1" x14ac:dyDescent="0.35">
      <c r="A18" s="3" t="s">
        <v>20</v>
      </c>
      <c r="B18" s="6">
        <v>3033</v>
      </c>
      <c r="C18" s="4">
        <v>2179</v>
      </c>
      <c r="D18" s="15">
        <v>20.708484106642459</v>
      </c>
      <c r="E18">
        <v>0</v>
      </c>
      <c r="F18">
        <v>24</v>
      </c>
    </row>
    <row r="19" spans="1:6" ht="15.75" customHeight="1" x14ac:dyDescent="0.35">
      <c r="A19" s="3" t="s">
        <v>21</v>
      </c>
      <c r="B19" s="6">
        <v>1495</v>
      </c>
      <c r="C19" s="4">
        <v>2179</v>
      </c>
      <c r="D19" s="15">
        <v>20.708484106642459</v>
      </c>
      <c r="E19">
        <v>0</v>
      </c>
      <c r="F19">
        <v>24</v>
      </c>
    </row>
    <row r="20" spans="1:6" ht="15.75" customHeight="1" x14ac:dyDescent="0.35">
      <c r="A20" s="3" t="s">
        <v>19</v>
      </c>
      <c r="B20" s="6">
        <v>2277.5</v>
      </c>
      <c r="C20" s="4">
        <v>2179</v>
      </c>
      <c r="D20" s="15">
        <v>20.708484106642459</v>
      </c>
      <c r="E20">
        <v>100</v>
      </c>
      <c r="F20">
        <v>24</v>
      </c>
    </row>
    <row r="21" spans="1:6" ht="15.75" customHeight="1" x14ac:dyDescent="0.35">
      <c r="A21" s="3" t="s">
        <v>129</v>
      </c>
      <c r="B21" s="6">
        <v>2493.75</v>
      </c>
      <c r="C21" s="4">
        <v>3145</v>
      </c>
      <c r="D21" s="15">
        <v>20.708484106642459</v>
      </c>
      <c r="E21">
        <v>700</v>
      </c>
      <c r="F21">
        <v>24</v>
      </c>
    </row>
    <row r="22" spans="1:6" ht="15.75" customHeight="1" x14ac:dyDescent="0.35">
      <c r="A22" s="3" t="s">
        <v>22</v>
      </c>
      <c r="B22" s="6">
        <v>8544.75</v>
      </c>
      <c r="C22" s="4">
        <v>2179</v>
      </c>
      <c r="D22" s="15">
        <v>20.708484106642459</v>
      </c>
      <c r="E22">
        <v>17363</v>
      </c>
      <c r="F22">
        <v>24</v>
      </c>
    </row>
    <row r="23" spans="1:6" ht="15.75" customHeight="1" x14ac:dyDescent="0.35">
      <c r="A23" s="3" t="s">
        <v>23</v>
      </c>
      <c r="B23" s="6">
        <v>0</v>
      </c>
      <c r="C23" s="4">
        <v>2268</v>
      </c>
      <c r="D23" s="15">
        <v>20.708484106642459</v>
      </c>
      <c r="E23">
        <v>0</v>
      </c>
      <c r="F23">
        <v>24</v>
      </c>
    </row>
    <row r="24" spans="1:6" ht="15.75" customHeight="1" x14ac:dyDescent="0.35">
      <c r="A24" s="3" t="s">
        <v>130</v>
      </c>
      <c r="B24" s="6">
        <v>12027.272727272701</v>
      </c>
      <c r="C24" s="4">
        <v>2268</v>
      </c>
      <c r="D24" s="15">
        <v>20.708484106642459</v>
      </c>
      <c r="E24">
        <v>31250</v>
      </c>
      <c r="F24">
        <v>24</v>
      </c>
    </row>
    <row r="25" spans="1:6" ht="15.75" customHeight="1" x14ac:dyDescent="0.35">
      <c r="A25" s="3" t="s">
        <v>24</v>
      </c>
      <c r="B25" s="6">
        <v>71</v>
      </c>
      <c r="C25" s="4">
        <v>1956</v>
      </c>
      <c r="D25" s="15">
        <v>20.708484106642459</v>
      </c>
      <c r="E25">
        <v>1050</v>
      </c>
      <c r="F25">
        <v>24</v>
      </c>
    </row>
    <row r="26" spans="1:6" ht="15.75" customHeight="1" x14ac:dyDescent="0.35">
      <c r="A26" s="3" t="s">
        <v>25</v>
      </c>
      <c r="B26" s="6">
        <v>85</v>
      </c>
      <c r="C26" s="4">
        <v>2218</v>
      </c>
      <c r="D26" s="15">
        <v>20.708484106642459</v>
      </c>
      <c r="E26">
        <v>0</v>
      </c>
      <c r="F26">
        <v>24</v>
      </c>
    </row>
    <row r="27" spans="1:6" ht="15.75" customHeight="1" x14ac:dyDescent="0.35">
      <c r="A27" s="3" t="s">
        <v>131</v>
      </c>
      <c r="B27" s="6">
        <v>5505</v>
      </c>
      <c r="C27" s="4">
        <v>2218</v>
      </c>
      <c r="D27" s="15">
        <v>20.708484106642459</v>
      </c>
      <c r="E27">
        <v>16875</v>
      </c>
      <c r="F27">
        <v>24</v>
      </c>
    </row>
    <row r="28" spans="1:6" ht="15.75" customHeight="1" x14ac:dyDescent="0.35">
      <c r="A28" s="3" t="s">
        <v>26</v>
      </c>
      <c r="B28" s="6">
        <v>0</v>
      </c>
      <c r="C28" s="4">
        <v>2218</v>
      </c>
      <c r="D28" s="15">
        <v>20.708484106642459</v>
      </c>
      <c r="E28">
        <v>0</v>
      </c>
      <c r="F28">
        <v>24</v>
      </c>
    </row>
    <row r="29" spans="1:6" ht="15.75" customHeight="1" x14ac:dyDescent="0.35">
      <c r="A29" s="3" t="s">
        <v>28</v>
      </c>
      <c r="B29" s="6">
        <v>2047.25</v>
      </c>
      <c r="C29" s="4">
        <v>2765</v>
      </c>
      <c r="D29" s="15">
        <v>20.708484106642459</v>
      </c>
      <c r="E29">
        <v>3494</v>
      </c>
      <c r="F29">
        <v>24</v>
      </c>
    </row>
    <row r="30" spans="1:6" ht="15.75" customHeight="1" x14ac:dyDescent="0.35">
      <c r="A30" s="3" t="s">
        <v>29</v>
      </c>
      <c r="B30" s="6">
        <v>18308</v>
      </c>
      <c r="C30" s="4">
        <v>4592</v>
      </c>
      <c r="D30" s="15">
        <v>20.708484106642459</v>
      </c>
      <c r="E30">
        <v>25630</v>
      </c>
      <c r="F30">
        <v>24</v>
      </c>
    </row>
    <row r="31" spans="1:6" ht="15.75" customHeight="1" x14ac:dyDescent="0.35">
      <c r="A31" s="3" t="s">
        <v>30</v>
      </c>
      <c r="B31" s="6">
        <v>16418.3</v>
      </c>
      <c r="C31" s="4">
        <v>2297</v>
      </c>
      <c r="D31" s="15">
        <v>20.708484106642459</v>
      </c>
      <c r="E31">
        <v>48035</v>
      </c>
      <c r="F31">
        <v>24</v>
      </c>
    </row>
    <row r="32" spans="1:6" ht="15.75" customHeight="1" x14ac:dyDescent="0.35">
      <c r="A32" s="3" t="s">
        <v>31</v>
      </c>
      <c r="B32" s="6">
        <v>1910.25</v>
      </c>
      <c r="C32" s="4">
        <v>2616</v>
      </c>
      <c r="D32" s="15">
        <v>20.708484106642459</v>
      </c>
      <c r="E32">
        <v>1225</v>
      </c>
      <c r="F32">
        <v>24</v>
      </c>
    </row>
    <row r="33" spans="1:6" ht="15.75" customHeight="1" x14ac:dyDescent="0.35">
      <c r="A33" s="3" t="s">
        <v>33</v>
      </c>
      <c r="B33" s="6">
        <v>22472.333333333303</v>
      </c>
      <c r="C33" s="4">
        <v>1968</v>
      </c>
      <c r="D33" s="15">
        <v>20.708484106642459</v>
      </c>
      <c r="E33">
        <v>142125</v>
      </c>
      <c r="F33">
        <v>24</v>
      </c>
    </row>
    <row r="34" spans="1:6" ht="15.75" customHeight="1" x14ac:dyDescent="0.35">
      <c r="A34" s="3" t="s">
        <v>35</v>
      </c>
      <c r="B34" s="6">
        <v>35953.407407407401</v>
      </c>
      <c r="C34" s="4">
        <v>2503</v>
      </c>
      <c r="D34" s="15">
        <v>20.708484106642459</v>
      </c>
      <c r="E34">
        <v>202822</v>
      </c>
      <c r="F34">
        <v>24</v>
      </c>
    </row>
    <row r="35" spans="1:6" ht="15.75" customHeight="1" x14ac:dyDescent="0.35">
      <c r="A35" s="3" t="s">
        <v>36</v>
      </c>
      <c r="B35" s="6">
        <v>311</v>
      </c>
      <c r="C35" s="4">
        <v>2103</v>
      </c>
      <c r="D35" s="15">
        <v>20.708484106642459</v>
      </c>
      <c r="E35">
        <v>0</v>
      </c>
      <c r="F35">
        <v>24</v>
      </c>
    </row>
    <row r="36" spans="1:6" ht="15.75" customHeight="1" x14ac:dyDescent="0.35">
      <c r="A36" s="3" t="s">
        <v>37</v>
      </c>
      <c r="B36" s="6">
        <v>7247.2142857142899</v>
      </c>
      <c r="C36" s="4">
        <v>2802</v>
      </c>
      <c r="D36" s="15">
        <v>20.708484106642459</v>
      </c>
      <c r="E36">
        <v>21420</v>
      </c>
      <c r="F36">
        <v>24</v>
      </c>
    </row>
    <row r="37" spans="1:6" ht="15.75" customHeight="1" x14ac:dyDescent="0.35">
      <c r="A37" s="3" t="s">
        <v>149</v>
      </c>
      <c r="B37" s="6">
        <v>8137.5</v>
      </c>
      <c r="C37" s="4">
        <v>2103</v>
      </c>
      <c r="D37" s="15">
        <v>20.708484106642459</v>
      </c>
      <c r="E37">
        <v>5375</v>
      </c>
      <c r="F37">
        <v>24</v>
      </c>
    </row>
    <row r="38" spans="1:6" ht="15.75" customHeight="1" x14ac:dyDescent="0.35">
      <c r="A38" s="3" t="s">
        <v>38</v>
      </c>
      <c r="B38" s="6">
        <v>27574.8461538462</v>
      </c>
      <c r="C38" s="4">
        <v>2126</v>
      </c>
      <c r="D38" s="15">
        <v>20.708484106642459</v>
      </c>
      <c r="E38">
        <v>134201</v>
      </c>
      <c r="F38">
        <v>24</v>
      </c>
    </row>
    <row r="39" spans="1:6" ht="15.75" customHeight="1" x14ac:dyDescent="0.35">
      <c r="A39" s="3" t="s">
        <v>144</v>
      </c>
      <c r="B39" s="6">
        <v>7734.375</v>
      </c>
      <c r="C39" s="4">
        <v>2514</v>
      </c>
      <c r="D39" s="15">
        <v>20.708484106642459</v>
      </c>
      <c r="E39">
        <v>18725</v>
      </c>
      <c r="F39">
        <v>24</v>
      </c>
    </row>
    <row r="40" spans="1:6" ht="15.75" customHeight="1" x14ac:dyDescent="0.35">
      <c r="A40" s="3" t="s">
        <v>40</v>
      </c>
      <c r="B40" s="6">
        <v>6996.125</v>
      </c>
      <c r="C40" s="4">
        <v>1956</v>
      </c>
      <c r="D40" s="15">
        <v>20.708484106642459</v>
      </c>
      <c r="E40">
        <v>25388</v>
      </c>
      <c r="F40">
        <v>24</v>
      </c>
    </row>
    <row r="41" spans="1:6" ht="15.75" customHeight="1" x14ac:dyDescent="0.35">
      <c r="A41" s="3" t="s">
        <v>154</v>
      </c>
      <c r="B41" s="6">
        <v>14617.545454545501</v>
      </c>
      <c r="C41" s="4">
        <v>2514</v>
      </c>
      <c r="D41" s="15">
        <v>20.708484106642459</v>
      </c>
      <c r="E41">
        <v>22492</v>
      </c>
      <c r="F41">
        <v>24</v>
      </c>
    </row>
    <row r="42" spans="1:6" ht="15.75" customHeight="1" x14ac:dyDescent="0.35">
      <c r="A42" s="3" t="s">
        <v>41</v>
      </c>
      <c r="B42" s="6">
        <v>29906</v>
      </c>
      <c r="C42" s="4">
        <v>3391</v>
      </c>
      <c r="D42" s="15">
        <v>20.708484106642459</v>
      </c>
      <c r="E42">
        <v>30907</v>
      </c>
      <c r="F42">
        <v>24</v>
      </c>
    </row>
    <row r="43" spans="1:6" ht="15.75" customHeight="1" x14ac:dyDescent="0.35">
      <c r="A43" s="3" t="s">
        <v>42</v>
      </c>
      <c r="B43" s="6">
        <v>24697.0625</v>
      </c>
      <c r="C43" s="4">
        <v>3549</v>
      </c>
      <c r="D43" s="15">
        <v>20.708484106642459</v>
      </c>
      <c r="E43">
        <v>13845</v>
      </c>
      <c r="F43">
        <v>24</v>
      </c>
    </row>
    <row r="44" spans="1:6" ht="15.75" customHeight="1" x14ac:dyDescent="0.35">
      <c r="A44" s="3" t="s">
        <v>43</v>
      </c>
      <c r="B44" s="6">
        <v>30463.384615384603</v>
      </c>
      <c r="C44" s="4">
        <v>2129</v>
      </c>
      <c r="D44" s="15">
        <v>20.708484106642459</v>
      </c>
      <c r="E44">
        <v>40248</v>
      </c>
      <c r="F44">
        <v>24</v>
      </c>
    </row>
    <row r="45" spans="1:6" ht="15.75" customHeight="1" x14ac:dyDescent="0.35">
      <c r="A45" s="3" t="s">
        <v>44</v>
      </c>
      <c r="B45" s="6">
        <v>6084.5</v>
      </c>
      <c r="C45" s="4">
        <v>2129</v>
      </c>
      <c r="D45" s="15">
        <v>20.708484106642459</v>
      </c>
      <c r="E45">
        <v>17950</v>
      </c>
      <c r="F45">
        <v>24</v>
      </c>
    </row>
    <row r="46" spans="1:6" ht="15.75" customHeight="1" x14ac:dyDescent="0.35">
      <c r="A46" s="3" t="s">
        <v>45</v>
      </c>
      <c r="B46" s="6">
        <v>1069</v>
      </c>
      <c r="C46" s="4">
        <v>2131</v>
      </c>
      <c r="D46" s="15">
        <v>20.708484106642459</v>
      </c>
      <c r="E46">
        <v>500</v>
      </c>
      <c r="F46">
        <v>24</v>
      </c>
    </row>
    <row r="47" spans="1:6" ht="15.75" customHeight="1" x14ac:dyDescent="0.35">
      <c r="A47" s="3" t="s">
        <v>46</v>
      </c>
      <c r="B47" s="6">
        <v>5511.75</v>
      </c>
      <c r="C47" s="4">
        <v>2131</v>
      </c>
      <c r="D47" s="15">
        <v>20.708484106642459</v>
      </c>
      <c r="E47">
        <v>5103</v>
      </c>
      <c r="F47">
        <v>24</v>
      </c>
    </row>
    <row r="48" spans="1:6" ht="15.75" customHeight="1" x14ac:dyDescent="0.35">
      <c r="A48" s="3" t="s">
        <v>47</v>
      </c>
      <c r="B48" s="6">
        <v>38789.473684210498</v>
      </c>
      <c r="C48" s="4">
        <v>2245</v>
      </c>
      <c r="D48" s="15">
        <v>20.708484106642459</v>
      </c>
      <c r="E48">
        <v>55136</v>
      </c>
      <c r="F48">
        <v>24</v>
      </c>
    </row>
    <row r="49" spans="1:6" ht="15.75" customHeight="1" x14ac:dyDescent="0.35">
      <c r="A49" s="3" t="s">
        <v>48</v>
      </c>
      <c r="B49" s="6">
        <v>873</v>
      </c>
      <c r="C49" s="4">
        <v>2121</v>
      </c>
      <c r="D49" s="15">
        <v>20.708484106642459</v>
      </c>
      <c r="E49">
        <v>0</v>
      </c>
      <c r="F49">
        <v>24</v>
      </c>
    </row>
    <row r="50" spans="1:6" ht="15.75" customHeight="1" x14ac:dyDescent="0.35">
      <c r="A50" s="3" t="s">
        <v>150</v>
      </c>
      <c r="B50" s="6">
        <v>31273.5</v>
      </c>
      <c r="C50" s="4">
        <v>2121</v>
      </c>
      <c r="D50" s="15">
        <v>20.708484106642459</v>
      </c>
      <c r="E50">
        <v>37616</v>
      </c>
      <c r="F50">
        <v>24</v>
      </c>
    </row>
    <row r="51" spans="1:6" ht="15.75" customHeight="1" x14ac:dyDescent="0.35">
      <c r="A51" s="3" t="s">
        <v>151</v>
      </c>
      <c r="B51" s="6">
        <v>1050</v>
      </c>
      <c r="C51" s="4">
        <v>2121</v>
      </c>
      <c r="D51" s="15">
        <v>20.708484106642459</v>
      </c>
      <c r="E51">
        <v>1050</v>
      </c>
      <c r="F51">
        <v>24</v>
      </c>
    </row>
    <row r="52" spans="1:6" ht="15.75" customHeight="1" x14ac:dyDescent="0.35">
      <c r="A52" s="3" t="s">
        <v>50</v>
      </c>
      <c r="B52" s="6">
        <v>1380</v>
      </c>
      <c r="C52" s="4">
        <v>4592</v>
      </c>
      <c r="D52" s="15">
        <v>20.708484106642459</v>
      </c>
      <c r="E52">
        <v>2600</v>
      </c>
      <c r="F52">
        <v>24</v>
      </c>
    </row>
    <row r="53" spans="1:6" ht="15.75" customHeight="1" x14ac:dyDescent="0.35">
      <c r="A53" s="3" t="s">
        <v>51</v>
      </c>
      <c r="B53" s="6">
        <v>10973.166666666701</v>
      </c>
      <c r="C53" s="4">
        <v>2297</v>
      </c>
      <c r="D53" s="15">
        <v>20.708484106642459</v>
      </c>
      <c r="E53">
        <v>8625</v>
      </c>
      <c r="F53">
        <v>24</v>
      </c>
    </row>
    <row r="54" spans="1:6" ht="15.75" customHeight="1" x14ac:dyDescent="0.35">
      <c r="A54" s="3" t="s">
        <v>52</v>
      </c>
      <c r="B54" s="6">
        <v>1530.3333333333301</v>
      </c>
      <c r="C54" s="4">
        <v>4592</v>
      </c>
      <c r="D54" s="15">
        <v>20.708484106642459</v>
      </c>
      <c r="E54">
        <v>656</v>
      </c>
      <c r="F54">
        <v>24</v>
      </c>
    </row>
    <row r="55" spans="1:6" ht="15.75" customHeight="1" x14ac:dyDescent="0.35">
      <c r="A55" s="3" t="s">
        <v>53</v>
      </c>
      <c r="B55" s="6">
        <v>1942</v>
      </c>
      <c r="C55" s="4">
        <v>4592</v>
      </c>
      <c r="D55" s="15">
        <v>20.708484106642459</v>
      </c>
      <c r="E55">
        <v>750</v>
      </c>
      <c r="F55">
        <v>24</v>
      </c>
    </row>
    <row r="56" spans="1:6" ht="15.75" customHeight="1" x14ac:dyDescent="0.35">
      <c r="A56" s="3" t="s">
        <v>145</v>
      </c>
      <c r="B56" s="6">
        <v>1962.5</v>
      </c>
      <c r="C56" s="4">
        <v>2103</v>
      </c>
      <c r="D56" s="15">
        <v>20.708484106642459</v>
      </c>
      <c r="E56">
        <v>1825</v>
      </c>
      <c r="F56">
        <v>24</v>
      </c>
    </row>
    <row r="57" spans="1:6" ht="15.75" customHeight="1" x14ac:dyDescent="0.35">
      <c r="A57" s="3" t="s">
        <v>55</v>
      </c>
      <c r="B57" s="6">
        <v>7927.2727272727298</v>
      </c>
      <c r="C57" s="4">
        <v>2103</v>
      </c>
      <c r="D57" s="15">
        <v>20.708484106642459</v>
      </c>
      <c r="E57">
        <v>13250</v>
      </c>
      <c r="F57">
        <v>24</v>
      </c>
    </row>
    <row r="58" spans="1:6" ht="15.75" customHeight="1" x14ac:dyDescent="0.35">
      <c r="A58" s="3" t="s">
        <v>56</v>
      </c>
      <c r="B58" s="6">
        <v>2234</v>
      </c>
      <c r="C58" s="4">
        <v>4592</v>
      </c>
      <c r="D58" s="15">
        <v>20.708484106642459</v>
      </c>
      <c r="E58">
        <v>2600</v>
      </c>
      <c r="F58">
        <v>24</v>
      </c>
    </row>
    <row r="59" spans="1:6" ht="15.75" customHeight="1" x14ac:dyDescent="0.35">
      <c r="A59" s="3" t="s">
        <v>57</v>
      </c>
      <c r="B59" s="6">
        <v>2275.4</v>
      </c>
      <c r="C59" s="4">
        <v>2297</v>
      </c>
      <c r="D59" s="15">
        <v>20.708484106642459</v>
      </c>
      <c r="E59">
        <v>2722</v>
      </c>
      <c r="F59">
        <v>24</v>
      </c>
    </row>
    <row r="60" spans="1:6" ht="15.75" customHeight="1" x14ac:dyDescent="0.35">
      <c r="A60" s="3" t="s">
        <v>58</v>
      </c>
      <c r="B60" s="6">
        <v>1592</v>
      </c>
      <c r="C60" s="4">
        <v>2616</v>
      </c>
      <c r="D60" s="15">
        <v>20.708484106642459</v>
      </c>
      <c r="E60">
        <v>675</v>
      </c>
      <c r="F60">
        <v>24</v>
      </c>
    </row>
    <row r="61" spans="1:6" ht="15.75" customHeight="1" x14ac:dyDescent="0.35">
      <c r="A61" s="3" t="s">
        <v>59</v>
      </c>
      <c r="B61" s="6">
        <v>1481.3333333333301</v>
      </c>
      <c r="C61" s="4">
        <v>2616</v>
      </c>
      <c r="D61" s="15">
        <v>20.708484106642459</v>
      </c>
      <c r="E61">
        <v>325</v>
      </c>
      <c r="F61">
        <v>24</v>
      </c>
    </row>
    <row r="62" spans="1:6" ht="15.75" customHeight="1" x14ac:dyDescent="0.35">
      <c r="A62" s="3" t="s">
        <v>60</v>
      </c>
      <c r="B62" s="6">
        <v>360</v>
      </c>
      <c r="C62" s="4">
        <v>7550</v>
      </c>
      <c r="D62" s="15">
        <v>20.708484106642459</v>
      </c>
      <c r="E62">
        <v>0</v>
      </c>
      <c r="F62">
        <v>24</v>
      </c>
    </row>
    <row r="63" spans="1:6" ht="15.75" customHeight="1" x14ac:dyDescent="0.35">
      <c r="A63" s="3" t="s">
        <v>61</v>
      </c>
      <c r="B63" s="6">
        <v>15738.4285714286</v>
      </c>
      <c r="C63" s="4">
        <v>7550</v>
      </c>
      <c r="D63" s="15">
        <v>20.708484106642459</v>
      </c>
      <c r="E63">
        <v>35670</v>
      </c>
      <c r="F63">
        <v>24</v>
      </c>
    </row>
    <row r="64" spans="1:6" ht="15.75" customHeight="1" x14ac:dyDescent="0.35">
      <c r="A64" s="3" t="s">
        <v>62</v>
      </c>
      <c r="B64" s="6">
        <v>2990.4</v>
      </c>
      <c r="C64" s="4">
        <v>4592</v>
      </c>
      <c r="D64" s="15">
        <v>20.708484106642459</v>
      </c>
      <c r="E64">
        <v>2180</v>
      </c>
      <c r="F64">
        <v>24</v>
      </c>
    </row>
    <row r="65" spans="1:6" ht="15.75" customHeight="1" x14ac:dyDescent="0.35">
      <c r="A65" s="3" t="s">
        <v>63</v>
      </c>
      <c r="B65" s="6">
        <v>4824.6363636363603</v>
      </c>
      <c r="C65" s="4">
        <v>2297</v>
      </c>
      <c r="D65" s="15">
        <v>20.708484106642459</v>
      </c>
      <c r="E65">
        <v>11075</v>
      </c>
      <c r="F65">
        <v>24</v>
      </c>
    </row>
    <row r="66" spans="1:6" ht="15.75" customHeight="1" x14ac:dyDescent="0.35">
      <c r="A66" s="3" t="s">
        <v>64</v>
      </c>
      <c r="B66" s="6">
        <v>735</v>
      </c>
      <c r="C66" s="4">
        <v>2616</v>
      </c>
      <c r="D66" s="15">
        <v>20.708484106642459</v>
      </c>
      <c r="E66">
        <v>825</v>
      </c>
      <c r="F66">
        <v>24</v>
      </c>
    </row>
    <row r="67" spans="1:6" ht="15.75" customHeight="1" x14ac:dyDescent="0.35">
      <c r="A67" s="3" t="s">
        <v>65</v>
      </c>
      <c r="B67" s="6">
        <v>1073.5</v>
      </c>
      <c r="C67" s="4">
        <v>2616</v>
      </c>
      <c r="D67" s="15">
        <v>20.708484106642459</v>
      </c>
      <c r="E67">
        <v>275</v>
      </c>
      <c r="F67">
        <v>24</v>
      </c>
    </row>
    <row r="68" spans="1:6" ht="15.75" customHeight="1" x14ac:dyDescent="0.35">
      <c r="A68" s="3" t="s">
        <v>66</v>
      </c>
      <c r="B68" s="6">
        <v>1534.3333333333301</v>
      </c>
      <c r="C68" s="4">
        <v>4592</v>
      </c>
      <c r="D68" s="15">
        <v>20.708484106642459</v>
      </c>
      <c r="E68">
        <v>1688</v>
      </c>
      <c r="F68">
        <v>24</v>
      </c>
    </row>
    <row r="69" spans="1:6" ht="15.75" customHeight="1" x14ac:dyDescent="0.35">
      <c r="A69" s="3" t="s">
        <v>67</v>
      </c>
      <c r="B69" s="6">
        <v>11788.333333333299</v>
      </c>
      <c r="C69" s="4">
        <v>2297</v>
      </c>
      <c r="D69" s="15">
        <v>20.708484106642459</v>
      </c>
      <c r="E69">
        <v>3260</v>
      </c>
      <c r="F69">
        <v>24</v>
      </c>
    </row>
    <row r="70" spans="1:6" ht="15.75" customHeight="1" x14ac:dyDescent="0.35">
      <c r="A70" s="3" t="s">
        <v>68</v>
      </c>
      <c r="B70" s="6">
        <v>1658.3333333333301</v>
      </c>
      <c r="C70" s="4">
        <v>2616</v>
      </c>
      <c r="D70" s="15">
        <v>20.708484106642459</v>
      </c>
      <c r="E70">
        <v>500</v>
      </c>
      <c r="F70">
        <v>24</v>
      </c>
    </row>
    <row r="71" spans="1:6" ht="15.75" customHeight="1" x14ac:dyDescent="0.35">
      <c r="A71" s="3" t="s">
        <v>69</v>
      </c>
      <c r="B71" s="6">
        <v>664</v>
      </c>
      <c r="C71" s="4">
        <v>1419</v>
      </c>
      <c r="D71" s="15">
        <v>20.708484106642459</v>
      </c>
      <c r="E71">
        <v>600</v>
      </c>
      <c r="F71">
        <v>24</v>
      </c>
    </row>
    <row r="72" spans="1:6" ht="15.75" customHeight="1" x14ac:dyDescent="0.35">
      <c r="A72" s="3" t="s">
        <v>70</v>
      </c>
      <c r="B72" s="6">
        <v>8154.7142857142899</v>
      </c>
      <c r="C72" s="4">
        <v>1968</v>
      </c>
      <c r="D72" s="15">
        <v>20.708484106642459</v>
      </c>
      <c r="E72">
        <v>45686</v>
      </c>
      <c r="F72">
        <v>24</v>
      </c>
    </row>
    <row r="73" spans="1:6" ht="15.75" customHeight="1" x14ac:dyDescent="0.35">
      <c r="A73" s="3" t="s">
        <v>73</v>
      </c>
      <c r="B73" s="6">
        <v>12723.6363636364</v>
      </c>
      <c r="C73" s="4">
        <v>1968</v>
      </c>
      <c r="D73" s="15">
        <v>20.708484106642459</v>
      </c>
      <c r="E73">
        <v>15535</v>
      </c>
      <c r="F73">
        <v>24</v>
      </c>
    </row>
    <row r="74" spans="1:6" ht="15.75" customHeight="1" x14ac:dyDescent="0.35">
      <c r="A74" s="3" t="s">
        <v>146</v>
      </c>
      <c r="B74" s="6">
        <v>9210.6363636363603</v>
      </c>
      <c r="C74" s="4">
        <v>2157</v>
      </c>
      <c r="D74" s="15">
        <v>20.708484106642459</v>
      </c>
      <c r="E74">
        <v>16644</v>
      </c>
      <c r="F74">
        <v>24</v>
      </c>
    </row>
    <row r="75" spans="1:6" ht="15.75" customHeight="1" x14ac:dyDescent="0.35">
      <c r="A75" s="3" t="s">
        <v>75</v>
      </c>
      <c r="B75" s="6">
        <v>3704.3</v>
      </c>
      <c r="C75" s="4">
        <v>2031</v>
      </c>
      <c r="D75" s="15">
        <v>20.708484106642459</v>
      </c>
      <c r="E75">
        <v>10910</v>
      </c>
      <c r="F75">
        <v>24</v>
      </c>
    </row>
    <row r="76" spans="1:6" ht="15.75" customHeight="1" x14ac:dyDescent="0.35">
      <c r="A76" s="3" t="s">
        <v>76</v>
      </c>
      <c r="B76" s="6">
        <v>6981.7</v>
      </c>
      <c r="C76" s="4">
        <v>2031</v>
      </c>
      <c r="D76" s="15">
        <v>20.708484106642459</v>
      </c>
      <c r="E76">
        <v>9744</v>
      </c>
      <c r="F76">
        <v>24</v>
      </c>
    </row>
    <row r="77" spans="1:6" ht="15.75" customHeight="1" x14ac:dyDescent="0.35">
      <c r="A77" s="3" t="s">
        <v>77</v>
      </c>
      <c r="B77" s="6">
        <v>518.75</v>
      </c>
      <c r="C77" s="4">
        <v>2642</v>
      </c>
      <c r="D77" s="15">
        <v>20.708484106642459</v>
      </c>
      <c r="E77">
        <v>1600</v>
      </c>
      <c r="F77">
        <v>24</v>
      </c>
    </row>
    <row r="78" spans="1:6" ht="15.75" customHeight="1" x14ac:dyDescent="0.35">
      <c r="A78" s="3" t="s">
        <v>78</v>
      </c>
      <c r="B78" s="6">
        <v>2675</v>
      </c>
      <c r="C78" s="4">
        <v>2642</v>
      </c>
      <c r="D78" s="15">
        <v>20.708484106642459</v>
      </c>
      <c r="E78">
        <v>2925</v>
      </c>
      <c r="F78">
        <v>24</v>
      </c>
    </row>
    <row r="79" spans="1:6" ht="15.75" customHeight="1" x14ac:dyDescent="0.35">
      <c r="A79" s="3" t="s">
        <v>79</v>
      </c>
      <c r="B79" s="6">
        <v>450</v>
      </c>
      <c r="C79" s="4">
        <v>2488</v>
      </c>
      <c r="D79" s="15">
        <v>20.708484106642459</v>
      </c>
      <c r="E79">
        <v>175</v>
      </c>
      <c r="F79">
        <v>24</v>
      </c>
    </row>
    <row r="80" spans="1:6" ht="15.75" customHeight="1" x14ac:dyDescent="0.35">
      <c r="A80" s="3" t="s">
        <v>80</v>
      </c>
      <c r="B80" s="6">
        <v>1796.42857142857</v>
      </c>
      <c r="C80" s="4">
        <v>2431</v>
      </c>
      <c r="D80" s="15">
        <v>20.708484106642459</v>
      </c>
      <c r="E80">
        <v>2650</v>
      </c>
      <c r="F80">
        <v>24</v>
      </c>
    </row>
    <row r="81" spans="1:6" ht="15.75" customHeight="1" x14ac:dyDescent="0.35">
      <c r="A81" s="3" t="s">
        <v>81</v>
      </c>
      <c r="B81" s="6">
        <v>4356.1666666666697</v>
      </c>
      <c r="C81" s="4">
        <v>4592</v>
      </c>
      <c r="D81" s="15">
        <v>20.708484106642459</v>
      </c>
      <c r="E81">
        <v>4370</v>
      </c>
      <c r="F81">
        <v>24</v>
      </c>
    </row>
    <row r="82" spans="1:6" ht="15.75" customHeight="1" x14ac:dyDescent="0.35">
      <c r="A82" s="3" t="s">
        <v>82</v>
      </c>
      <c r="B82" s="6">
        <v>2525</v>
      </c>
      <c r="C82" s="4">
        <v>2297</v>
      </c>
      <c r="D82" s="15">
        <v>20.708484106642459</v>
      </c>
      <c r="E82">
        <v>1475</v>
      </c>
      <c r="F82">
        <v>24</v>
      </c>
    </row>
    <row r="83" spans="1:6" ht="15.75" customHeight="1" x14ac:dyDescent="0.35">
      <c r="A83" s="3" t="s">
        <v>83</v>
      </c>
      <c r="B83" s="6">
        <v>1275</v>
      </c>
      <c r="C83" s="4">
        <v>2616</v>
      </c>
      <c r="D83" s="15">
        <v>20.708484106642459</v>
      </c>
      <c r="E83">
        <v>575</v>
      </c>
      <c r="F83">
        <v>24</v>
      </c>
    </row>
    <row r="84" spans="1:6" ht="15.75" customHeight="1" x14ac:dyDescent="0.35">
      <c r="A84" s="3" t="s">
        <v>84</v>
      </c>
      <c r="B84" s="6">
        <v>7405.8571428571404</v>
      </c>
      <c r="C84" s="4">
        <v>1419</v>
      </c>
      <c r="D84" s="15">
        <v>20.708484106642459</v>
      </c>
      <c r="E84">
        <v>14249</v>
      </c>
      <c r="F84">
        <v>24</v>
      </c>
    </row>
    <row r="85" spans="1:6" ht="15.75" customHeight="1" x14ac:dyDescent="0.35">
      <c r="A85" s="3" t="s">
        <v>85</v>
      </c>
      <c r="B85" s="6">
        <v>1578</v>
      </c>
      <c r="C85" s="4">
        <v>2616</v>
      </c>
      <c r="D85" s="15">
        <v>20.708484106642459</v>
      </c>
      <c r="E85">
        <v>425</v>
      </c>
      <c r="F85">
        <v>24</v>
      </c>
    </row>
    <row r="86" spans="1:6" ht="15.75" customHeight="1" x14ac:dyDescent="0.35">
      <c r="A86" s="3" t="s">
        <v>86</v>
      </c>
      <c r="B86" s="6">
        <v>10894.142857142899</v>
      </c>
      <c r="C86" s="4">
        <v>2246</v>
      </c>
      <c r="D86" s="15">
        <v>20.708484106642459</v>
      </c>
      <c r="E86">
        <v>7256</v>
      </c>
      <c r="F86">
        <v>24</v>
      </c>
    </row>
    <row r="87" spans="1:6" ht="15.75" customHeight="1" x14ac:dyDescent="0.35">
      <c r="A87" s="3" t="s">
        <v>87</v>
      </c>
      <c r="B87" s="6">
        <v>6858.5</v>
      </c>
      <c r="C87" s="4">
        <v>2355</v>
      </c>
      <c r="D87" s="15">
        <v>20.708484106642459</v>
      </c>
      <c r="E87">
        <v>7700</v>
      </c>
      <c r="F87">
        <v>24</v>
      </c>
    </row>
    <row r="88" spans="1:6" ht="15.75" customHeight="1" x14ac:dyDescent="0.35">
      <c r="A88" s="3" t="s">
        <v>88</v>
      </c>
      <c r="B88" s="6">
        <v>6194.375</v>
      </c>
      <c r="C88" s="4">
        <v>2031</v>
      </c>
      <c r="D88" s="15">
        <v>20.708484106642459</v>
      </c>
      <c r="E88">
        <v>6282</v>
      </c>
      <c r="F88">
        <v>24</v>
      </c>
    </row>
    <row r="89" spans="1:6" ht="15.75" customHeight="1" x14ac:dyDescent="0.35">
      <c r="A89" s="3" t="s">
        <v>89</v>
      </c>
      <c r="B89" s="6">
        <v>3553.5714285714303</v>
      </c>
      <c r="C89" s="4">
        <v>2108</v>
      </c>
      <c r="D89" s="15">
        <v>20.708484106642459</v>
      </c>
      <c r="E89">
        <v>5400</v>
      </c>
      <c r="F89">
        <v>24</v>
      </c>
    </row>
    <row r="90" spans="1:6" ht="15.75" customHeight="1" x14ac:dyDescent="0.35">
      <c r="A90" s="3" t="s">
        <v>90</v>
      </c>
      <c r="B90" s="6">
        <v>1140</v>
      </c>
      <c r="C90" s="4">
        <v>2173</v>
      </c>
      <c r="D90" s="15">
        <v>20.708484106642459</v>
      </c>
      <c r="E90">
        <v>2400</v>
      </c>
      <c r="F90">
        <v>24</v>
      </c>
    </row>
    <row r="91" spans="1:6" ht="15.75" customHeight="1" x14ac:dyDescent="0.35">
      <c r="A91" s="3" t="s">
        <v>92</v>
      </c>
      <c r="B91" s="6">
        <v>175</v>
      </c>
      <c r="C91" s="4">
        <v>1993</v>
      </c>
      <c r="D91" s="15">
        <v>20.708484106642459</v>
      </c>
      <c r="E91">
        <v>0</v>
      </c>
      <c r="F91">
        <v>24</v>
      </c>
    </row>
    <row r="92" spans="1:6" ht="15.75" customHeight="1" x14ac:dyDescent="0.35">
      <c r="A92" s="3" t="s">
        <v>93</v>
      </c>
      <c r="B92" s="6">
        <v>60</v>
      </c>
      <c r="C92" s="4">
        <v>2205</v>
      </c>
      <c r="D92" s="15">
        <v>20.708484106642459</v>
      </c>
      <c r="E92">
        <v>445</v>
      </c>
      <c r="F92">
        <v>24</v>
      </c>
    </row>
    <row r="93" spans="1:6" ht="15.75" customHeight="1" x14ac:dyDescent="0.35">
      <c r="A93" s="3" t="s">
        <v>94</v>
      </c>
      <c r="B93" s="6">
        <v>2160.5</v>
      </c>
      <c r="C93" s="4">
        <v>2503</v>
      </c>
      <c r="D93" s="15">
        <v>20.708484106642459</v>
      </c>
      <c r="E93">
        <v>7813</v>
      </c>
      <c r="F93">
        <v>24</v>
      </c>
    </row>
    <row r="94" spans="1:6" ht="15.75" customHeight="1" x14ac:dyDescent="0.35">
      <c r="A94" s="3" t="s">
        <v>95</v>
      </c>
      <c r="B94" s="6">
        <v>3775</v>
      </c>
      <c r="C94" s="4">
        <v>2355</v>
      </c>
      <c r="D94" s="15">
        <v>20.708484106642459</v>
      </c>
      <c r="E94">
        <v>4000</v>
      </c>
      <c r="F94">
        <v>24</v>
      </c>
    </row>
    <row r="95" spans="1:6" ht="15.75" customHeight="1" x14ac:dyDescent="0.35">
      <c r="A95" s="3" t="s">
        <v>96</v>
      </c>
      <c r="B95" s="6">
        <v>792.5</v>
      </c>
      <c r="C95" s="4">
        <v>2216</v>
      </c>
      <c r="D95" s="15">
        <v>20.708484106642459</v>
      </c>
      <c r="E95">
        <v>2101</v>
      </c>
      <c r="F95">
        <v>24</v>
      </c>
    </row>
    <row r="96" spans="1:6" ht="15.75" customHeight="1" x14ac:dyDescent="0.35">
      <c r="A96" s="3" t="s">
        <v>97</v>
      </c>
      <c r="B96" s="6">
        <v>4062.5</v>
      </c>
      <c r="C96" s="4">
        <v>1968</v>
      </c>
      <c r="D96" s="15">
        <v>20.708484106642459</v>
      </c>
      <c r="E96">
        <v>1575</v>
      </c>
      <c r="F96">
        <v>24</v>
      </c>
    </row>
    <row r="97" spans="1:6" ht="15.75" customHeight="1" x14ac:dyDescent="0.35">
      <c r="A97" s="3" t="s">
        <v>147</v>
      </c>
      <c r="B97" s="6">
        <v>4166.6666666666697</v>
      </c>
      <c r="C97" s="4">
        <v>2297</v>
      </c>
      <c r="D97" s="15">
        <v>20.708484106642459</v>
      </c>
      <c r="E97">
        <v>1700</v>
      </c>
      <c r="F97">
        <v>24</v>
      </c>
    </row>
    <row r="98" spans="1:6" ht="15.75" customHeight="1" x14ac:dyDescent="0.35">
      <c r="A98" s="3" t="s">
        <v>148</v>
      </c>
      <c r="B98" s="6">
        <v>2000</v>
      </c>
      <c r="C98" s="4">
        <v>2616</v>
      </c>
      <c r="D98" s="15">
        <v>20.708484106642459</v>
      </c>
      <c r="E98">
        <v>0</v>
      </c>
      <c r="F98">
        <v>24</v>
      </c>
    </row>
    <row r="99" spans="1:6" ht="15.75" customHeight="1" x14ac:dyDescent="0.35">
      <c r="A99" s="3" t="s">
        <v>101</v>
      </c>
      <c r="B99" s="6">
        <v>2729</v>
      </c>
      <c r="C99" s="4">
        <v>2355</v>
      </c>
      <c r="D99" s="15">
        <v>20.708484106642459</v>
      </c>
      <c r="E99">
        <v>2367</v>
      </c>
      <c r="F99">
        <v>24</v>
      </c>
    </row>
    <row r="100" spans="1:6" ht="15.75" customHeight="1" x14ac:dyDescent="0.35">
      <c r="A100" s="3" t="s">
        <v>102</v>
      </c>
      <c r="B100" s="6">
        <v>1900</v>
      </c>
      <c r="C100" s="4">
        <v>2372</v>
      </c>
      <c r="D100" s="15">
        <v>20.708484106642459</v>
      </c>
      <c r="E100">
        <v>0</v>
      </c>
      <c r="F100">
        <v>24</v>
      </c>
    </row>
    <row r="101" spans="1:6" ht="15.75" customHeight="1" x14ac:dyDescent="0.35">
      <c r="A101" s="3" t="s">
        <v>103</v>
      </c>
      <c r="B101" s="6">
        <v>2000</v>
      </c>
      <c r="C101" s="4">
        <v>3482</v>
      </c>
      <c r="D101" s="15">
        <v>20.708484106642459</v>
      </c>
      <c r="E101">
        <v>0</v>
      </c>
      <c r="F101">
        <v>24</v>
      </c>
    </row>
    <row r="102" spans="1:6" ht="15.75" customHeight="1" x14ac:dyDescent="0.35">
      <c r="A102" s="3" t="s">
        <v>104</v>
      </c>
      <c r="B102" s="6">
        <v>2800</v>
      </c>
      <c r="C102" s="4">
        <v>2555</v>
      </c>
      <c r="D102" s="15">
        <v>20.708484106642459</v>
      </c>
      <c r="E102">
        <v>0</v>
      </c>
      <c r="F102">
        <v>24</v>
      </c>
    </row>
    <row r="103" spans="1:6" ht="15.75" customHeight="1" x14ac:dyDescent="0.35">
      <c r="A103" s="3" t="s">
        <v>105</v>
      </c>
      <c r="B103" s="6">
        <v>1753.4</v>
      </c>
      <c r="C103" s="4">
        <v>3665</v>
      </c>
      <c r="D103" s="15">
        <v>20.708484106642459</v>
      </c>
      <c r="E103">
        <v>750</v>
      </c>
      <c r="F103">
        <v>24</v>
      </c>
    </row>
    <row r="104" spans="1:6" ht="15.75" customHeight="1" x14ac:dyDescent="0.35">
      <c r="A104" s="3" t="s">
        <v>106</v>
      </c>
      <c r="B104" s="6">
        <v>1440.6666666666702</v>
      </c>
      <c r="C104" s="4">
        <v>1904</v>
      </c>
      <c r="D104" s="15">
        <v>20.708484106642459</v>
      </c>
      <c r="E104">
        <v>2650</v>
      </c>
      <c r="F104">
        <v>24</v>
      </c>
    </row>
    <row r="105" spans="1:6" ht="15.75" customHeight="1" x14ac:dyDescent="0.35">
      <c r="A105" s="3" t="s">
        <v>107</v>
      </c>
      <c r="B105" s="6">
        <v>3400</v>
      </c>
      <c r="C105" s="4">
        <v>994</v>
      </c>
      <c r="D105" s="15">
        <v>20.708484106642459</v>
      </c>
      <c r="E105">
        <v>1500</v>
      </c>
      <c r="F105">
        <v>24</v>
      </c>
    </row>
    <row r="106" spans="1:6" ht="15.75" customHeight="1" x14ac:dyDescent="0.35">
      <c r="A106" s="3" t="s">
        <v>108</v>
      </c>
      <c r="B106" s="6">
        <v>1400</v>
      </c>
      <c r="C106" s="4">
        <v>994</v>
      </c>
      <c r="D106" s="15">
        <v>20.708484106642459</v>
      </c>
      <c r="E106">
        <v>2450</v>
      </c>
      <c r="F106">
        <v>24</v>
      </c>
    </row>
    <row r="107" spans="1:6" ht="15.75" customHeight="1" x14ac:dyDescent="0.35">
      <c r="A107" s="3" t="s">
        <v>109</v>
      </c>
      <c r="B107" s="6">
        <v>2145</v>
      </c>
      <c r="C107" s="4">
        <v>3489</v>
      </c>
      <c r="D107" s="15">
        <v>20.708484106642459</v>
      </c>
      <c r="E107">
        <v>400</v>
      </c>
      <c r="F107">
        <v>24</v>
      </c>
    </row>
    <row r="108" spans="1:6" ht="15.75" customHeight="1" x14ac:dyDescent="0.35">
      <c r="A108" s="3" t="s">
        <v>132</v>
      </c>
      <c r="B108" s="6">
        <v>968.75</v>
      </c>
      <c r="C108" s="4">
        <v>3162</v>
      </c>
      <c r="D108" s="15">
        <v>20.708484106642459</v>
      </c>
      <c r="E108">
        <v>325</v>
      </c>
      <c r="F108">
        <v>24</v>
      </c>
    </row>
    <row r="109" spans="1:6" ht="15.75" customHeight="1" x14ac:dyDescent="0.35">
      <c r="A109" s="3" t="s">
        <v>133</v>
      </c>
      <c r="B109" s="6">
        <v>1980.8888888888903</v>
      </c>
      <c r="C109" s="4">
        <v>3567</v>
      </c>
      <c r="D109" s="15">
        <v>20.708484106642459</v>
      </c>
      <c r="E109">
        <v>3850</v>
      </c>
      <c r="F109">
        <v>24</v>
      </c>
    </row>
    <row r="110" spans="1:6" ht="15.75" customHeight="1" x14ac:dyDescent="0.35">
      <c r="A110" s="3" t="s">
        <v>134</v>
      </c>
      <c r="B110" s="6">
        <v>512.5</v>
      </c>
      <c r="C110" s="4">
        <v>3850</v>
      </c>
      <c r="D110" s="15">
        <v>20.708484106642459</v>
      </c>
      <c r="E110">
        <v>175</v>
      </c>
      <c r="F110">
        <v>24</v>
      </c>
    </row>
    <row r="111" spans="1:6" ht="15.75" customHeight="1" x14ac:dyDescent="0.35">
      <c r="A111" s="3" t="s">
        <v>135</v>
      </c>
      <c r="B111" s="6">
        <v>1500</v>
      </c>
      <c r="C111" s="4">
        <v>1402</v>
      </c>
      <c r="D111" s="15">
        <v>20.708484106642459</v>
      </c>
      <c r="E111">
        <v>0</v>
      </c>
      <c r="F111">
        <v>24</v>
      </c>
    </row>
    <row r="112" spans="1:6" ht="15.75" customHeight="1" x14ac:dyDescent="0.35">
      <c r="A112" s="3" t="s">
        <v>111</v>
      </c>
      <c r="B112" s="6">
        <v>6247.0588235294108</v>
      </c>
      <c r="C112" s="4">
        <v>6112</v>
      </c>
      <c r="D112" s="15">
        <v>20.708484106642459</v>
      </c>
      <c r="E112">
        <v>10025</v>
      </c>
      <c r="F112">
        <v>24</v>
      </c>
    </row>
    <row r="113" spans="1:6" ht="15.75" customHeight="1" x14ac:dyDescent="0.35">
      <c r="A113" s="3" t="s">
        <v>112</v>
      </c>
      <c r="B113" s="6">
        <v>2188.6666666666702</v>
      </c>
      <c r="C113" s="4">
        <v>2392</v>
      </c>
      <c r="D113" s="15">
        <v>20.708484106642459</v>
      </c>
      <c r="E113">
        <v>575</v>
      </c>
      <c r="F113">
        <v>24</v>
      </c>
    </row>
    <row r="114" spans="1:6" ht="15.75" customHeight="1" x14ac:dyDescent="0.35">
      <c r="A114" s="3" t="s">
        <v>113</v>
      </c>
      <c r="B114" s="6">
        <v>540.66666666666708</v>
      </c>
      <c r="C114" s="4">
        <v>2651</v>
      </c>
      <c r="D114" s="15">
        <v>20.708484106642459</v>
      </c>
      <c r="E114">
        <v>1525</v>
      </c>
      <c r="F114">
        <v>24</v>
      </c>
    </row>
    <row r="115" spans="1:6" ht="15.75" customHeight="1" x14ac:dyDescent="0.35">
      <c r="A115" s="3" t="s">
        <v>114</v>
      </c>
      <c r="B115" s="6">
        <v>807</v>
      </c>
      <c r="C115" s="4">
        <v>4343</v>
      </c>
      <c r="D115" s="15">
        <v>20.708484106642459</v>
      </c>
      <c r="E115">
        <v>440</v>
      </c>
      <c r="F115">
        <v>24</v>
      </c>
    </row>
    <row r="116" spans="1:6" ht="15.75" customHeight="1" x14ac:dyDescent="0.35">
      <c r="A116" s="3" t="s">
        <v>115</v>
      </c>
      <c r="B116" s="6">
        <v>1340.4</v>
      </c>
      <c r="C116" s="4">
        <v>2970</v>
      </c>
      <c r="D116" s="15">
        <v>20.708484106642459</v>
      </c>
      <c r="E116">
        <v>800</v>
      </c>
      <c r="F116">
        <v>24</v>
      </c>
    </row>
    <row r="117" spans="1:6" ht="15.75" customHeight="1" x14ac:dyDescent="0.35">
      <c r="A117" s="3" t="s">
        <v>152</v>
      </c>
      <c r="B117" s="6">
        <v>1569.3333333333301</v>
      </c>
      <c r="C117" s="4">
        <v>2970</v>
      </c>
      <c r="D117" s="15">
        <v>20.708484106642459</v>
      </c>
      <c r="E117">
        <v>915</v>
      </c>
      <c r="F117">
        <v>24</v>
      </c>
    </row>
    <row r="118" spans="1:6" ht="15.75" customHeight="1" x14ac:dyDescent="0.35">
      <c r="A118" s="3" t="s">
        <v>117</v>
      </c>
      <c r="B118" s="6">
        <v>880</v>
      </c>
      <c r="C118" s="4">
        <v>2607</v>
      </c>
      <c r="D118" s="15">
        <v>20.708484106642459</v>
      </c>
      <c r="E118">
        <v>150</v>
      </c>
      <c r="F118">
        <v>24</v>
      </c>
    </row>
    <row r="119" spans="1:6" ht="15.75" customHeight="1" x14ac:dyDescent="0.35">
      <c r="A119" s="3" t="s">
        <v>118</v>
      </c>
      <c r="B119" s="6">
        <v>1752.1000000000001</v>
      </c>
      <c r="C119" s="4">
        <v>1928</v>
      </c>
      <c r="D119" s="15">
        <v>20.708484106642459</v>
      </c>
      <c r="E119">
        <v>1622</v>
      </c>
      <c r="F119">
        <v>24</v>
      </c>
    </row>
    <row r="120" spans="1:6" ht="15.75" customHeight="1" x14ac:dyDescent="0.35">
      <c r="A120" s="3" t="s">
        <v>119</v>
      </c>
      <c r="B120" s="6">
        <v>23162.5</v>
      </c>
      <c r="C120" s="4">
        <v>2129</v>
      </c>
      <c r="D120" s="15">
        <v>20.708484106642459</v>
      </c>
      <c r="E120">
        <v>320</v>
      </c>
      <c r="F120">
        <v>24</v>
      </c>
    </row>
    <row r="121" spans="1:6" ht="15.75" customHeight="1" x14ac:dyDescent="0.35">
      <c r="A121" s="3" t="s">
        <v>120</v>
      </c>
      <c r="B121" s="6">
        <v>28207</v>
      </c>
      <c r="C121" s="4">
        <v>2177</v>
      </c>
      <c r="D121" s="15">
        <v>20.708484106642459</v>
      </c>
      <c r="E121">
        <v>3000</v>
      </c>
      <c r="F121">
        <v>24</v>
      </c>
    </row>
    <row r="122" spans="1:6" ht="15.75" customHeight="1" x14ac:dyDescent="0.35">
      <c r="A122" s="3" t="s">
        <v>121</v>
      </c>
      <c r="B122" s="6">
        <v>8209.5833333333303</v>
      </c>
      <c r="C122" s="4">
        <v>2177</v>
      </c>
      <c r="D122" s="15">
        <v>20.708484106642459</v>
      </c>
      <c r="E122">
        <v>29070</v>
      </c>
      <c r="F122">
        <v>24</v>
      </c>
    </row>
    <row r="123" spans="1:6" ht="15.75" customHeight="1" x14ac:dyDescent="0.35">
      <c r="A123" s="3" t="s">
        <v>122</v>
      </c>
      <c r="B123" s="6">
        <v>7277.6</v>
      </c>
      <c r="C123" s="4">
        <v>2177</v>
      </c>
      <c r="D123" s="15">
        <v>20.708484106642459</v>
      </c>
      <c r="E123">
        <v>11015</v>
      </c>
      <c r="F123">
        <v>24</v>
      </c>
    </row>
    <row r="124" spans="1:6" ht="15.75" customHeight="1" x14ac:dyDescent="0.35">
      <c r="A124" s="3" t="s">
        <v>123</v>
      </c>
      <c r="B124" s="6">
        <v>8046.6153846153811</v>
      </c>
      <c r="C124" s="4">
        <v>1948</v>
      </c>
      <c r="D124" s="15">
        <v>20.708484106642459</v>
      </c>
      <c r="E124">
        <v>13188</v>
      </c>
      <c r="F124">
        <v>24</v>
      </c>
    </row>
    <row r="125" spans="1:6" ht="15.75" customHeight="1" x14ac:dyDescent="0.35">
      <c r="A125" s="3" t="s">
        <v>124</v>
      </c>
      <c r="B125" s="6">
        <v>3476.2000000000003</v>
      </c>
      <c r="C125" s="4">
        <v>1989</v>
      </c>
      <c r="D125" s="15">
        <v>20.708484106642459</v>
      </c>
      <c r="E125">
        <v>9522</v>
      </c>
      <c r="F125">
        <v>24</v>
      </c>
    </row>
    <row r="126" spans="1:6" ht="15.75" customHeight="1" x14ac:dyDescent="0.35">
      <c r="A126" s="3" t="s">
        <v>125</v>
      </c>
      <c r="B126" s="6">
        <v>20162.5</v>
      </c>
      <c r="C126" s="4">
        <v>2181</v>
      </c>
      <c r="D126" s="15">
        <v>20.708484106642459</v>
      </c>
      <c r="E126">
        <v>6050</v>
      </c>
      <c r="F126">
        <v>24</v>
      </c>
    </row>
    <row r="127" spans="1:6" ht="15.75" customHeight="1" x14ac:dyDescent="0.35">
      <c r="A127" s="3" t="s">
        <v>136</v>
      </c>
      <c r="B127" s="6">
        <v>7483.9285714285697</v>
      </c>
      <c r="C127" s="4">
        <v>2181</v>
      </c>
      <c r="D127" s="15">
        <v>20.708484106642459</v>
      </c>
      <c r="E127">
        <v>27225</v>
      </c>
      <c r="F127">
        <v>24</v>
      </c>
    </row>
    <row r="128" spans="1:6" ht="15.75" customHeight="1" x14ac:dyDescent="0.35">
      <c r="A128" s="3" t="s">
        <v>137</v>
      </c>
      <c r="B128" s="6">
        <v>11301.4285714286</v>
      </c>
      <c r="C128" s="4">
        <v>2181</v>
      </c>
      <c r="D128" s="15">
        <v>20.708484106642459</v>
      </c>
      <c r="E128">
        <v>6580</v>
      </c>
      <c r="F128">
        <v>24</v>
      </c>
    </row>
    <row r="129" spans="1:6" ht="15.75" customHeight="1" x14ac:dyDescent="0.35">
      <c r="A129" s="3" t="s">
        <v>128</v>
      </c>
      <c r="B129" s="6">
        <v>35128</v>
      </c>
      <c r="C129" s="4">
        <v>2355</v>
      </c>
      <c r="D129" s="15">
        <v>20.708484106642459</v>
      </c>
      <c r="E129">
        <v>71750</v>
      </c>
      <c r="F129">
        <v>24</v>
      </c>
    </row>
    <row r="130" spans="1:6" ht="15.75" customHeight="1" x14ac:dyDescent="0.35">
      <c r="A130" s="3" t="s">
        <v>138</v>
      </c>
      <c r="B130" s="6">
        <v>6012.909090909091</v>
      </c>
      <c r="C130" s="4">
        <v>2021</v>
      </c>
      <c r="D130" s="15">
        <v>20.708484106642459</v>
      </c>
      <c r="E130">
        <v>7707</v>
      </c>
      <c r="F130">
        <v>24</v>
      </c>
    </row>
    <row r="131" spans="1:6" ht="15.75" customHeight="1" x14ac:dyDescent="0.35">
      <c r="A131" s="3" t="s">
        <v>139</v>
      </c>
      <c r="B131" s="6">
        <v>6892.1666666666697</v>
      </c>
      <c r="C131" s="4">
        <v>2021</v>
      </c>
      <c r="D131" s="15">
        <v>20.708484106642459</v>
      </c>
      <c r="E131">
        <v>11090</v>
      </c>
      <c r="F131">
        <v>24</v>
      </c>
    </row>
    <row r="132" spans="1:6" ht="15.75" customHeight="1" x14ac:dyDescent="0.35">
      <c r="A132" s="3" t="s">
        <v>140</v>
      </c>
      <c r="B132" s="6">
        <v>9951</v>
      </c>
      <c r="C132" s="4">
        <v>2021</v>
      </c>
      <c r="D132" s="15">
        <v>20.708484106642459</v>
      </c>
      <c r="E132">
        <v>7570</v>
      </c>
      <c r="F132">
        <v>24</v>
      </c>
    </row>
    <row r="133" spans="1:6" ht="15.75" customHeight="1" x14ac:dyDescent="0.35">
      <c r="A133" s="3" t="s">
        <v>141</v>
      </c>
      <c r="B133" s="6">
        <v>3555.5555555555602</v>
      </c>
      <c r="C133" s="4">
        <v>2846</v>
      </c>
      <c r="D133" s="15">
        <v>20.708484106642459</v>
      </c>
      <c r="E133">
        <v>17000</v>
      </c>
      <c r="F133">
        <v>24</v>
      </c>
    </row>
    <row r="134" spans="1:6" ht="15.75" customHeight="1" x14ac:dyDescent="0.35">
      <c r="A134" s="3" t="s">
        <v>142</v>
      </c>
      <c r="B134" s="6">
        <v>5307.3333333333303</v>
      </c>
      <c r="C134" s="4">
        <v>7550</v>
      </c>
      <c r="D134" s="15">
        <v>20.708484106642459</v>
      </c>
      <c r="E134">
        <v>14223</v>
      </c>
      <c r="F134">
        <v>24</v>
      </c>
    </row>
    <row r="135" spans="1:6" ht="15.75" customHeight="1" x14ac:dyDescent="0.35">
      <c r="A135" s="3" t="s">
        <v>155</v>
      </c>
      <c r="B135" s="6">
        <v>4381.8</v>
      </c>
      <c r="C135" s="4">
        <v>7550</v>
      </c>
      <c r="D135" s="15">
        <v>20.708484106642459</v>
      </c>
      <c r="E135">
        <v>5394</v>
      </c>
      <c r="F135">
        <v>24</v>
      </c>
    </row>
    <row r="136" spans="1:6" ht="15.75" customHeight="1" x14ac:dyDescent="0.35">
      <c r="A136" s="3" t="s">
        <v>156</v>
      </c>
      <c r="B136" s="6">
        <v>4686.5</v>
      </c>
      <c r="C136" s="4">
        <v>7550</v>
      </c>
      <c r="D136" s="15">
        <v>20.708484106642459</v>
      </c>
      <c r="E136">
        <v>8361</v>
      </c>
      <c r="F136">
        <v>24</v>
      </c>
    </row>
    <row r="137" spans="1:6" ht="15.75" customHeight="1" x14ac:dyDescent="0.35">
      <c r="A137" s="3" t="s">
        <v>143</v>
      </c>
      <c r="B137" s="6">
        <v>1200</v>
      </c>
      <c r="C137" s="4">
        <v>2658</v>
      </c>
      <c r="D137" s="15">
        <v>20.708484106642459</v>
      </c>
      <c r="E137">
        <v>1000</v>
      </c>
      <c r="F137">
        <v>24</v>
      </c>
    </row>
    <row r="138" spans="1:6" ht="15.75" customHeight="1" x14ac:dyDescent="0.35">
      <c r="A138" s="3" t="s">
        <v>153</v>
      </c>
      <c r="B138" s="6">
        <v>7109.5</v>
      </c>
      <c r="C138" s="4">
        <v>2846</v>
      </c>
      <c r="D138" s="15">
        <v>20.708484106642459</v>
      </c>
      <c r="E138">
        <v>19700</v>
      </c>
      <c r="F138">
        <v>24</v>
      </c>
    </row>
    <row r="139" spans="1:6" ht="15.75" customHeight="1" x14ac:dyDescent="0.35">
      <c r="A139" s="3" t="s">
        <v>157</v>
      </c>
      <c r="B139" s="6">
        <v>1000</v>
      </c>
      <c r="C139" s="4">
        <v>994</v>
      </c>
      <c r="D139" s="15">
        <v>20.708484106642459</v>
      </c>
      <c r="E139">
        <v>2500</v>
      </c>
      <c r="F139">
        <v>24</v>
      </c>
    </row>
    <row r="140" spans="1:6" ht="15.75" customHeight="1" x14ac:dyDescent="0.35">
      <c r="A140" s="5"/>
      <c r="C140" s="6"/>
    </row>
    <row r="141" spans="1:6" ht="15.75" customHeight="1" x14ac:dyDescent="0.35">
      <c r="A141" s="5"/>
      <c r="C141" s="6"/>
    </row>
    <row r="142" spans="1:6" ht="15.75" customHeight="1" x14ac:dyDescent="0.35">
      <c r="A142" s="5"/>
      <c r="C142" s="6"/>
    </row>
    <row r="143" spans="1:6" ht="15.75" customHeight="1" x14ac:dyDescent="0.35">
      <c r="A143" s="5"/>
      <c r="C143" s="6"/>
    </row>
    <row r="144" spans="1:6" ht="15.75" customHeight="1" x14ac:dyDescent="0.35">
      <c r="A144" s="5"/>
      <c r="C144" s="6"/>
    </row>
    <row r="145" spans="1:3" ht="15.75" customHeight="1" x14ac:dyDescent="0.35">
      <c r="A145" s="5"/>
      <c r="C145" s="6"/>
    </row>
    <row r="146" spans="1:3" ht="15.75" customHeight="1" x14ac:dyDescent="0.35">
      <c r="A146" s="5"/>
      <c r="C146" s="6"/>
    </row>
    <row r="147" spans="1:3" ht="15.75" customHeight="1" x14ac:dyDescent="0.35">
      <c r="A147" s="5"/>
      <c r="C147" s="6"/>
    </row>
    <row r="148" spans="1:3" ht="15.75" customHeight="1" x14ac:dyDescent="0.35">
      <c r="A148" s="5"/>
      <c r="C148" s="6"/>
    </row>
    <row r="149" spans="1:3" ht="15.75" customHeight="1" x14ac:dyDescent="0.35">
      <c r="A149" s="5"/>
      <c r="C149" s="6"/>
    </row>
    <row r="150" spans="1:3" ht="15.75" customHeight="1" x14ac:dyDescent="0.35">
      <c r="A150" s="5"/>
      <c r="C150" s="6"/>
    </row>
    <row r="151" spans="1:3" ht="15.75" customHeight="1" x14ac:dyDescent="0.35">
      <c r="A151" s="5"/>
      <c r="C151" s="6"/>
    </row>
    <row r="152" spans="1:3" ht="15.75" customHeight="1" x14ac:dyDescent="0.35">
      <c r="A152" s="5"/>
      <c r="C152" s="6"/>
    </row>
    <row r="153" spans="1:3" ht="15.75" customHeight="1" x14ac:dyDescent="0.35">
      <c r="A153" s="5"/>
      <c r="C153" s="6"/>
    </row>
    <row r="154" spans="1:3" ht="15.75" customHeight="1" x14ac:dyDescent="0.35">
      <c r="A154" s="5"/>
      <c r="C154" s="6"/>
    </row>
    <row r="155" spans="1:3" ht="15.75" customHeight="1" x14ac:dyDescent="0.35">
      <c r="A155" s="5"/>
      <c r="C155" s="6"/>
    </row>
    <row r="156" spans="1:3" ht="15.75" customHeight="1" x14ac:dyDescent="0.35">
      <c r="A156" s="5"/>
      <c r="C156" s="6"/>
    </row>
    <row r="157" spans="1:3" ht="15.75" customHeight="1" x14ac:dyDescent="0.35">
      <c r="A157" s="5"/>
      <c r="C157" s="6"/>
    </row>
    <row r="158" spans="1:3" ht="15.75" customHeight="1" x14ac:dyDescent="0.35">
      <c r="A158" s="5"/>
      <c r="C158" s="6"/>
    </row>
    <row r="159" spans="1:3" ht="15.75" customHeight="1" x14ac:dyDescent="0.35">
      <c r="A159" s="5"/>
      <c r="C159" s="6"/>
    </row>
    <row r="160" spans="1:3" ht="15.75" customHeight="1" x14ac:dyDescent="0.35">
      <c r="A160" s="5"/>
      <c r="C160" s="6"/>
    </row>
    <row r="161" spans="1:3" ht="15.75" customHeight="1" x14ac:dyDescent="0.35">
      <c r="A161" s="5"/>
      <c r="C161" s="6"/>
    </row>
    <row r="162" spans="1:3" ht="15.75" customHeight="1" x14ac:dyDescent="0.35">
      <c r="A162" s="5"/>
      <c r="C162" s="6"/>
    </row>
    <row r="163" spans="1:3" ht="15.75" customHeight="1" x14ac:dyDescent="0.35">
      <c r="A163" s="5"/>
      <c r="C163" s="6"/>
    </row>
    <row r="164" spans="1:3" ht="15.75" customHeight="1" x14ac:dyDescent="0.35">
      <c r="A164" s="5"/>
      <c r="C164" s="6"/>
    </row>
    <row r="165" spans="1:3" ht="15.75" customHeight="1" x14ac:dyDescent="0.35">
      <c r="A165" s="5"/>
      <c r="C165" s="6"/>
    </row>
    <row r="166" spans="1:3" ht="15.75" customHeight="1" x14ac:dyDescent="0.35">
      <c r="A166" s="5"/>
      <c r="C166" s="6"/>
    </row>
    <row r="167" spans="1:3" ht="15.75" customHeight="1" x14ac:dyDescent="0.35">
      <c r="A167" s="5"/>
      <c r="C167" s="6"/>
    </row>
    <row r="168" spans="1:3" ht="15.75" customHeight="1" x14ac:dyDescent="0.35">
      <c r="A168" s="5"/>
      <c r="C168" s="6"/>
    </row>
    <row r="169" spans="1:3" ht="15.75" customHeight="1" x14ac:dyDescent="0.35">
      <c r="A169" s="5"/>
      <c r="C169" s="6"/>
    </row>
    <row r="170" spans="1:3" ht="15.75" customHeight="1" x14ac:dyDescent="0.35">
      <c r="A170" s="5"/>
      <c r="C170" s="6"/>
    </row>
    <row r="171" spans="1:3" ht="15.75" customHeight="1" x14ac:dyDescent="0.35">
      <c r="A171" s="5"/>
      <c r="C171" s="6"/>
    </row>
    <row r="172" spans="1:3" ht="15.75" customHeight="1" x14ac:dyDescent="0.35">
      <c r="A172" s="5"/>
      <c r="C172" s="6"/>
    </row>
    <row r="173" spans="1:3" ht="15.75" customHeight="1" x14ac:dyDescent="0.35">
      <c r="A173" s="5"/>
      <c r="C173" s="6"/>
    </row>
    <row r="174" spans="1:3" ht="15.75" customHeight="1" x14ac:dyDescent="0.35">
      <c r="A174" s="5"/>
      <c r="C174" s="6"/>
    </row>
    <row r="175" spans="1:3" ht="15.75" customHeight="1" x14ac:dyDescent="0.35">
      <c r="A175" s="5"/>
      <c r="C175" s="6"/>
    </row>
    <row r="176" spans="1:3" ht="15.75" customHeight="1" x14ac:dyDescent="0.35">
      <c r="A176" s="5"/>
      <c r="C176" s="6"/>
    </row>
    <row r="177" spans="1:3" ht="15.75" customHeight="1" x14ac:dyDescent="0.35">
      <c r="A177" s="5"/>
      <c r="C177" s="6"/>
    </row>
    <row r="178" spans="1:3" ht="15.75" customHeight="1" x14ac:dyDescent="0.35">
      <c r="A178" s="5"/>
      <c r="C178" s="6"/>
    </row>
    <row r="179" spans="1:3" ht="15.75" customHeight="1" x14ac:dyDescent="0.35">
      <c r="A179" s="5"/>
      <c r="C179" s="6"/>
    </row>
    <row r="180" spans="1:3" ht="15.75" customHeight="1" x14ac:dyDescent="0.35">
      <c r="A180" s="5"/>
      <c r="C180" s="6"/>
    </row>
    <row r="181" spans="1:3" ht="15.75" customHeight="1" x14ac:dyDescent="0.35">
      <c r="A181" s="5"/>
      <c r="C181" s="6"/>
    </row>
    <row r="182" spans="1:3" ht="15.75" customHeight="1" x14ac:dyDescent="0.35">
      <c r="A182" s="5"/>
      <c r="C182" s="6"/>
    </row>
    <row r="183" spans="1:3" ht="15.75" customHeight="1" x14ac:dyDescent="0.35">
      <c r="A183" s="5"/>
      <c r="C183" s="6"/>
    </row>
    <row r="184" spans="1:3" ht="15.75" customHeight="1" x14ac:dyDescent="0.35">
      <c r="A184" s="5"/>
      <c r="C184" s="6"/>
    </row>
    <row r="185" spans="1:3" ht="15.75" customHeight="1" x14ac:dyDescent="0.35">
      <c r="A185" s="5"/>
      <c r="C185" s="6"/>
    </row>
    <row r="186" spans="1:3" ht="15.75" customHeight="1" x14ac:dyDescent="0.35">
      <c r="A186" s="5"/>
      <c r="C186" s="6"/>
    </row>
    <row r="187" spans="1:3" ht="15.75" customHeight="1" x14ac:dyDescent="0.35">
      <c r="A187" s="5"/>
      <c r="C187" s="6"/>
    </row>
    <row r="188" spans="1:3" ht="15.75" customHeight="1" x14ac:dyDescent="0.35">
      <c r="A188" s="5"/>
      <c r="C188" s="6"/>
    </row>
    <row r="189" spans="1:3" ht="15.75" customHeight="1" x14ac:dyDescent="0.35">
      <c r="A189" s="5"/>
      <c r="C189" s="6"/>
    </row>
    <row r="190" spans="1:3" ht="15.75" customHeight="1" x14ac:dyDescent="0.35">
      <c r="A190" s="5"/>
      <c r="C190" s="6"/>
    </row>
    <row r="191" spans="1:3" ht="15.75" customHeight="1" x14ac:dyDescent="0.35">
      <c r="A191" s="5"/>
      <c r="C191" s="6"/>
    </row>
    <row r="192" spans="1:3" ht="15.75" customHeight="1" x14ac:dyDescent="0.35">
      <c r="A192" s="5"/>
      <c r="C192" s="6"/>
    </row>
    <row r="193" spans="1:3" ht="15.75" customHeight="1" x14ac:dyDescent="0.35">
      <c r="A193" s="5"/>
      <c r="C193" s="6"/>
    </row>
    <row r="194" spans="1:3" ht="15.75" customHeight="1" x14ac:dyDescent="0.35">
      <c r="A194" s="5"/>
      <c r="C194" s="6"/>
    </row>
    <row r="195" spans="1:3" ht="15.75" customHeight="1" x14ac:dyDescent="0.35">
      <c r="A195" s="5"/>
      <c r="C195" s="6"/>
    </row>
    <row r="196" spans="1:3" ht="15.75" customHeight="1" x14ac:dyDescent="0.35">
      <c r="A196" s="5"/>
      <c r="C196" s="6"/>
    </row>
    <row r="197" spans="1:3" ht="15.75" customHeight="1" x14ac:dyDescent="0.35">
      <c r="A197" s="5"/>
      <c r="C197" s="6"/>
    </row>
    <row r="198" spans="1:3" ht="15.75" customHeight="1" x14ac:dyDescent="0.35">
      <c r="A198" s="5"/>
      <c r="C198" s="6"/>
    </row>
    <row r="199" spans="1:3" ht="15.75" customHeight="1" x14ac:dyDescent="0.35">
      <c r="A199" s="5"/>
      <c r="C199" s="6"/>
    </row>
    <row r="200" spans="1:3" ht="15.75" customHeight="1" x14ac:dyDescent="0.35">
      <c r="A200" s="5"/>
      <c r="C200" s="6"/>
    </row>
    <row r="201" spans="1:3" ht="15.75" customHeight="1" x14ac:dyDescent="0.35">
      <c r="A201" s="5"/>
      <c r="C201" s="6"/>
    </row>
    <row r="202" spans="1:3" ht="15.75" customHeight="1" x14ac:dyDescent="0.35">
      <c r="A202" s="5"/>
      <c r="C202" s="6"/>
    </row>
    <row r="203" spans="1:3" ht="15.75" customHeight="1" x14ac:dyDescent="0.35">
      <c r="A203" s="5"/>
      <c r="C203" s="6"/>
    </row>
    <row r="204" spans="1:3" ht="15.75" customHeight="1" x14ac:dyDescent="0.35">
      <c r="A204" s="5"/>
      <c r="C204" s="6"/>
    </row>
    <row r="205" spans="1:3" ht="15.75" customHeight="1" x14ac:dyDescent="0.35">
      <c r="A205" s="5"/>
      <c r="C205" s="6"/>
    </row>
    <row r="206" spans="1:3" ht="15.75" customHeight="1" x14ac:dyDescent="0.35">
      <c r="A206" s="5"/>
      <c r="C206" s="6"/>
    </row>
    <row r="207" spans="1:3" ht="15.75" customHeight="1" x14ac:dyDescent="0.35">
      <c r="A207" s="5"/>
      <c r="C207" s="6"/>
    </row>
    <row r="208" spans="1:3" ht="15.75" customHeight="1" x14ac:dyDescent="0.35">
      <c r="A208" s="5"/>
      <c r="C208" s="6"/>
    </row>
    <row r="209" spans="1:3" ht="15.75" customHeight="1" x14ac:dyDescent="0.35">
      <c r="A209" s="5"/>
      <c r="C209" s="6"/>
    </row>
    <row r="210" spans="1:3" ht="15.75" customHeight="1" x14ac:dyDescent="0.35">
      <c r="A210" s="5"/>
      <c r="C210" s="6"/>
    </row>
    <row r="211" spans="1:3" ht="15.75" customHeight="1" x14ac:dyDescent="0.35">
      <c r="A211" s="5"/>
      <c r="C211" s="6"/>
    </row>
    <row r="212" spans="1:3" ht="15.75" customHeight="1" x14ac:dyDescent="0.35">
      <c r="A212" s="5"/>
      <c r="C212" s="6"/>
    </row>
    <row r="213" spans="1:3" ht="15.75" customHeight="1" x14ac:dyDescent="0.35">
      <c r="A213" s="5"/>
      <c r="C213" s="6"/>
    </row>
    <row r="214" spans="1:3" ht="15.75" customHeight="1" x14ac:dyDescent="0.35">
      <c r="A214" s="5"/>
      <c r="C214" s="6"/>
    </row>
    <row r="215" spans="1:3" ht="15.75" customHeight="1" x14ac:dyDescent="0.35">
      <c r="A215" s="5"/>
      <c r="C215" s="6"/>
    </row>
    <row r="216" spans="1:3" ht="15.75" customHeight="1" x14ac:dyDescent="0.35">
      <c r="A216" s="5"/>
      <c r="C216" s="6"/>
    </row>
    <row r="217" spans="1:3" ht="15.75" customHeight="1" x14ac:dyDescent="0.35">
      <c r="A217" s="5"/>
      <c r="C217" s="6"/>
    </row>
    <row r="218" spans="1:3" ht="15.75" customHeight="1" x14ac:dyDescent="0.35">
      <c r="A218" s="5"/>
      <c r="C218" s="6"/>
    </row>
    <row r="219" spans="1:3" ht="15.75" customHeight="1" x14ac:dyDescent="0.35">
      <c r="A219" s="5"/>
      <c r="C219" s="6"/>
    </row>
    <row r="220" spans="1:3" ht="15.75" customHeight="1" x14ac:dyDescent="0.35">
      <c r="A220" s="5"/>
      <c r="C220" s="6"/>
    </row>
    <row r="221" spans="1:3" ht="15.75" customHeight="1" x14ac:dyDescent="0.35">
      <c r="A221" s="5"/>
      <c r="C221" s="6"/>
    </row>
    <row r="222" spans="1:3" ht="15.75" customHeight="1" x14ac:dyDescent="0.35">
      <c r="A222" s="5"/>
      <c r="C222" s="6"/>
    </row>
    <row r="223" spans="1:3" ht="15.75" customHeight="1" x14ac:dyDescent="0.35">
      <c r="A223" s="5"/>
      <c r="C223" s="6"/>
    </row>
    <row r="224" spans="1:3" ht="15.75" customHeight="1" x14ac:dyDescent="0.35">
      <c r="A224" s="5"/>
      <c r="C224" s="6"/>
    </row>
    <row r="225" spans="1:3" ht="15.75" customHeight="1" x14ac:dyDescent="0.35">
      <c r="A225" s="5"/>
      <c r="C225" s="6"/>
    </row>
    <row r="226" spans="1:3" ht="15.75" customHeight="1" x14ac:dyDescent="0.35">
      <c r="A226" s="5"/>
      <c r="C226" s="6"/>
    </row>
    <row r="227" spans="1:3" ht="15.75" customHeight="1" x14ac:dyDescent="0.35">
      <c r="A227" s="5"/>
      <c r="C227" s="6"/>
    </row>
    <row r="228" spans="1:3" ht="15.75" customHeight="1" x14ac:dyDescent="0.35">
      <c r="A228" s="5"/>
      <c r="C228" s="6"/>
    </row>
    <row r="229" spans="1:3" ht="15.75" customHeight="1" x14ac:dyDescent="0.35">
      <c r="A229" s="5"/>
      <c r="C229" s="6"/>
    </row>
    <row r="230" spans="1:3" ht="15.75" customHeight="1" x14ac:dyDescent="0.35">
      <c r="A230" s="5"/>
      <c r="C230" s="6"/>
    </row>
    <row r="231" spans="1:3" ht="15.75" customHeight="1" x14ac:dyDescent="0.35">
      <c r="A231" s="5"/>
      <c r="C231" s="6"/>
    </row>
    <row r="232" spans="1:3" ht="15.75" customHeight="1" x14ac:dyDescent="0.35">
      <c r="A232" s="5"/>
      <c r="C232" s="6"/>
    </row>
    <row r="233" spans="1:3" ht="15.75" customHeight="1" x14ac:dyDescent="0.35">
      <c r="A233" s="5"/>
      <c r="C233" s="6"/>
    </row>
    <row r="234" spans="1:3" ht="15.75" customHeight="1" x14ac:dyDescent="0.35">
      <c r="A234" s="5"/>
      <c r="C234" s="6"/>
    </row>
    <row r="235" spans="1:3" ht="15.75" customHeight="1" x14ac:dyDescent="0.35">
      <c r="A235" s="5"/>
      <c r="C235" s="6"/>
    </row>
    <row r="236" spans="1:3" ht="15.75" customHeight="1" x14ac:dyDescent="0.35">
      <c r="A236" s="5"/>
      <c r="C236" s="6"/>
    </row>
    <row r="237" spans="1:3" ht="15.75" customHeight="1" x14ac:dyDescent="0.35">
      <c r="A237" s="5"/>
      <c r="C237" s="6"/>
    </row>
    <row r="238" spans="1:3" ht="15.75" customHeight="1" x14ac:dyDescent="0.35">
      <c r="A238" s="5"/>
      <c r="C238" s="6"/>
    </row>
    <row r="239" spans="1:3" ht="15.75" customHeight="1" x14ac:dyDescent="0.35">
      <c r="A239" s="5"/>
      <c r="C239" s="6"/>
    </row>
    <row r="240" spans="1:3" ht="15.75" customHeight="1" x14ac:dyDescent="0.35">
      <c r="A240" s="5"/>
      <c r="C240" s="6"/>
    </row>
    <row r="241" spans="1:3" ht="15.75" customHeight="1" x14ac:dyDescent="0.35">
      <c r="A241" s="5"/>
      <c r="C241" s="6"/>
    </row>
    <row r="242" spans="1:3" ht="15.75" customHeight="1" x14ac:dyDescent="0.35">
      <c r="A242" s="5"/>
      <c r="C242" s="6"/>
    </row>
    <row r="243" spans="1:3" ht="15.75" customHeight="1" x14ac:dyDescent="0.35">
      <c r="A243" s="5"/>
      <c r="C243" s="6"/>
    </row>
    <row r="244" spans="1:3" ht="15.75" customHeight="1" x14ac:dyDescent="0.35">
      <c r="A244" s="5"/>
      <c r="C244" s="6"/>
    </row>
    <row r="245" spans="1:3" ht="15.75" customHeight="1" x14ac:dyDescent="0.35">
      <c r="A245" s="5"/>
      <c r="C245" s="6"/>
    </row>
    <row r="246" spans="1:3" ht="15.75" customHeight="1" x14ac:dyDescent="0.35">
      <c r="A246" s="5"/>
      <c r="C246" s="6"/>
    </row>
    <row r="247" spans="1:3" ht="15.75" customHeight="1" x14ac:dyDescent="0.35">
      <c r="A247" s="5"/>
      <c r="C247" s="6"/>
    </row>
    <row r="248" spans="1:3" ht="15.75" customHeight="1" x14ac:dyDescent="0.35">
      <c r="A248" s="5"/>
      <c r="C248" s="6"/>
    </row>
    <row r="249" spans="1:3" ht="15.75" customHeight="1" x14ac:dyDescent="0.35">
      <c r="A249" s="5"/>
      <c r="C249" s="6"/>
    </row>
    <row r="250" spans="1:3" ht="15.75" customHeight="1" x14ac:dyDescent="0.35">
      <c r="A250" s="5"/>
      <c r="C250" s="6"/>
    </row>
    <row r="251" spans="1:3" ht="15.75" customHeight="1" x14ac:dyDescent="0.35">
      <c r="A251" s="5"/>
      <c r="C251" s="6"/>
    </row>
    <row r="252" spans="1:3" ht="15.75" customHeight="1" x14ac:dyDescent="0.35">
      <c r="A252" s="5"/>
      <c r="C252" s="6"/>
    </row>
    <row r="253" spans="1:3" ht="15.75" customHeight="1" x14ac:dyDescent="0.35">
      <c r="A253" s="5"/>
      <c r="C253" s="6"/>
    </row>
    <row r="254" spans="1:3" ht="15.75" customHeight="1" x14ac:dyDescent="0.35">
      <c r="A254" s="5"/>
      <c r="C254" s="6"/>
    </row>
    <row r="255" spans="1:3" ht="15.75" customHeight="1" x14ac:dyDescent="0.35">
      <c r="A255" s="5"/>
      <c r="C255" s="6"/>
    </row>
    <row r="256" spans="1:3" ht="15.75" customHeight="1" x14ac:dyDescent="0.35">
      <c r="A256" s="5"/>
      <c r="C256" s="6"/>
    </row>
    <row r="257" spans="1:3" ht="15.75" customHeight="1" x14ac:dyDescent="0.35">
      <c r="A257" s="5"/>
      <c r="C257" s="6"/>
    </row>
    <row r="258" spans="1:3" ht="15.75" customHeight="1" x14ac:dyDescent="0.35">
      <c r="A258" s="5"/>
      <c r="C258" s="6"/>
    </row>
    <row r="259" spans="1:3" ht="15.75" customHeight="1" x14ac:dyDescent="0.35">
      <c r="A259" s="5"/>
      <c r="C259" s="6"/>
    </row>
    <row r="260" spans="1:3" ht="15.75" customHeight="1" x14ac:dyDescent="0.35">
      <c r="A260" s="5"/>
      <c r="C260" s="6"/>
    </row>
    <row r="261" spans="1:3" ht="15.75" customHeight="1" x14ac:dyDescent="0.35">
      <c r="A261" s="5"/>
      <c r="C261" s="6"/>
    </row>
    <row r="262" spans="1:3" ht="15.75" customHeight="1" x14ac:dyDescent="0.35">
      <c r="A262" s="5"/>
      <c r="C262" s="6"/>
    </row>
    <row r="263" spans="1:3" ht="15.75" customHeight="1" x14ac:dyDescent="0.35">
      <c r="A263" s="5"/>
      <c r="C263" s="6"/>
    </row>
    <row r="264" spans="1:3" ht="15.75" customHeight="1" x14ac:dyDescent="0.35">
      <c r="A264" s="5"/>
      <c r="C264" s="6"/>
    </row>
    <row r="265" spans="1:3" ht="15.75" customHeight="1" x14ac:dyDescent="0.35">
      <c r="A265" s="5"/>
      <c r="C265" s="6"/>
    </row>
    <row r="266" spans="1:3" ht="15.75" customHeight="1" x14ac:dyDescent="0.35">
      <c r="A266" s="5"/>
      <c r="C266" s="6"/>
    </row>
    <row r="267" spans="1:3" ht="15.75" customHeight="1" x14ac:dyDescent="0.35">
      <c r="A267" s="5"/>
      <c r="C267" s="6"/>
    </row>
    <row r="268" spans="1:3" ht="15.75" customHeight="1" x14ac:dyDescent="0.35">
      <c r="A268" s="5"/>
      <c r="C268" s="6"/>
    </row>
    <row r="269" spans="1:3" ht="15.75" customHeight="1" x14ac:dyDescent="0.35">
      <c r="A269" s="5"/>
      <c r="C269" s="6"/>
    </row>
    <row r="270" spans="1:3" ht="15.75" customHeight="1" x14ac:dyDescent="0.35">
      <c r="A270" s="5"/>
      <c r="C270" s="6"/>
    </row>
    <row r="271" spans="1:3" ht="15.75" customHeight="1" x14ac:dyDescent="0.35">
      <c r="A271" s="5"/>
      <c r="C271" s="6"/>
    </row>
    <row r="272" spans="1:3" ht="15.75" customHeight="1" x14ac:dyDescent="0.35">
      <c r="A272" s="5"/>
      <c r="C272" s="6"/>
    </row>
    <row r="273" spans="1:3" ht="15.75" customHeight="1" x14ac:dyDescent="0.35">
      <c r="A273" s="5"/>
      <c r="C273" s="6"/>
    </row>
    <row r="274" spans="1:3" ht="15.75" customHeight="1" x14ac:dyDescent="0.35">
      <c r="A274" s="5"/>
      <c r="C274" s="6"/>
    </row>
    <row r="275" spans="1:3" ht="15.75" customHeight="1" x14ac:dyDescent="0.35">
      <c r="A275" s="5"/>
      <c r="C275" s="6"/>
    </row>
    <row r="276" spans="1:3" ht="15.75" customHeight="1" x14ac:dyDescent="0.35">
      <c r="A276" s="5"/>
      <c r="C276" s="6"/>
    </row>
    <row r="277" spans="1:3" ht="15.75" customHeight="1" x14ac:dyDescent="0.35">
      <c r="A277" s="5"/>
      <c r="C277" s="6"/>
    </row>
    <row r="278" spans="1:3" ht="15.75" customHeight="1" x14ac:dyDescent="0.35">
      <c r="A278" s="5"/>
      <c r="C278" s="6"/>
    </row>
    <row r="279" spans="1:3" ht="15.75" customHeight="1" x14ac:dyDescent="0.35">
      <c r="A279" s="5"/>
      <c r="C279" s="6"/>
    </row>
    <row r="280" spans="1:3" ht="15.75" customHeight="1" x14ac:dyDescent="0.35">
      <c r="A280" s="5"/>
      <c r="C280" s="6"/>
    </row>
    <row r="281" spans="1:3" ht="15.75" customHeight="1" x14ac:dyDescent="0.35">
      <c r="A281" s="5"/>
      <c r="C281" s="6"/>
    </row>
    <row r="282" spans="1:3" ht="15.75" customHeight="1" x14ac:dyDescent="0.35">
      <c r="A282" s="5"/>
      <c r="C282" s="6"/>
    </row>
    <row r="283" spans="1:3" ht="15.75" customHeight="1" x14ac:dyDescent="0.35">
      <c r="A283" s="5"/>
      <c r="C283" s="6"/>
    </row>
    <row r="284" spans="1:3" ht="15.75" customHeight="1" x14ac:dyDescent="0.35">
      <c r="A284" s="5"/>
      <c r="C284" s="6"/>
    </row>
    <row r="285" spans="1:3" ht="15.75" customHeight="1" x14ac:dyDescent="0.35">
      <c r="A285" s="5"/>
      <c r="C285" s="6"/>
    </row>
    <row r="286" spans="1:3" ht="15.75" customHeight="1" x14ac:dyDescent="0.35">
      <c r="A286" s="5"/>
      <c r="C286" s="6"/>
    </row>
    <row r="287" spans="1:3" ht="15.75" customHeight="1" x14ac:dyDescent="0.35">
      <c r="A287" s="5"/>
      <c r="C287" s="6"/>
    </row>
    <row r="288" spans="1:3" ht="15.75" customHeight="1" x14ac:dyDescent="0.35">
      <c r="A288" s="5"/>
      <c r="C288" s="6"/>
    </row>
    <row r="289" spans="1:3" ht="15.75" customHeight="1" x14ac:dyDescent="0.35">
      <c r="A289" s="5"/>
      <c r="C289" s="6"/>
    </row>
    <row r="290" spans="1:3" ht="15.75" customHeight="1" x14ac:dyDescent="0.35">
      <c r="A290" s="5"/>
      <c r="C290" s="6"/>
    </row>
    <row r="291" spans="1:3" ht="15.75" customHeight="1" x14ac:dyDescent="0.35">
      <c r="A291" s="5"/>
      <c r="C291" s="6"/>
    </row>
    <row r="292" spans="1:3" ht="15.75" customHeight="1" x14ac:dyDescent="0.35">
      <c r="A292" s="5"/>
      <c r="C292" s="6"/>
    </row>
    <row r="293" spans="1:3" ht="15.75" customHeight="1" x14ac:dyDescent="0.35">
      <c r="A293" s="5"/>
      <c r="C293" s="6"/>
    </row>
    <row r="294" spans="1:3" ht="15.75" customHeight="1" x14ac:dyDescent="0.35">
      <c r="A294" s="5"/>
      <c r="C294" s="6"/>
    </row>
    <row r="295" spans="1:3" ht="15.75" customHeight="1" x14ac:dyDescent="0.35">
      <c r="A295" s="5"/>
      <c r="C295" s="6"/>
    </row>
    <row r="296" spans="1:3" ht="15.75" customHeight="1" x14ac:dyDescent="0.35">
      <c r="A296" s="5"/>
      <c r="C296" s="6"/>
    </row>
    <row r="297" spans="1:3" ht="15.75" customHeight="1" x14ac:dyDescent="0.35">
      <c r="A297" s="5"/>
      <c r="C297" s="6"/>
    </row>
    <row r="298" spans="1:3" ht="15.75" customHeight="1" x14ac:dyDescent="0.35">
      <c r="A298" s="5"/>
      <c r="C298" s="6"/>
    </row>
    <row r="299" spans="1:3" ht="15.75" customHeight="1" x14ac:dyDescent="0.35">
      <c r="A299" s="5"/>
      <c r="C299" s="6"/>
    </row>
    <row r="300" spans="1:3" ht="15.75" customHeight="1" x14ac:dyDescent="0.35">
      <c r="A300" s="5"/>
      <c r="C300" s="6"/>
    </row>
    <row r="301" spans="1:3" ht="15.75" customHeight="1" x14ac:dyDescent="0.35">
      <c r="A301" s="5"/>
      <c r="C301" s="6"/>
    </row>
    <row r="302" spans="1:3" ht="15.75" customHeight="1" x14ac:dyDescent="0.35">
      <c r="A302" s="5"/>
      <c r="C302" s="6"/>
    </row>
    <row r="303" spans="1:3" ht="15.75" customHeight="1" x14ac:dyDescent="0.35">
      <c r="A303" s="5"/>
      <c r="C303" s="6"/>
    </row>
    <row r="304" spans="1:3" ht="15.75" customHeight="1" x14ac:dyDescent="0.35">
      <c r="A304" s="5"/>
      <c r="C304" s="6"/>
    </row>
    <row r="305" spans="1:3" ht="15.75" customHeight="1" x14ac:dyDescent="0.35">
      <c r="A305" s="5"/>
      <c r="C305" s="6"/>
    </row>
    <row r="306" spans="1:3" ht="15.75" customHeight="1" x14ac:dyDescent="0.35">
      <c r="A306" s="5"/>
      <c r="C306" s="6"/>
    </row>
    <row r="307" spans="1:3" ht="15.75" customHeight="1" x14ac:dyDescent="0.35">
      <c r="A307" s="5"/>
      <c r="C307" s="6"/>
    </row>
    <row r="308" spans="1:3" ht="15.75" customHeight="1" x14ac:dyDescent="0.35">
      <c r="A308" s="5"/>
      <c r="C308" s="6"/>
    </row>
    <row r="309" spans="1:3" ht="15.75" customHeight="1" x14ac:dyDescent="0.35">
      <c r="A309" s="5"/>
      <c r="C309" s="6"/>
    </row>
    <row r="310" spans="1:3" ht="15.75" customHeight="1" x14ac:dyDescent="0.35">
      <c r="A310" s="5"/>
      <c r="C310" s="6"/>
    </row>
    <row r="311" spans="1:3" ht="15.75" customHeight="1" x14ac:dyDescent="0.35">
      <c r="A311" s="5"/>
      <c r="C311" s="6"/>
    </row>
    <row r="312" spans="1:3" ht="15.75" customHeight="1" x14ac:dyDescent="0.35">
      <c r="A312" s="5"/>
      <c r="C312" s="6"/>
    </row>
    <row r="313" spans="1:3" ht="15.75" customHeight="1" x14ac:dyDescent="0.35">
      <c r="A313" s="5"/>
      <c r="C313" s="6"/>
    </row>
    <row r="314" spans="1:3" ht="15.75" customHeight="1" x14ac:dyDescent="0.35">
      <c r="A314" s="5"/>
      <c r="C314" s="6"/>
    </row>
    <row r="315" spans="1:3" ht="15.75" customHeight="1" x14ac:dyDescent="0.35">
      <c r="A315" s="5"/>
      <c r="C315" s="6"/>
    </row>
    <row r="316" spans="1:3" ht="15.75" customHeight="1" x14ac:dyDescent="0.35">
      <c r="A316" s="5"/>
      <c r="C316" s="6"/>
    </row>
    <row r="317" spans="1:3" ht="15.75" customHeight="1" x14ac:dyDescent="0.35">
      <c r="A317" s="5"/>
      <c r="C317" s="6"/>
    </row>
    <row r="318" spans="1:3" ht="15.75" customHeight="1" x14ac:dyDescent="0.35">
      <c r="A318" s="5"/>
      <c r="C318" s="6"/>
    </row>
    <row r="319" spans="1:3" ht="15.75" customHeight="1" x14ac:dyDescent="0.35">
      <c r="A319" s="5"/>
      <c r="C319" s="6"/>
    </row>
    <row r="320" spans="1:3" ht="15.75" customHeight="1" x14ac:dyDescent="0.35">
      <c r="A320" s="5"/>
      <c r="C320" s="6"/>
    </row>
    <row r="321" spans="1:3" ht="15.75" customHeight="1" x14ac:dyDescent="0.35">
      <c r="A321" s="5"/>
      <c r="C321" s="6"/>
    </row>
    <row r="322" spans="1:3" ht="15.75" customHeight="1" x14ac:dyDescent="0.35">
      <c r="A322" s="5"/>
      <c r="C322" s="6"/>
    </row>
    <row r="323" spans="1:3" ht="15.75" customHeight="1" x14ac:dyDescent="0.35">
      <c r="A323" s="5"/>
      <c r="C323" s="6"/>
    </row>
    <row r="324" spans="1:3" ht="15.75" customHeight="1" x14ac:dyDescent="0.35">
      <c r="A324" s="5"/>
      <c r="C324" s="6"/>
    </row>
    <row r="325" spans="1:3" ht="15.75" customHeight="1" x14ac:dyDescent="0.35">
      <c r="A325" s="5"/>
      <c r="C325" s="6"/>
    </row>
    <row r="326" spans="1:3" ht="15.75" customHeight="1" x14ac:dyDescent="0.35">
      <c r="A326" s="5"/>
      <c r="C326" s="6"/>
    </row>
    <row r="327" spans="1:3" ht="15.75" customHeight="1" x14ac:dyDescent="0.35">
      <c r="A327" s="5"/>
      <c r="C327" s="6"/>
    </row>
    <row r="328" spans="1:3" ht="15.75" customHeight="1" x14ac:dyDescent="0.35">
      <c r="A328" s="5"/>
      <c r="C328" s="6"/>
    </row>
    <row r="329" spans="1:3" ht="15.75" customHeight="1" x14ac:dyDescent="0.35">
      <c r="A329" s="5"/>
      <c r="C329" s="6"/>
    </row>
    <row r="330" spans="1:3" ht="15.75" customHeight="1" x14ac:dyDescent="0.35">
      <c r="A330" s="5"/>
      <c r="C330" s="6"/>
    </row>
    <row r="331" spans="1:3" ht="15.75" customHeight="1" x14ac:dyDescent="0.35">
      <c r="A331" s="5"/>
      <c r="C331" s="6"/>
    </row>
    <row r="332" spans="1:3" ht="15.75" customHeight="1" x14ac:dyDescent="0.35">
      <c r="A332" s="5"/>
      <c r="C332" s="6"/>
    </row>
    <row r="333" spans="1:3" ht="15.75" customHeight="1" x14ac:dyDescent="0.35">
      <c r="A333" s="5"/>
      <c r="C333" s="6"/>
    </row>
    <row r="334" spans="1:3" ht="15.75" customHeight="1" x14ac:dyDescent="0.35">
      <c r="A334" s="5"/>
      <c r="C334" s="6"/>
    </row>
    <row r="335" spans="1:3" ht="15.75" customHeight="1" x14ac:dyDescent="0.35">
      <c r="A335" s="5"/>
      <c r="C335" s="6"/>
    </row>
    <row r="336" spans="1:3" ht="15.75" customHeight="1" x14ac:dyDescent="0.35">
      <c r="A336" s="5"/>
      <c r="C336" s="6"/>
    </row>
    <row r="337" spans="1:3" ht="15.75" customHeight="1" x14ac:dyDescent="0.35">
      <c r="A337" s="5"/>
      <c r="C337" s="6"/>
    </row>
    <row r="338" spans="1:3" ht="15.75" customHeight="1" x14ac:dyDescent="0.35">
      <c r="A338" s="5"/>
      <c r="C338" s="6"/>
    </row>
    <row r="339" spans="1:3" ht="15.75" customHeight="1" x14ac:dyDescent="0.35">
      <c r="A339" s="5"/>
      <c r="C339" s="6"/>
    </row>
    <row r="340" spans="1:3" ht="15.75" customHeight="1" x14ac:dyDescent="0.35">
      <c r="A340" s="5"/>
      <c r="C340" s="6"/>
    </row>
    <row r="341" spans="1:3" ht="15.75" customHeight="1" x14ac:dyDescent="0.35">
      <c r="A341" s="5"/>
      <c r="C341" s="6"/>
    </row>
    <row r="342" spans="1:3" ht="15.75" customHeight="1" x14ac:dyDescent="0.35">
      <c r="A342" s="5"/>
      <c r="C342" s="6"/>
    </row>
    <row r="343" spans="1:3" ht="15.75" customHeight="1" x14ac:dyDescent="0.35">
      <c r="A343" s="5"/>
      <c r="C343" s="6"/>
    </row>
    <row r="344" spans="1:3" ht="15.75" customHeight="1" x14ac:dyDescent="0.35">
      <c r="A344" s="5"/>
      <c r="C344" s="6"/>
    </row>
    <row r="345" spans="1:3" ht="15.75" customHeight="1" x14ac:dyDescent="0.35">
      <c r="A345" s="5"/>
      <c r="C345" s="6"/>
    </row>
    <row r="346" spans="1:3" ht="15.75" customHeight="1" x14ac:dyDescent="0.35">
      <c r="A346" s="5"/>
      <c r="C346" s="6"/>
    </row>
    <row r="347" spans="1:3" ht="15.75" customHeight="1" x14ac:dyDescent="0.35">
      <c r="A347" s="5"/>
      <c r="C347" s="6"/>
    </row>
    <row r="348" spans="1:3" ht="15.75" customHeight="1" x14ac:dyDescent="0.35">
      <c r="A348" s="5"/>
      <c r="C348" s="6"/>
    </row>
    <row r="349" spans="1:3" ht="15.75" customHeight="1" x14ac:dyDescent="0.35">
      <c r="A349" s="5"/>
      <c r="C349" s="6"/>
    </row>
    <row r="350" spans="1:3" ht="15.75" customHeight="1" x14ac:dyDescent="0.35">
      <c r="A350" s="5"/>
      <c r="C350" s="6"/>
    </row>
    <row r="351" spans="1:3" ht="15.75" customHeight="1" x14ac:dyDescent="0.35">
      <c r="A351" s="5"/>
      <c r="C351" s="6"/>
    </row>
    <row r="352" spans="1:3" ht="15.75" customHeight="1" x14ac:dyDescent="0.35">
      <c r="A352" s="5"/>
      <c r="C352" s="6"/>
    </row>
    <row r="353" spans="1:3" ht="15.75" customHeight="1" x14ac:dyDescent="0.35">
      <c r="A353" s="5"/>
      <c r="C353" s="6"/>
    </row>
    <row r="354" spans="1:3" ht="15.75" customHeight="1" x14ac:dyDescent="0.35">
      <c r="A354" s="5"/>
      <c r="C354" s="6"/>
    </row>
    <row r="355" spans="1:3" ht="15.75" customHeight="1" x14ac:dyDescent="0.35">
      <c r="A355" s="5"/>
      <c r="C355" s="6"/>
    </row>
    <row r="356" spans="1:3" ht="15.75" customHeight="1" x14ac:dyDescent="0.35">
      <c r="A356" s="5"/>
      <c r="C356" s="6"/>
    </row>
    <row r="357" spans="1:3" ht="15.75" customHeight="1" x14ac:dyDescent="0.35">
      <c r="A357" s="5"/>
      <c r="C357" s="6"/>
    </row>
    <row r="358" spans="1:3" ht="15.75" customHeight="1" x14ac:dyDescent="0.35">
      <c r="A358" s="5"/>
      <c r="C358" s="6"/>
    </row>
    <row r="359" spans="1:3" ht="15.75" customHeight="1" x14ac:dyDescent="0.35">
      <c r="A359" s="5"/>
      <c r="C359" s="6"/>
    </row>
    <row r="360" spans="1:3" ht="15.75" customHeight="1" x14ac:dyDescent="0.35">
      <c r="A360" s="5"/>
      <c r="C360" s="6"/>
    </row>
    <row r="361" spans="1:3" ht="15.75" customHeight="1" x14ac:dyDescent="0.35">
      <c r="A361" s="5"/>
      <c r="C361" s="6"/>
    </row>
    <row r="362" spans="1:3" ht="15.75" customHeight="1" x14ac:dyDescent="0.35">
      <c r="A362" s="5"/>
      <c r="C362" s="6"/>
    </row>
    <row r="363" spans="1:3" ht="15.75" customHeight="1" x14ac:dyDescent="0.35">
      <c r="A363" s="5"/>
      <c r="C363" s="6"/>
    </row>
    <row r="364" spans="1:3" ht="15.75" customHeight="1" x14ac:dyDescent="0.35">
      <c r="A364" s="5"/>
      <c r="C364" s="6"/>
    </row>
    <row r="365" spans="1:3" ht="15.75" customHeight="1" x14ac:dyDescent="0.35">
      <c r="A365" s="5"/>
      <c r="C365" s="6"/>
    </row>
    <row r="366" spans="1:3" ht="15.75" customHeight="1" x14ac:dyDescent="0.35">
      <c r="A366" s="5"/>
      <c r="C366" s="6"/>
    </row>
    <row r="367" spans="1:3" ht="15.75" customHeight="1" x14ac:dyDescent="0.35">
      <c r="A367" s="5"/>
      <c r="C367" s="6"/>
    </row>
    <row r="368" spans="1:3" ht="15.75" customHeight="1" x14ac:dyDescent="0.35">
      <c r="A368" s="5"/>
      <c r="C368" s="6"/>
    </row>
    <row r="369" spans="1:3" ht="15.75" customHeight="1" x14ac:dyDescent="0.35">
      <c r="A369" s="5"/>
      <c r="C369" s="6"/>
    </row>
    <row r="370" spans="1:3" ht="15.75" customHeight="1" x14ac:dyDescent="0.35">
      <c r="A370" s="5"/>
      <c r="C370" s="6"/>
    </row>
    <row r="371" spans="1:3" ht="15.75" customHeight="1" x14ac:dyDescent="0.35">
      <c r="A371" s="5"/>
      <c r="C371" s="6"/>
    </row>
    <row r="372" spans="1:3" ht="15.75" customHeight="1" x14ac:dyDescent="0.35">
      <c r="A372" s="5"/>
      <c r="C372" s="6"/>
    </row>
    <row r="373" spans="1:3" ht="15.75" customHeight="1" x14ac:dyDescent="0.35">
      <c r="A373" s="5"/>
      <c r="C373" s="6"/>
    </row>
    <row r="374" spans="1:3" ht="15.75" customHeight="1" x14ac:dyDescent="0.35">
      <c r="A374" s="5"/>
      <c r="C374" s="6"/>
    </row>
    <row r="375" spans="1:3" ht="15.75" customHeight="1" x14ac:dyDescent="0.35">
      <c r="A375" s="5"/>
      <c r="C375" s="6"/>
    </row>
    <row r="376" spans="1:3" ht="15.75" customHeight="1" x14ac:dyDescent="0.35">
      <c r="A376" s="5"/>
      <c r="C376" s="6"/>
    </row>
    <row r="377" spans="1:3" ht="15.75" customHeight="1" x14ac:dyDescent="0.35">
      <c r="A377" s="5"/>
      <c r="C377" s="6"/>
    </row>
    <row r="378" spans="1:3" ht="15.75" customHeight="1" x14ac:dyDescent="0.35">
      <c r="A378" s="5"/>
      <c r="C378" s="6"/>
    </row>
    <row r="379" spans="1:3" ht="15.75" customHeight="1" x14ac:dyDescent="0.35">
      <c r="A379" s="5"/>
      <c r="C379" s="6"/>
    </row>
    <row r="380" spans="1:3" ht="15.75" customHeight="1" x14ac:dyDescent="0.35">
      <c r="A380" s="5"/>
      <c r="C380" s="6"/>
    </row>
    <row r="381" spans="1:3" ht="15.75" customHeight="1" x14ac:dyDescent="0.35">
      <c r="A381" s="5"/>
      <c r="C381" s="6"/>
    </row>
    <row r="382" spans="1:3" ht="15.75" customHeight="1" x14ac:dyDescent="0.35">
      <c r="A382" s="5"/>
      <c r="C382" s="6"/>
    </row>
    <row r="383" spans="1:3" ht="15.75" customHeight="1" x14ac:dyDescent="0.35">
      <c r="A383" s="5"/>
      <c r="C383" s="6"/>
    </row>
    <row r="384" spans="1:3" ht="15.75" customHeight="1" x14ac:dyDescent="0.35">
      <c r="A384" s="5"/>
      <c r="C384" s="6"/>
    </row>
    <row r="385" spans="1:3" ht="15.75" customHeight="1" x14ac:dyDescent="0.35">
      <c r="A385" s="5"/>
      <c r="C385" s="6"/>
    </row>
    <row r="386" spans="1:3" ht="15.75" customHeight="1" x14ac:dyDescent="0.35">
      <c r="A386" s="5"/>
      <c r="C386" s="6"/>
    </row>
    <row r="387" spans="1:3" ht="15.75" customHeight="1" x14ac:dyDescent="0.35">
      <c r="A387" s="5"/>
      <c r="C387" s="6"/>
    </row>
    <row r="388" spans="1:3" ht="15.75" customHeight="1" x14ac:dyDescent="0.35">
      <c r="A388" s="5"/>
      <c r="C388" s="6"/>
    </row>
    <row r="389" spans="1:3" ht="15.75" customHeight="1" x14ac:dyDescent="0.35">
      <c r="A389" s="5"/>
      <c r="C389" s="6"/>
    </row>
    <row r="390" spans="1:3" ht="15.75" customHeight="1" x14ac:dyDescent="0.35">
      <c r="A390" s="5"/>
      <c r="C390" s="6"/>
    </row>
    <row r="391" spans="1:3" ht="15.75" customHeight="1" x14ac:dyDescent="0.35">
      <c r="A391" s="5"/>
      <c r="C391" s="6"/>
    </row>
    <row r="392" spans="1:3" ht="15.75" customHeight="1" x14ac:dyDescent="0.35">
      <c r="A392" s="5"/>
      <c r="C392" s="6"/>
    </row>
    <row r="393" spans="1:3" ht="15.75" customHeight="1" x14ac:dyDescent="0.35">
      <c r="A393" s="5"/>
      <c r="C393" s="6"/>
    </row>
    <row r="394" spans="1:3" ht="15.75" customHeight="1" x14ac:dyDescent="0.35">
      <c r="A394" s="5"/>
      <c r="C394" s="6"/>
    </row>
    <row r="395" spans="1:3" ht="15.75" customHeight="1" x14ac:dyDescent="0.35">
      <c r="A395" s="5"/>
      <c r="C395" s="6"/>
    </row>
    <row r="396" spans="1:3" ht="15.75" customHeight="1" x14ac:dyDescent="0.35">
      <c r="A396" s="5"/>
      <c r="C396" s="6"/>
    </row>
    <row r="397" spans="1:3" ht="15.75" customHeight="1" x14ac:dyDescent="0.35">
      <c r="A397" s="5"/>
      <c r="C397" s="6"/>
    </row>
    <row r="398" spans="1:3" ht="15.75" customHeight="1" x14ac:dyDescent="0.35">
      <c r="A398" s="5"/>
      <c r="C398" s="6"/>
    </row>
    <row r="399" spans="1:3" ht="15.75" customHeight="1" x14ac:dyDescent="0.35">
      <c r="A399" s="5"/>
      <c r="C399" s="6"/>
    </row>
    <row r="400" spans="1:3" ht="15.75" customHeight="1" x14ac:dyDescent="0.35">
      <c r="A400" s="5"/>
      <c r="C400" s="6"/>
    </row>
    <row r="401" spans="1:3" ht="15.75" customHeight="1" x14ac:dyDescent="0.35">
      <c r="A401" s="5"/>
      <c r="C401" s="6"/>
    </row>
    <row r="402" spans="1:3" ht="15.75" customHeight="1" x14ac:dyDescent="0.35">
      <c r="A402" s="5"/>
      <c r="C402" s="6"/>
    </row>
    <row r="403" spans="1:3" ht="15.75" customHeight="1" x14ac:dyDescent="0.35">
      <c r="A403" s="5"/>
      <c r="C403" s="6"/>
    </row>
    <row r="404" spans="1:3" ht="15.75" customHeight="1" x14ac:dyDescent="0.35">
      <c r="A404" s="5"/>
      <c r="C404" s="6"/>
    </row>
    <row r="405" spans="1:3" ht="15.75" customHeight="1" x14ac:dyDescent="0.35">
      <c r="A405" s="5"/>
      <c r="C405" s="6"/>
    </row>
    <row r="406" spans="1:3" ht="15.75" customHeight="1" x14ac:dyDescent="0.35">
      <c r="A406" s="5"/>
      <c r="C406" s="6"/>
    </row>
    <row r="407" spans="1:3" ht="15.75" customHeight="1" x14ac:dyDescent="0.35">
      <c r="A407" s="5"/>
      <c r="C407" s="6"/>
    </row>
    <row r="408" spans="1:3" ht="15.75" customHeight="1" x14ac:dyDescent="0.35">
      <c r="A408" s="5"/>
      <c r="C408" s="6"/>
    </row>
    <row r="409" spans="1:3" ht="15.75" customHeight="1" x14ac:dyDescent="0.35">
      <c r="A409" s="5"/>
      <c r="C409" s="6"/>
    </row>
    <row r="410" spans="1:3" ht="15.75" customHeight="1" x14ac:dyDescent="0.35">
      <c r="A410" s="5"/>
      <c r="C410" s="6"/>
    </row>
    <row r="411" spans="1:3" ht="15.75" customHeight="1" x14ac:dyDescent="0.35">
      <c r="A411" s="5"/>
      <c r="C411" s="6"/>
    </row>
    <row r="412" spans="1:3" ht="15.75" customHeight="1" x14ac:dyDescent="0.35">
      <c r="A412" s="5"/>
      <c r="C412" s="6"/>
    </row>
    <row r="413" spans="1:3" ht="15.75" customHeight="1" x14ac:dyDescent="0.35">
      <c r="A413" s="5"/>
      <c r="C413" s="6"/>
    </row>
    <row r="414" spans="1:3" ht="15.75" customHeight="1" x14ac:dyDescent="0.35">
      <c r="A414" s="5"/>
      <c r="C414" s="6"/>
    </row>
    <row r="415" spans="1:3" ht="15.75" customHeight="1" x14ac:dyDescent="0.35">
      <c r="A415" s="5"/>
      <c r="C415" s="6"/>
    </row>
    <row r="416" spans="1:3" ht="15.75" customHeight="1" x14ac:dyDescent="0.35">
      <c r="A416" s="5"/>
      <c r="C416" s="6"/>
    </row>
    <row r="417" spans="1:3" ht="15.75" customHeight="1" x14ac:dyDescent="0.35">
      <c r="A417" s="5"/>
      <c r="C417" s="6"/>
    </row>
    <row r="418" spans="1:3" ht="15.75" customHeight="1" x14ac:dyDescent="0.35">
      <c r="A418" s="5"/>
      <c r="C418" s="6"/>
    </row>
    <row r="419" spans="1:3" ht="15.75" customHeight="1" x14ac:dyDescent="0.35">
      <c r="A419" s="5"/>
      <c r="C419" s="6"/>
    </row>
    <row r="420" spans="1:3" ht="15.75" customHeight="1" x14ac:dyDescent="0.35">
      <c r="A420" s="5"/>
      <c r="C420" s="6"/>
    </row>
    <row r="421" spans="1:3" ht="15.75" customHeight="1" x14ac:dyDescent="0.35">
      <c r="A421" s="5"/>
      <c r="C421" s="6"/>
    </row>
    <row r="422" spans="1:3" ht="15.75" customHeight="1" x14ac:dyDescent="0.35">
      <c r="A422" s="5"/>
      <c r="C422" s="6"/>
    </row>
    <row r="423" spans="1:3" ht="15.75" customHeight="1" x14ac:dyDescent="0.35">
      <c r="A423" s="5"/>
      <c r="C423" s="6"/>
    </row>
    <row r="424" spans="1:3" ht="15.75" customHeight="1" x14ac:dyDescent="0.35">
      <c r="A424" s="5"/>
      <c r="C424" s="6"/>
    </row>
    <row r="425" spans="1:3" ht="15.75" customHeight="1" x14ac:dyDescent="0.35">
      <c r="A425" s="5"/>
      <c r="C425" s="6"/>
    </row>
    <row r="426" spans="1:3" ht="15.75" customHeight="1" x14ac:dyDescent="0.35">
      <c r="A426" s="5"/>
      <c r="C426" s="6"/>
    </row>
    <row r="427" spans="1:3" ht="15.75" customHeight="1" x14ac:dyDescent="0.35">
      <c r="A427" s="5"/>
      <c r="C427" s="6"/>
    </row>
    <row r="428" spans="1:3" ht="15.75" customHeight="1" x14ac:dyDescent="0.35">
      <c r="A428" s="5"/>
      <c r="C428" s="6"/>
    </row>
    <row r="429" spans="1:3" ht="15.75" customHeight="1" x14ac:dyDescent="0.35">
      <c r="A429" s="5"/>
      <c r="C429" s="6"/>
    </row>
    <row r="430" spans="1:3" ht="15.75" customHeight="1" x14ac:dyDescent="0.35">
      <c r="A430" s="5"/>
      <c r="C430" s="6"/>
    </row>
    <row r="431" spans="1:3" ht="15.75" customHeight="1" x14ac:dyDescent="0.35">
      <c r="A431" s="5"/>
      <c r="C431" s="6"/>
    </row>
    <row r="432" spans="1:3" ht="15.75" customHeight="1" x14ac:dyDescent="0.35">
      <c r="A432" s="5"/>
      <c r="C432" s="6"/>
    </row>
    <row r="433" spans="1:3" ht="15.75" customHeight="1" x14ac:dyDescent="0.35">
      <c r="A433" s="5"/>
      <c r="C433" s="6"/>
    </row>
    <row r="434" spans="1:3" ht="15.75" customHeight="1" x14ac:dyDescent="0.35">
      <c r="A434" s="5"/>
      <c r="C434" s="6"/>
    </row>
    <row r="435" spans="1:3" ht="15.75" customHeight="1" x14ac:dyDescent="0.35">
      <c r="A435" s="5"/>
      <c r="C435" s="6"/>
    </row>
    <row r="436" spans="1:3" ht="15.75" customHeight="1" x14ac:dyDescent="0.35">
      <c r="A436" s="5"/>
      <c r="C436" s="6"/>
    </row>
    <row r="437" spans="1:3" ht="15.75" customHeight="1" x14ac:dyDescent="0.35">
      <c r="A437" s="5"/>
      <c r="C437" s="6"/>
    </row>
    <row r="438" spans="1:3" ht="15.75" customHeight="1" x14ac:dyDescent="0.35">
      <c r="A438" s="5"/>
      <c r="C438" s="6"/>
    </row>
    <row r="439" spans="1:3" ht="15.75" customHeight="1" x14ac:dyDescent="0.35">
      <c r="A439" s="5"/>
      <c r="C439" s="6"/>
    </row>
    <row r="440" spans="1:3" ht="15.75" customHeight="1" x14ac:dyDescent="0.35">
      <c r="A440" s="5"/>
      <c r="C440" s="6"/>
    </row>
    <row r="441" spans="1:3" ht="15.75" customHeight="1" x14ac:dyDescent="0.35">
      <c r="A441" s="5"/>
      <c r="C441" s="6"/>
    </row>
    <row r="442" spans="1:3" ht="15.75" customHeight="1" x14ac:dyDescent="0.35">
      <c r="A442" s="5"/>
      <c r="C442" s="6"/>
    </row>
    <row r="443" spans="1:3" ht="15.75" customHeight="1" x14ac:dyDescent="0.35">
      <c r="A443" s="5"/>
      <c r="C443" s="6"/>
    </row>
    <row r="444" spans="1:3" ht="15.75" customHeight="1" x14ac:dyDescent="0.35">
      <c r="A444" s="5"/>
      <c r="C444" s="6"/>
    </row>
    <row r="445" spans="1:3" ht="15.75" customHeight="1" x14ac:dyDescent="0.35">
      <c r="A445" s="5"/>
      <c r="C445" s="6"/>
    </row>
    <row r="446" spans="1:3" ht="15.75" customHeight="1" x14ac:dyDescent="0.35">
      <c r="A446" s="5"/>
      <c r="C446" s="6"/>
    </row>
    <row r="447" spans="1:3" ht="15.75" customHeight="1" x14ac:dyDescent="0.35">
      <c r="A447" s="5"/>
      <c r="C447" s="6"/>
    </row>
    <row r="448" spans="1:3" ht="15.75" customHeight="1" x14ac:dyDescent="0.35">
      <c r="A448" s="5"/>
      <c r="C448" s="6"/>
    </row>
    <row r="449" spans="1:3" ht="15.75" customHeight="1" x14ac:dyDescent="0.35">
      <c r="A449" s="5"/>
      <c r="C449" s="6"/>
    </row>
    <row r="450" spans="1:3" ht="15.75" customHeight="1" x14ac:dyDescent="0.35">
      <c r="A450" s="5"/>
      <c r="C450" s="6"/>
    </row>
    <row r="451" spans="1:3" ht="15.75" customHeight="1" x14ac:dyDescent="0.35">
      <c r="A451" s="5"/>
      <c r="C451" s="6"/>
    </row>
    <row r="452" spans="1:3" ht="15.75" customHeight="1" x14ac:dyDescent="0.35">
      <c r="A452" s="5"/>
      <c r="C452" s="6"/>
    </row>
    <row r="453" spans="1:3" ht="15.75" customHeight="1" x14ac:dyDescent="0.35">
      <c r="A453" s="5"/>
      <c r="C453" s="6"/>
    </row>
    <row r="454" spans="1:3" ht="15.75" customHeight="1" x14ac:dyDescent="0.35">
      <c r="A454" s="5"/>
      <c r="C454" s="6"/>
    </row>
    <row r="455" spans="1:3" ht="15.75" customHeight="1" x14ac:dyDescent="0.35">
      <c r="A455" s="5"/>
      <c r="C455" s="6"/>
    </row>
    <row r="456" spans="1:3" ht="15.75" customHeight="1" x14ac:dyDescent="0.35">
      <c r="A456" s="5"/>
      <c r="C456" s="6"/>
    </row>
    <row r="457" spans="1:3" ht="15.75" customHeight="1" x14ac:dyDescent="0.35">
      <c r="A457" s="5"/>
      <c r="C457" s="6"/>
    </row>
    <row r="458" spans="1:3" ht="15.75" customHeight="1" x14ac:dyDescent="0.35">
      <c r="A458" s="5"/>
      <c r="C458" s="6"/>
    </row>
    <row r="459" spans="1:3" ht="15.75" customHeight="1" x14ac:dyDescent="0.35">
      <c r="A459" s="5"/>
      <c r="C459" s="6"/>
    </row>
    <row r="460" spans="1:3" ht="15.75" customHeight="1" x14ac:dyDescent="0.35">
      <c r="A460" s="5"/>
      <c r="C460" s="6"/>
    </row>
    <row r="461" spans="1:3" ht="15.75" customHeight="1" x14ac:dyDescent="0.35">
      <c r="A461" s="5"/>
      <c r="C461" s="6"/>
    </row>
    <row r="462" spans="1:3" ht="15.75" customHeight="1" x14ac:dyDescent="0.35">
      <c r="A462" s="5"/>
      <c r="C462" s="6"/>
    </row>
    <row r="463" spans="1:3" ht="15.75" customHeight="1" x14ac:dyDescent="0.35">
      <c r="A463" s="5"/>
      <c r="C463" s="6"/>
    </row>
    <row r="464" spans="1:3" ht="15.75" customHeight="1" x14ac:dyDescent="0.35">
      <c r="A464" s="5"/>
      <c r="C464" s="6"/>
    </row>
    <row r="465" spans="1:3" ht="15.75" customHeight="1" x14ac:dyDescent="0.35">
      <c r="A465" s="5"/>
      <c r="C465" s="6"/>
    </row>
    <row r="466" spans="1:3" ht="15.75" customHeight="1" x14ac:dyDescent="0.35">
      <c r="A466" s="5"/>
      <c r="C466" s="6"/>
    </row>
    <row r="467" spans="1:3" ht="15.75" customHeight="1" x14ac:dyDescent="0.35">
      <c r="A467" s="5"/>
      <c r="C467" s="6"/>
    </row>
    <row r="468" spans="1:3" ht="15.75" customHeight="1" x14ac:dyDescent="0.35">
      <c r="A468" s="5"/>
      <c r="C468" s="6"/>
    </row>
    <row r="469" spans="1:3" ht="15.75" customHeight="1" x14ac:dyDescent="0.35">
      <c r="A469" s="5"/>
      <c r="C469" s="6"/>
    </row>
    <row r="470" spans="1:3" ht="15.75" customHeight="1" x14ac:dyDescent="0.35">
      <c r="A470" s="5"/>
      <c r="C470" s="6"/>
    </row>
    <row r="471" spans="1:3" ht="15.75" customHeight="1" x14ac:dyDescent="0.35">
      <c r="A471" s="5"/>
      <c r="C471" s="6"/>
    </row>
    <row r="472" spans="1:3" ht="15.75" customHeight="1" x14ac:dyDescent="0.35">
      <c r="A472" s="5"/>
      <c r="C472" s="6"/>
    </row>
    <row r="473" spans="1:3" ht="15.75" customHeight="1" x14ac:dyDescent="0.35">
      <c r="A473" s="5"/>
      <c r="C473" s="6"/>
    </row>
    <row r="474" spans="1:3" ht="15.75" customHeight="1" x14ac:dyDescent="0.35">
      <c r="A474" s="5"/>
      <c r="C474" s="6"/>
    </row>
    <row r="475" spans="1:3" ht="15.75" customHeight="1" x14ac:dyDescent="0.35">
      <c r="A475" s="5"/>
      <c r="C475" s="6"/>
    </row>
    <row r="476" spans="1:3" ht="15.75" customHeight="1" x14ac:dyDescent="0.35">
      <c r="A476" s="5"/>
      <c r="C476" s="6"/>
    </row>
    <row r="477" spans="1:3" ht="15.75" customHeight="1" x14ac:dyDescent="0.35">
      <c r="A477" s="5"/>
      <c r="C477" s="6"/>
    </row>
    <row r="478" spans="1:3" ht="15.75" customHeight="1" x14ac:dyDescent="0.35">
      <c r="A478" s="5"/>
      <c r="C478" s="6"/>
    </row>
    <row r="479" spans="1:3" ht="15.75" customHeight="1" x14ac:dyDescent="0.35">
      <c r="A479" s="5"/>
      <c r="C479" s="6"/>
    </row>
    <row r="480" spans="1:3" ht="15.75" customHeight="1" x14ac:dyDescent="0.35">
      <c r="A480" s="5"/>
      <c r="C480" s="6"/>
    </row>
    <row r="481" spans="1:3" ht="15.75" customHeight="1" x14ac:dyDescent="0.35">
      <c r="A481" s="5"/>
      <c r="C481" s="6"/>
    </row>
    <row r="482" spans="1:3" ht="15.75" customHeight="1" x14ac:dyDescent="0.35">
      <c r="A482" s="5"/>
      <c r="C482" s="6"/>
    </row>
    <row r="483" spans="1:3" ht="15.75" customHeight="1" x14ac:dyDescent="0.35">
      <c r="A483" s="5"/>
      <c r="C483" s="6"/>
    </row>
    <row r="484" spans="1:3" ht="15.75" customHeight="1" x14ac:dyDescent="0.35">
      <c r="A484" s="5"/>
      <c r="C484" s="6"/>
    </row>
    <row r="485" spans="1:3" ht="15.75" customHeight="1" x14ac:dyDescent="0.35">
      <c r="A485" s="5"/>
      <c r="C485" s="6"/>
    </row>
    <row r="486" spans="1:3" ht="15.75" customHeight="1" x14ac:dyDescent="0.35">
      <c r="A486" s="5"/>
      <c r="C486" s="6"/>
    </row>
    <row r="487" spans="1:3" ht="15.75" customHeight="1" x14ac:dyDescent="0.35">
      <c r="A487" s="5"/>
      <c r="C487" s="6"/>
    </row>
    <row r="488" spans="1:3" ht="15.75" customHeight="1" x14ac:dyDescent="0.35">
      <c r="A488" s="5"/>
      <c r="C488" s="6"/>
    </row>
    <row r="489" spans="1:3" ht="15.75" customHeight="1" x14ac:dyDescent="0.35">
      <c r="A489" s="5"/>
      <c r="C489" s="6"/>
    </row>
    <row r="490" spans="1:3" ht="15.75" customHeight="1" x14ac:dyDescent="0.35">
      <c r="A490" s="5"/>
      <c r="C490" s="6"/>
    </row>
    <row r="491" spans="1:3" ht="15.75" customHeight="1" x14ac:dyDescent="0.35">
      <c r="A491" s="5"/>
      <c r="C491" s="6"/>
    </row>
    <row r="492" spans="1:3" ht="15.75" customHeight="1" x14ac:dyDescent="0.35">
      <c r="A492" s="5"/>
      <c r="C492" s="6"/>
    </row>
    <row r="493" spans="1:3" ht="15.75" customHeight="1" x14ac:dyDescent="0.35">
      <c r="A493" s="5"/>
      <c r="C493" s="6"/>
    </row>
    <row r="494" spans="1:3" ht="15.75" customHeight="1" x14ac:dyDescent="0.35">
      <c r="A494" s="5"/>
      <c r="C494" s="6"/>
    </row>
    <row r="495" spans="1:3" ht="15.75" customHeight="1" x14ac:dyDescent="0.35">
      <c r="A495" s="5"/>
      <c r="C495" s="6"/>
    </row>
    <row r="496" spans="1:3" ht="15.75" customHeight="1" x14ac:dyDescent="0.35">
      <c r="A496" s="5"/>
      <c r="C496" s="6"/>
    </row>
    <row r="497" spans="1:3" ht="15.75" customHeight="1" x14ac:dyDescent="0.35">
      <c r="A497" s="5"/>
      <c r="C497" s="6"/>
    </row>
    <row r="498" spans="1:3" ht="15.75" customHeight="1" x14ac:dyDescent="0.35">
      <c r="A498" s="5"/>
      <c r="C498" s="6"/>
    </row>
    <row r="499" spans="1:3" ht="15.75" customHeight="1" x14ac:dyDescent="0.35">
      <c r="A499" s="5"/>
      <c r="C499" s="6"/>
    </row>
    <row r="500" spans="1:3" ht="15.75" customHeight="1" x14ac:dyDescent="0.35">
      <c r="A500" s="5"/>
      <c r="C500" s="6"/>
    </row>
    <row r="501" spans="1:3" ht="15.75" customHeight="1" x14ac:dyDescent="0.35">
      <c r="A501" s="5"/>
      <c r="C501" s="6"/>
    </row>
    <row r="502" spans="1:3" ht="15.75" customHeight="1" x14ac:dyDescent="0.35">
      <c r="A502" s="5"/>
      <c r="C502" s="6"/>
    </row>
    <row r="503" spans="1:3" ht="15.75" customHeight="1" x14ac:dyDescent="0.35">
      <c r="A503" s="5"/>
      <c r="C503" s="6"/>
    </row>
    <row r="504" spans="1:3" ht="15.75" customHeight="1" x14ac:dyDescent="0.35">
      <c r="A504" s="5"/>
      <c r="C504" s="6"/>
    </row>
    <row r="505" spans="1:3" ht="15.75" customHeight="1" x14ac:dyDescent="0.35">
      <c r="A505" s="5"/>
      <c r="C505" s="6"/>
    </row>
    <row r="506" spans="1:3" ht="15.75" customHeight="1" x14ac:dyDescent="0.35">
      <c r="A506" s="5"/>
      <c r="C506" s="6"/>
    </row>
    <row r="507" spans="1:3" ht="15.75" customHeight="1" x14ac:dyDescent="0.35">
      <c r="A507" s="5"/>
      <c r="C507" s="6"/>
    </row>
    <row r="508" spans="1:3" ht="15.75" customHeight="1" x14ac:dyDescent="0.35">
      <c r="A508" s="5"/>
      <c r="C508" s="6"/>
    </row>
    <row r="509" spans="1:3" ht="15.75" customHeight="1" x14ac:dyDescent="0.35">
      <c r="A509" s="5"/>
      <c r="C509" s="6"/>
    </row>
    <row r="510" spans="1:3" ht="15.75" customHeight="1" x14ac:dyDescent="0.35">
      <c r="A510" s="5"/>
      <c r="C510" s="6"/>
    </row>
    <row r="511" spans="1:3" ht="15.75" customHeight="1" x14ac:dyDescent="0.35">
      <c r="A511" s="5"/>
      <c r="C511" s="6"/>
    </row>
    <row r="512" spans="1:3" ht="15.75" customHeight="1" x14ac:dyDescent="0.35">
      <c r="A512" s="5"/>
      <c r="C512" s="6"/>
    </row>
    <row r="513" spans="1:3" ht="15.75" customHeight="1" x14ac:dyDescent="0.35">
      <c r="A513" s="5"/>
      <c r="C513" s="6"/>
    </row>
    <row r="514" spans="1:3" ht="15.75" customHeight="1" x14ac:dyDescent="0.35">
      <c r="A514" s="5"/>
      <c r="C514" s="6"/>
    </row>
    <row r="515" spans="1:3" ht="15.75" customHeight="1" x14ac:dyDescent="0.35">
      <c r="A515" s="5"/>
      <c r="C515" s="6"/>
    </row>
    <row r="516" spans="1:3" ht="15.75" customHeight="1" x14ac:dyDescent="0.35">
      <c r="A516" s="5"/>
      <c r="C516" s="6"/>
    </row>
    <row r="517" spans="1:3" ht="15.75" customHeight="1" x14ac:dyDescent="0.35">
      <c r="A517" s="5"/>
      <c r="C517" s="6"/>
    </row>
    <row r="518" spans="1:3" ht="15.75" customHeight="1" x14ac:dyDescent="0.35">
      <c r="A518" s="5"/>
      <c r="C518" s="6"/>
    </row>
    <row r="519" spans="1:3" ht="15.75" customHeight="1" x14ac:dyDescent="0.35">
      <c r="A519" s="5"/>
      <c r="C519" s="6"/>
    </row>
    <row r="520" spans="1:3" ht="15.75" customHeight="1" x14ac:dyDescent="0.35">
      <c r="A520" s="5"/>
      <c r="C520" s="6"/>
    </row>
    <row r="521" spans="1:3" ht="15.75" customHeight="1" x14ac:dyDescent="0.35">
      <c r="A521" s="5"/>
      <c r="C521" s="6"/>
    </row>
    <row r="522" spans="1:3" ht="15.75" customHeight="1" x14ac:dyDescent="0.35">
      <c r="A522" s="5"/>
      <c r="C522" s="6"/>
    </row>
    <row r="523" spans="1:3" ht="15.75" customHeight="1" x14ac:dyDescent="0.35">
      <c r="A523" s="5"/>
      <c r="C523" s="6"/>
    </row>
    <row r="524" spans="1:3" ht="15.75" customHeight="1" x14ac:dyDescent="0.35">
      <c r="A524" s="5"/>
      <c r="C524" s="6"/>
    </row>
    <row r="525" spans="1:3" ht="15.75" customHeight="1" x14ac:dyDescent="0.35">
      <c r="A525" s="5"/>
      <c r="C525" s="6"/>
    </row>
    <row r="526" spans="1:3" ht="15.75" customHeight="1" x14ac:dyDescent="0.35">
      <c r="A526" s="5"/>
      <c r="C526" s="6"/>
    </row>
    <row r="527" spans="1:3" ht="15.75" customHeight="1" x14ac:dyDescent="0.35">
      <c r="A527" s="5"/>
      <c r="C527" s="6"/>
    </row>
    <row r="528" spans="1:3" ht="15.75" customHeight="1" x14ac:dyDescent="0.35">
      <c r="A528" s="5"/>
      <c r="C528" s="6"/>
    </row>
    <row r="529" spans="1:3" ht="15.75" customHeight="1" x14ac:dyDescent="0.35">
      <c r="A529" s="5"/>
      <c r="C529" s="6"/>
    </row>
    <row r="530" spans="1:3" ht="15.75" customHeight="1" x14ac:dyDescent="0.35">
      <c r="A530" s="5"/>
      <c r="C530" s="6"/>
    </row>
    <row r="531" spans="1:3" ht="15.75" customHeight="1" x14ac:dyDescent="0.35">
      <c r="A531" s="5"/>
      <c r="C531" s="6"/>
    </row>
    <row r="532" spans="1:3" ht="15.75" customHeight="1" x14ac:dyDescent="0.35">
      <c r="A532" s="5"/>
      <c r="C532" s="6"/>
    </row>
    <row r="533" spans="1:3" ht="15.75" customHeight="1" x14ac:dyDescent="0.35">
      <c r="A533" s="5"/>
      <c r="C533" s="6"/>
    </row>
    <row r="534" spans="1:3" ht="15.75" customHeight="1" x14ac:dyDescent="0.35">
      <c r="A534" s="5"/>
      <c r="C534" s="6"/>
    </row>
    <row r="535" spans="1:3" ht="15.75" customHeight="1" x14ac:dyDescent="0.35">
      <c r="A535" s="5"/>
      <c r="C535" s="6"/>
    </row>
    <row r="536" spans="1:3" ht="15.75" customHeight="1" x14ac:dyDescent="0.35">
      <c r="A536" s="5"/>
      <c r="C536" s="6"/>
    </row>
    <row r="537" spans="1:3" ht="15.75" customHeight="1" x14ac:dyDescent="0.35">
      <c r="A537" s="5"/>
      <c r="C537" s="6"/>
    </row>
    <row r="538" spans="1:3" ht="15.75" customHeight="1" x14ac:dyDescent="0.35">
      <c r="A538" s="5"/>
      <c r="C538" s="6"/>
    </row>
    <row r="539" spans="1:3" ht="15.75" customHeight="1" x14ac:dyDescent="0.35">
      <c r="A539" s="5"/>
      <c r="C539" s="6"/>
    </row>
    <row r="540" spans="1:3" ht="15.75" customHeight="1" x14ac:dyDescent="0.35">
      <c r="A540" s="5"/>
      <c r="C540" s="6"/>
    </row>
    <row r="541" spans="1:3" ht="15.75" customHeight="1" x14ac:dyDescent="0.35">
      <c r="A541" s="5"/>
      <c r="C541" s="6"/>
    </row>
    <row r="542" spans="1:3" ht="15.75" customHeight="1" x14ac:dyDescent="0.35">
      <c r="A542" s="5"/>
      <c r="C542" s="6"/>
    </row>
    <row r="543" spans="1:3" ht="15.75" customHeight="1" x14ac:dyDescent="0.35">
      <c r="A543" s="5"/>
      <c r="C543" s="6"/>
    </row>
    <row r="544" spans="1:3" ht="15.75" customHeight="1" x14ac:dyDescent="0.35">
      <c r="A544" s="5"/>
      <c r="C544" s="6"/>
    </row>
    <row r="545" spans="1:3" ht="15.75" customHeight="1" x14ac:dyDescent="0.35">
      <c r="A545" s="5"/>
      <c r="C545" s="6"/>
    </row>
    <row r="546" spans="1:3" ht="15.75" customHeight="1" x14ac:dyDescent="0.35">
      <c r="A546" s="5"/>
      <c r="C546" s="6"/>
    </row>
    <row r="547" spans="1:3" ht="15.75" customHeight="1" x14ac:dyDescent="0.35">
      <c r="A547" s="5"/>
      <c r="C547" s="6"/>
    </row>
    <row r="548" spans="1:3" ht="15.75" customHeight="1" x14ac:dyDescent="0.35">
      <c r="A548" s="5"/>
      <c r="C548" s="6"/>
    </row>
    <row r="549" spans="1:3" ht="15.75" customHeight="1" x14ac:dyDescent="0.35">
      <c r="A549" s="5"/>
      <c r="C549" s="6"/>
    </row>
    <row r="550" spans="1:3" ht="15.75" customHeight="1" x14ac:dyDescent="0.35">
      <c r="A550" s="5"/>
      <c r="C550" s="6"/>
    </row>
    <row r="551" spans="1:3" ht="15.75" customHeight="1" x14ac:dyDescent="0.35">
      <c r="A551" s="5"/>
      <c r="C551" s="6"/>
    </row>
    <row r="552" spans="1:3" ht="15.75" customHeight="1" x14ac:dyDescent="0.35">
      <c r="A552" s="5"/>
      <c r="C552" s="6"/>
    </row>
    <row r="553" spans="1:3" ht="15.75" customHeight="1" x14ac:dyDescent="0.35">
      <c r="A553" s="5"/>
      <c r="C553" s="6"/>
    </row>
    <row r="554" spans="1:3" ht="15.75" customHeight="1" x14ac:dyDescent="0.35">
      <c r="A554" s="5"/>
      <c r="C554" s="6"/>
    </row>
    <row r="555" spans="1:3" ht="15.75" customHeight="1" x14ac:dyDescent="0.35">
      <c r="A555" s="5"/>
      <c r="C555" s="6"/>
    </row>
    <row r="556" spans="1:3" ht="15.75" customHeight="1" x14ac:dyDescent="0.35">
      <c r="A556" s="5"/>
      <c r="C556" s="6"/>
    </row>
    <row r="557" spans="1:3" ht="15.75" customHeight="1" x14ac:dyDescent="0.35">
      <c r="A557" s="5"/>
      <c r="C557" s="6"/>
    </row>
    <row r="558" spans="1:3" ht="15.75" customHeight="1" x14ac:dyDescent="0.35">
      <c r="A558" s="5"/>
      <c r="C558" s="6"/>
    </row>
    <row r="559" spans="1:3" ht="15.75" customHeight="1" x14ac:dyDescent="0.35">
      <c r="A559" s="5"/>
      <c r="C559" s="6"/>
    </row>
    <row r="560" spans="1:3" ht="15.75" customHeight="1" x14ac:dyDescent="0.35">
      <c r="A560" s="5"/>
      <c r="C560" s="6"/>
    </row>
    <row r="561" spans="1:3" ht="15.75" customHeight="1" x14ac:dyDescent="0.35">
      <c r="A561" s="5"/>
      <c r="C561" s="6"/>
    </row>
    <row r="562" spans="1:3" ht="15.75" customHeight="1" x14ac:dyDescent="0.35">
      <c r="A562" s="5"/>
      <c r="C562" s="6"/>
    </row>
    <row r="563" spans="1:3" ht="15.75" customHeight="1" x14ac:dyDescent="0.35">
      <c r="A563" s="5"/>
      <c r="C563" s="6"/>
    </row>
    <row r="564" spans="1:3" ht="15.75" customHeight="1" x14ac:dyDescent="0.35">
      <c r="A564" s="5"/>
      <c r="C564" s="6"/>
    </row>
    <row r="565" spans="1:3" ht="15.75" customHeight="1" x14ac:dyDescent="0.35">
      <c r="A565" s="5"/>
      <c r="C565" s="6"/>
    </row>
    <row r="566" spans="1:3" ht="15.75" customHeight="1" x14ac:dyDescent="0.35">
      <c r="A566" s="5"/>
      <c r="C566" s="6"/>
    </row>
    <row r="567" spans="1:3" ht="15.75" customHeight="1" x14ac:dyDescent="0.35">
      <c r="A567" s="5"/>
      <c r="C567" s="6"/>
    </row>
    <row r="568" spans="1:3" ht="15.75" customHeight="1" x14ac:dyDescent="0.35">
      <c r="A568" s="5"/>
      <c r="C568" s="6"/>
    </row>
    <row r="569" spans="1:3" ht="15.75" customHeight="1" x14ac:dyDescent="0.35">
      <c r="A569" s="5"/>
      <c r="C569" s="6"/>
    </row>
    <row r="570" spans="1:3" ht="15.75" customHeight="1" x14ac:dyDescent="0.35">
      <c r="A570" s="5"/>
      <c r="C570" s="6"/>
    </row>
    <row r="571" spans="1:3" ht="15.75" customHeight="1" x14ac:dyDescent="0.35">
      <c r="A571" s="5"/>
      <c r="C571" s="6"/>
    </row>
    <row r="572" spans="1:3" ht="15.75" customHeight="1" x14ac:dyDescent="0.35">
      <c r="A572" s="5"/>
      <c r="C572" s="6"/>
    </row>
    <row r="573" spans="1:3" ht="15.75" customHeight="1" x14ac:dyDescent="0.35">
      <c r="A573" s="5"/>
      <c r="C573" s="6"/>
    </row>
    <row r="574" spans="1:3" ht="15.75" customHeight="1" x14ac:dyDescent="0.35">
      <c r="A574" s="5"/>
      <c r="C574" s="6"/>
    </row>
    <row r="575" spans="1:3" ht="15.75" customHeight="1" x14ac:dyDescent="0.35">
      <c r="A575" s="5"/>
      <c r="C575" s="6"/>
    </row>
    <row r="576" spans="1:3" ht="15.75" customHeight="1" x14ac:dyDescent="0.35">
      <c r="A576" s="5"/>
      <c r="C576" s="6"/>
    </row>
    <row r="577" spans="1:3" ht="15.75" customHeight="1" x14ac:dyDescent="0.35">
      <c r="A577" s="5"/>
      <c r="C577" s="6"/>
    </row>
    <row r="578" spans="1:3" ht="15.75" customHeight="1" x14ac:dyDescent="0.35">
      <c r="A578" s="5"/>
      <c r="C578" s="6"/>
    </row>
    <row r="579" spans="1:3" ht="15.75" customHeight="1" x14ac:dyDescent="0.35">
      <c r="A579" s="5"/>
      <c r="C579" s="6"/>
    </row>
    <row r="580" spans="1:3" ht="15.75" customHeight="1" x14ac:dyDescent="0.35">
      <c r="A580" s="5"/>
      <c r="C580" s="6"/>
    </row>
    <row r="581" spans="1:3" ht="15.75" customHeight="1" x14ac:dyDescent="0.35">
      <c r="A581" s="5"/>
      <c r="C581" s="6"/>
    </row>
    <row r="582" spans="1:3" ht="15.75" customHeight="1" x14ac:dyDescent="0.35">
      <c r="A582" s="5"/>
      <c r="C582" s="6"/>
    </row>
    <row r="583" spans="1:3" ht="15.75" customHeight="1" x14ac:dyDescent="0.35">
      <c r="A583" s="5"/>
      <c r="C583" s="6"/>
    </row>
    <row r="584" spans="1:3" ht="15.75" customHeight="1" x14ac:dyDescent="0.35">
      <c r="A584" s="5"/>
      <c r="C584" s="6"/>
    </row>
    <row r="585" spans="1:3" ht="15.75" customHeight="1" x14ac:dyDescent="0.35">
      <c r="A585" s="5"/>
      <c r="C585" s="6"/>
    </row>
    <row r="586" spans="1:3" ht="15.75" customHeight="1" x14ac:dyDescent="0.35">
      <c r="A586" s="5"/>
      <c r="C586" s="6"/>
    </row>
    <row r="587" spans="1:3" ht="15.75" customHeight="1" x14ac:dyDescent="0.35">
      <c r="A587" s="5"/>
      <c r="C587" s="6"/>
    </row>
    <row r="588" spans="1:3" ht="15.75" customHeight="1" x14ac:dyDescent="0.35">
      <c r="A588" s="5"/>
      <c r="C588" s="6"/>
    </row>
    <row r="589" spans="1:3" ht="15.75" customHeight="1" x14ac:dyDescent="0.35">
      <c r="A589" s="5"/>
      <c r="C589" s="6"/>
    </row>
    <row r="590" spans="1:3" ht="15.75" customHeight="1" x14ac:dyDescent="0.35">
      <c r="A590" s="5"/>
      <c r="C590" s="6"/>
    </row>
    <row r="591" spans="1:3" ht="15.75" customHeight="1" x14ac:dyDescent="0.35">
      <c r="A591" s="5"/>
      <c r="C591" s="6"/>
    </row>
    <row r="592" spans="1:3" ht="15.75" customHeight="1" x14ac:dyDescent="0.35">
      <c r="A592" s="5"/>
      <c r="C592" s="6"/>
    </row>
    <row r="593" spans="1:3" ht="15.75" customHeight="1" x14ac:dyDescent="0.35">
      <c r="A593" s="5"/>
      <c r="C593" s="6"/>
    </row>
    <row r="594" spans="1:3" ht="15.75" customHeight="1" x14ac:dyDescent="0.35">
      <c r="A594" s="5"/>
      <c r="C594" s="6"/>
    </row>
    <row r="595" spans="1:3" ht="15.75" customHeight="1" x14ac:dyDescent="0.35">
      <c r="A595" s="5"/>
      <c r="C595" s="6"/>
    </row>
    <row r="596" spans="1:3" ht="15.75" customHeight="1" x14ac:dyDescent="0.35">
      <c r="A596" s="5"/>
      <c r="C596" s="6"/>
    </row>
    <row r="597" spans="1:3" ht="15.75" customHeight="1" x14ac:dyDescent="0.35">
      <c r="A597" s="5"/>
      <c r="C597" s="6"/>
    </row>
    <row r="598" spans="1:3" ht="15.75" customHeight="1" x14ac:dyDescent="0.35">
      <c r="A598" s="5"/>
      <c r="C598" s="6"/>
    </row>
    <row r="599" spans="1:3" ht="15.75" customHeight="1" x14ac:dyDescent="0.35">
      <c r="A599" s="5"/>
      <c r="C599" s="6"/>
    </row>
    <row r="600" spans="1:3" ht="15.75" customHeight="1" x14ac:dyDescent="0.35">
      <c r="A600" s="5"/>
      <c r="C600" s="6"/>
    </row>
    <row r="601" spans="1:3" ht="15.75" customHeight="1" x14ac:dyDescent="0.35">
      <c r="A601" s="5"/>
      <c r="C601" s="6"/>
    </row>
    <row r="602" spans="1:3" ht="15.75" customHeight="1" x14ac:dyDescent="0.35">
      <c r="A602" s="5"/>
      <c r="C602" s="6"/>
    </row>
    <row r="603" spans="1:3" ht="15.75" customHeight="1" x14ac:dyDescent="0.35">
      <c r="A603" s="5"/>
      <c r="C603" s="6"/>
    </row>
    <row r="604" spans="1:3" ht="15.75" customHeight="1" x14ac:dyDescent="0.35">
      <c r="A604" s="5"/>
      <c r="C604" s="6"/>
    </row>
    <row r="605" spans="1:3" ht="15.75" customHeight="1" x14ac:dyDescent="0.35">
      <c r="A605" s="5"/>
      <c r="C605" s="6"/>
    </row>
    <row r="606" spans="1:3" ht="15.75" customHeight="1" x14ac:dyDescent="0.35">
      <c r="A606" s="5"/>
      <c r="C606" s="6"/>
    </row>
    <row r="607" spans="1:3" ht="15.75" customHeight="1" x14ac:dyDescent="0.35">
      <c r="A607" s="5"/>
      <c r="C607" s="6"/>
    </row>
    <row r="608" spans="1:3" ht="15.75" customHeight="1" x14ac:dyDescent="0.35">
      <c r="A608" s="5"/>
      <c r="C608" s="6"/>
    </row>
    <row r="609" spans="1:3" ht="15.75" customHeight="1" x14ac:dyDescent="0.35">
      <c r="A609" s="5"/>
      <c r="C609" s="6"/>
    </row>
    <row r="610" spans="1:3" ht="15.75" customHeight="1" x14ac:dyDescent="0.35">
      <c r="A610" s="5"/>
      <c r="C610" s="6"/>
    </row>
    <row r="611" spans="1:3" ht="15.75" customHeight="1" x14ac:dyDescent="0.35">
      <c r="A611" s="5"/>
      <c r="C611" s="6"/>
    </row>
    <row r="612" spans="1:3" ht="15.75" customHeight="1" x14ac:dyDescent="0.35">
      <c r="A612" s="5"/>
      <c r="C612" s="6"/>
    </row>
    <row r="613" spans="1:3" ht="15.75" customHeight="1" x14ac:dyDescent="0.35">
      <c r="A613" s="5"/>
      <c r="C613" s="6"/>
    </row>
    <row r="614" spans="1:3" ht="15.75" customHeight="1" x14ac:dyDescent="0.35">
      <c r="A614" s="5"/>
      <c r="C614" s="6"/>
    </row>
    <row r="615" spans="1:3" ht="15.75" customHeight="1" x14ac:dyDescent="0.35">
      <c r="A615" s="5"/>
      <c r="C615" s="6"/>
    </row>
    <row r="616" spans="1:3" ht="15.75" customHeight="1" x14ac:dyDescent="0.35">
      <c r="A616" s="5"/>
      <c r="C616" s="6"/>
    </row>
    <row r="617" spans="1:3" ht="15.75" customHeight="1" x14ac:dyDescent="0.35">
      <c r="A617" s="5"/>
      <c r="C617" s="6"/>
    </row>
    <row r="618" spans="1:3" ht="15.75" customHeight="1" x14ac:dyDescent="0.35">
      <c r="A618" s="5"/>
      <c r="C618" s="6"/>
    </row>
    <row r="619" spans="1:3" ht="15.75" customHeight="1" x14ac:dyDescent="0.35">
      <c r="A619" s="5"/>
      <c r="C619" s="6"/>
    </row>
    <row r="620" spans="1:3" ht="15.75" customHeight="1" x14ac:dyDescent="0.35">
      <c r="A620" s="5"/>
      <c r="C620" s="6"/>
    </row>
    <row r="621" spans="1:3" ht="15.75" customHeight="1" x14ac:dyDescent="0.35">
      <c r="A621" s="5"/>
      <c r="C621" s="6"/>
    </row>
    <row r="622" spans="1:3" ht="15.75" customHeight="1" x14ac:dyDescent="0.35">
      <c r="A622" s="5"/>
      <c r="C622" s="6"/>
    </row>
    <row r="623" spans="1:3" ht="15.75" customHeight="1" x14ac:dyDescent="0.35">
      <c r="A623" s="5"/>
      <c r="C623" s="6"/>
    </row>
    <row r="624" spans="1:3" ht="15.75" customHeight="1" x14ac:dyDescent="0.35">
      <c r="A624" s="5"/>
      <c r="C624" s="6"/>
    </row>
    <row r="625" spans="1:3" ht="15.75" customHeight="1" x14ac:dyDescent="0.35">
      <c r="A625" s="5"/>
      <c r="C625" s="6"/>
    </row>
    <row r="626" spans="1:3" ht="15.75" customHeight="1" x14ac:dyDescent="0.35">
      <c r="A626" s="5"/>
      <c r="C626" s="6"/>
    </row>
    <row r="627" spans="1:3" ht="15.75" customHeight="1" x14ac:dyDescent="0.35">
      <c r="A627" s="5"/>
      <c r="C627" s="6"/>
    </row>
    <row r="628" spans="1:3" ht="15.75" customHeight="1" x14ac:dyDescent="0.35">
      <c r="A628" s="5"/>
      <c r="C628" s="6"/>
    </row>
    <row r="629" spans="1:3" ht="15.75" customHeight="1" x14ac:dyDescent="0.35">
      <c r="A629" s="5"/>
      <c r="C629" s="6"/>
    </row>
    <row r="630" spans="1:3" ht="15.75" customHeight="1" x14ac:dyDescent="0.35">
      <c r="A630" s="5"/>
      <c r="C630" s="6"/>
    </row>
    <row r="631" spans="1:3" ht="15.75" customHeight="1" x14ac:dyDescent="0.35">
      <c r="A631" s="5"/>
      <c r="C631" s="6"/>
    </row>
    <row r="632" spans="1:3" ht="15.75" customHeight="1" x14ac:dyDescent="0.35">
      <c r="A632" s="5"/>
      <c r="C632" s="6"/>
    </row>
    <row r="633" spans="1:3" ht="15.75" customHeight="1" x14ac:dyDescent="0.35">
      <c r="A633" s="5"/>
      <c r="C633" s="6"/>
    </row>
    <row r="634" spans="1:3" ht="15.75" customHeight="1" x14ac:dyDescent="0.35">
      <c r="A634" s="5"/>
      <c r="C634" s="6"/>
    </row>
    <row r="635" spans="1:3" ht="15.75" customHeight="1" x14ac:dyDescent="0.35">
      <c r="A635" s="5"/>
      <c r="C635" s="6"/>
    </row>
    <row r="636" spans="1:3" ht="15.75" customHeight="1" x14ac:dyDescent="0.35">
      <c r="A636" s="5"/>
      <c r="C636" s="6"/>
    </row>
    <row r="637" spans="1:3" ht="15.75" customHeight="1" x14ac:dyDescent="0.35">
      <c r="A637" s="5"/>
      <c r="C637" s="6"/>
    </row>
    <row r="638" spans="1:3" ht="15.75" customHeight="1" x14ac:dyDescent="0.35">
      <c r="A638" s="5"/>
      <c r="C638" s="6"/>
    </row>
    <row r="639" spans="1:3" ht="15.75" customHeight="1" x14ac:dyDescent="0.35">
      <c r="A639" s="5"/>
      <c r="C639" s="6"/>
    </row>
    <row r="640" spans="1:3" ht="15.75" customHeight="1" x14ac:dyDescent="0.35">
      <c r="A640" s="5"/>
      <c r="C640" s="6"/>
    </row>
    <row r="641" spans="1:3" ht="15.75" customHeight="1" x14ac:dyDescent="0.35">
      <c r="A641" s="5"/>
      <c r="C641" s="6"/>
    </row>
    <row r="642" spans="1:3" ht="15.75" customHeight="1" x14ac:dyDescent="0.35">
      <c r="A642" s="5"/>
      <c r="C642" s="6"/>
    </row>
    <row r="643" spans="1:3" ht="15.75" customHeight="1" x14ac:dyDescent="0.35">
      <c r="A643" s="5"/>
      <c r="C643" s="6"/>
    </row>
    <row r="644" spans="1:3" ht="15.75" customHeight="1" x14ac:dyDescent="0.35">
      <c r="A644" s="5"/>
      <c r="C644" s="6"/>
    </row>
    <row r="645" spans="1:3" ht="15.75" customHeight="1" x14ac:dyDescent="0.35">
      <c r="A645" s="5"/>
      <c r="C645" s="6"/>
    </row>
    <row r="646" spans="1:3" ht="15.75" customHeight="1" x14ac:dyDescent="0.35">
      <c r="A646" s="5"/>
      <c r="C646" s="6"/>
    </row>
    <row r="647" spans="1:3" ht="15.75" customHeight="1" x14ac:dyDescent="0.35">
      <c r="A647" s="5"/>
      <c r="C647" s="6"/>
    </row>
    <row r="648" spans="1:3" ht="15.75" customHeight="1" x14ac:dyDescent="0.35">
      <c r="A648" s="5"/>
      <c r="C648" s="6"/>
    </row>
    <row r="649" spans="1:3" ht="15.75" customHeight="1" x14ac:dyDescent="0.35">
      <c r="A649" s="5"/>
      <c r="C649" s="6"/>
    </row>
    <row r="650" spans="1:3" ht="15.75" customHeight="1" x14ac:dyDescent="0.35">
      <c r="A650" s="5"/>
      <c r="C650" s="6"/>
    </row>
    <row r="651" spans="1:3" ht="15.75" customHeight="1" x14ac:dyDescent="0.35">
      <c r="A651" s="5"/>
      <c r="C651" s="6"/>
    </row>
    <row r="652" spans="1:3" ht="15.75" customHeight="1" x14ac:dyDescent="0.35">
      <c r="A652" s="5"/>
      <c r="C652" s="6"/>
    </row>
    <row r="653" spans="1:3" ht="15.75" customHeight="1" x14ac:dyDescent="0.35">
      <c r="A653" s="5"/>
      <c r="C653" s="6"/>
    </row>
    <row r="654" spans="1:3" ht="15.75" customHeight="1" x14ac:dyDescent="0.35">
      <c r="A654" s="5"/>
      <c r="C654" s="6"/>
    </row>
    <row r="655" spans="1:3" ht="15.75" customHeight="1" x14ac:dyDescent="0.35">
      <c r="A655" s="5"/>
      <c r="C655" s="6"/>
    </row>
    <row r="656" spans="1:3" ht="15.75" customHeight="1" x14ac:dyDescent="0.35">
      <c r="A656" s="5"/>
      <c r="C656" s="6"/>
    </row>
    <row r="657" spans="1:3" ht="15.75" customHeight="1" x14ac:dyDescent="0.35">
      <c r="A657" s="5"/>
      <c r="C657" s="6"/>
    </row>
    <row r="658" spans="1:3" ht="15.75" customHeight="1" x14ac:dyDescent="0.35">
      <c r="A658" s="5"/>
      <c r="C658" s="6"/>
    </row>
    <row r="659" spans="1:3" ht="15.75" customHeight="1" x14ac:dyDescent="0.35">
      <c r="A659" s="5"/>
      <c r="C659" s="6"/>
    </row>
    <row r="660" spans="1:3" ht="15.75" customHeight="1" x14ac:dyDescent="0.35">
      <c r="A660" s="5"/>
      <c r="C660" s="6"/>
    </row>
    <row r="661" spans="1:3" ht="15.75" customHeight="1" x14ac:dyDescent="0.35">
      <c r="A661" s="5"/>
      <c r="C661" s="6"/>
    </row>
    <row r="662" spans="1:3" ht="15.75" customHeight="1" x14ac:dyDescent="0.35">
      <c r="A662" s="5"/>
      <c r="C662" s="6"/>
    </row>
    <row r="663" spans="1:3" ht="15.75" customHeight="1" x14ac:dyDescent="0.35">
      <c r="A663" s="5"/>
      <c r="C663" s="6"/>
    </row>
    <row r="664" spans="1:3" ht="15.75" customHeight="1" x14ac:dyDescent="0.35">
      <c r="A664" s="5"/>
      <c r="C664" s="6"/>
    </row>
    <row r="665" spans="1:3" ht="15.75" customHeight="1" x14ac:dyDescent="0.35">
      <c r="A665" s="5"/>
      <c r="C665" s="6"/>
    </row>
    <row r="666" spans="1:3" ht="15.75" customHeight="1" x14ac:dyDescent="0.35">
      <c r="A666" s="5"/>
      <c r="C666" s="6"/>
    </row>
    <row r="667" spans="1:3" ht="15.75" customHeight="1" x14ac:dyDescent="0.35">
      <c r="A667" s="5"/>
      <c r="C667" s="6"/>
    </row>
    <row r="668" spans="1:3" ht="15.75" customHeight="1" x14ac:dyDescent="0.35">
      <c r="A668" s="5"/>
      <c r="C668" s="6"/>
    </row>
    <row r="669" spans="1:3" ht="15.75" customHeight="1" x14ac:dyDescent="0.35">
      <c r="A669" s="5"/>
      <c r="C669" s="6"/>
    </row>
    <row r="670" spans="1:3" ht="15.75" customHeight="1" x14ac:dyDescent="0.35">
      <c r="A670" s="5"/>
      <c r="C670" s="6"/>
    </row>
    <row r="671" spans="1:3" ht="15.75" customHeight="1" x14ac:dyDescent="0.35">
      <c r="A671" s="5"/>
      <c r="C671" s="6"/>
    </row>
    <row r="672" spans="1:3" ht="15.75" customHeight="1" x14ac:dyDescent="0.35">
      <c r="A672" s="5"/>
      <c r="C672" s="6"/>
    </row>
    <row r="673" spans="1:3" ht="15.75" customHeight="1" x14ac:dyDescent="0.35">
      <c r="A673" s="5"/>
      <c r="C673" s="6"/>
    </row>
    <row r="674" spans="1:3" ht="15.75" customHeight="1" x14ac:dyDescent="0.35">
      <c r="A674" s="5"/>
      <c r="C674" s="6"/>
    </row>
    <row r="675" spans="1:3" ht="15.75" customHeight="1" x14ac:dyDescent="0.35">
      <c r="A675" s="5"/>
      <c r="C675" s="6"/>
    </row>
    <row r="676" spans="1:3" ht="15.75" customHeight="1" x14ac:dyDescent="0.35">
      <c r="A676" s="5"/>
      <c r="C676" s="6"/>
    </row>
    <row r="677" spans="1:3" ht="15.75" customHeight="1" x14ac:dyDescent="0.35">
      <c r="A677" s="5"/>
      <c r="C677" s="6"/>
    </row>
    <row r="678" spans="1:3" ht="15.75" customHeight="1" x14ac:dyDescent="0.35">
      <c r="A678" s="5"/>
      <c r="C678" s="6"/>
    </row>
    <row r="679" spans="1:3" ht="15.75" customHeight="1" x14ac:dyDescent="0.35">
      <c r="A679" s="5"/>
      <c r="C679" s="6"/>
    </row>
    <row r="680" spans="1:3" ht="15.75" customHeight="1" x14ac:dyDescent="0.35">
      <c r="A680" s="5"/>
      <c r="C680" s="6"/>
    </row>
    <row r="681" spans="1:3" ht="15.75" customHeight="1" x14ac:dyDescent="0.35">
      <c r="A681" s="5"/>
      <c r="C681" s="6"/>
    </row>
    <row r="682" spans="1:3" ht="15.75" customHeight="1" x14ac:dyDescent="0.35">
      <c r="A682" s="5"/>
      <c r="C682" s="6"/>
    </row>
    <row r="683" spans="1:3" ht="15.75" customHeight="1" x14ac:dyDescent="0.35">
      <c r="A683" s="5"/>
      <c r="C683" s="6"/>
    </row>
    <row r="684" spans="1:3" ht="15.75" customHeight="1" x14ac:dyDescent="0.35">
      <c r="A684" s="5"/>
      <c r="C684" s="6"/>
    </row>
    <row r="685" spans="1:3" ht="15.75" customHeight="1" x14ac:dyDescent="0.35">
      <c r="A685" s="5"/>
      <c r="C685" s="6"/>
    </row>
    <row r="686" spans="1:3" ht="15.75" customHeight="1" x14ac:dyDescent="0.35">
      <c r="A686" s="5"/>
      <c r="C686" s="6"/>
    </row>
    <row r="687" spans="1:3" ht="15.75" customHeight="1" x14ac:dyDescent="0.35">
      <c r="A687" s="5"/>
      <c r="C687" s="6"/>
    </row>
    <row r="688" spans="1:3" ht="15.75" customHeight="1" x14ac:dyDescent="0.35">
      <c r="A688" s="5"/>
      <c r="C688" s="6"/>
    </row>
    <row r="689" spans="1:3" ht="15.75" customHeight="1" x14ac:dyDescent="0.35">
      <c r="A689" s="5"/>
      <c r="C689" s="6"/>
    </row>
    <row r="690" spans="1:3" ht="15.75" customHeight="1" x14ac:dyDescent="0.35">
      <c r="A690" s="5"/>
      <c r="C690" s="6"/>
    </row>
    <row r="691" spans="1:3" ht="15.75" customHeight="1" x14ac:dyDescent="0.35">
      <c r="A691" s="5"/>
      <c r="C691" s="6"/>
    </row>
    <row r="692" spans="1:3" ht="15.75" customHeight="1" x14ac:dyDescent="0.35">
      <c r="A692" s="5"/>
      <c r="C692" s="6"/>
    </row>
    <row r="693" spans="1:3" ht="15.75" customHeight="1" x14ac:dyDescent="0.35">
      <c r="A693" s="5"/>
      <c r="C693" s="6"/>
    </row>
    <row r="694" spans="1:3" ht="15.75" customHeight="1" x14ac:dyDescent="0.35">
      <c r="A694" s="5"/>
      <c r="C694" s="6"/>
    </row>
    <row r="695" spans="1:3" ht="15.75" customHeight="1" x14ac:dyDescent="0.35">
      <c r="A695" s="5"/>
      <c r="C695" s="6"/>
    </row>
    <row r="696" spans="1:3" ht="15.75" customHeight="1" x14ac:dyDescent="0.35">
      <c r="A696" s="5"/>
      <c r="C696" s="6"/>
    </row>
    <row r="697" spans="1:3" ht="15.75" customHeight="1" x14ac:dyDescent="0.35">
      <c r="A697" s="5"/>
      <c r="C697" s="6"/>
    </row>
    <row r="698" spans="1:3" ht="15.75" customHeight="1" x14ac:dyDescent="0.35">
      <c r="A698" s="5"/>
      <c r="C698" s="6"/>
    </row>
    <row r="699" spans="1:3" ht="15.75" customHeight="1" x14ac:dyDescent="0.35">
      <c r="A699" s="5"/>
      <c r="C699" s="6"/>
    </row>
    <row r="700" spans="1:3" ht="15.75" customHeight="1" x14ac:dyDescent="0.35">
      <c r="A700" s="5"/>
      <c r="C700" s="6"/>
    </row>
    <row r="701" spans="1:3" ht="15.75" customHeight="1" x14ac:dyDescent="0.35">
      <c r="A701" s="5"/>
      <c r="C701" s="6"/>
    </row>
    <row r="702" spans="1:3" ht="15.75" customHeight="1" x14ac:dyDescent="0.35">
      <c r="A702" s="5"/>
      <c r="C702" s="6"/>
    </row>
    <row r="703" spans="1:3" ht="15.75" customHeight="1" x14ac:dyDescent="0.35">
      <c r="A703" s="5"/>
      <c r="C703" s="6"/>
    </row>
    <row r="704" spans="1:3" ht="15.75" customHeight="1" x14ac:dyDescent="0.35">
      <c r="A704" s="5"/>
      <c r="C704" s="6"/>
    </row>
    <row r="705" spans="1:3" ht="15.75" customHeight="1" x14ac:dyDescent="0.35">
      <c r="A705" s="5"/>
      <c r="C705" s="6"/>
    </row>
    <row r="706" spans="1:3" ht="15.75" customHeight="1" x14ac:dyDescent="0.35">
      <c r="A706" s="5"/>
      <c r="C706" s="6"/>
    </row>
    <row r="707" spans="1:3" ht="15.75" customHeight="1" x14ac:dyDescent="0.35">
      <c r="A707" s="5"/>
      <c r="C707" s="6"/>
    </row>
    <row r="708" spans="1:3" ht="15.75" customHeight="1" x14ac:dyDescent="0.35">
      <c r="A708" s="5"/>
      <c r="C708" s="6"/>
    </row>
    <row r="709" spans="1:3" ht="15.75" customHeight="1" x14ac:dyDescent="0.35">
      <c r="A709" s="5"/>
      <c r="C709" s="6"/>
    </row>
    <row r="710" spans="1:3" ht="15.75" customHeight="1" x14ac:dyDescent="0.35">
      <c r="A710" s="5"/>
      <c r="C710" s="6"/>
    </row>
    <row r="711" spans="1:3" ht="15.75" customHeight="1" x14ac:dyDescent="0.35">
      <c r="A711" s="5"/>
      <c r="C711" s="6"/>
    </row>
    <row r="712" spans="1:3" ht="15.75" customHeight="1" x14ac:dyDescent="0.35">
      <c r="A712" s="5"/>
      <c r="C712" s="6"/>
    </row>
    <row r="713" spans="1:3" ht="15.75" customHeight="1" x14ac:dyDescent="0.35">
      <c r="A713" s="5"/>
      <c r="C713" s="6"/>
    </row>
    <row r="714" spans="1:3" ht="15.75" customHeight="1" x14ac:dyDescent="0.35">
      <c r="A714" s="5"/>
      <c r="C714" s="6"/>
    </row>
    <row r="715" spans="1:3" ht="15.75" customHeight="1" x14ac:dyDescent="0.35">
      <c r="A715" s="5"/>
      <c r="C715" s="6"/>
    </row>
    <row r="716" spans="1:3" ht="15.75" customHeight="1" x14ac:dyDescent="0.35">
      <c r="A716" s="5"/>
      <c r="C716" s="6"/>
    </row>
    <row r="717" spans="1:3" ht="15.75" customHeight="1" x14ac:dyDescent="0.35">
      <c r="A717" s="5"/>
      <c r="C717" s="6"/>
    </row>
    <row r="718" spans="1:3" ht="15.75" customHeight="1" x14ac:dyDescent="0.35">
      <c r="A718" s="5"/>
      <c r="C718" s="6"/>
    </row>
    <row r="719" spans="1:3" ht="15.75" customHeight="1" x14ac:dyDescent="0.35">
      <c r="A719" s="5"/>
      <c r="C719" s="6"/>
    </row>
    <row r="720" spans="1:3" ht="15.75" customHeight="1" x14ac:dyDescent="0.35">
      <c r="A720" s="5"/>
      <c r="C720" s="6"/>
    </row>
    <row r="721" spans="1:3" ht="15.75" customHeight="1" x14ac:dyDescent="0.35">
      <c r="A721" s="5"/>
      <c r="C721" s="6"/>
    </row>
    <row r="722" spans="1:3" ht="15.75" customHeight="1" x14ac:dyDescent="0.35">
      <c r="A722" s="5"/>
      <c r="C722" s="6"/>
    </row>
    <row r="723" spans="1:3" ht="15.75" customHeight="1" x14ac:dyDescent="0.35">
      <c r="A723" s="5"/>
      <c r="C723" s="6"/>
    </row>
    <row r="724" spans="1:3" ht="15.75" customHeight="1" x14ac:dyDescent="0.35">
      <c r="A724" s="5"/>
      <c r="C724" s="6"/>
    </row>
    <row r="725" spans="1:3" ht="15.75" customHeight="1" x14ac:dyDescent="0.35">
      <c r="A725" s="5"/>
      <c r="C725" s="6"/>
    </row>
    <row r="726" spans="1:3" ht="15.75" customHeight="1" x14ac:dyDescent="0.35">
      <c r="A726" s="5"/>
      <c r="C726" s="6"/>
    </row>
    <row r="727" spans="1:3" ht="15.75" customHeight="1" x14ac:dyDescent="0.35">
      <c r="A727" s="5"/>
      <c r="C727" s="6"/>
    </row>
    <row r="728" spans="1:3" ht="15.75" customHeight="1" x14ac:dyDescent="0.35">
      <c r="A728" s="5"/>
      <c r="C728" s="6"/>
    </row>
    <row r="729" spans="1:3" ht="15.75" customHeight="1" x14ac:dyDescent="0.35">
      <c r="A729" s="5"/>
      <c r="C729" s="6"/>
    </row>
    <row r="730" spans="1:3" ht="15.75" customHeight="1" x14ac:dyDescent="0.35">
      <c r="A730" s="5"/>
      <c r="C730" s="6"/>
    </row>
    <row r="731" spans="1:3" ht="15.75" customHeight="1" x14ac:dyDescent="0.35">
      <c r="A731" s="5"/>
      <c r="C731" s="6"/>
    </row>
    <row r="732" spans="1:3" ht="15.75" customHeight="1" x14ac:dyDescent="0.35">
      <c r="A732" s="5"/>
      <c r="C732" s="6"/>
    </row>
    <row r="733" spans="1:3" ht="15.75" customHeight="1" x14ac:dyDescent="0.35">
      <c r="A733" s="5"/>
      <c r="C733" s="6"/>
    </row>
    <row r="734" spans="1:3" ht="15.75" customHeight="1" x14ac:dyDescent="0.35">
      <c r="A734" s="5"/>
      <c r="C734" s="6"/>
    </row>
    <row r="735" spans="1:3" ht="15.75" customHeight="1" x14ac:dyDescent="0.35">
      <c r="A735" s="5"/>
      <c r="C735" s="6"/>
    </row>
    <row r="736" spans="1:3" ht="15.75" customHeight="1" x14ac:dyDescent="0.35">
      <c r="A736" s="5"/>
      <c r="C736" s="6"/>
    </row>
    <row r="737" spans="1:3" ht="15.75" customHeight="1" x14ac:dyDescent="0.35">
      <c r="A737" s="5"/>
      <c r="C737" s="6"/>
    </row>
    <row r="738" spans="1:3" ht="15.75" customHeight="1" x14ac:dyDescent="0.35">
      <c r="A738" s="5"/>
      <c r="C738" s="6"/>
    </row>
    <row r="739" spans="1:3" ht="15.75" customHeight="1" x14ac:dyDescent="0.35">
      <c r="A739" s="5"/>
      <c r="C739" s="6"/>
    </row>
    <row r="740" spans="1:3" ht="15.75" customHeight="1" x14ac:dyDescent="0.35">
      <c r="A740" s="5"/>
      <c r="C740" s="6"/>
    </row>
    <row r="741" spans="1:3" ht="15.75" customHeight="1" x14ac:dyDescent="0.35">
      <c r="A741" s="5"/>
      <c r="C741" s="6"/>
    </row>
    <row r="742" spans="1:3" ht="15.75" customHeight="1" x14ac:dyDescent="0.35">
      <c r="A742" s="5"/>
      <c r="C742" s="6"/>
    </row>
    <row r="743" spans="1:3" ht="15.75" customHeight="1" x14ac:dyDescent="0.35">
      <c r="A743" s="5"/>
      <c r="C743" s="6"/>
    </row>
    <row r="744" spans="1:3" ht="15.75" customHeight="1" x14ac:dyDescent="0.35">
      <c r="A744" s="5"/>
      <c r="C744" s="6"/>
    </row>
    <row r="745" spans="1:3" ht="15.75" customHeight="1" x14ac:dyDescent="0.35">
      <c r="A745" s="5"/>
      <c r="C745" s="6"/>
    </row>
    <row r="746" spans="1:3" ht="15.75" customHeight="1" x14ac:dyDescent="0.35">
      <c r="A746" s="5"/>
      <c r="C746" s="6"/>
    </row>
    <row r="747" spans="1:3" ht="15.75" customHeight="1" x14ac:dyDescent="0.35">
      <c r="A747" s="5"/>
      <c r="C747" s="6"/>
    </row>
    <row r="748" spans="1:3" ht="15.75" customHeight="1" x14ac:dyDescent="0.35">
      <c r="A748" s="5"/>
      <c r="C748" s="6"/>
    </row>
    <row r="749" spans="1:3" ht="15.75" customHeight="1" x14ac:dyDescent="0.35">
      <c r="A749" s="5"/>
      <c r="C749" s="6"/>
    </row>
    <row r="750" spans="1:3" ht="15.75" customHeight="1" x14ac:dyDescent="0.35">
      <c r="A750" s="5"/>
      <c r="C750" s="6"/>
    </row>
    <row r="751" spans="1:3" ht="15.75" customHeight="1" x14ac:dyDescent="0.35">
      <c r="A751" s="5"/>
      <c r="C751" s="6"/>
    </row>
    <row r="752" spans="1:3" ht="15.75" customHeight="1" x14ac:dyDescent="0.35">
      <c r="A752" s="5"/>
      <c r="C752" s="6"/>
    </row>
    <row r="753" spans="1:3" ht="15.75" customHeight="1" x14ac:dyDescent="0.35">
      <c r="A753" s="5"/>
      <c r="C753" s="6"/>
    </row>
    <row r="754" spans="1:3" ht="15.75" customHeight="1" x14ac:dyDescent="0.35">
      <c r="A754" s="5"/>
      <c r="C754" s="6"/>
    </row>
    <row r="755" spans="1:3" ht="15.75" customHeight="1" x14ac:dyDescent="0.35">
      <c r="A755" s="5"/>
      <c r="C755" s="6"/>
    </row>
    <row r="756" spans="1:3" ht="15.75" customHeight="1" x14ac:dyDescent="0.35">
      <c r="A756" s="5"/>
      <c r="C756" s="6"/>
    </row>
    <row r="757" spans="1:3" ht="15.75" customHeight="1" x14ac:dyDescent="0.35">
      <c r="A757" s="5"/>
      <c r="C757" s="6"/>
    </row>
    <row r="758" spans="1:3" ht="15.75" customHeight="1" x14ac:dyDescent="0.35">
      <c r="A758" s="5"/>
      <c r="C758" s="6"/>
    </row>
    <row r="759" spans="1:3" ht="15.75" customHeight="1" x14ac:dyDescent="0.35">
      <c r="A759" s="5"/>
      <c r="C759" s="6"/>
    </row>
    <row r="760" spans="1:3" ht="15.75" customHeight="1" x14ac:dyDescent="0.35">
      <c r="A760" s="5"/>
      <c r="C760" s="6"/>
    </row>
    <row r="761" spans="1:3" ht="15.75" customHeight="1" x14ac:dyDescent="0.35">
      <c r="A761" s="5"/>
      <c r="C761" s="6"/>
    </row>
    <row r="762" spans="1:3" ht="15.75" customHeight="1" x14ac:dyDescent="0.35">
      <c r="A762" s="5"/>
      <c r="C762" s="6"/>
    </row>
    <row r="763" spans="1:3" ht="15.75" customHeight="1" x14ac:dyDescent="0.35">
      <c r="A763" s="5"/>
      <c r="C763" s="6"/>
    </row>
    <row r="764" spans="1:3" ht="15.75" customHeight="1" x14ac:dyDescent="0.35">
      <c r="A764" s="5"/>
      <c r="C764" s="6"/>
    </row>
    <row r="765" spans="1:3" ht="15.75" customHeight="1" x14ac:dyDescent="0.35">
      <c r="A765" s="5"/>
      <c r="C765" s="6"/>
    </row>
    <row r="766" spans="1:3" ht="15.75" customHeight="1" x14ac:dyDescent="0.35">
      <c r="A766" s="5"/>
      <c r="C766" s="6"/>
    </row>
    <row r="767" spans="1:3" ht="15.75" customHeight="1" x14ac:dyDescent="0.35">
      <c r="A767" s="5"/>
      <c r="C767" s="6"/>
    </row>
    <row r="768" spans="1:3" ht="15.75" customHeight="1" x14ac:dyDescent="0.35">
      <c r="A768" s="5"/>
      <c r="C768" s="6"/>
    </row>
    <row r="769" spans="1:3" ht="15.75" customHeight="1" x14ac:dyDescent="0.35">
      <c r="A769" s="5"/>
      <c r="C769" s="6"/>
    </row>
    <row r="770" spans="1:3" ht="15.75" customHeight="1" x14ac:dyDescent="0.35">
      <c r="A770" s="5"/>
      <c r="C770" s="6"/>
    </row>
    <row r="771" spans="1:3" ht="15.75" customHeight="1" x14ac:dyDescent="0.35">
      <c r="A771" s="5"/>
      <c r="C771" s="6"/>
    </row>
    <row r="772" spans="1:3" ht="15.75" customHeight="1" x14ac:dyDescent="0.35">
      <c r="A772" s="5"/>
      <c r="C772" s="6"/>
    </row>
    <row r="773" spans="1:3" ht="15.75" customHeight="1" x14ac:dyDescent="0.35">
      <c r="A773" s="5"/>
      <c r="C773" s="6"/>
    </row>
    <row r="774" spans="1:3" ht="15.75" customHeight="1" x14ac:dyDescent="0.35">
      <c r="A774" s="5"/>
      <c r="C774" s="6"/>
    </row>
    <row r="775" spans="1:3" ht="15.75" customHeight="1" x14ac:dyDescent="0.35">
      <c r="A775" s="5"/>
      <c r="C775" s="6"/>
    </row>
    <row r="776" spans="1:3" ht="15.75" customHeight="1" x14ac:dyDescent="0.35">
      <c r="A776" s="5"/>
      <c r="C776" s="6"/>
    </row>
    <row r="777" spans="1:3" ht="15.75" customHeight="1" x14ac:dyDescent="0.35">
      <c r="A777" s="5"/>
      <c r="C777" s="6"/>
    </row>
    <row r="778" spans="1:3" ht="15.75" customHeight="1" x14ac:dyDescent="0.35">
      <c r="A778" s="5"/>
      <c r="C778" s="6"/>
    </row>
    <row r="779" spans="1:3" ht="15.75" customHeight="1" x14ac:dyDescent="0.35">
      <c r="A779" s="5"/>
      <c r="C779" s="6"/>
    </row>
    <row r="780" spans="1:3" ht="15.75" customHeight="1" x14ac:dyDescent="0.35">
      <c r="A780" s="5"/>
      <c r="C780" s="6"/>
    </row>
    <row r="781" spans="1:3" ht="15.75" customHeight="1" x14ac:dyDescent="0.35">
      <c r="A781" s="5"/>
      <c r="C781" s="6"/>
    </row>
    <row r="782" spans="1:3" ht="15.75" customHeight="1" x14ac:dyDescent="0.35">
      <c r="A782" s="5"/>
      <c r="C782" s="6"/>
    </row>
    <row r="783" spans="1:3" ht="15.75" customHeight="1" x14ac:dyDescent="0.35">
      <c r="A783" s="5"/>
      <c r="C783" s="6"/>
    </row>
    <row r="784" spans="1:3" ht="15.75" customHeight="1" x14ac:dyDescent="0.35">
      <c r="A784" s="5"/>
      <c r="C784" s="6"/>
    </row>
    <row r="785" spans="1:3" ht="15.75" customHeight="1" x14ac:dyDescent="0.35">
      <c r="A785" s="5"/>
      <c r="C785" s="6"/>
    </row>
    <row r="786" spans="1:3" ht="15.75" customHeight="1" x14ac:dyDescent="0.35">
      <c r="A786" s="5"/>
      <c r="C786" s="6"/>
    </row>
    <row r="787" spans="1:3" ht="15.75" customHeight="1" x14ac:dyDescent="0.35">
      <c r="A787" s="5"/>
      <c r="C787" s="6"/>
    </row>
    <row r="788" spans="1:3" ht="15.75" customHeight="1" x14ac:dyDescent="0.35">
      <c r="A788" s="5"/>
      <c r="C788" s="6"/>
    </row>
    <row r="789" spans="1:3" ht="15.75" customHeight="1" x14ac:dyDescent="0.35">
      <c r="A789" s="5"/>
      <c r="C789" s="6"/>
    </row>
    <row r="790" spans="1:3" ht="15.75" customHeight="1" x14ac:dyDescent="0.35">
      <c r="A790" s="5"/>
      <c r="C790" s="6"/>
    </row>
    <row r="791" spans="1:3" ht="15.75" customHeight="1" x14ac:dyDescent="0.35">
      <c r="A791" s="5"/>
      <c r="C791" s="6"/>
    </row>
    <row r="792" spans="1:3" ht="15.75" customHeight="1" x14ac:dyDescent="0.35">
      <c r="A792" s="5"/>
      <c r="C792" s="6"/>
    </row>
    <row r="793" spans="1:3" ht="15.75" customHeight="1" x14ac:dyDescent="0.35">
      <c r="A793" s="5"/>
      <c r="C793" s="6"/>
    </row>
    <row r="794" spans="1:3" ht="15.75" customHeight="1" x14ac:dyDescent="0.35">
      <c r="A794" s="5"/>
      <c r="C794" s="6"/>
    </row>
    <row r="795" spans="1:3" ht="15.75" customHeight="1" x14ac:dyDescent="0.35">
      <c r="A795" s="5"/>
      <c r="C795" s="6"/>
    </row>
    <row r="796" spans="1:3" ht="15.75" customHeight="1" x14ac:dyDescent="0.35">
      <c r="A796" s="5"/>
      <c r="C796" s="6"/>
    </row>
    <row r="797" spans="1:3" ht="15.75" customHeight="1" x14ac:dyDescent="0.35">
      <c r="A797" s="5"/>
      <c r="C797" s="6"/>
    </row>
    <row r="798" spans="1:3" ht="15.75" customHeight="1" x14ac:dyDescent="0.35">
      <c r="A798" s="5"/>
      <c r="C798" s="6"/>
    </row>
    <row r="799" spans="1:3" ht="15.75" customHeight="1" x14ac:dyDescent="0.35">
      <c r="A799" s="5"/>
      <c r="C799" s="6"/>
    </row>
    <row r="800" spans="1:3" ht="15.75" customHeight="1" x14ac:dyDescent="0.35">
      <c r="A800" s="5"/>
      <c r="C800" s="6"/>
    </row>
    <row r="801" spans="1:3" ht="15.75" customHeight="1" x14ac:dyDescent="0.35">
      <c r="A801" s="5"/>
      <c r="C801" s="6"/>
    </row>
    <row r="802" spans="1:3" ht="15.75" customHeight="1" x14ac:dyDescent="0.35">
      <c r="A802" s="5"/>
      <c r="C802" s="6"/>
    </row>
    <row r="803" spans="1:3" ht="15.75" customHeight="1" x14ac:dyDescent="0.35">
      <c r="A803" s="5"/>
      <c r="C803" s="6"/>
    </row>
    <row r="804" spans="1:3" ht="15.75" customHeight="1" x14ac:dyDescent="0.35">
      <c r="A804" s="5"/>
      <c r="C804" s="6"/>
    </row>
    <row r="805" spans="1:3" ht="15.75" customHeight="1" x14ac:dyDescent="0.35">
      <c r="A805" s="5"/>
      <c r="C805" s="6"/>
    </row>
    <row r="806" spans="1:3" ht="15.75" customHeight="1" x14ac:dyDescent="0.35">
      <c r="A806" s="5"/>
      <c r="C806" s="6"/>
    </row>
    <row r="807" spans="1:3" ht="15.75" customHeight="1" x14ac:dyDescent="0.35">
      <c r="A807" s="5"/>
      <c r="C807" s="6"/>
    </row>
    <row r="808" spans="1:3" ht="15.75" customHeight="1" x14ac:dyDescent="0.35">
      <c r="A808" s="5"/>
      <c r="C808" s="6"/>
    </row>
    <row r="809" spans="1:3" ht="15.75" customHeight="1" x14ac:dyDescent="0.35">
      <c r="A809" s="5"/>
      <c r="C809" s="6"/>
    </row>
    <row r="810" spans="1:3" ht="15.75" customHeight="1" x14ac:dyDescent="0.35">
      <c r="A810" s="5"/>
      <c r="C810" s="6"/>
    </row>
    <row r="811" spans="1:3" ht="15.75" customHeight="1" x14ac:dyDescent="0.35">
      <c r="A811" s="5"/>
      <c r="C811" s="6"/>
    </row>
    <row r="812" spans="1:3" ht="15.75" customHeight="1" x14ac:dyDescent="0.35">
      <c r="A812" s="5"/>
      <c r="C812" s="6"/>
    </row>
    <row r="813" spans="1:3" ht="15.75" customHeight="1" x14ac:dyDescent="0.35">
      <c r="A813" s="5"/>
      <c r="C813" s="6"/>
    </row>
    <row r="814" spans="1:3" ht="15.75" customHeight="1" x14ac:dyDescent="0.35">
      <c r="A814" s="5"/>
      <c r="C814" s="6"/>
    </row>
    <row r="815" spans="1:3" ht="15.75" customHeight="1" x14ac:dyDescent="0.35">
      <c r="A815" s="5"/>
      <c r="C815" s="6"/>
    </row>
    <row r="816" spans="1:3" ht="15.75" customHeight="1" x14ac:dyDescent="0.35">
      <c r="A816" s="5"/>
      <c r="C816" s="6"/>
    </row>
    <row r="817" spans="1:3" ht="15.75" customHeight="1" x14ac:dyDescent="0.35">
      <c r="A817" s="5"/>
      <c r="C817" s="6"/>
    </row>
    <row r="818" spans="1:3" ht="15.75" customHeight="1" x14ac:dyDescent="0.35">
      <c r="A818" s="5"/>
      <c r="C818" s="6"/>
    </row>
    <row r="819" spans="1:3" ht="15.75" customHeight="1" x14ac:dyDescent="0.35">
      <c r="A819" s="5"/>
      <c r="C819" s="6"/>
    </row>
    <row r="820" spans="1:3" ht="15.75" customHeight="1" x14ac:dyDescent="0.35">
      <c r="A820" s="5"/>
      <c r="C820" s="6"/>
    </row>
    <row r="821" spans="1:3" ht="15.75" customHeight="1" x14ac:dyDescent="0.35">
      <c r="A821" s="5"/>
      <c r="C821" s="6"/>
    </row>
    <row r="822" spans="1:3" ht="15.75" customHeight="1" x14ac:dyDescent="0.35">
      <c r="A822" s="5"/>
      <c r="C822" s="6"/>
    </row>
    <row r="823" spans="1:3" ht="15.75" customHeight="1" x14ac:dyDescent="0.35">
      <c r="A823" s="5"/>
      <c r="C823" s="6"/>
    </row>
    <row r="824" spans="1:3" ht="15.75" customHeight="1" x14ac:dyDescent="0.35">
      <c r="A824" s="5"/>
      <c r="C824" s="6"/>
    </row>
    <row r="825" spans="1:3" ht="15.75" customHeight="1" x14ac:dyDescent="0.35">
      <c r="A825" s="5"/>
      <c r="C825" s="6"/>
    </row>
    <row r="826" spans="1:3" ht="15.75" customHeight="1" x14ac:dyDescent="0.35">
      <c r="A826" s="5"/>
      <c r="C826" s="6"/>
    </row>
    <row r="827" spans="1:3" ht="15.75" customHeight="1" x14ac:dyDescent="0.35">
      <c r="A827" s="5"/>
      <c r="C827" s="6"/>
    </row>
    <row r="828" spans="1:3" ht="15.75" customHeight="1" x14ac:dyDescent="0.35">
      <c r="A828" s="5"/>
      <c r="C828" s="6"/>
    </row>
    <row r="829" spans="1:3" ht="15.75" customHeight="1" x14ac:dyDescent="0.35">
      <c r="A829" s="5"/>
      <c r="C829" s="6"/>
    </row>
    <row r="830" spans="1:3" ht="15.75" customHeight="1" x14ac:dyDescent="0.35">
      <c r="A830" s="5"/>
      <c r="C830" s="6"/>
    </row>
    <row r="831" spans="1:3" ht="15.75" customHeight="1" x14ac:dyDescent="0.35">
      <c r="A831" s="5"/>
      <c r="C831" s="6"/>
    </row>
    <row r="832" spans="1:3" ht="15.75" customHeight="1" x14ac:dyDescent="0.35">
      <c r="A832" s="5"/>
      <c r="C832" s="6"/>
    </row>
    <row r="833" spans="1:3" ht="15.75" customHeight="1" x14ac:dyDescent="0.35">
      <c r="A833" s="5"/>
      <c r="C833" s="6"/>
    </row>
    <row r="834" spans="1:3" ht="15.75" customHeight="1" x14ac:dyDescent="0.35">
      <c r="A834" s="5"/>
      <c r="C834" s="6"/>
    </row>
    <row r="835" spans="1:3" ht="15.75" customHeight="1" x14ac:dyDescent="0.35">
      <c r="A835" s="5"/>
      <c r="C835" s="6"/>
    </row>
    <row r="836" spans="1:3" ht="15.75" customHeight="1" x14ac:dyDescent="0.35">
      <c r="A836" s="5"/>
      <c r="C836" s="6"/>
    </row>
    <row r="837" spans="1:3" ht="15.75" customHeight="1" x14ac:dyDescent="0.35">
      <c r="A837" s="5"/>
      <c r="C837" s="6"/>
    </row>
    <row r="838" spans="1:3" ht="15.75" customHeight="1" x14ac:dyDescent="0.35">
      <c r="A838" s="5"/>
      <c r="C838" s="6"/>
    </row>
    <row r="839" spans="1:3" ht="15.75" customHeight="1" x14ac:dyDescent="0.35">
      <c r="A839" s="5"/>
      <c r="C839" s="6"/>
    </row>
    <row r="840" spans="1:3" ht="15.75" customHeight="1" x14ac:dyDescent="0.35">
      <c r="A840" s="5"/>
      <c r="C840" s="6"/>
    </row>
    <row r="841" spans="1:3" ht="15.75" customHeight="1" x14ac:dyDescent="0.35">
      <c r="A841" s="5"/>
      <c r="C841" s="6"/>
    </row>
    <row r="842" spans="1:3" ht="15.75" customHeight="1" x14ac:dyDescent="0.35">
      <c r="A842" s="5"/>
      <c r="C842" s="6"/>
    </row>
    <row r="843" spans="1:3" ht="15.75" customHeight="1" x14ac:dyDescent="0.35">
      <c r="A843" s="5"/>
      <c r="C843" s="6"/>
    </row>
    <row r="844" spans="1:3" ht="15.75" customHeight="1" x14ac:dyDescent="0.35">
      <c r="A844" s="5"/>
      <c r="C844" s="6"/>
    </row>
    <row r="845" spans="1:3" ht="15.75" customHeight="1" x14ac:dyDescent="0.35">
      <c r="A845" s="5"/>
      <c r="C845" s="6"/>
    </row>
    <row r="846" spans="1:3" ht="15.75" customHeight="1" x14ac:dyDescent="0.35">
      <c r="A846" s="5"/>
      <c r="C846" s="6"/>
    </row>
    <row r="847" spans="1:3" ht="15.75" customHeight="1" x14ac:dyDescent="0.35">
      <c r="A847" s="5"/>
      <c r="C847" s="6"/>
    </row>
    <row r="848" spans="1:3" ht="15.75" customHeight="1" x14ac:dyDescent="0.35">
      <c r="A848" s="5"/>
      <c r="C848" s="6"/>
    </row>
    <row r="849" spans="1:3" ht="15.75" customHeight="1" x14ac:dyDescent="0.35">
      <c r="A849" s="5"/>
      <c r="C849" s="6"/>
    </row>
    <row r="850" spans="1:3" ht="15.75" customHeight="1" x14ac:dyDescent="0.35">
      <c r="A850" s="5"/>
      <c r="C850" s="6"/>
    </row>
    <row r="851" spans="1:3" ht="15.75" customHeight="1" x14ac:dyDescent="0.35">
      <c r="A851" s="5"/>
      <c r="C851" s="6"/>
    </row>
    <row r="852" spans="1:3" ht="15.75" customHeight="1" x14ac:dyDescent="0.35">
      <c r="A852" s="5"/>
      <c r="C852" s="6"/>
    </row>
    <row r="853" spans="1:3" ht="15.75" customHeight="1" x14ac:dyDescent="0.35">
      <c r="A853" s="5"/>
      <c r="C853" s="6"/>
    </row>
    <row r="854" spans="1:3" ht="15.75" customHeight="1" x14ac:dyDescent="0.35">
      <c r="A854" s="5"/>
      <c r="C854" s="6"/>
    </row>
    <row r="855" spans="1:3" ht="15.75" customHeight="1" x14ac:dyDescent="0.35">
      <c r="A855" s="5"/>
      <c r="C855" s="6"/>
    </row>
    <row r="856" spans="1:3" ht="15.75" customHeight="1" x14ac:dyDescent="0.35">
      <c r="A856" s="5"/>
      <c r="C856" s="6"/>
    </row>
    <row r="857" spans="1:3" ht="15.75" customHeight="1" x14ac:dyDescent="0.35">
      <c r="A857" s="5"/>
      <c r="C857" s="6"/>
    </row>
    <row r="858" spans="1:3" ht="15.75" customHeight="1" x14ac:dyDescent="0.35">
      <c r="A858" s="5"/>
      <c r="C858" s="6"/>
    </row>
    <row r="859" spans="1:3" ht="15.75" customHeight="1" x14ac:dyDescent="0.35">
      <c r="A859" s="5"/>
      <c r="C859" s="6"/>
    </row>
    <row r="860" spans="1:3" ht="15.75" customHeight="1" x14ac:dyDescent="0.35">
      <c r="A860" s="5"/>
      <c r="C860" s="6"/>
    </row>
    <row r="861" spans="1:3" ht="15.75" customHeight="1" x14ac:dyDescent="0.35">
      <c r="A861" s="5"/>
      <c r="C861" s="6"/>
    </row>
    <row r="862" spans="1:3" ht="15.75" customHeight="1" x14ac:dyDescent="0.35">
      <c r="A862" s="5"/>
      <c r="C862" s="6"/>
    </row>
    <row r="863" spans="1:3" ht="15.75" customHeight="1" x14ac:dyDescent="0.35">
      <c r="A863" s="5"/>
      <c r="C863" s="6"/>
    </row>
    <row r="864" spans="1:3" ht="15.75" customHeight="1" x14ac:dyDescent="0.35">
      <c r="A864" s="5"/>
      <c r="C864" s="6"/>
    </row>
    <row r="865" spans="1:3" ht="15.75" customHeight="1" x14ac:dyDescent="0.35">
      <c r="A865" s="5"/>
      <c r="C865" s="6"/>
    </row>
    <row r="866" spans="1:3" ht="15.75" customHeight="1" x14ac:dyDescent="0.35">
      <c r="A866" s="5"/>
      <c r="C866" s="6"/>
    </row>
    <row r="867" spans="1:3" ht="15.75" customHeight="1" x14ac:dyDescent="0.35">
      <c r="A867" s="5"/>
      <c r="C867" s="6"/>
    </row>
    <row r="868" spans="1:3" ht="15.75" customHeight="1" x14ac:dyDescent="0.35">
      <c r="A868" s="5"/>
      <c r="C868" s="6"/>
    </row>
    <row r="869" spans="1:3" ht="15.75" customHeight="1" x14ac:dyDescent="0.35">
      <c r="A869" s="5"/>
      <c r="C869" s="6"/>
    </row>
    <row r="870" spans="1:3" ht="15.75" customHeight="1" x14ac:dyDescent="0.35">
      <c r="A870" s="5"/>
      <c r="C870" s="6"/>
    </row>
    <row r="871" spans="1:3" ht="15.75" customHeight="1" x14ac:dyDescent="0.35">
      <c r="A871" s="5"/>
      <c r="C871" s="6"/>
    </row>
    <row r="872" spans="1:3" ht="15.75" customHeight="1" x14ac:dyDescent="0.35">
      <c r="A872" s="5"/>
      <c r="C872" s="6"/>
    </row>
    <row r="873" spans="1:3" ht="15.75" customHeight="1" x14ac:dyDescent="0.35">
      <c r="A873" s="5"/>
      <c r="C873" s="6"/>
    </row>
    <row r="874" spans="1:3" ht="15.75" customHeight="1" x14ac:dyDescent="0.35">
      <c r="A874" s="5"/>
      <c r="C874" s="6"/>
    </row>
    <row r="875" spans="1:3" ht="15.75" customHeight="1" x14ac:dyDescent="0.35">
      <c r="A875" s="5"/>
      <c r="C875" s="6"/>
    </row>
    <row r="876" spans="1:3" ht="15.75" customHeight="1" x14ac:dyDescent="0.35">
      <c r="A876" s="5"/>
      <c r="C876" s="6"/>
    </row>
    <row r="877" spans="1:3" ht="15.75" customHeight="1" x14ac:dyDescent="0.35">
      <c r="A877" s="5"/>
      <c r="C877" s="6"/>
    </row>
    <row r="878" spans="1:3" ht="15.75" customHeight="1" x14ac:dyDescent="0.35">
      <c r="A878" s="5"/>
      <c r="C878" s="6"/>
    </row>
    <row r="879" spans="1:3" ht="15.75" customHeight="1" x14ac:dyDescent="0.35">
      <c r="A879" s="5"/>
      <c r="C879" s="6"/>
    </row>
    <row r="880" spans="1:3" ht="15.75" customHeight="1" x14ac:dyDescent="0.35">
      <c r="A880" s="5"/>
      <c r="C880" s="6"/>
    </row>
    <row r="881" spans="1:3" ht="15.75" customHeight="1" x14ac:dyDescent="0.35">
      <c r="A881" s="5"/>
      <c r="C881" s="6"/>
    </row>
    <row r="882" spans="1:3" ht="15.75" customHeight="1" x14ac:dyDescent="0.35">
      <c r="A882" s="5"/>
      <c r="C882" s="6"/>
    </row>
    <row r="883" spans="1:3" ht="15.75" customHeight="1" x14ac:dyDescent="0.35">
      <c r="A883" s="5"/>
      <c r="C883" s="6"/>
    </row>
    <row r="884" spans="1:3" ht="15.75" customHeight="1" x14ac:dyDescent="0.35">
      <c r="A884" s="5"/>
      <c r="C884" s="6"/>
    </row>
    <row r="885" spans="1:3" ht="15.75" customHeight="1" x14ac:dyDescent="0.35">
      <c r="A885" s="5"/>
      <c r="C885" s="6"/>
    </row>
    <row r="886" spans="1:3" ht="15.75" customHeight="1" x14ac:dyDescent="0.35">
      <c r="A886" s="5"/>
      <c r="C886" s="6"/>
    </row>
    <row r="887" spans="1:3" ht="15.75" customHeight="1" x14ac:dyDescent="0.35">
      <c r="A887" s="5"/>
      <c r="C887" s="6"/>
    </row>
    <row r="888" spans="1:3" ht="15.75" customHeight="1" x14ac:dyDescent="0.35">
      <c r="A888" s="5"/>
      <c r="C888" s="6"/>
    </row>
    <row r="889" spans="1:3" ht="15.75" customHeight="1" x14ac:dyDescent="0.35">
      <c r="A889" s="5"/>
      <c r="C889" s="6"/>
    </row>
    <row r="890" spans="1:3" ht="15.75" customHeight="1" x14ac:dyDescent="0.35">
      <c r="A890" s="5"/>
      <c r="C890" s="6"/>
    </row>
    <row r="891" spans="1:3" ht="15.75" customHeight="1" x14ac:dyDescent="0.35">
      <c r="A891" s="5"/>
      <c r="C891" s="6"/>
    </row>
    <row r="892" spans="1:3" ht="15.75" customHeight="1" x14ac:dyDescent="0.35">
      <c r="A892" s="5"/>
      <c r="C892" s="6"/>
    </row>
    <row r="893" spans="1:3" ht="15.75" customHeight="1" x14ac:dyDescent="0.35">
      <c r="A893" s="5"/>
      <c r="C893" s="6"/>
    </row>
    <row r="894" spans="1:3" ht="15.75" customHeight="1" x14ac:dyDescent="0.35">
      <c r="A894" s="5"/>
      <c r="C894" s="6"/>
    </row>
    <row r="895" spans="1:3" ht="15.75" customHeight="1" x14ac:dyDescent="0.35">
      <c r="A895" s="5"/>
      <c r="C895" s="6"/>
    </row>
    <row r="896" spans="1:3" ht="15.75" customHeight="1" x14ac:dyDescent="0.35">
      <c r="A896" s="5"/>
      <c r="C896" s="6"/>
    </row>
    <row r="897" spans="1:3" ht="15.75" customHeight="1" x14ac:dyDescent="0.35">
      <c r="A897" s="5"/>
      <c r="C897" s="6"/>
    </row>
    <row r="898" spans="1:3" ht="15.75" customHeight="1" x14ac:dyDescent="0.35">
      <c r="A898" s="5"/>
      <c r="C898" s="6"/>
    </row>
    <row r="899" spans="1:3" ht="15.75" customHeight="1" x14ac:dyDescent="0.35">
      <c r="A899" s="5"/>
      <c r="C899" s="6"/>
    </row>
    <row r="900" spans="1:3" ht="15.75" customHeight="1" x14ac:dyDescent="0.35">
      <c r="A900" s="5"/>
      <c r="C900" s="6"/>
    </row>
    <row r="901" spans="1:3" ht="15.75" customHeight="1" x14ac:dyDescent="0.35">
      <c r="A901" s="5"/>
      <c r="C901" s="6"/>
    </row>
    <row r="902" spans="1:3" ht="15.75" customHeight="1" x14ac:dyDescent="0.35">
      <c r="A902" s="5"/>
      <c r="C902" s="6"/>
    </row>
    <row r="903" spans="1:3" ht="15.75" customHeight="1" x14ac:dyDescent="0.35">
      <c r="A903" s="5"/>
      <c r="C903" s="6"/>
    </row>
    <row r="904" spans="1:3" ht="15.75" customHeight="1" x14ac:dyDescent="0.35">
      <c r="A904" s="5"/>
      <c r="C904" s="6"/>
    </row>
    <row r="905" spans="1:3" ht="15.75" customHeight="1" x14ac:dyDescent="0.35">
      <c r="A905" s="5"/>
      <c r="C905" s="6"/>
    </row>
    <row r="906" spans="1:3" ht="15.75" customHeight="1" x14ac:dyDescent="0.35">
      <c r="A906" s="5"/>
      <c r="C906" s="6"/>
    </row>
    <row r="907" spans="1:3" ht="15.75" customHeight="1" x14ac:dyDescent="0.35">
      <c r="A907" s="5"/>
      <c r="C907" s="6"/>
    </row>
    <row r="908" spans="1:3" ht="15.75" customHeight="1" x14ac:dyDescent="0.35">
      <c r="A908" s="5"/>
      <c r="C908" s="6"/>
    </row>
    <row r="909" spans="1:3" ht="15.75" customHeight="1" x14ac:dyDescent="0.35">
      <c r="A909" s="5"/>
      <c r="C909" s="6"/>
    </row>
    <row r="910" spans="1:3" ht="15.75" customHeight="1" x14ac:dyDescent="0.35">
      <c r="A910" s="5"/>
      <c r="C910" s="6"/>
    </row>
    <row r="911" spans="1:3" ht="15.75" customHeight="1" x14ac:dyDescent="0.35">
      <c r="A911" s="5"/>
      <c r="C911" s="6"/>
    </row>
    <row r="912" spans="1:3" ht="15.75" customHeight="1" x14ac:dyDescent="0.35">
      <c r="A912" s="5"/>
      <c r="C912" s="6"/>
    </row>
    <row r="913" spans="1:3" ht="15.75" customHeight="1" x14ac:dyDescent="0.35">
      <c r="A913" s="5"/>
      <c r="C913" s="6"/>
    </row>
    <row r="914" spans="1:3" ht="15.75" customHeight="1" x14ac:dyDescent="0.35">
      <c r="A914" s="5"/>
      <c r="C914" s="6"/>
    </row>
    <row r="915" spans="1:3" ht="15.75" customHeight="1" x14ac:dyDescent="0.35">
      <c r="A915" s="5"/>
      <c r="C915" s="6"/>
    </row>
    <row r="916" spans="1:3" ht="15.75" customHeight="1" x14ac:dyDescent="0.35">
      <c r="A916" s="5"/>
      <c r="C916" s="6"/>
    </row>
    <row r="917" spans="1:3" ht="15.75" customHeight="1" x14ac:dyDescent="0.35">
      <c r="A917" s="5"/>
      <c r="C917" s="6"/>
    </row>
    <row r="918" spans="1:3" ht="15.75" customHeight="1" x14ac:dyDescent="0.35">
      <c r="A918" s="5"/>
      <c r="C918" s="6"/>
    </row>
    <row r="919" spans="1:3" ht="15.75" customHeight="1" x14ac:dyDescent="0.35">
      <c r="A919" s="5"/>
      <c r="C919" s="6"/>
    </row>
    <row r="920" spans="1:3" ht="15.75" customHeight="1" x14ac:dyDescent="0.35">
      <c r="A920" s="5"/>
      <c r="C920" s="6"/>
    </row>
    <row r="921" spans="1:3" ht="15.75" customHeight="1" x14ac:dyDescent="0.35">
      <c r="A921" s="5"/>
      <c r="C921" s="6"/>
    </row>
    <row r="922" spans="1:3" ht="15.75" customHeight="1" x14ac:dyDescent="0.35">
      <c r="A922" s="5"/>
      <c r="C922" s="6"/>
    </row>
    <row r="923" spans="1:3" ht="15.75" customHeight="1" x14ac:dyDescent="0.35">
      <c r="A923" s="5"/>
      <c r="C923" s="6"/>
    </row>
    <row r="924" spans="1:3" ht="15.75" customHeight="1" x14ac:dyDescent="0.35">
      <c r="A924" s="5"/>
      <c r="C924" s="6"/>
    </row>
    <row r="925" spans="1:3" ht="15.75" customHeight="1" x14ac:dyDescent="0.35">
      <c r="A925" s="5"/>
      <c r="C925" s="6"/>
    </row>
    <row r="926" spans="1:3" ht="15.75" customHeight="1" x14ac:dyDescent="0.35">
      <c r="A926" s="5"/>
      <c r="C926" s="6"/>
    </row>
    <row r="927" spans="1:3" ht="15.75" customHeight="1" x14ac:dyDescent="0.35">
      <c r="A927" s="5"/>
      <c r="C927" s="6"/>
    </row>
    <row r="928" spans="1:3" ht="15.75" customHeight="1" x14ac:dyDescent="0.35">
      <c r="A928" s="5"/>
      <c r="C928" s="6"/>
    </row>
    <row r="929" spans="1:3" ht="15.75" customHeight="1" x14ac:dyDescent="0.35">
      <c r="A929" s="5"/>
      <c r="C929" s="6"/>
    </row>
    <row r="930" spans="1:3" ht="15.75" customHeight="1" x14ac:dyDescent="0.35">
      <c r="A930" s="5"/>
      <c r="C930" s="6"/>
    </row>
    <row r="931" spans="1:3" ht="15.75" customHeight="1" x14ac:dyDescent="0.35">
      <c r="A931" s="5"/>
      <c r="C931" s="6"/>
    </row>
    <row r="932" spans="1:3" ht="15.75" customHeight="1" x14ac:dyDescent="0.35">
      <c r="A932" s="5"/>
      <c r="C932" s="6"/>
    </row>
    <row r="933" spans="1:3" ht="15.75" customHeight="1" x14ac:dyDescent="0.35">
      <c r="A933" s="5"/>
      <c r="C933" s="6"/>
    </row>
    <row r="934" spans="1:3" ht="15.75" customHeight="1" x14ac:dyDescent="0.35">
      <c r="A934" s="5"/>
      <c r="C934" s="6"/>
    </row>
    <row r="935" spans="1:3" ht="15.75" customHeight="1" x14ac:dyDescent="0.35">
      <c r="A935" s="5"/>
      <c r="C935" s="6"/>
    </row>
    <row r="936" spans="1:3" ht="15.75" customHeight="1" x14ac:dyDescent="0.35">
      <c r="A936" s="5"/>
      <c r="C936" s="6"/>
    </row>
    <row r="937" spans="1:3" ht="15.75" customHeight="1" x14ac:dyDescent="0.35">
      <c r="A937" s="5"/>
      <c r="C937" s="6"/>
    </row>
    <row r="938" spans="1:3" ht="15.75" customHeight="1" x14ac:dyDescent="0.35">
      <c r="A938" s="5"/>
      <c r="C938" s="6"/>
    </row>
    <row r="939" spans="1:3" ht="15.75" customHeight="1" x14ac:dyDescent="0.35">
      <c r="A939" s="5"/>
      <c r="C939" s="6"/>
    </row>
    <row r="940" spans="1:3" ht="15.75" customHeight="1" x14ac:dyDescent="0.35">
      <c r="A940" s="5"/>
      <c r="C940" s="6"/>
    </row>
    <row r="941" spans="1:3" ht="15.75" customHeight="1" x14ac:dyDescent="0.35">
      <c r="A941" s="5"/>
      <c r="C941" s="6"/>
    </row>
    <row r="942" spans="1:3" ht="15.75" customHeight="1" x14ac:dyDescent="0.35">
      <c r="A942" s="5"/>
      <c r="C942" s="6"/>
    </row>
    <row r="943" spans="1:3" ht="15.75" customHeight="1" x14ac:dyDescent="0.35">
      <c r="A943" s="5"/>
      <c r="C943" s="6"/>
    </row>
    <row r="944" spans="1:3" ht="15.75" customHeight="1" x14ac:dyDescent="0.35">
      <c r="A944" s="5"/>
      <c r="C944" s="6"/>
    </row>
    <row r="945" spans="1:3" ht="15.75" customHeight="1" x14ac:dyDescent="0.35">
      <c r="A945" s="5"/>
      <c r="C945" s="6"/>
    </row>
    <row r="946" spans="1:3" ht="15.75" customHeight="1" x14ac:dyDescent="0.35">
      <c r="A946" s="5"/>
      <c r="C946" s="6"/>
    </row>
    <row r="947" spans="1:3" ht="15.75" customHeight="1" x14ac:dyDescent="0.35">
      <c r="A947" s="5"/>
      <c r="C947" s="6"/>
    </row>
    <row r="948" spans="1:3" ht="15.75" customHeight="1" x14ac:dyDescent="0.35">
      <c r="A948" s="5"/>
      <c r="C948" s="6"/>
    </row>
    <row r="949" spans="1:3" ht="15.75" customHeight="1" x14ac:dyDescent="0.35">
      <c r="A949" s="5"/>
      <c r="C949" s="6"/>
    </row>
    <row r="950" spans="1:3" ht="15.75" customHeight="1" x14ac:dyDescent="0.35">
      <c r="A950" s="5"/>
      <c r="C950" s="6"/>
    </row>
    <row r="951" spans="1:3" ht="15.75" customHeight="1" x14ac:dyDescent="0.35">
      <c r="A951" s="5"/>
      <c r="C951" s="6"/>
    </row>
    <row r="952" spans="1:3" ht="15.75" customHeight="1" x14ac:dyDescent="0.35">
      <c r="A952" s="5"/>
      <c r="C952" s="6"/>
    </row>
    <row r="953" spans="1:3" ht="15.75" customHeight="1" x14ac:dyDescent="0.35">
      <c r="A953" s="5"/>
      <c r="C953" s="6"/>
    </row>
    <row r="954" spans="1:3" ht="15.75" customHeight="1" x14ac:dyDescent="0.35">
      <c r="A954" s="5"/>
      <c r="C954" s="6"/>
    </row>
    <row r="955" spans="1:3" ht="15.75" customHeight="1" x14ac:dyDescent="0.35">
      <c r="A955" s="5"/>
      <c r="C955" s="6"/>
    </row>
    <row r="956" spans="1:3" ht="15.75" customHeight="1" x14ac:dyDescent="0.35">
      <c r="A956" s="5"/>
      <c r="C956" s="6"/>
    </row>
    <row r="957" spans="1:3" ht="15.75" customHeight="1" x14ac:dyDescent="0.35">
      <c r="A957" s="5"/>
      <c r="C957" s="6"/>
    </row>
    <row r="958" spans="1:3" ht="15.75" customHeight="1" x14ac:dyDescent="0.35">
      <c r="A958" s="5"/>
      <c r="C958" s="6"/>
    </row>
    <row r="959" spans="1:3" ht="15.75" customHeight="1" x14ac:dyDescent="0.35">
      <c r="A959" s="5"/>
      <c r="C959" s="6"/>
    </row>
    <row r="960" spans="1:3" ht="15.75" customHeight="1" x14ac:dyDescent="0.35">
      <c r="A960" s="5"/>
      <c r="C960" s="6"/>
    </row>
    <row r="961" spans="1:3" ht="15.75" customHeight="1" x14ac:dyDescent="0.35">
      <c r="A961" s="5"/>
      <c r="C961" s="6"/>
    </row>
    <row r="962" spans="1:3" ht="15.75" customHeight="1" x14ac:dyDescent="0.35">
      <c r="A962" s="5"/>
      <c r="C962" s="6"/>
    </row>
    <row r="963" spans="1:3" ht="15.75" customHeight="1" x14ac:dyDescent="0.35">
      <c r="A963" s="5"/>
      <c r="C963" s="6"/>
    </row>
    <row r="964" spans="1:3" ht="15.75" customHeight="1" x14ac:dyDescent="0.35">
      <c r="A964" s="5"/>
      <c r="C964" s="6"/>
    </row>
    <row r="965" spans="1:3" ht="15.75" customHeight="1" x14ac:dyDescent="0.35">
      <c r="A965" s="5"/>
      <c r="C965" s="6"/>
    </row>
    <row r="966" spans="1:3" ht="15.75" customHeight="1" x14ac:dyDescent="0.35">
      <c r="A966" s="5"/>
      <c r="C966" s="6"/>
    </row>
    <row r="967" spans="1:3" ht="15.75" customHeight="1" x14ac:dyDescent="0.35">
      <c r="A967" s="5"/>
      <c r="C967" s="6"/>
    </row>
    <row r="968" spans="1:3" ht="15.75" customHeight="1" x14ac:dyDescent="0.35">
      <c r="A968" s="5"/>
      <c r="C968" s="6"/>
    </row>
    <row r="969" spans="1:3" ht="15.75" customHeight="1" x14ac:dyDescent="0.35">
      <c r="A969" s="5"/>
      <c r="C969" s="6"/>
    </row>
  </sheetData>
  <autoFilter ref="A1:C139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68"/>
  <sheetViews>
    <sheetView workbookViewId="0">
      <pane ySplit="1" topLeftCell="A130" activePane="bottomLeft" state="frozen"/>
      <selection pane="bottomLeft" activeCell="B138" sqref="B138"/>
    </sheetView>
  </sheetViews>
  <sheetFormatPr defaultColWidth="14.453125" defaultRowHeight="15" customHeight="1" x14ac:dyDescent="0.35"/>
  <cols>
    <col min="1" max="1" width="13.453125" customWidth="1"/>
    <col min="2" max="2" width="12.08984375" customWidth="1"/>
    <col min="3" max="3" width="19.08984375" customWidth="1"/>
    <col min="4" max="12" width="8.7265625" customWidth="1"/>
  </cols>
  <sheetData>
    <row r="1" spans="1:12" ht="14.5" x14ac:dyDescent="0.35">
      <c r="A1" s="24" t="s">
        <v>178</v>
      </c>
      <c r="B1" s="25" t="s">
        <v>179</v>
      </c>
      <c r="C1" s="25" t="s">
        <v>180</v>
      </c>
      <c r="D1" s="26" t="s">
        <v>171</v>
      </c>
      <c r="E1" s="26" t="s">
        <v>181</v>
      </c>
      <c r="F1" s="26" t="s">
        <v>182</v>
      </c>
      <c r="G1" s="5"/>
      <c r="H1" s="5"/>
      <c r="I1" s="5"/>
      <c r="J1" s="5"/>
      <c r="K1" s="5"/>
      <c r="L1" s="5"/>
    </row>
    <row r="2" spans="1:12" ht="15.5" x14ac:dyDescent="0.35">
      <c r="A2" s="3" t="s">
        <v>1</v>
      </c>
      <c r="B2" s="6">
        <v>2410</v>
      </c>
      <c r="C2" s="4">
        <v>2129</v>
      </c>
      <c r="D2" s="15">
        <v>27.446435084438331</v>
      </c>
      <c r="E2" s="5">
        <v>0</v>
      </c>
      <c r="F2" s="5">
        <v>24</v>
      </c>
      <c r="G2" s="5"/>
      <c r="H2" s="5"/>
      <c r="I2" s="5"/>
      <c r="J2" s="5"/>
      <c r="K2" s="5"/>
      <c r="L2" s="5"/>
    </row>
    <row r="3" spans="1:12" ht="15.5" x14ac:dyDescent="0.35">
      <c r="A3" s="3" t="s">
        <v>3</v>
      </c>
      <c r="B3" s="6">
        <v>11278.5</v>
      </c>
      <c r="C3" s="4">
        <v>2129</v>
      </c>
      <c r="D3" s="15">
        <v>27.446435084438331</v>
      </c>
      <c r="E3" s="5">
        <v>15850</v>
      </c>
      <c r="F3" s="5">
        <v>24</v>
      </c>
      <c r="G3" s="5"/>
      <c r="H3" s="5"/>
      <c r="I3" s="5"/>
      <c r="J3" s="5"/>
      <c r="K3" s="5"/>
      <c r="L3" s="5"/>
    </row>
    <row r="4" spans="1:12" ht="15.5" x14ac:dyDescent="0.35">
      <c r="A4" s="3" t="s">
        <v>4</v>
      </c>
      <c r="B4" s="6">
        <v>1220</v>
      </c>
      <c r="C4" s="4">
        <v>2131</v>
      </c>
      <c r="D4" s="15">
        <v>27.446435084438331</v>
      </c>
      <c r="E4" s="5">
        <v>150</v>
      </c>
      <c r="F4" s="5">
        <v>24</v>
      </c>
      <c r="G4" s="5"/>
      <c r="H4" s="5"/>
      <c r="I4" s="5"/>
      <c r="J4" s="5"/>
      <c r="K4" s="5"/>
      <c r="L4" s="5"/>
    </row>
    <row r="5" spans="1:12" ht="15.5" x14ac:dyDescent="0.35">
      <c r="A5" s="3" t="s">
        <v>5</v>
      </c>
      <c r="B5" s="6">
        <v>10310</v>
      </c>
      <c r="C5" s="4">
        <v>2131</v>
      </c>
      <c r="D5" s="15">
        <v>27.446435084438331</v>
      </c>
      <c r="E5" s="5">
        <v>6543</v>
      </c>
      <c r="F5" s="5">
        <v>24</v>
      </c>
      <c r="G5" s="5"/>
      <c r="H5" s="5"/>
      <c r="I5" s="5"/>
      <c r="J5" s="5"/>
      <c r="K5" s="5"/>
      <c r="L5" s="5"/>
    </row>
    <row r="6" spans="1:12" ht="15.5" x14ac:dyDescent="0.35">
      <c r="A6" s="3" t="s">
        <v>6</v>
      </c>
      <c r="B6" s="6">
        <v>8827</v>
      </c>
      <c r="C6" s="4">
        <v>2131</v>
      </c>
      <c r="D6" s="15">
        <v>27.446435084438331</v>
      </c>
      <c r="E6">
        <v>18827</v>
      </c>
      <c r="F6">
        <v>24</v>
      </c>
    </row>
    <row r="7" spans="1:12" ht="15.5" x14ac:dyDescent="0.35">
      <c r="A7" s="3" t="s">
        <v>7</v>
      </c>
      <c r="B7" s="6">
        <v>2077.6666666666702</v>
      </c>
      <c r="C7" s="4">
        <v>2131</v>
      </c>
      <c r="D7" s="15">
        <v>27.446435084438331</v>
      </c>
      <c r="E7">
        <v>225</v>
      </c>
      <c r="F7">
        <v>24</v>
      </c>
    </row>
    <row r="8" spans="1:12" ht="15.5" x14ac:dyDescent="0.35">
      <c r="A8" s="3" t="s">
        <v>8</v>
      </c>
      <c r="B8" s="6">
        <v>3780</v>
      </c>
      <c r="C8" s="4">
        <v>1694</v>
      </c>
      <c r="D8" s="15">
        <v>27.446435084438331</v>
      </c>
      <c r="E8">
        <v>0</v>
      </c>
      <c r="F8">
        <v>24</v>
      </c>
    </row>
    <row r="9" spans="1:12" ht="15.5" x14ac:dyDescent="0.35">
      <c r="A9" s="3" t="s">
        <v>10</v>
      </c>
      <c r="B9" s="6">
        <v>45514.565217391297</v>
      </c>
      <c r="C9" s="4">
        <v>2846</v>
      </c>
      <c r="D9" s="15">
        <v>27.446435084438331</v>
      </c>
      <c r="E9">
        <v>261441</v>
      </c>
      <c r="F9">
        <v>24</v>
      </c>
    </row>
    <row r="10" spans="1:12" ht="15.5" x14ac:dyDescent="0.35">
      <c r="A10" s="3" t="s">
        <v>11</v>
      </c>
      <c r="B10" s="6">
        <v>3758.3333333333298</v>
      </c>
      <c r="C10" s="4">
        <v>2129</v>
      </c>
      <c r="D10" s="15">
        <v>27.446435084438331</v>
      </c>
      <c r="E10">
        <v>950</v>
      </c>
      <c r="F10">
        <v>24</v>
      </c>
    </row>
    <row r="11" spans="1:12" ht="15.5" x14ac:dyDescent="0.35">
      <c r="A11" s="3" t="s">
        <v>12</v>
      </c>
      <c r="B11" s="6">
        <v>39457.071428571398</v>
      </c>
      <c r="C11" s="4">
        <v>2263</v>
      </c>
      <c r="D11" s="15">
        <v>27.446435084438331</v>
      </c>
      <c r="E11">
        <v>31393</v>
      </c>
      <c r="F11">
        <v>24</v>
      </c>
    </row>
    <row r="12" spans="1:12" ht="15.75" customHeight="1" x14ac:dyDescent="0.35">
      <c r="A12" s="3" t="s">
        <v>13</v>
      </c>
      <c r="B12" s="6">
        <v>3018.2222222222204</v>
      </c>
      <c r="C12" s="4">
        <v>2732</v>
      </c>
      <c r="D12" s="15">
        <v>27.446435084438331</v>
      </c>
      <c r="E12">
        <v>6200</v>
      </c>
      <c r="F12">
        <v>24</v>
      </c>
    </row>
    <row r="13" spans="1:12" ht="15.75" customHeight="1" x14ac:dyDescent="0.35">
      <c r="A13" s="3" t="s">
        <v>14</v>
      </c>
      <c r="B13" s="6">
        <v>27135.555555555598</v>
      </c>
      <c r="C13" s="4">
        <v>2962</v>
      </c>
      <c r="D13" s="15">
        <v>27.446435084438331</v>
      </c>
      <c r="E13">
        <v>13475</v>
      </c>
      <c r="F13">
        <v>24</v>
      </c>
    </row>
    <row r="14" spans="1:12" ht="15.75" customHeight="1" x14ac:dyDescent="0.35">
      <c r="A14" s="3" t="s">
        <v>15</v>
      </c>
      <c r="B14" s="6">
        <v>124</v>
      </c>
      <c r="C14" s="4">
        <v>2263</v>
      </c>
      <c r="D14" s="15">
        <v>27.446435084438331</v>
      </c>
      <c r="E14">
        <v>0</v>
      </c>
      <c r="F14">
        <v>24</v>
      </c>
    </row>
    <row r="15" spans="1:12" ht="15.75" customHeight="1" x14ac:dyDescent="0.35">
      <c r="A15" s="3" t="s">
        <v>16</v>
      </c>
      <c r="B15" s="6">
        <v>770</v>
      </c>
      <c r="C15" s="4">
        <v>2263</v>
      </c>
      <c r="D15" s="15">
        <v>27.446435084438331</v>
      </c>
      <c r="E15">
        <v>0</v>
      </c>
      <c r="F15">
        <v>24</v>
      </c>
    </row>
    <row r="16" spans="1:12" ht="15.75" customHeight="1" x14ac:dyDescent="0.35">
      <c r="A16" s="3" t="s">
        <v>17</v>
      </c>
      <c r="B16" s="6">
        <v>0</v>
      </c>
      <c r="C16" s="4">
        <v>2268</v>
      </c>
      <c r="D16" s="15">
        <v>27.446435084438331</v>
      </c>
      <c r="E16">
        <v>0</v>
      </c>
      <c r="F16">
        <v>24</v>
      </c>
    </row>
    <row r="17" spans="1:6" ht="15.75" customHeight="1" x14ac:dyDescent="0.35">
      <c r="A17" s="3" t="s">
        <v>18</v>
      </c>
      <c r="B17" s="6">
        <v>4852.4000000000005</v>
      </c>
      <c r="C17" s="4">
        <v>1956</v>
      </c>
      <c r="D17" s="15">
        <v>27.446435084438331</v>
      </c>
      <c r="E17">
        <v>7158</v>
      </c>
      <c r="F17">
        <v>24</v>
      </c>
    </row>
    <row r="18" spans="1:6" ht="15.75" customHeight="1" x14ac:dyDescent="0.35">
      <c r="A18" s="3" t="s">
        <v>20</v>
      </c>
      <c r="B18" s="6">
        <v>2883</v>
      </c>
      <c r="C18" s="4">
        <v>2179</v>
      </c>
      <c r="D18" s="15">
        <v>27.446435084438331</v>
      </c>
      <c r="E18">
        <v>150</v>
      </c>
      <c r="F18">
        <v>24</v>
      </c>
    </row>
    <row r="19" spans="1:6" ht="15.75" customHeight="1" x14ac:dyDescent="0.35">
      <c r="A19" s="3" t="s">
        <v>21</v>
      </c>
      <c r="B19" s="6">
        <v>1495</v>
      </c>
      <c r="C19" s="4">
        <v>2179</v>
      </c>
      <c r="D19" s="15">
        <v>27.446435084438331</v>
      </c>
      <c r="E19">
        <v>0</v>
      </c>
      <c r="F19">
        <v>24</v>
      </c>
    </row>
    <row r="20" spans="1:6" ht="15.75" customHeight="1" x14ac:dyDescent="0.35">
      <c r="A20" s="3" t="s">
        <v>19</v>
      </c>
      <c r="B20" s="6">
        <v>2090</v>
      </c>
      <c r="C20" s="4">
        <v>2179</v>
      </c>
      <c r="D20" s="15">
        <v>27.446435084438331</v>
      </c>
      <c r="E20">
        <v>175</v>
      </c>
      <c r="F20">
        <v>24</v>
      </c>
    </row>
    <row r="21" spans="1:6" ht="15.75" customHeight="1" x14ac:dyDescent="0.35">
      <c r="A21" s="3" t="s">
        <v>129</v>
      </c>
      <c r="B21" s="6">
        <v>1075</v>
      </c>
      <c r="C21" s="4">
        <v>3145</v>
      </c>
      <c r="D21" s="15">
        <v>27.446435084438331</v>
      </c>
      <c r="E21">
        <v>1400</v>
      </c>
      <c r="F21">
        <v>24</v>
      </c>
    </row>
    <row r="22" spans="1:6" ht="15.75" customHeight="1" x14ac:dyDescent="0.35">
      <c r="A22" s="3" t="s">
        <v>22</v>
      </c>
      <c r="B22" s="6">
        <v>27041.625</v>
      </c>
      <c r="C22" s="4">
        <v>2179</v>
      </c>
      <c r="D22" s="15">
        <v>27.446435084438331</v>
      </c>
      <c r="E22">
        <v>19850</v>
      </c>
      <c r="F22">
        <v>24</v>
      </c>
    </row>
    <row r="23" spans="1:6" ht="15.75" customHeight="1" x14ac:dyDescent="0.35">
      <c r="A23" s="3" t="s">
        <v>23</v>
      </c>
      <c r="B23" s="6">
        <v>0</v>
      </c>
      <c r="C23" s="4">
        <v>2268</v>
      </c>
      <c r="D23" s="15">
        <v>27.446435084438331</v>
      </c>
      <c r="E23">
        <v>0</v>
      </c>
      <c r="F23">
        <v>24</v>
      </c>
    </row>
    <row r="24" spans="1:6" ht="15.75" customHeight="1" x14ac:dyDescent="0.35">
      <c r="A24" s="3" t="s">
        <v>130</v>
      </c>
      <c r="B24" s="6">
        <v>12333.333333333299</v>
      </c>
      <c r="C24" s="4">
        <v>2268</v>
      </c>
      <c r="D24" s="15">
        <v>27.446435084438331</v>
      </c>
      <c r="E24">
        <v>50000</v>
      </c>
      <c r="F24">
        <v>24</v>
      </c>
    </row>
    <row r="25" spans="1:6" ht="15.75" customHeight="1" x14ac:dyDescent="0.35">
      <c r="A25" s="3" t="s">
        <v>24</v>
      </c>
      <c r="B25" s="6">
        <v>71</v>
      </c>
      <c r="C25" s="4">
        <v>1956</v>
      </c>
      <c r="D25" s="15">
        <v>27.446435084438331</v>
      </c>
      <c r="E25">
        <v>0</v>
      </c>
      <c r="F25">
        <v>24</v>
      </c>
    </row>
    <row r="26" spans="1:6" ht="15.75" customHeight="1" x14ac:dyDescent="0.35">
      <c r="A26" s="3" t="s">
        <v>25</v>
      </c>
      <c r="B26" s="6">
        <v>85</v>
      </c>
      <c r="C26" s="4">
        <v>2218</v>
      </c>
      <c r="D26" s="15">
        <v>27.446435084438331</v>
      </c>
      <c r="E26">
        <v>0</v>
      </c>
      <c r="F26">
        <v>24</v>
      </c>
    </row>
    <row r="27" spans="1:6" ht="15.75" customHeight="1" x14ac:dyDescent="0.35">
      <c r="A27" s="3" t="s">
        <v>131</v>
      </c>
      <c r="B27" s="6">
        <v>6604.1666666666697</v>
      </c>
      <c r="C27" s="4">
        <v>2218</v>
      </c>
      <c r="D27" s="15">
        <v>27.446435084438331</v>
      </c>
      <c r="E27">
        <v>10125</v>
      </c>
      <c r="F27">
        <v>24</v>
      </c>
    </row>
    <row r="28" spans="1:6" ht="15.75" customHeight="1" x14ac:dyDescent="0.35">
      <c r="A28" s="3" t="s">
        <v>26</v>
      </c>
      <c r="B28" s="6">
        <v>88</v>
      </c>
      <c r="C28" s="4">
        <v>2218</v>
      </c>
      <c r="D28" s="15">
        <v>27.446435084438331</v>
      </c>
      <c r="E28">
        <v>0</v>
      </c>
      <c r="F28">
        <v>24</v>
      </c>
    </row>
    <row r="29" spans="1:6" ht="15.75" customHeight="1" x14ac:dyDescent="0.35">
      <c r="A29" s="3" t="s">
        <v>28</v>
      </c>
      <c r="B29" s="6">
        <v>1447.5</v>
      </c>
      <c r="C29" s="4">
        <v>2765</v>
      </c>
      <c r="D29" s="15">
        <v>27.446435084438331</v>
      </c>
      <c r="E29">
        <v>3099</v>
      </c>
      <c r="F29">
        <v>24</v>
      </c>
    </row>
    <row r="30" spans="1:6" ht="15.75" customHeight="1" x14ac:dyDescent="0.35">
      <c r="A30" s="3" t="s">
        <v>29</v>
      </c>
      <c r="B30" s="6">
        <v>12296.8125</v>
      </c>
      <c r="C30" s="4">
        <v>4592</v>
      </c>
      <c r="D30" s="15">
        <v>27.446435084438331</v>
      </c>
      <c r="E30">
        <v>16629</v>
      </c>
      <c r="F30">
        <v>24</v>
      </c>
    </row>
    <row r="31" spans="1:6" ht="15.75" customHeight="1" x14ac:dyDescent="0.35">
      <c r="A31" s="3" t="s">
        <v>30</v>
      </c>
      <c r="B31" s="6">
        <v>23936.3636363636</v>
      </c>
      <c r="C31" s="4">
        <v>2297</v>
      </c>
      <c r="D31" s="15">
        <v>27.446435084438331</v>
      </c>
      <c r="E31">
        <v>18325</v>
      </c>
      <c r="F31">
        <v>24</v>
      </c>
    </row>
    <row r="32" spans="1:6" ht="15.75" customHeight="1" x14ac:dyDescent="0.35">
      <c r="A32" s="3" t="s">
        <v>31</v>
      </c>
      <c r="B32" s="6">
        <v>1779</v>
      </c>
      <c r="C32" s="4">
        <v>2616</v>
      </c>
      <c r="D32" s="15">
        <v>27.446435084438331</v>
      </c>
      <c r="E32">
        <v>1525</v>
      </c>
      <c r="F32">
        <v>24</v>
      </c>
    </row>
    <row r="33" spans="1:6" ht="15.75" customHeight="1" x14ac:dyDescent="0.35">
      <c r="A33" s="3" t="s">
        <v>32</v>
      </c>
      <c r="B33" s="6">
        <v>5650</v>
      </c>
      <c r="C33" s="4">
        <v>2616</v>
      </c>
      <c r="D33" s="15">
        <v>27.446435084438331</v>
      </c>
      <c r="E33">
        <v>1500</v>
      </c>
      <c r="F33">
        <v>24</v>
      </c>
    </row>
    <row r="34" spans="1:6" ht="15.75" customHeight="1" x14ac:dyDescent="0.35">
      <c r="A34" s="3" t="s">
        <v>33</v>
      </c>
      <c r="B34" s="6">
        <v>47391.777777777803</v>
      </c>
      <c r="C34" s="4">
        <v>1968</v>
      </c>
      <c r="D34" s="15">
        <v>27.446435084438331</v>
      </c>
      <c r="E34">
        <v>83025</v>
      </c>
      <c r="F34">
        <v>24</v>
      </c>
    </row>
    <row r="35" spans="1:6" ht="15.75" customHeight="1" x14ac:dyDescent="0.35">
      <c r="A35" s="3" t="s">
        <v>35</v>
      </c>
      <c r="B35" s="6">
        <v>16050.833333333299</v>
      </c>
      <c r="C35" s="4">
        <v>2503</v>
      </c>
      <c r="D35" s="15">
        <v>27.446435084438331</v>
      </c>
      <c r="E35">
        <v>148626</v>
      </c>
      <c r="F35">
        <v>24</v>
      </c>
    </row>
    <row r="36" spans="1:6" ht="15.75" customHeight="1" x14ac:dyDescent="0.35">
      <c r="A36" s="3" t="s">
        <v>36</v>
      </c>
      <c r="B36" s="6">
        <v>311</v>
      </c>
      <c r="C36" s="4">
        <v>2103</v>
      </c>
      <c r="D36" s="15">
        <v>27.446435084438331</v>
      </c>
      <c r="E36">
        <v>0</v>
      </c>
      <c r="F36">
        <v>24</v>
      </c>
    </row>
    <row r="37" spans="1:6" ht="15.75" customHeight="1" x14ac:dyDescent="0.35">
      <c r="A37" s="3" t="s">
        <v>37</v>
      </c>
      <c r="B37" s="6">
        <v>11534.75</v>
      </c>
      <c r="C37" s="4">
        <v>2802</v>
      </c>
      <c r="D37" s="15">
        <v>27.446435084438331</v>
      </c>
      <c r="E37">
        <v>16753</v>
      </c>
      <c r="F37">
        <v>24</v>
      </c>
    </row>
    <row r="38" spans="1:6" ht="15.75" customHeight="1" x14ac:dyDescent="0.35">
      <c r="A38" s="3" t="s">
        <v>149</v>
      </c>
      <c r="B38" s="6">
        <v>11720.714285714301</v>
      </c>
      <c r="C38" s="4">
        <v>2103</v>
      </c>
      <c r="D38" s="15">
        <v>27.446435084438331</v>
      </c>
      <c r="E38">
        <v>10515</v>
      </c>
      <c r="F38">
        <v>24</v>
      </c>
    </row>
    <row r="39" spans="1:6" ht="15.75" customHeight="1" x14ac:dyDescent="0.35">
      <c r="A39" s="3" t="s">
        <v>38</v>
      </c>
      <c r="B39" s="6">
        <v>28455.25</v>
      </c>
      <c r="C39" s="4">
        <v>2126</v>
      </c>
      <c r="D39" s="15">
        <v>27.446435084438331</v>
      </c>
      <c r="E39">
        <v>120000</v>
      </c>
      <c r="F39">
        <v>24</v>
      </c>
    </row>
    <row r="40" spans="1:6" ht="15.75" customHeight="1" x14ac:dyDescent="0.35">
      <c r="A40" s="3" t="s">
        <v>144</v>
      </c>
      <c r="B40" s="6">
        <v>1870</v>
      </c>
      <c r="C40" s="4">
        <v>2514</v>
      </c>
      <c r="D40" s="15">
        <v>27.446435084438331</v>
      </c>
      <c r="E40">
        <v>30</v>
      </c>
      <c r="F40">
        <v>24</v>
      </c>
    </row>
    <row r="41" spans="1:6" ht="15.75" customHeight="1" x14ac:dyDescent="0.35">
      <c r="A41" s="3" t="s">
        <v>40</v>
      </c>
      <c r="B41" s="6">
        <v>413</v>
      </c>
      <c r="C41" s="4">
        <v>1956</v>
      </c>
      <c r="D41" s="15">
        <v>27.446435084438331</v>
      </c>
      <c r="E41">
        <v>0</v>
      </c>
      <c r="F41">
        <v>24</v>
      </c>
    </row>
    <row r="42" spans="1:6" ht="15.75" customHeight="1" x14ac:dyDescent="0.35">
      <c r="A42" s="3" t="s">
        <v>154</v>
      </c>
      <c r="B42" s="6">
        <v>14880</v>
      </c>
      <c r="C42" s="4">
        <v>2514</v>
      </c>
      <c r="D42" s="15">
        <v>27.446435084438331</v>
      </c>
      <c r="E42">
        <v>22035</v>
      </c>
      <c r="F42">
        <v>24</v>
      </c>
    </row>
    <row r="43" spans="1:6" ht="15.75" customHeight="1" x14ac:dyDescent="0.35">
      <c r="A43" s="3" t="s">
        <v>41</v>
      </c>
      <c r="B43" s="6">
        <v>16596</v>
      </c>
      <c r="C43" s="4">
        <v>3391</v>
      </c>
      <c r="D43" s="15">
        <v>27.446435084438331</v>
      </c>
      <c r="E43">
        <v>31307</v>
      </c>
      <c r="F43">
        <v>24</v>
      </c>
    </row>
    <row r="44" spans="1:6" ht="15.75" customHeight="1" x14ac:dyDescent="0.35">
      <c r="A44" s="3" t="s">
        <v>42</v>
      </c>
      <c r="B44" s="6">
        <v>29888</v>
      </c>
      <c r="C44" s="4">
        <v>3549</v>
      </c>
      <c r="D44" s="15">
        <v>27.446435084438331</v>
      </c>
      <c r="E44">
        <v>5600</v>
      </c>
      <c r="F44">
        <v>24</v>
      </c>
    </row>
    <row r="45" spans="1:6" ht="15.75" customHeight="1" x14ac:dyDescent="0.35">
      <c r="A45" s="3" t="s">
        <v>43</v>
      </c>
      <c r="B45" s="6">
        <v>34608.888888888898</v>
      </c>
      <c r="C45" s="4">
        <v>2129</v>
      </c>
      <c r="D45" s="15">
        <v>27.446435084438331</v>
      </c>
      <c r="E45">
        <v>28084</v>
      </c>
      <c r="F45">
        <v>24</v>
      </c>
    </row>
    <row r="46" spans="1:6" ht="15.75" customHeight="1" x14ac:dyDescent="0.35">
      <c r="A46" s="3" t="s">
        <v>44</v>
      </c>
      <c r="B46" s="6">
        <v>9257</v>
      </c>
      <c r="C46" s="4">
        <v>2129</v>
      </c>
      <c r="D46" s="15">
        <v>27.446435084438331</v>
      </c>
      <c r="E46">
        <v>5775</v>
      </c>
      <c r="F46">
        <v>24</v>
      </c>
    </row>
    <row r="47" spans="1:6" ht="15.75" customHeight="1" x14ac:dyDescent="0.35">
      <c r="A47" s="3" t="s">
        <v>45</v>
      </c>
      <c r="B47" s="6">
        <v>781.5</v>
      </c>
      <c r="C47" s="4">
        <v>2131</v>
      </c>
      <c r="D47" s="15">
        <v>27.446435084438331</v>
      </c>
      <c r="E47">
        <v>225</v>
      </c>
      <c r="F47">
        <v>24</v>
      </c>
    </row>
    <row r="48" spans="1:6" ht="15.75" customHeight="1" x14ac:dyDescent="0.35">
      <c r="A48" s="3" t="s">
        <v>46</v>
      </c>
      <c r="B48" s="6">
        <v>2862.6666666666702</v>
      </c>
      <c r="C48" s="4">
        <v>2131</v>
      </c>
      <c r="D48" s="15">
        <v>27.446435084438331</v>
      </c>
      <c r="E48">
        <v>2825</v>
      </c>
      <c r="F48">
        <v>24</v>
      </c>
    </row>
    <row r="49" spans="1:6" ht="15.75" customHeight="1" x14ac:dyDescent="0.35">
      <c r="A49" s="3" t="s">
        <v>47</v>
      </c>
      <c r="B49" s="6">
        <v>53033.133333333302</v>
      </c>
      <c r="C49" s="4">
        <v>2245</v>
      </c>
      <c r="D49" s="15">
        <v>27.446435084438331</v>
      </c>
      <c r="E49">
        <v>34227</v>
      </c>
      <c r="F49">
        <v>24</v>
      </c>
    </row>
    <row r="50" spans="1:6" ht="15.75" customHeight="1" x14ac:dyDescent="0.35">
      <c r="A50" s="3" t="s">
        <v>48</v>
      </c>
      <c r="B50" s="6">
        <v>873</v>
      </c>
      <c r="C50" s="4">
        <v>2121</v>
      </c>
      <c r="D50" s="15">
        <v>27.446435084438331</v>
      </c>
      <c r="E50">
        <v>0</v>
      </c>
      <c r="F50">
        <v>24</v>
      </c>
    </row>
    <row r="51" spans="1:6" ht="15.75" customHeight="1" x14ac:dyDescent="0.35">
      <c r="A51" s="3" t="s">
        <v>150</v>
      </c>
      <c r="B51" s="6">
        <v>30914.583333333303</v>
      </c>
      <c r="C51" s="4">
        <v>2121</v>
      </c>
      <c r="D51" s="15">
        <v>27.446435084438331</v>
      </c>
      <c r="E51">
        <v>48100</v>
      </c>
      <c r="F51">
        <v>24</v>
      </c>
    </row>
    <row r="52" spans="1:6" ht="15.75" customHeight="1" x14ac:dyDescent="0.35">
      <c r="A52" s="3" t="s">
        <v>151</v>
      </c>
      <c r="B52" s="6">
        <v>2137.5</v>
      </c>
      <c r="C52" s="4">
        <v>2121</v>
      </c>
      <c r="D52" s="15">
        <v>27.446435084438331</v>
      </c>
      <c r="E52">
        <v>1550</v>
      </c>
      <c r="F52">
        <v>24</v>
      </c>
    </row>
    <row r="53" spans="1:6" ht="15.75" customHeight="1" x14ac:dyDescent="0.35">
      <c r="A53" s="3" t="s">
        <v>50</v>
      </c>
      <c r="B53" s="6">
        <v>2880</v>
      </c>
      <c r="C53" s="4">
        <v>4592</v>
      </c>
      <c r="D53" s="15">
        <v>27.446435084438331</v>
      </c>
      <c r="E53">
        <v>800</v>
      </c>
      <c r="F53">
        <v>24</v>
      </c>
    </row>
    <row r="54" spans="1:6" ht="15.75" customHeight="1" x14ac:dyDescent="0.35">
      <c r="A54" s="3" t="s">
        <v>51</v>
      </c>
      <c r="B54" s="6">
        <v>10969</v>
      </c>
      <c r="C54" s="4">
        <v>2297</v>
      </c>
      <c r="D54" s="15">
        <v>27.446435084438331</v>
      </c>
      <c r="E54">
        <v>4175</v>
      </c>
      <c r="F54">
        <v>24</v>
      </c>
    </row>
    <row r="55" spans="1:6" ht="15.75" customHeight="1" x14ac:dyDescent="0.35">
      <c r="A55" s="3" t="s">
        <v>52</v>
      </c>
      <c r="B55" s="6">
        <v>3784.5</v>
      </c>
      <c r="C55" s="4">
        <v>4592</v>
      </c>
      <c r="D55" s="15">
        <v>27.446435084438331</v>
      </c>
      <c r="E55">
        <v>419</v>
      </c>
      <c r="F55">
        <v>24</v>
      </c>
    </row>
    <row r="56" spans="1:6" ht="15.75" customHeight="1" x14ac:dyDescent="0.35">
      <c r="A56" s="3" t="s">
        <v>53</v>
      </c>
      <c r="B56" s="6">
        <v>2144.3333333333298</v>
      </c>
      <c r="C56" s="4">
        <v>4592</v>
      </c>
      <c r="D56" s="15">
        <v>27.446435084438331</v>
      </c>
      <c r="E56">
        <v>1707</v>
      </c>
      <c r="F56">
        <v>24</v>
      </c>
    </row>
    <row r="57" spans="1:6" ht="15.75" customHeight="1" x14ac:dyDescent="0.35">
      <c r="A57" s="3" t="s">
        <v>145</v>
      </c>
      <c r="B57" s="6">
        <v>750</v>
      </c>
      <c r="C57" s="4">
        <v>2103</v>
      </c>
      <c r="D57" s="15">
        <v>27.446435084438331</v>
      </c>
      <c r="E57">
        <v>1200</v>
      </c>
      <c r="F57">
        <v>24</v>
      </c>
    </row>
    <row r="58" spans="1:6" ht="15.75" customHeight="1" x14ac:dyDescent="0.35">
      <c r="A58" s="3" t="s">
        <v>55</v>
      </c>
      <c r="B58" s="6">
        <v>13286.666666666701</v>
      </c>
      <c r="C58" s="4">
        <v>2103</v>
      </c>
      <c r="D58" s="15">
        <v>27.446435084438331</v>
      </c>
      <c r="E58">
        <v>5675</v>
      </c>
      <c r="F58">
        <v>24</v>
      </c>
    </row>
    <row r="59" spans="1:6" ht="15.75" customHeight="1" x14ac:dyDescent="0.35">
      <c r="A59" s="3" t="s">
        <v>56</v>
      </c>
      <c r="B59" s="6">
        <v>4049.3333333333298</v>
      </c>
      <c r="C59" s="4">
        <v>4592</v>
      </c>
      <c r="D59" s="15">
        <v>27.446435084438331</v>
      </c>
      <c r="E59">
        <v>726</v>
      </c>
      <c r="F59">
        <v>24</v>
      </c>
    </row>
    <row r="60" spans="1:6" ht="15.75" customHeight="1" x14ac:dyDescent="0.35">
      <c r="A60" s="3" t="s">
        <v>57</v>
      </c>
      <c r="B60" s="6">
        <v>2835</v>
      </c>
      <c r="C60" s="4">
        <v>2297</v>
      </c>
      <c r="D60" s="15">
        <v>27.446435084438331</v>
      </c>
      <c r="E60">
        <v>0</v>
      </c>
      <c r="F60">
        <v>24</v>
      </c>
    </row>
    <row r="61" spans="1:6" ht="15.75" customHeight="1" x14ac:dyDescent="0.35">
      <c r="A61" s="3" t="s">
        <v>58</v>
      </c>
      <c r="B61" s="6">
        <v>2042</v>
      </c>
      <c r="C61" s="4">
        <v>2616</v>
      </c>
      <c r="D61" s="15">
        <v>27.446435084438331</v>
      </c>
      <c r="E61">
        <v>0</v>
      </c>
      <c r="F61">
        <v>24</v>
      </c>
    </row>
    <row r="62" spans="1:6" ht="15.75" customHeight="1" x14ac:dyDescent="0.35">
      <c r="A62" s="3" t="s">
        <v>59</v>
      </c>
      <c r="B62" s="6">
        <v>848</v>
      </c>
      <c r="C62" s="4">
        <v>2616</v>
      </c>
      <c r="D62" s="15">
        <v>27.446435084438331</v>
      </c>
      <c r="E62">
        <v>600</v>
      </c>
      <c r="F62">
        <v>24</v>
      </c>
    </row>
    <row r="63" spans="1:6" ht="15.75" customHeight="1" x14ac:dyDescent="0.35">
      <c r="A63" s="3" t="s">
        <v>61</v>
      </c>
      <c r="B63" s="6">
        <v>4237.1428571428605</v>
      </c>
      <c r="C63" s="4">
        <v>7550</v>
      </c>
      <c r="D63" s="15">
        <v>27.446435084438331</v>
      </c>
      <c r="E63">
        <v>10962</v>
      </c>
      <c r="F63">
        <v>24</v>
      </c>
    </row>
    <row r="64" spans="1:6" ht="15.75" customHeight="1" x14ac:dyDescent="0.35">
      <c r="A64" s="3" t="s">
        <v>158</v>
      </c>
      <c r="B64" s="6">
        <v>13595.2</v>
      </c>
      <c r="C64" s="4">
        <v>7550</v>
      </c>
      <c r="D64" s="15">
        <v>27.446435084438331</v>
      </c>
      <c r="E64">
        <v>4200</v>
      </c>
      <c r="F64">
        <v>24</v>
      </c>
    </row>
    <row r="65" spans="1:6" ht="15.75" customHeight="1" x14ac:dyDescent="0.35">
      <c r="A65" s="3" t="s">
        <v>62</v>
      </c>
      <c r="B65" s="6">
        <v>4289.3333333333303</v>
      </c>
      <c r="C65" s="4">
        <v>4592</v>
      </c>
      <c r="D65" s="15">
        <v>27.446435084438331</v>
      </c>
      <c r="E65">
        <v>3362</v>
      </c>
      <c r="F65">
        <v>24</v>
      </c>
    </row>
    <row r="66" spans="1:6" ht="15.75" customHeight="1" x14ac:dyDescent="0.35">
      <c r="A66" s="3" t="s">
        <v>63</v>
      </c>
      <c r="B66" s="6">
        <v>6815.25</v>
      </c>
      <c r="C66" s="4">
        <v>2297</v>
      </c>
      <c r="D66" s="15">
        <v>27.446435084438331</v>
      </c>
      <c r="E66">
        <v>3575</v>
      </c>
      <c r="F66">
        <v>24</v>
      </c>
    </row>
    <row r="67" spans="1:6" ht="15.75" customHeight="1" x14ac:dyDescent="0.35">
      <c r="A67" s="3" t="s">
        <v>64</v>
      </c>
      <c r="B67" s="6">
        <v>525</v>
      </c>
      <c r="C67" s="4">
        <v>2616</v>
      </c>
      <c r="D67" s="15">
        <v>27.446435084438331</v>
      </c>
      <c r="E67">
        <v>600</v>
      </c>
      <c r="F67">
        <v>24</v>
      </c>
    </row>
    <row r="68" spans="1:6" ht="15.75" customHeight="1" x14ac:dyDescent="0.35">
      <c r="A68" s="3" t="s">
        <v>65</v>
      </c>
      <c r="B68" s="6">
        <v>1031</v>
      </c>
      <c r="C68" s="4">
        <v>2616</v>
      </c>
      <c r="D68" s="15">
        <v>27.446435084438331</v>
      </c>
      <c r="E68">
        <v>712</v>
      </c>
      <c r="F68">
        <v>24</v>
      </c>
    </row>
    <row r="69" spans="1:6" ht="15.75" customHeight="1" x14ac:dyDescent="0.35">
      <c r="A69" s="3" t="s">
        <v>66</v>
      </c>
      <c r="B69" s="6">
        <v>2385</v>
      </c>
      <c r="C69" s="4">
        <v>4592</v>
      </c>
      <c r="D69" s="15">
        <v>27.446435084438331</v>
      </c>
      <c r="E69">
        <v>0</v>
      </c>
      <c r="F69">
        <v>24</v>
      </c>
    </row>
    <row r="70" spans="1:6" ht="15.75" customHeight="1" x14ac:dyDescent="0.35">
      <c r="A70" s="3" t="s">
        <v>67</v>
      </c>
      <c r="B70" s="6">
        <v>9530</v>
      </c>
      <c r="C70" s="4">
        <v>2297</v>
      </c>
      <c r="D70" s="15">
        <v>27.446435084438331</v>
      </c>
      <c r="E70">
        <v>1625</v>
      </c>
      <c r="F70">
        <v>24</v>
      </c>
    </row>
    <row r="71" spans="1:6" ht="15.75" customHeight="1" x14ac:dyDescent="0.35">
      <c r="A71" s="3" t="s">
        <v>68</v>
      </c>
      <c r="B71" s="6">
        <v>1525</v>
      </c>
      <c r="C71" s="4">
        <v>2616</v>
      </c>
      <c r="D71" s="15">
        <v>27.446435084438331</v>
      </c>
      <c r="E71">
        <v>400</v>
      </c>
      <c r="F71">
        <v>24</v>
      </c>
    </row>
    <row r="72" spans="1:6" ht="15.75" customHeight="1" x14ac:dyDescent="0.35">
      <c r="A72" s="3" t="s">
        <v>69</v>
      </c>
      <c r="B72" s="6">
        <v>1997.3333333333301</v>
      </c>
      <c r="C72" s="4">
        <v>1419</v>
      </c>
      <c r="D72" s="15">
        <v>27.446435084438331</v>
      </c>
      <c r="E72">
        <v>850</v>
      </c>
      <c r="F72">
        <v>24</v>
      </c>
    </row>
    <row r="73" spans="1:6" ht="15.75" customHeight="1" x14ac:dyDescent="0.35">
      <c r="A73" s="3" t="s">
        <v>70</v>
      </c>
      <c r="B73" s="6">
        <v>14177.7</v>
      </c>
      <c r="C73" s="4">
        <v>1968</v>
      </c>
      <c r="D73" s="15">
        <v>27.446435084438331</v>
      </c>
      <c r="E73">
        <v>27635</v>
      </c>
      <c r="F73">
        <v>24</v>
      </c>
    </row>
    <row r="74" spans="1:6" ht="15.75" customHeight="1" x14ac:dyDescent="0.35">
      <c r="A74" s="3" t="s">
        <v>73</v>
      </c>
      <c r="B74" s="6">
        <v>15165</v>
      </c>
      <c r="C74" s="4">
        <v>1968</v>
      </c>
      <c r="D74" s="15">
        <v>27.446435084438331</v>
      </c>
      <c r="E74">
        <v>20425</v>
      </c>
      <c r="F74">
        <v>24</v>
      </c>
    </row>
    <row r="75" spans="1:6" ht="15.75" customHeight="1" x14ac:dyDescent="0.35">
      <c r="A75" s="3" t="s">
        <v>146</v>
      </c>
      <c r="B75" s="6">
        <v>12867.714285714301</v>
      </c>
      <c r="C75" s="4">
        <v>2157</v>
      </c>
      <c r="D75" s="15">
        <v>27.446435084438331</v>
      </c>
      <c r="E75">
        <v>12311</v>
      </c>
      <c r="F75">
        <v>24</v>
      </c>
    </row>
    <row r="76" spans="1:6" ht="15.75" customHeight="1" x14ac:dyDescent="0.35">
      <c r="A76" s="3" t="s">
        <v>75</v>
      </c>
      <c r="B76" s="6">
        <v>7839.6923076923104</v>
      </c>
      <c r="C76" s="4">
        <v>2031</v>
      </c>
      <c r="D76" s="15">
        <v>27.446435084438331</v>
      </c>
      <c r="E76">
        <v>12465</v>
      </c>
      <c r="F76">
        <v>24</v>
      </c>
    </row>
    <row r="77" spans="1:6" ht="15.75" customHeight="1" x14ac:dyDescent="0.35">
      <c r="A77" s="3" t="s">
        <v>76</v>
      </c>
      <c r="B77" s="6">
        <v>6875.1</v>
      </c>
      <c r="C77" s="4">
        <v>2031</v>
      </c>
      <c r="D77" s="15">
        <v>27.446435084438331</v>
      </c>
      <c r="E77">
        <v>10600</v>
      </c>
      <c r="F77">
        <v>24</v>
      </c>
    </row>
    <row r="78" spans="1:6" ht="15.75" customHeight="1" x14ac:dyDescent="0.35">
      <c r="A78" s="3" t="s">
        <v>77</v>
      </c>
      <c r="B78" s="6">
        <v>1530</v>
      </c>
      <c r="C78" s="4">
        <v>2642</v>
      </c>
      <c r="D78" s="15">
        <v>27.446435084438331</v>
      </c>
      <c r="E78">
        <v>1075</v>
      </c>
      <c r="F78">
        <v>24</v>
      </c>
    </row>
    <row r="79" spans="1:6" ht="15.75" customHeight="1" x14ac:dyDescent="0.35">
      <c r="A79" s="3" t="s">
        <v>78</v>
      </c>
      <c r="B79" s="6">
        <v>1100</v>
      </c>
      <c r="C79" s="4">
        <v>2642</v>
      </c>
      <c r="D79" s="15">
        <v>27.446435084438331</v>
      </c>
      <c r="E79">
        <v>1550</v>
      </c>
      <c r="F79">
        <v>24</v>
      </c>
    </row>
    <row r="80" spans="1:6" ht="15.75" customHeight="1" x14ac:dyDescent="0.35">
      <c r="A80" s="3" t="s">
        <v>79</v>
      </c>
      <c r="B80" s="6">
        <v>450</v>
      </c>
      <c r="C80" s="4">
        <v>2488</v>
      </c>
      <c r="D80" s="15">
        <v>27.446435084438331</v>
      </c>
      <c r="E80">
        <v>0</v>
      </c>
      <c r="F80">
        <v>24</v>
      </c>
    </row>
    <row r="81" spans="1:6" ht="15.75" customHeight="1" x14ac:dyDescent="0.35">
      <c r="A81" s="3" t="s">
        <v>80</v>
      </c>
      <c r="B81" s="6">
        <v>4870</v>
      </c>
      <c r="C81" s="4">
        <v>2431</v>
      </c>
      <c r="D81" s="15">
        <v>27.446435084438331</v>
      </c>
      <c r="E81">
        <v>2300</v>
      </c>
      <c r="F81">
        <v>24</v>
      </c>
    </row>
    <row r="82" spans="1:6" ht="15.75" customHeight="1" x14ac:dyDescent="0.35">
      <c r="A82" s="3" t="s">
        <v>81</v>
      </c>
      <c r="B82" s="6">
        <v>3836.8571428571404</v>
      </c>
      <c r="C82" s="4">
        <v>4592</v>
      </c>
      <c r="D82" s="15">
        <v>27.446435084438331</v>
      </c>
      <c r="E82">
        <v>4000</v>
      </c>
      <c r="F82">
        <v>24</v>
      </c>
    </row>
    <row r="83" spans="1:6" ht="15.75" customHeight="1" x14ac:dyDescent="0.35">
      <c r="A83" s="3" t="s">
        <v>82</v>
      </c>
      <c r="B83" s="6">
        <v>2350</v>
      </c>
      <c r="C83" s="4">
        <v>2297</v>
      </c>
      <c r="D83" s="15">
        <v>27.446435084438331</v>
      </c>
      <c r="E83">
        <v>250</v>
      </c>
      <c r="F83">
        <v>24</v>
      </c>
    </row>
    <row r="84" spans="1:6" ht="15.75" customHeight="1" x14ac:dyDescent="0.35">
      <c r="A84" s="3" t="s">
        <v>83</v>
      </c>
      <c r="B84" s="6">
        <v>2387.5</v>
      </c>
      <c r="C84" s="4">
        <v>2616</v>
      </c>
      <c r="D84" s="15">
        <v>27.446435084438331</v>
      </c>
      <c r="E84">
        <v>125</v>
      </c>
      <c r="F84">
        <v>24</v>
      </c>
    </row>
    <row r="85" spans="1:6" ht="15.75" customHeight="1" x14ac:dyDescent="0.35">
      <c r="A85" s="3" t="s">
        <v>84</v>
      </c>
      <c r="B85" s="6">
        <v>9142.9</v>
      </c>
      <c r="C85" s="4">
        <v>1419</v>
      </c>
      <c r="D85" s="15">
        <v>27.446435084438331</v>
      </c>
      <c r="E85">
        <v>10619</v>
      </c>
      <c r="F85">
        <v>24</v>
      </c>
    </row>
    <row r="86" spans="1:6" ht="15.75" customHeight="1" x14ac:dyDescent="0.35">
      <c r="A86" s="3" t="s">
        <v>85</v>
      </c>
      <c r="B86" s="6">
        <v>3394</v>
      </c>
      <c r="C86" s="4">
        <v>2616</v>
      </c>
      <c r="D86" s="15">
        <v>27.446435084438331</v>
      </c>
      <c r="E86">
        <v>300</v>
      </c>
      <c r="F86">
        <v>24</v>
      </c>
    </row>
    <row r="87" spans="1:6" ht="15.75" customHeight="1" x14ac:dyDescent="0.35">
      <c r="A87" s="3" t="s">
        <v>86</v>
      </c>
      <c r="B87" s="6">
        <v>3750.25</v>
      </c>
      <c r="C87" s="4">
        <v>2246</v>
      </c>
      <c r="D87" s="15">
        <v>27.446435084438331</v>
      </c>
      <c r="E87">
        <v>10245</v>
      </c>
      <c r="F87">
        <v>24</v>
      </c>
    </row>
    <row r="88" spans="1:6" ht="15.75" customHeight="1" x14ac:dyDescent="0.35">
      <c r="A88" s="3" t="s">
        <v>87</v>
      </c>
      <c r="B88" s="6">
        <v>6972</v>
      </c>
      <c r="C88" s="4">
        <v>2355</v>
      </c>
      <c r="D88" s="15">
        <v>27.446435084438331</v>
      </c>
      <c r="E88">
        <v>1250</v>
      </c>
      <c r="F88">
        <v>24</v>
      </c>
    </row>
    <row r="89" spans="1:6" ht="15.75" customHeight="1" x14ac:dyDescent="0.35">
      <c r="A89" s="3" t="s">
        <v>88</v>
      </c>
      <c r="B89" s="6">
        <v>7632.6666666666697</v>
      </c>
      <c r="C89" s="4">
        <v>2031</v>
      </c>
      <c r="D89" s="15">
        <v>27.446435084438331</v>
      </c>
      <c r="E89">
        <v>7750</v>
      </c>
      <c r="F89">
        <v>24</v>
      </c>
    </row>
    <row r="90" spans="1:6" ht="15.75" customHeight="1" x14ac:dyDescent="0.35">
      <c r="A90" s="3" t="s">
        <v>89</v>
      </c>
      <c r="B90" s="6">
        <v>3690.625</v>
      </c>
      <c r="C90" s="4">
        <v>2108</v>
      </c>
      <c r="D90" s="15">
        <v>27.446435084438331</v>
      </c>
      <c r="E90">
        <v>10300</v>
      </c>
      <c r="F90">
        <v>24</v>
      </c>
    </row>
    <row r="91" spans="1:6" ht="15.75" customHeight="1" x14ac:dyDescent="0.35">
      <c r="A91" s="3" t="s">
        <v>90</v>
      </c>
      <c r="B91" s="6">
        <v>2075</v>
      </c>
      <c r="C91" s="4">
        <v>2173</v>
      </c>
      <c r="D91" s="15">
        <v>27.446435084438331</v>
      </c>
      <c r="E91">
        <v>1000</v>
      </c>
      <c r="F91">
        <v>24</v>
      </c>
    </row>
    <row r="92" spans="1:6" ht="15.75" customHeight="1" x14ac:dyDescent="0.35">
      <c r="A92" s="3" t="s">
        <v>94</v>
      </c>
      <c r="B92" s="6">
        <v>2825</v>
      </c>
      <c r="C92" s="4">
        <v>2503</v>
      </c>
      <c r="D92" s="15">
        <v>27.446435084438331</v>
      </c>
      <c r="E92">
        <v>2596</v>
      </c>
      <c r="F92">
        <v>24</v>
      </c>
    </row>
    <row r="93" spans="1:6" ht="15.75" customHeight="1" x14ac:dyDescent="0.35">
      <c r="A93" s="3" t="s">
        <v>95</v>
      </c>
      <c r="B93" s="6">
        <v>2350</v>
      </c>
      <c r="C93" s="4">
        <v>2355</v>
      </c>
      <c r="D93" s="15">
        <v>27.446435084438331</v>
      </c>
      <c r="E93">
        <v>4175</v>
      </c>
      <c r="F93">
        <v>24</v>
      </c>
    </row>
    <row r="94" spans="1:6" ht="15.75" customHeight="1" x14ac:dyDescent="0.35">
      <c r="A94" s="3" t="s">
        <v>96</v>
      </c>
      <c r="B94" s="6">
        <v>1694.8333333333301</v>
      </c>
      <c r="C94" s="4">
        <v>2216</v>
      </c>
      <c r="D94" s="15">
        <v>27.446435084438331</v>
      </c>
      <c r="E94">
        <v>3159</v>
      </c>
      <c r="F94">
        <v>24</v>
      </c>
    </row>
    <row r="95" spans="1:6" ht="15.75" customHeight="1" x14ac:dyDescent="0.35">
      <c r="A95" s="3" t="s">
        <v>97</v>
      </c>
      <c r="B95" s="6">
        <v>1337.5</v>
      </c>
      <c r="C95" s="4">
        <v>1968</v>
      </c>
      <c r="D95" s="15">
        <v>27.446435084438331</v>
      </c>
      <c r="E95">
        <v>3425</v>
      </c>
      <c r="F95">
        <v>24</v>
      </c>
    </row>
    <row r="96" spans="1:6" ht="15.75" customHeight="1" x14ac:dyDescent="0.35">
      <c r="A96" s="3" t="s">
        <v>147</v>
      </c>
      <c r="B96" s="6">
        <v>3425</v>
      </c>
      <c r="C96" s="4">
        <v>2297</v>
      </c>
      <c r="D96" s="15">
        <v>27.446435084438331</v>
      </c>
      <c r="E96">
        <v>2750</v>
      </c>
      <c r="F96">
        <v>24</v>
      </c>
    </row>
    <row r="97" spans="1:6" ht="15.75" customHeight="1" x14ac:dyDescent="0.35">
      <c r="A97" s="3" t="s">
        <v>148</v>
      </c>
      <c r="B97" s="6">
        <v>2500</v>
      </c>
      <c r="C97" s="4">
        <v>2616</v>
      </c>
      <c r="D97" s="15">
        <v>27.446435084438331</v>
      </c>
      <c r="E97">
        <v>0</v>
      </c>
      <c r="F97">
        <v>24</v>
      </c>
    </row>
    <row r="98" spans="1:6" ht="15.75" customHeight="1" x14ac:dyDescent="0.35">
      <c r="A98" s="3" t="s">
        <v>101</v>
      </c>
      <c r="B98" s="6">
        <v>1654</v>
      </c>
      <c r="C98" s="4">
        <v>2355</v>
      </c>
      <c r="D98" s="15">
        <v>27.446435084438331</v>
      </c>
      <c r="E98">
        <v>850</v>
      </c>
      <c r="F98">
        <v>24</v>
      </c>
    </row>
    <row r="99" spans="1:6" ht="15.75" customHeight="1" x14ac:dyDescent="0.35">
      <c r="A99" s="3" t="s">
        <v>102</v>
      </c>
      <c r="B99" s="6">
        <v>1700</v>
      </c>
      <c r="C99" s="4">
        <v>2372</v>
      </c>
      <c r="D99" s="15">
        <v>27.446435084438331</v>
      </c>
      <c r="E99">
        <v>200</v>
      </c>
      <c r="F99">
        <v>24</v>
      </c>
    </row>
    <row r="100" spans="1:6" ht="15.75" customHeight="1" x14ac:dyDescent="0.35">
      <c r="A100" s="3" t="s">
        <v>103</v>
      </c>
      <c r="B100" s="6">
        <v>1350</v>
      </c>
      <c r="C100" s="4">
        <v>3482</v>
      </c>
      <c r="D100" s="15">
        <v>27.446435084438331</v>
      </c>
      <c r="E100">
        <v>775</v>
      </c>
      <c r="F100">
        <v>24</v>
      </c>
    </row>
    <row r="101" spans="1:6" ht="15.75" customHeight="1" x14ac:dyDescent="0.35">
      <c r="A101" s="3" t="s">
        <v>104</v>
      </c>
      <c r="B101" s="6">
        <v>2400</v>
      </c>
      <c r="C101" s="4">
        <v>2555</v>
      </c>
      <c r="D101" s="15">
        <v>27.446435084438331</v>
      </c>
      <c r="E101">
        <v>700</v>
      </c>
      <c r="F101">
        <v>24</v>
      </c>
    </row>
    <row r="102" spans="1:6" ht="15.75" customHeight="1" x14ac:dyDescent="0.35">
      <c r="A102" s="3" t="s">
        <v>105</v>
      </c>
      <c r="B102" s="6">
        <v>939</v>
      </c>
      <c r="C102" s="4">
        <v>3665</v>
      </c>
      <c r="D102" s="15">
        <v>27.446435084438331</v>
      </c>
      <c r="E102">
        <v>1400</v>
      </c>
      <c r="F102">
        <v>24</v>
      </c>
    </row>
    <row r="103" spans="1:6" ht="15.75" customHeight="1" x14ac:dyDescent="0.35">
      <c r="A103" s="3" t="s">
        <v>106</v>
      </c>
      <c r="B103" s="6">
        <v>1522</v>
      </c>
      <c r="C103" s="4">
        <v>1904</v>
      </c>
      <c r="D103" s="15">
        <v>27.446435084438331</v>
      </c>
      <c r="E103">
        <v>0</v>
      </c>
      <c r="F103">
        <v>24</v>
      </c>
    </row>
    <row r="104" spans="1:6" ht="15.75" customHeight="1" x14ac:dyDescent="0.35">
      <c r="A104" s="3" t="s">
        <v>107</v>
      </c>
      <c r="B104" s="6">
        <v>3400</v>
      </c>
      <c r="C104" s="4">
        <v>994</v>
      </c>
      <c r="D104" s="15">
        <v>27.446435084438331</v>
      </c>
      <c r="E104">
        <v>0</v>
      </c>
      <c r="F104">
        <v>24</v>
      </c>
    </row>
    <row r="105" spans="1:6" ht="15.75" customHeight="1" x14ac:dyDescent="0.35">
      <c r="A105" s="3" t="s">
        <v>108</v>
      </c>
      <c r="B105" s="6">
        <v>1250</v>
      </c>
      <c r="C105" s="4">
        <v>994</v>
      </c>
      <c r="D105" s="15">
        <v>27.446435084438331</v>
      </c>
      <c r="E105">
        <v>2425</v>
      </c>
      <c r="F105">
        <v>24</v>
      </c>
    </row>
    <row r="106" spans="1:6" ht="15.75" customHeight="1" x14ac:dyDescent="0.35">
      <c r="A106" s="3" t="s">
        <v>109</v>
      </c>
      <c r="B106" s="6">
        <v>1295</v>
      </c>
      <c r="C106" s="4">
        <v>3489</v>
      </c>
      <c r="D106" s="15">
        <v>27.446435084438331</v>
      </c>
      <c r="E106">
        <v>650</v>
      </c>
      <c r="F106">
        <v>24</v>
      </c>
    </row>
    <row r="107" spans="1:6" ht="15.75" customHeight="1" x14ac:dyDescent="0.35">
      <c r="A107" s="3" t="s">
        <v>132</v>
      </c>
      <c r="B107" s="6">
        <v>750</v>
      </c>
      <c r="C107" s="4">
        <v>3162</v>
      </c>
      <c r="D107" s="15">
        <v>27.446435084438331</v>
      </c>
      <c r="E107">
        <v>100</v>
      </c>
      <c r="F107">
        <v>24</v>
      </c>
    </row>
    <row r="108" spans="1:6" ht="15.75" customHeight="1" x14ac:dyDescent="0.35">
      <c r="A108" s="3" t="s">
        <v>133</v>
      </c>
      <c r="B108" s="6">
        <v>3620.6</v>
      </c>
      <c r="C108" s="4">
        <v>3567</v>
      </c>
      <c r="D108" s="15">
        <v>27.446435084438331</v>
      </c>
      <c r="E108">
        <v>875</v>
      </c>
      <c r="F108">
        <v>24</v>
      </c>
    </row>
    <row r="109" spans="1:6" ht="15.75" customHeight="1" x14ac:dyDescent="0.35">
      <c r="A109" s="3" t="s">
        <v>134</v>
      </c>
      <c r="B109" s="6">
        <v>925</v>
      </c>
      <c r="C109" s="4">
        <v>3850</v>
      </c>
      <c r="D109" s="15">
        <v>27.446435084438331</v>
      </c>
      <c r="E109">
        <v>75</v>
      </c>
      <c r="F109">
        <v>24</v>
      </c>
    </row>
    <row r="110" spans="1:6" ht="15.75" customHeight="1" x14ac:dyDescent="0.35">
      <c r="A110" s="3" t="s">
        <v>135</v>
      </c>
      <c r="B110" s="6">
        <v>1500</v>
      </c>
      <c r="C110" s="4">
        <v>1402</v>
      </c>
      <c r="D110" s="15">
        <v>27.446435084438331</v>
      </c>
      <c r="E110">
        <v>0</v>
      </c>
      <c r="F110">
        <v>24</v>
      </c>
    </row>
    <row r="111" spans="1:6" ht="15.75" customHeight="1" x14ac:dyDescent="0.35">
      <c r="A111" s="3" t="s">
        <v>111</v>
      </c>
      <c r="B111" s="6">
        <v>7996.1538461538494</v>
      </c>
      <c r="C111" s="4">
        <v>6112</v>
      </c>
      <c r="D111" s="15">
        <v>27.446435084438331</v>
      </c>
      <c r="E111">
        <v>8050</v>
      </c>
      <c r="F111">
        <v>24</v>
      </c>
    </row>
    <row r="112" spans="1:6" ht="15.75" customHeight="1" x14ac:dyDescent="0.35">
      <c r="A112" s="3" t="s">
        <v>112</v>
      </c>
      <c r="B112" s="6">
        <v>822</v>
      </c>
      <c r="C112" s="4">
        <v>2392</v>
      </c>
      <c r="D112" s="15">
        <v>27.446435084438331</v>
      </c>
      <c r="E112">
        <v>1400</v>
      </c>
      <c r="F112">
        <v>24</v>
      </c>
    </row>
    <row r="113" spans="1:6" ht="15.75" customHeight="1" x14ac:dyDescent="0.35">
      <c r="A113" s="3" t="s">
        <v>113</v>
      </c>
      <c r="B113" s="6">
        <v>24</v>
      </c>
      <c r="C113" s="4">
        <v>2651</v>
      </c>
      <c r="D113" s="15">
        <v>27.446435084438331</v>
      </c>
      <c r="E113">
        <v>0</v>
      </c>
      <c r="F113">
        <v>24</v>
      </c>
    </row>
    <row r="114" spans="1:6" ht="15.75" customHeight="1" x14ac:dyDescent="0.35">
      <c r="A114" s="3" t="s">
        <v>159</v>
      </c>
      <c r="B114" s="6">
        <v>1020</v>
      </c>
      <c r="C114" s="4">
        <v>2651</v>
      </c>
      <c r="D114" s="15">
        <v>27.446435084438331</v>
      </c>
      <c r="E114">
        <v>0</v>
      </c>
      <c r="F114">
        <v>24</v>
      </c>
    </row>
    <row r="115" spans="1:6" ht="15.75" customHeight="1" x14ac:dyDescent="0.35">
      <c r="A115" s="3" t="s">
        <v>114</v>
      </c>
      <c r="B115" s="6">
        <v>1197</v>
      </c>
      <c r="C115" s="4">
        <v>4343</v>
      </c>
      <c r="D115" s="15">
        <v>27.446435084438331</v>
      </c>
      <c r="E115">
        <v>590</v>
      </c>
      <c r="F115">
        <v>24</v>
      </c>
    </row>
    <row r="116" spans="1:6" ht="15.75" customHeight="1" x14ac:dyDescent="0.35">
      <c r="A116" s="3" t="s">
        <v>115</v>
      </c>
      <c r="B116" s="6">
        <v>1334.6666666666702</v>
      </c>
      <c r="C116" s="4">
        <v>2970</v>
      </c>
      <c r="D116" s="15">
        <v>27.446435084438331</v>
      </c>
      <c r="E116">
        <v>750</v>
      </c>
      <c r="F116">
        <v>24</v>
      </c>
    </row>
    <row r="117" spans="1:6" ht="15.75" customHeight="1" x14ac:dyDescent="0.35">
      <c r="A117" s="3" t="s">
        <v>152</v>
      </c>
      <c r="B117" s="6">
        <v>2008.1666666666702</v>
      </c>
      <c r="C117" s="4">
        <v>2970</v>
      </c>
      <c r="D117" s="15">
        <v>27.446435084438331</v>
      </c>
      <c r="E117">
        <v>1105</v>
      </c>
      <c r="F117">
        <v>24</v>
      </c>
    </row>
    <row r="118" spans="1:6" ht="15.75" customHeight="1" x14ac:dyDescent="0.35">
      <c r="A118" s="3" t="s">
        <v>117</v>
      </c>
      <c r="B118" s="6">
        <v>755</v>
      </c>
      <c r="C118" s="4">
        <v>2607</v>
      </c>
      <c r="D118" s="15">
        <v>27.446435084438331</v>
      </c>
      <c r="E118">
        <v>100</v>
      </c>
      <c r="F118">
        <v>24</v>
      </c>
    </row>
    <row r="119" spans="1:6" ht="15.75" customHeight="1" x14ac:dyDescent="0.35">
      <c r="A119" s="3" t="s">
        <v>118</v>
      </c>
      <c r="B119" s="6">
        <v>807.88888888888903</v>
      </c>
      <c r="C119" s="4">
        <v>1928</v>
      </c>
      <c r="D119" s="15">
        <v>27.446435084438331</v>
      </c>
      <c r="E119">
        <v>2703</v>
      </c>
      <c r="F119">
        <v>24</v>
      </c>
    </row>
    <row r="120" spans="1:6" ht="15.75" customHeight="1" x14ac:dyDescent="0.35">
      <c r="A120" s="3" t="s">
        <v>119</v>
      </c>
      <c r="B120" s="6">
        <v>15377.5</v>
      </c>
      <c r="C120" s="4">
        <v>2129</v>
      </c>
      <c r="D120" s="15">
        <v>27.446435084438331</v>
      </c>
      <c r="E120">
        <v>11215</v>
      </c>
      <c r="F120">
        <v>24</v>
      </c>
    </row>
    <row r="121" spans="1:6" ht="15.75" customHeight="1" x14ac:dyDescent="0.35">
      <c r="A121" s="3" t="s">
        <v>120</v>
      </c>
      <c r="B121" s="6">
        <v>25957</v>
      </c>
      <c r="C121" s="4">
        <v>2177</v>
      </c>
      <c r="D121" s="15">
        <v>27.446435084438331</v>
      </c>
      <c r="E121">
        <v>1500</v>
      </c>
      <c r="F121">
        <v>24</v>
      </c>
    </row>
    <row r="122" spans="1:6" ht="15.75" customHeight="1" x14ac:dyDescent="0.35">
      <c r="A122" s="3" t="s">
        <v>121</v>
      </c>
      <c r="B122" s="6">
        <v>11276.8181818182</v>
      </c>
      <c r="C122" s="4">
        <v>2177</v>
      </c>
      <c r="D122" s="15">
        <v>27.446435084438331</v>
      </c>
      <c r="E122">
        <v>32795</v>
      </c>
      <c r="F122">
        <v>24</v>
      </c>
    </row>
    <row r="123" spans="1:6" ht="15.75" customHeight="1" x14ac:dyDescent="0.35">
      <c r="A123" s="3" t="s">
        <v>122</v>
      </c>
      <c r="B123" s="6">
        <v>11638</v>
      </c>
      <c r="C123" s="4">
        <v>2177</v>
      </c>
      <c r="D123" s="15">
        <v>27.446435084438331</v>
      </c>
      <c r="E123">
        <v>13615</v>
      </c>
      <c r="F123">
        <v>24</v>
      </c>
    </row>
    <row r="124" spans="1:6" ht="15.75" customHeight="1" x14ac:dyDescent="0.35">
      <c r="A124" s="3" t="s">
        <v>123</v>
      </c>
      <c r="B124" s="6">
        <v>3605.6153846153802</v>
      </c>
      <c r="C124" s="4">
        <v>1948</v>
      </c>
      <c r="D124" s="15">
        <v>27.446435084438331</v>
      </c>
      <c r="E124">
        <v>18827</v>
      </c>
      <c r="F124">
        <v>24</v>
      </c>
    </row>
    <row r="125" spans="1:6" ht="15.75" customHeight="1" x14ac:dyDescent="0.35">
      <c r="A125" s="3" t="s">
        <v>124</v>
      </c>
      <c r="B125" s="6">
        <v>8113</v>
      </c>
      <c r="C125" s="4">
        <v>1989</v>
      </c>
      <c r="D125" s="15">
        <v>27.446435084438331</v>
      </c>
      <c r="E125">
        <v>0</v>
      </c>
      <c r="F125">
        <v>24</v>
      </c>
    </row>
    <row r="126" spans="1:6" ht="15.75" customHeight="1" x14ac:dyDescent="0.35">
      <c r="A126" s="3" t="s">
        <v>125</v>
      </c>
      <c r="B126" s="6">
        <v>17065</v>
      </c>
      <c r="C126" s="4">
        <v>2181</v>
      </c>
      <c r="D126" s="15">
        <v>27.446435084438331</v>
      </c>
      <c r="E126">
        <v>1560</v>
      </c>
      <c r="F126">
        <v>24</v>
      </c>
    </row>
    <row r="127" spans="1:6" ht="15.75" customHeight="1" x14ac:dyDescent="0.35">
      <c r="A127" s="3" t="s">
        <v>136</v>
      </c>
      <c r="B127" s="6">
        <v>7975</v>
      </c>
      <c r="C127" s="4">
        <v>2181</v>
      </c>
      <c r="D127" s="15">
        <v>27.446435084438331</v>
      </c>
      <c r="E127">
        <v>6650</v>
      </c>
      <c r="F127">
        <v>24</v>
      </c>
    </row>
    <row r="128" spans="1:6" ht="15.75" customHeight="1" x14ac:dyDescent="0.35">
      <c r="A128" s="3" t="s">
        <v>137</v>
      </c>
      <c r="B128" s="6">
        <v>19752</v>
      </c>
      <c r="C128" s="4">
        <v>2181</v>
      </c>
      <c r="D128" s="15">
        <v>27.446435084438331</v>
      </c>
      <c r="E128">
        <v>4</v>
      </c>
      <c r="F128">
        <v>24</v>
      </c>
    </row>
    <row r="129" spans="1:6" ht="15.75" customHeight="1" x14ac:dyDescent="0.35">
      <c r="A129" s="3" t="s">
        <v>128</v>
      </c>
      <c r="B129" s="6">
        <v>27681.913043478296</v>
      </c>
      <c r="C129" s="4">
        <v>2355</v>
      </c>
      <c r="D129" s="15">
        <v>27.446435084438331</v>
      </c>
      <c r="E129">
        <v>64085</v>
      </c>
      <c r="F129">
        <v>24</v>
      </c>
    </row>
    <row r="130" spans="1:6" ht="15.75" customHeight="1" x14ac:dyDescent="0.35">
      <c r="A130" s="3" t="s">
        <v>138</v>
      </c>
      <c r="B130" s="6">
        <v>7803.6666666666697</v>
      </c>
      <c r="C130" s="4">
        <v>2021</v>
      </c>
      <c r="D130" s="15">
        <v>27.446435084438331</v>
      </c>
      <c r="E130">
        <v>5835</v>
      </c>
      <c r="F130">
        <v>24</v>
      </c>
    </row>
    <row r="131" spans="1:6" ht="15.75" customHeight="1" x14ac:dyDescent="0.35">
      <c r="A131" s="3" t="s">
        <v>139</v>
      </c>
      <c r="B131" s="6">
        <v>9204.6666666666697</v>
      </c>
      <c r="C131" s="4">
        <v>2021</v>
      </c>
      <c r="D131" s="15">
        <v>27.446435084438331</v>
      </c>
      <c r="E131">
        <v>7775</v>
      </c>
      <c r="F131">
        <v>24</v>
      </c>
    </row>
    <row r="132" spans="1:6" ht="15.75" customHeight="1" x14ac:dyDescent="0.35">
      <c r="A132" s="3" t="s">
        <v>140</v>
      </c>
      <c r="B132" s="6">
        <v>9629</v>
      </c>
      <c r="C132" s="4">
        <v>2021</v>
      </c>
      <c r="D132" s="15">
        <v>27.446435084438331</v>
      </c>
      <c r="E132">
        <v>2785</v>
      </c>
      <c r="F132">
        <v>24</v>
      </c>
    </row>
    <row r="133" spans="1:6" ht="15.75" customHeight="1" x14ac:dyDescent="0.35">
      <c r="A133" s="3" t="s">
        <v>141</v>
      </c>
      <c r="B133" s="6">
        <v>4714.285714285711</v>
      </c>
      <c r="C133" s="4">
        <v>2846</v>
      </c>
      <c r="D133" s="15">
        <v>27.446435084438331</v>
      </c>
      <c r="E133">
        <v>15000</v>
      </c>
      <c r="F133">
        <v>24</v>
      </c>
    </row>
    <row r="134" spans="1:6" ht="15.75" customHeight="1" x14ac:dyDescent="0.35">
      <c r="A134" s="3" t="s">
        <v>155</v>
      </c>
      <c r="B134" s="6">
        <v>5061.3333333333303</v>
      </c>
      <c r="C134" s="4">
        <v>7550</v>
      </c>
      <c r="D134" s="15">
        <v>27.446435084438331</v>
      </c>
      <c r="E134">
        <v>8940</v>
      </c>
      <c r="F134">
        <v>24</v>
      </c>
    </row>
    <row r="135" spans="1:6" ht="15.75" customHeight="1" x14ac:dyDescent="0.35">
      <c r="A135" s="3" t="s">
        <v>156</v>
      </c>
      <c r="B135" s="6">
        <v>3818.3333333333298</v>
      </c>
      <c r="C135" s="4">
        <v>7550</v>
      </c>
      <c r="D135" s="15">
        <v>27.446435084438331</v>
      </c>
      <c r="E135">
        <v>3650</v>
      </c>
      <c r="F135">
        <v>24</v>
      </c>
    </row>
    <row r="136" spans="1:6" ht="15.75" customHeight="1" x14ac:dyDescent="0.35">
      <c r="A136" s="3" t="s">
        <v>143</v>
      </c>
      <c r="B136" s="6">
        <v>200</v>
      </c>
      <c r="C136" s="4">
        <v>2658</v>
      </c>
      <c r="D136" s="15">
        <v>27.446435084438331</v>
      </c>
      <c r="E136">
        <v>1000</v>
      </c>
      <c r="F136">
        <v>24</v>
      </c>
    </row>
    <row r="137" spans="1:6" ht="15.75" customHeight="1" x14ac:dyDescent="0.35">
      <c r="A137" s="3" t="s">
        <v>153</v>
      </c>
      <c r="B137" s="6">
        <v>25642.5</v>
      </c>
      <c r="C137" s="4">
        <v>2846</v>
      </c>
      <c r="D137" s="15">
        <v>27.446435084438331</v>
      </c>
      <c r="E137">
        <v>0</v>
      </c>
      <c r="F137">
        <v>24</v>
      </c>
    </row>
    <row r="138" spans="1:6" ht="15.75" customHeight="1" x14ac:dyDescent="0.35">
      <c r="A138" s="3" t="s">
        <v>157</v>
      </c>
      <c r="B138" s="6">
        <v>1000</v>
      </c>
      <c r="C138" s="4">
        <v>994</v>
      </c>
      <c r="D138" s="15">
        <v>27.446435084438331</v>
      </c>
      <c r="E138">
        <v>0</v>
      </c>
      <c r="F138">
        <v>24</v>
      </c>
    </row>
    <row r="139" spans="1:6" ht="15.75" customHeight="1" x14ac:dyDescent="0.35">
      <c r="A139" s="5"/>
      <c r="C139" s="6"/>
    </row>
    <row r="140" spans="1:6" ht="15.75" customHeight="1" x14ac:dyDescent="0.35">
      <c r="A140" s="5"/>
      <c r="C140" s="6"/>
    </row>
    <row r="141" spans="1:6" ht="15.75" customHeight="1" x14ac:dyDescent="0.35">
      <c r="A141" s="5"/>
      <c r="C141" s="6"/>
    </row>
    <row r="142" spans="1:6" ht="15.75" customHeight="1" x14ac:dyDescent="0.35">
      <c r="A142" s="5"/>
      <c r="C142" s="6"/>
    </row>
    <row r="143" spans="1:6" ht="15.75" customHeight="1" x14ac:dyDescent="0.35">
      <c r="A143" s="5"/>
      <c r="C143" s="6"/>
    </row>
    <row r="144" spans="1:6" ht="15.75" customHeight="1" x14ac:dyDescent="0.35">
      <c r="A144" s="5"/>
      <c r="C144" s="6"/>
    </row>
    <row r="145" spans="1:3" ht="15.75" customHeight="1" x14ac:dyDescent="0.35">
      <c r="A145" s="5"/>
      <c r="C145" s="6"/>
    </row>
    <row r="146" spans="1:3" ht="15.75" customHeight="1" x14ac:dyDescent="0.35">
      <c r="A146" s="5"/>
      <c r="C146" s="6"/>
    </row>
    <row r="147" spans="1:3" ht="15.75" customHeight="1" x14ac:dyDescent="0.35">
      <c r="A147" s="5"/>
      <c r="C147" s="6"/>
    </row>
    <row r="148" spans="1:3" ht="15.75" customHeight="1" x14ac:dyDescent="0.35">
      <c r="A148" s="5"/>
      <c r="C148" s="6"/>
    </row>
    <row r="149" spans="1:3" ht="15.75" customHeight="1" x14ac:dyDescent="0.35">
      <c r="A149" s="5"/>
      <c r="C149" s="6"/>
    </row>
    <row r="150" spans="1:3" ht="15.75" customHeight="1" x14ac:dyDescent="0.35">
      <c r="A150" s="5"/>
      <c r="C150" s="6"/>
    </row>
    <row r="151" spans="1:3" ht="15.75" customHeight="1" x14ac:dyDescent="0.35">
      <c r="A151" s="5"/>
      <c r="C151" s="6"/>
    </row>
    <row r="152" spans="1:3" ht="15.75" customHeight="1" x14ac:dyDescent="0.35">
      <c r="A152" s="5"/>
      <c r="C152" s="6"/>
    </row>
    <row r="153" spans="1:3" ht="15.75" customHeight="1" x14ac:dyDescent="0.35">
      <c r="A153" s="5"/>
      <c r="C153" s="6"/>
    </row>
    <row r="154" spans="1:3" ht="15.75" customHeight="1" x14ac:dyDescent="0.35">
      <c r="A154" s="5"/>
      <c r="C154" s="6"/>
    </row>
    <row r="155" spans="1:3" ht="15.75" customHeight="1" x14ac:dyDescent="0.35">
      <c r="A155" s="5"/>
      <c r="C155" s="6"/>
    </row>
    <row r="156" spans="1:3" ht="15.75" customHeight="1" x14ac:dyDescent="0.35">
      <c r="A156" s="5"/>
      <c r="C156" s="6"/>
    </row>
    <row r="157" spans="1:3" ht="15.75" customHeight="1" x14ac:dyDescent="0.35">
      <c r="A157" s="5"/>
      <c r="C157" s="6"/>
    </row>
    <row r="158" spans="1:3" ht="15.75" customHeight="1" x14ac:dyDescent="0.35">
      <c r="A158" s="5"/>
      <c r="C158" s="6"/>
    </row>
    <row r="159" spans="1:3" ht="15.75" customHeight="1" x14ac:dyDescent="0.35">
      <c r="A159" s="5"/>
      <c r="C159" s="6"/>
    </row>
    <row r="160" spans="1:3" ht="15.75" customHeight="1" x14ac:dyDescent="0.35">
      <c r="A160" s="5"/>
      <c r="C160" s="6"/>
    </row>
    <row r="161" spans="1:3" ht="15.75" customHeight="1" x14ac:dyDescent="0.35">
      <c r="A161" s="5"/>
      <c r="C161" s="6"/>
    </row>
    <row r="162" spans="1:3" ht="15.75" customHeight="1" x14ac:dyDescent="0.35">
      <c r="A162" s="5"/>
      <c r="C162" s="6"/>
    </row>
    <row r="163" spans="1:3" ht="15.75" customHeight="1" x14ac:dyDescent="0.35">
      <c r="A163" s="5"/>
      <c r="C163" s="6"/>
    </row>
    <row r="164" spans="1:3" ht="15.75" customHeight="1" x14ac:dyDescent="0.35">
      <c r="A164" s="5"/>
      <c r="C164" s="6"/>
    </row>
    <row r="165" spans="1:3" ht="15.75" customHeight="1" x14ac:dyDescent="0.35">
      <c r="A165" s="5"/>
      <c r="C165" s="6"/>
    </row>
    <row r="166" spans="1:3" ht="15.75" customHeight="1" x14ac:dyDescent="0.35">
      <c r="A166" s="5"/>
      <c r="C166" s="6"/>
    </row>
    <row r="167" spans="1:3" ht="15.75" customHeight="1" x14ac:dyDescent="0.35">
      <c r="A167" s="5"/>
      <c r="C167" s="6"/>
    </row>
    <row r="168" spans="1:3" ht="15.75" customHeight="1" x14ac:dyDescent="0.35">
      <c r="A168" s="5"/>
      <c r="C168" s="6"/>
    </row>
    <row r="169" spans="1:3" ht="15.75" customHeight="1" x14ac:dyDescent="0.35">
      <c r="A169" s="5"/>
      <c r="C169" s="6"/>
    </row>
    <row r="170" spans="1:3" ht="15.75" customHeight="1" x14ac:dyDescent="0.35">
      <c r="A170" s="5"/>
      <c r="C170" s="6"/>
    </row>
    <row r="171" spans="1:3" ht="15.75" customHeight="1" x14ac:dyDescent="0.35">
      <c r="A171" s="5"/>
      <c r="C171" s="6"/>
    </row>
    <row r="172" spans="1:3" ht="15.75" customHeight="1" x14ac:dyDescent="0.35">
      <c r="A172" s="5"/>
      <c r="C172" s="6"/>
    </row>
    <row r="173" spans="1:3" ht="15.75" customHeight="1" x14ac:dyDescent="0.35">
      <c r="A173" s="5"/>
      <c r="C173" s="6"/>
    </row>
    <row r="174" spans="1:3" ht="15.75" customHeight="1" x14ac:dyDescent="0.35">
      <c r="A174" s="5"/>
      <c r="C174" s="6"/>
    </row>
    <row r="175" spans="1:3" ht="15.75" customHeight="1" x14ac:dyDescent="0.35">
      <c r="A175" s="5"/>
      <c r="C175" s="6"/>
    </row>
    <row r="176" spans="1:3" ht="15.75" customHeight="1" x14ac:dyDescent="0.35">
      <c r="A176" s="5"/>
      <c r="C176" s="6"/>
    </row>
    <row r="177" spans="1:3" ht="15.75" customHeight="1" x14ac:dyDescent="0.35">
      <c r="A177" s="5"/>
      <c r="C177" s="6"/>
    </row>
    <row r="178" spans="1:3" ht="15.75" customHeight="1" x14ac:dyDescent="0.35">
      <c r="A178" s="5"/>
      <c r="C178" s="6"/>
    </row>
    <row r="179" spans="1:3" ht="15.75" customHeight="1" x14ac:dyDescent="0.35">
      <c r="A179" s="5"/>
      <c r="C179" s="6"/>
    </row>
    <row r="180" spans="1:3" ht="15.75" customHeight="1" x14ac:dyDescent="0.35">
      <c r="A180" s="5"/>
      <c r="C180" s="6"/>
    </row>
    <row r="181" spans="1:3" ht="15.75" customHeight="1" x14ac:dyDescent="0.35">
      <c r="A181" s="5"/>
      <c r="C181" s="6"/>
    </row>
    <row r="182" spans="1:3" ht="15.75" customHeight="1" x14ac:dyDescent="0.35">
      <c r="A182" s="5"/>
      <c r="C182" s="6"/>
    </row>
    <row r="183" spans="1:3" ht="15.75" customHeight="1" x14ac:dyDescent="0.35">
      <c r="A183" s="5"/>
      <c r="C183" s="6"/>
    </row>
    <row r="184" spans="1:3" ht="15.75" customHeight="1" x14ac:dyDescent="0.35">
      <c r="A184" s="5"/>
      <c r="C184" s="6"/>
    </row>
    <row r="185" spans="1:3" ht="15.75" customHeight="1" x14ac:dyDescent="0.35">
      <c r="A185" s="5"/>
      <c r="C185" s="6"/>
    </row>
    <row r="186" spans="1:3" ht="15.75" customHeight="1" x14ac:dyDescent="0.35">
      <c r="A186" s="5"/>
      <c r="C186" s="6"/>
    </row>
    <row r="187" spans="1:3" ht="15.75" customHeight="1" x14ac:dyDescent="0.35">
      <c r="A187" s="5"/>
      <c r="C187" s="6"/>
    </row>
    <row r="188" spans="1:3" ht="15.75" customHeight="1" x14ac:dyDescent="0.35">
      <c r="A188" s="5"/>
      <c r="C188" s="6"/>
    </row>
    <row r="189" spans="1:3" ht="15.75" customHeight="1" x14ac:dyDescent="0.35">
      <c r="A189" s="5"/>
      <c r="C189" s="6"/>
    </row>
    <row r="190" spans="1:3" ht="15.75" customHeight="1" x14ac:dyDescent="0.35">
      <c r="A190" s="5"/>
      <c r="C190" s="6"/>
    </row>
    <row r="191" spans="1:3" ht="15.75" customHeight="1" x14ac:dyDescent="0.35">
      <c r="A191" s="5"/>
      <c r="C191" s="6"/>
    </row>
    <row r="192" spans="1:3" ht="15.75" customHeight="1" x14ac:dyDescent="0.35">
      <c r="A192" s="5"/>
      <c r="C192" s="6"/>
    </row>
    <row r="193" spans="1:3" ht="15.75" customHeight="1" x14ac:dyDescent="0.35">
      <c r="A193" s="5"/>
      <c r="C193" s="6"/>
    </row>
    <row r="194" spans="1:3" ht="15.75" customHeight="1" x14ac:dyDescent="0.35">
      <c r="A194" s="5"/>
      <c r="C194" s="6"/>
    </row>
    <row r="195" spans="1:3" ht="15.75" customHeight="1" x14ac:dyDescent="0.35">
      <c r="A195" s="5"/>
      <c r="C195" s="6"/>
    </row>
    <row r="196" spans="1:3" ht="15.75" customHeight="1" x14ac:dyDescent="0.35">
      <c r="A196" s="5"/>
      <c r="C196" s="6"/>
    </row>
    <row r="197" spans="1:3" ht="15.75" customHeight="1" x14ac:dyDescent="0.35">
      <c r="A197" s="5"/>
      <c r="C197" s="6"/>
    </row>
    <row r="198" spans="1:3" ht="15.75" customHeight="1" x14ac:dyDescent="0.35">
      <c r="A198" s="5"/>
      <c r="C198" s="6"/>
    </row>
    <row r="199" spans="1:3" ht="15.75" customHeight="1" x14ac:dyDescent="0.35">
      <c r="A199" s="5"/>
      <c r="C199" s="6"/>
    </row>
    <row r="200" spans="1:3" ht="15.75" customHeight="1" x14ac:dyDescent="0.35">
      <c r="A200" s="5"/>
      <c r="C200" s="6"/>
    </row>
    <row r="201" spans="1:3" ht="15.75" customHeight="1" x14ac:dyDescent="0.35">
      <c r="A201" s="5"/>
      <c r="C201" s="6"/>
    </row>
    <row r="202" spans="1:3" ht="15.75" customHeight="1" x14ac:dyDescent="0.35">
      <c r="A202" s="5"/>
      <c r="C202" s="6"/>
    </row>
    <row r="203" spans="1:3" ht="15.75" customHeight="1" x14ac:dyDescent="0.35">
      <c r="A203" s="5"/>
      <c r="C203" s="6"/>
    </row>
    <row r="204" spans="1:3" ht="15.75" customHeight="1" x14ac:dyDescent="0.35">
      <c r="A204" s="5"/>
      <c r="C204" s="6"/>
    </row>
    <row r="205" spans="1:3" ht="15.75" customHeight="1" x14ac:dyDescent="0.35">
      <c r="A205" s="5"/>
      <c r="C205" s="6"/>
    </row>
    <row r="206" spans="1:3" ht="15.75" customHeight="1" x14ac:dyDescent="0.35">
      <c r="A206" s="5"/>
      <c r="C206" s="6"/>
    </row>
    <row r="207" spans="1:3" ht="15.75" customHeight="1" x14ac:dyDescent="0.35">
      <c r="A207" s="5"/>
      <c r="C207" s="6"/>
    </row>
    <row r="208" spans="1:3" ht="15.75" customHeight="1" x14ac:dyDescent="0.35">
      <c r="A208" s="5"/>
      <c r="C208" s="6"/>
    </row>
    <row r="209" spans="1:3" ht="15.75" customHeight="1" x14ac:dyDescent="0.35">
      <c r="A209" s="5"/>
      <c r="C209" s="6"/>
    </row>
    <row r="210" spans="1:3" ht="15.75" customHeight="1" x14ac:dyDescent="0.35">
      <c r="A210" s="5"/>
      <c r="C210" s="6"/>
    </row>
    <row r="211" spans="1:3" ht="15.75" customHeight="1" x14ac:dyDescent="0.35">
      <c r="A211" s="5"/>
      <c r="C211" s="6"/>
    </row>
    <row r="212" spans="1:3" ht="15.75" customHeight="1" x14ac:dyDescent="0.35">
      <c r="A212" s="5"/>
      <c r="C212" s="6"/>
    </row>
    <row r="213" spans="1:3" ht="15.75" customHeight="1" x14ac:dyDescent="0.35">
      <c r="A213" s="5"/>
      <c r="C213" s="6"/>
    </row>
    <row r="214" spans="1:3" ht="15.75" customHeight="1" x14ac:dyDescent="0.35">
      <c r="A214" s="5"/>
      <c r="C214" s="6"/>
    </row>
    <row r="215" spans="1:3" ht="15.75" customHeight="1" x14ac:dyDescent="0.35">
      <c r="A215" s="5"/>
      <c r="C215" s="6"/>
    </row>
    <row r="216" spans="1:3" ht="15.75" customHeight="1" x14ac:dyDescent="0.35">
      <c r="A216" s="5"/>
      <c r="C216" s="6"/>
    </row>
    <row r="217" spans="1:3" ht="15.75" customHeight="1" x14ac:dyDescent="0.35">
      <c r="A217" s="5"/>
      <c r="C217" s="6"/>
    </row>
    <row r="218" spans="1:3" ht="15.75" customHeight="1" x14ac:dyDescent="0.35">
      <c r="A218" s="5"/>
      <c r="C218" s="6"/>
    </row>
    <row r="219" spans="1:3" ht="15.75" customHeight="1" x14ac:dyDescent="0.35">
      <c r="A219" s="5"/>
      <c r="C219" s="6"/>
    </row>
    <row r="220" spans="1:3" ht="15.75" customHeight="1" x14ac:dyDescent="0.35">
      <c r="A220" s="5"/>
      <c r="C220" s="6"/>
    </row>
    <row r="221" spans="1:3" ht="15.75" customHeight="1" x14ac:dyDescent="0.35">
      <c r="A221" s="5"/>
      <c r="C221" s="6"/>
    </row>
    <row r="222" spans="1:3" ht="15.75" customHeight="1" x14ac:dyDescent="0.35">
      <c r="A222" s="5"/>
      <c r="C222" s="6"/>
    </row>
    <row r="223" spans="1:3" ht="15.75" customHeight="1" x14ac:dyDescent="0.35">
      <c r="A223" s="5"/>
      <c r="C223" s="6"/>
    </row>
    <row r="224" spans="1:3" ht="15.75" customHeight="1" x14ac:dyDescent="0.35">
      <c r="A224" s="5"/>
      <c r="C224" s="6"/>
    </row>
    <row r="225" spans="1:3" ht="15.75" customHeight="1" x14ac:dyDescent="0.35">
      <c r="A225" s="5"/>
      <c r="C225" s="6"/>
    </row>
    <row r="226" spans="1:3" ht="15.75" customHeight="1" x14ac:dyDescent="0.35">
      <c r="A226" s="5"/>
      <c r="C226" s="6"/>
    </row>
    <row r="227" spans="1:3" ht="15.75" customHeight="1" x14ac:dyDescent="0.35">
      <c r="A227" s="5"/>
      <c r="C227" s="6"/>
    </row>
    <row r="228" spans="1:3" ht="15.75" customHeight="1" x14ac:dyDescent="0.35">
      <c r="A228" s="5"/>
      <c r="C228" s="6"/>
    </row>
    <row r="229" spans="1:3" ht="15.75" customHeight="1" x14ac:dyDescent="0.35">
      <c r="A229" s="5"/>
      <c r="C229" s="6"/>
    </row>
    <row r="230" spans="1:3" ht="15.75" customHeight="1" x14ac:dyDescent="0.35">
      <c r="A230" s="5"/>
      <c r="C230" s="6"/>
    </row>
    <row r="231" spans="1:3" ht="15.75" customHeight="1" x14ac:dyDescent="0.35">
      <c r="A231" s="5"/>
      <c r="C231" s="6"/>
    </row>
    <row r="232" spans="1:3" ht="15.75" customHeight="1" x14ac:dyDescent="0.35">
      <c r="A232" s="5"/>
      <c r="C232" s="6"/>
    </row>
    <row r="233" spans="1:3" ht="15.75" customHeight="1" x14ac:dyDescent="0.35">
      <c r="A233" s="5"/>
      <c r="C233" s="6"/>
    </row>
    <row r="234" spans="1:3" ht="15.75" customHeight="1" x14ac:dyDescent="0.35">
      <c r="A234" s="5"/>
      <c r="C234" s="6"/>
    </row>
    <row r="235" spans="1:3" ht="15.75" customHeight="1" x14ac:dyDescent="0.35">
      <c r="A235" s="5"/>
      <c r="C235" s="6"/>
    </row>
    <row r="236" spans="1:3" ht="15.75" customHeight="1" x14ac:dyDescent="0.35">
      <c r="A236" s="5"/>
      <c r="C236" s="6"/>
    </row>
    <row r="237" spans="1:3" ht="15.75" customHeight="1" x14ac:dyDescent="0.35">
      <c r="A237" s="5"/>
      <c r="C237" s="6"/>
    </row>
    <row r="238" spans="1:3" ht="15.75" customHeight="1" x14ac:dyDescent="0.35">
      <c r="A238" s="5"/>
      <c r="C238" s="6"/>
    </row>
    <row r="239" spans="1:3" ht="15.75" customHeight="1" x14ac:dyDescent="0.35">
      <c r="A239" s="5"/>
      <c r="C239" s="6"/>
    </row>
    <row r="240" spans="1:3" ht="15.75" customHeight="1" x14ac:dyDescent="0.35">
      <c r="A240" s="5"/>
      <c r="C240" s="6"/>
    </row>
    <row r="241" spans="1:3" ht="15.75" customHeight="1" x14ac:dyDescent="0.35">
      <c r="A241" s="5"/>
      <c r="C241" s="6"/>
    </row>
    <row r="242" spans="1:3" ht="15.75" customHeight="1" x14ac:dyDescent="0.35">
      <c r="A242" s="5"/>
      <c r="C242" s="6"/>
    </row>
    <row r="243" spans="1:3" ht="15.75" customHeight="1" x14ac:dyDescent="0.35">
      <c r="A243" s="5"/>
      <c r="C243" s="6"/>
    </row>
    <row r="244" spans="1:3" ht="15.75" customHeight="1" x14ac:dyDescent="0.35">
      <c r="A244" s="5"/>
      <c r="C244" s="6"/>
    </row>
    <row r="245" spans="1:3" ht="15.75" customHeight="1" x14ac:dyDescent="0.35">
      <c r="A245" s="5"/>
      <c r="C245" s="6"/>
    </row>
    <row r="246" spans="1:3" ht="15.75" customHeight="1" x14ac:dyDescent="0.35">
      <c r="A246" s="5"/>
      <c r="C246" s="6"/>
    </row>
    <row r="247" spans="1:3" ht="15.75" customHeight="1" x14ac:dyDescent="0.35">
      <c r="A247" s="5"/>
      <c r="C247" s="6"/>
    </row>
    <row r="248" spans="1:3" ht="15.75" customHeight="1" x14ac:dyDescent="0.35">
      <c r="A248" s="5"/>
      <c r="C248" s="6"/>
    </row>
    <row r="249" spans="1:3" ht="15.75" customHeight="1" x14ac:dyDescent="0.35">
      <c r="A249" s="5"/>
      <c r="C249" s="6"/>
    </row>
    <row r="250" spans="1:3" ht="15.75" customHeight="1" x14ac:dyDescent="0.35">
      <c r="A250" s="5"/>
      <c r="C250" s="6"/>
    </row>
    <row r="251" spans="1:3" ht="15.75" customHeight="1" x14ac:dyDescent="0.35">
      <c r="A251" s="5"/>
      <c r="C251" s="6"/>
    </row>
    <row r="252" spans="1:3" ht="15.75" customHeight="1" x14ac:dyDescent="0.35">
      <c r="A252" s="5"/>
      <c r="C252" s="6"/>
    </row>
    <row r="253" spans="1:3" ht="15.75" customHeight="1" x14ac:dyDescent="0.35">
      <c r="A253" s="5"/>
      <c r="C253" s="6"/>
    </row>
    <row r="254" spans="1:3" ht="15.75" customHeight="1" x14ac:dyDescent="0.35">
      <c r="A254" s="5"/>
      <c r="C254" s="6"/>
    </row>
    <row r="255" spans="1:3" ht="15.75" customHeight="1" x14ac:dyDescent="0.35">
      <c r="A255" s="5"/>
      <c r="C255" s="6"/>
    </row>
    <row r="256" spans="1:3" ht="15.75" customHeight="1" x14ac:dyDescent="0.35">
      <c r="A256" s="5"/>
      <c r="C256" s="6"/>
    </row>
    <row r="257" spans="1:3" ht="15.75" customHeight="1" x14ac:dyDescent="0.35">
      <c r="A257" s="5"/>
      <c r="C257" s="6"/>
    </row>
    <row r="258" spans="1:3" ht="15.75" customHeight="1" x14ac:dyDescent="0.35">
      <c r="A258" s="5"/>
      <c r="C258" s="6"/>
    </row>
    <row r="259" spans="1:3" ht="15.75" customHeight="1" x14ac:dyDescent="0.35">
      <c r="A259" s="5"/>
      <c r="C259" s="6"/>
    </row>
    <row r="260" spans="1:3" ht="15.75" customHeight="1" x14ac:dyDescent="0.35">
      <c r="A260" s="5"/>
      <c r="C260" s="6"/>
    </row>
    <row r="261" spans="1:3" ht="15.75" customHeight="1" x14ac:dyDescent="0.35">
      <c r="A261" s="5"/>
      <c r="C261" s="6"/>
    </row>
    <row r="262" spans="1:3" ht="15.75" customHeight="1" x14ac:dyDescent="0.35">
      <c r="A262" s="5"/>
      <c r="C262" s="6"/>
    </row>
    <row r="263" spans="1:3" ht="15.75" customHeight="1" x14ac:dyDescent="0.35">
      <c r="A263" s="5"/>
      <c r="C263" s="6"/>
    </row>
    <row r="264" spans="1:3" ht="15.75" customHeight="1" x14ac:dyDescent="0.35">
      <c r="A264" s="5"/>
      <c r="C264" s="6"/>
    </row>
    <row r="265" spans="1:3" ht="15.75" customHeight="1" x14ac:dyDescent="0.35">
      <c r="A265" s="5"/>
      <c r="C265" s="6"/>
    </row>
    <row r="266" spans="1:3" ht="15.75" customHeight="1" x14ac:dyDescent="0.35">
      <c r="A266" s="5"/>
      <c r="C266" s="6"/>
    </row>
    <row r="267" spans="1:3" ht="15.75" customHeight="1" x14ac:dyDescent="0.35">
      <c r="A267" s="5"/>
      <c r="C267" s="6"/>
    </row>
    <row r="268" spans="1:3" ht="15.75" customHeight="1" x14ac:dyDescent="0.35">
      <c r="A268" s="5"/>
      <c r="C268" s="6"/>
    </row>
    <row r="269" spans="1:3" ht="15.75" customHeight="1" x14ac:dyDescent="0.35">
      <c r="A269" s="5"/>
      <c r="C269" s="6"/>
    </row>
    <row r="270" spans="1:3" ht="15.75" customHeight="1" x14ac:dyDescent="0.35">
      <c r="A270" s="5"/>
      <c r="C270" s="6"/>
    </row>
    <row r="271" spans="1:3" ht="15.75" customHeight="1" x14ac:dyDescent="0.35">
      <c r="A271" s="5"/>
      <c r="C271" s="6"/>
    </row>
    <row r="272" spans="1:3" ht="15.75" customHeight="1" x14ac:dyDescent="0.35">
      <c r="A272" s="5"/>
      <c r="C272" s="6"/>
    </row>
    <row r="273" spans="1:3" ht="15.75" customHeight="1" x14ac:dyDescent="0.35">
      <c r="A273" s="5"/>
      <c r="C273" s="6"/>
    </row>
    <row r="274" spans="1:3" ht="15.75" customHeight="1" x14ac:dyDescent="0.35">
      <c r="A274" s="5"/>
      <c r="C274" s="6"/>
    </row>
    <row r="275" spans="1:3" ht="15.75" customHeight="1" x14ac:dyDescent="0.35">
      <c r="A275" s="5"/>
      <c r="C275" s="6"/>
    </row>
    <row r="276" spans="1:3" ht="15.75" customHeight="1" x14ac:dyDescent="0.35">
      <c r="A276" s="5"/>
      <c r="C276" s="6"/>
    </row>
    <row r="277" spans="1:3" ht="15.75" customHeight="1" x14ac:dyDescent="0.35">
      <c r="A277" s="5"/>
      <c r="C277" s="6"/>
    </row>
    <row r="278" spans="1:3" ht="15.75" customHeight="1" x14ac:dyDescent="0.35">
      <c r="A278" s="5"/>
      <c r="C278" s="6"/>
    </row>
    <row r="279" spans="1:3" ht="15.75" customHeight="1" x14ac:dyDescent="0.35">
      <c r="A279" s="5"/>
      <c r="C279" s="6"/>
    </row>
    <row r="280" spans="1:3" ht="15.75" customHeight="1" x14ac:dyDescent="0.35">
      <c r="A280" s="5"/>
      <c r="C280" s="6"/>
    </row>
    <row r="281" spans="1:3" ht="15.75" customHeight="1" x14ac:dyDescent="0.35">
      <c r="A281" s="5"/>
      <c r="C281" s="6"/>
    </row>
    <row r="282" spans="1:3" ht="15.75" customHeight="1" x14ac:dyDescent="0.35">
      <c r="A282" s="5"/>
      <c r="C282" s="6"/>
    </row>
    <row r="283" spans="1:3" ht="15.75" customHeight="1" x14ac:dyDescent="0.35">
      <c r="A283" s="5"/>
      <c r="C283" s="6"/>
    </row>
    <row r="284" spans="1:3" ht="15.75" customHeight="1" x14ac:dyDescent="0.35">
      <c r="A284" s="5"/>
      <c r="C284" s="6"/>
    </row>
    <row r="285" spans="1:3" ht="15.75" customHeight="1" x14ac:dyDescent="0.35">
      <c r="A285" s="5"/>
      <c r="C285" s="6"/>
    </row>
    <row r="286" spans="1:3" ht="15.75" customHeight="1" x14ac:dyDescent="0.35">
      <c r="A286" s="5"/>
      <c r="C286" s="6"/>
    </row>
    <row r="287" spans="1:3" ht="15.75" customHeight="1" x14ac:dyDescent="0.35">
      <c r="A287" s="5"/>
      <c r="C287" s="6"/>
    </row>
    <row r="288" spans="1:3" ht="15.75" customHeight="1" x14ac:dyDescent="0.35">
      <c r="A288" s="5"/>
      <c r="C288" s="6"/>
    </row>
    <row r="289" spans="1:3" ht="15.75" customHeight="1" x14ac:dyDescent="0.35">
      <c r="A289" s="5"/>
      <c r="C289" s="6"/>
    </row>
    <row r="290" spans="1:3" ht="15.75" customHeight="1" x14ac:dyDescent="0.35">
      <c r="A290" s="5"/>
      <c r="C290" s="6"/>
    </row>
    <row r="291" spans="1:3" ht="15.75" customHeight="1" x14ac:dyDescent="0.35">
      <c r="A291" s="5"/>
      <c r="C291" s="6"/>
    </row>
    <row r="292" spans="1:3" ht="15.75" customHeight="1" x14ac:dyDescent="0.35">
      <c r="A292" s="5"/>
      <c r="C292" s="6"/>
    </row>
    <row r="293" spans="1:3" ht="15.75" customHeight="1" x14ac:dyDescent="0.35">
      <c r="A293" s="5"/>
      <c r="C293" s="6"/>
    </row>
    <row r="294" spans="1:3" ht="15.75" customHeight="1" x14ac:dyDescent="0.35">
      <c r="A294" s="5"/>
      <c r="C294" s="6"/>
    </row>
    <row r="295" spans="1:3" ht="15.75" customHeight="1" x14ac:dyDescent="0.35">
      <c r="A295" s="5"/>
      <c r="C295" s="6"/>
    </row>
    <row r="296" spans="1:3" ht="15.75" customHeight="1" x14ac:dyDescent="0.35">
      <c r="A296" s="5"/>
      <c r="C296" s="6"/>
    </row>
    <row r="297" spans="1:3" ht="15.75" customHeight="1" x14ac:dyDescent="0.35">
      <c r="A297" s="5"/>
      <c r="C297" s="6"/>
    </row>
    <row r="298" spans="1:3" ht="15.75" customHeight="1" x14ac:dyDescent="0.35">
      <c r="A298" s="5"/>
      <c r="C298" s="6"/>
    </row>
    <row r="299" spans="1:3" ht="15.75" customHeight="1" x14ac:dyDescent="0.35">
      <c r="A299" s="5"/>
      <c r="C299" s="6"/>
    </row>
    <row r="300" spans="1:3" ht="15.75" customHeight="1" x14ac:dyDescent="0.35">
      <c r="A300" s="5"/>
      <c r="C300" s="6"/>
    </row>
    <row r="301" spans="1:3" ht="15.75" customHeight="1" x14ac:dyDescent="0.35">
      <c r="A301" s="5"/>
      <c r="C301" s="6"/>
    </row>
    <row r="302" spans="1:3" ht="15.75" customHeight="1" x14ac:dyDescent="0.35">
      <c r="A302" s="5"/>
      <c r="C302" s="6"/>
    </row>
    <row r="303" spans="1:3" ht="15.75" customHeight="1" x14ac:dyDescent="0.35">
      <c r="A303" s="5"/>
      <c r="C303" s="6"/>
    </row>
    <row r="304" spans="1:3" ht="15.75" customHeight="1" x14ac:dyDescent="0.35">
      <c r="A304" s="5"/>
      <c r="C304" s="6"/>
    </row>
    <row r="305" spans="1:3" ht="15.75" customHeight="1" x14ac:dyDescent="0.35">
      <c r="A305" s="5"/>
      <c r="C305" s="6"/>
    </row>
    <row r="306" spans="1:3" ht="15.75" customHeight="1" x14ac:dyDescent="0.35">
      <c r="A306" s="5"/>
      <c r="C306" s="6"/>
    </row>
    <row r="307" spans="1:3" ht="15.75" customHeight="1" x14ac:dyDescent="0.35">
      <c r="A307" s="5"/>
      <c r="C307" s="6"/>
    </row>
    <row r="308" spans="1:3" ht="15.75" customHeight="1" x14ac:dyDescent="0.35">
      <c r="A308" s="5"/>
      <c r="C308" s="6"/>
    </row>
    <row r="309" spans="1:3" ht="15.75" customHeight="1" x14ac:dyDescent="0.35">
      <c r="A309" s="5"/>
      <c r="C309" s="6"/>
    </row>
    <row r="310" spans="1:3" ht="15.75" customHeight="1" x14ac:dyDescent="0.35">
      <c r="A310" s="5"/>
      <c r="C310" s="6"/>
    </row>
    <row r="311" spans="1:3" ht="15.75" customHeight="1" x14ac:dyDescent="0.35">
      <c r="A311" s="5"/>
      <c r="C311" s="6"/>
    </row>
    <row r="312" spans="1:3" ht="15.75" customHeight="1" x14ac:dyDescent="0.35">
      <c r="A312" s="5"/>
      <c r="C312" s="6"/>
    </row>
    <row r="313" spans="1:3" ht="15.75" customHeight="1" x14ac:dyDescent="0.35">
      <c r="A313" s="5"/>
      <c r="C313" s="6"/>
    </row>
    <row r="314" spans="1:3" ht="15.75" customHeight="1" x14ac:dyDescent="0.35">
      <c r="A314" s="5"/>
      <c r="C314" s="6"/>
    </row>
    <row r="315" spans="1:3" ht="15.75" customHeight="1" x14ac:dyDescent="0.35">
      <c r="A315" s="5"/>
      <c r="C315" s="6"/>
    </row>
    <row r="316" spans="1:3" ht="15.75" customHeight="1" x14ac:dyDescent="0.35">
      <c r="A316" s="5"/>
      <c r="C316" s="6"/>
    </row>
    <row r="317" spans="1:3" ht="15.75" customHeight="1" x14ac:dyDescent="0.35">
      <c r="A317" s="5"/>
      <c r="C317" s="6"/>
    </row>
    <row r="318" spans="1:3" ht="15.75" customHeight="1" x14ac:dyDescent="0.35">
      <c r="A318" s="5"/>
      <c r="C318" s="6"/>
    </row>
    <row r="319" spans="1:3" ht="15.75" customHeight="1" x14ac:dyDescent="0.35">
      <c r="A319" s="5"/>
      <c r="C319" s="6"/>
    </row>
    <row r="320" spans="1:3" ht="15.75" customHeight="1" x14ac:dyDescent="0.35">
      <c r="A320" s="5"/>
      <c r="C320" s="6"/>
    </row>
    <row r="321" spans="1:3" ht="15.75" customHeight="1" x14ac:dyDescent="0.35">
      <c r="A321" s="5"/>
      <c r="C321" s="6"/>
    </row>
    <row r="322" spans="1:3" ht="15.75" customHeight="1" x14ac:dyDescent="0.35">
      <c r="A322" s="5"/>
      <c r="C322" s="6"/>
    </row>
    <row r="323" spans="1:3" ht="15.75" customHeight="1" x14ac:dyDescent="0.35">
      <c r="A323" s="5"/>
      <c r="C323" s="6"/>
    </row>
    <row r="324" spans="1:3" ht="15.75" customHeight="1" x14ac:dyDescent="0.35">
      <c r="A324" s="5"/>
      <c r="C324" s="6"/>
    </row>
    <row r="325" spans="1:3" ht="15.75" customHeight="1" x14ac:dyDescent="0.35">
      <c r="A325" s="5"/>
      <c r="C325" s="6"/>
    </row>
    <row r="326" spans="1:3" ht="15.75" customHeight="1" x14ac:dyDescent="0.35">
      <c r="A326" s="5"/>
      <c r="C326" s="6"/>
    </row>
    <row r="327" spans="1:3" ht="15.75" customHeight="1" x14ac:dyDescent="0.35">
      <c r="A327" s="5"/>
      <c r="C327" s="6"/>
    </row>
    <row r="328" spans="1:3" ht="15.75" customHeight="1" x14ac:dyDescent="0.35">
      <c r="A328" s="5"/>
      <c r="C328" s="6"/>
    </row>
    <row r="329" spans="1:3" ht="15.75" customHeight="1" x14ac:dyDescent="0.35">
      <c r="A329" s="5"/>
      <c r="C329" s="6"/>
    </row>
    <row r="330" spans="1:3" ht="15.75" customHeight="1" x14ac:dyDescent="0.35">
      <c r="A330" s="5"/>
      <c r="C330" s="6"/>
    </row>
    <row r="331" spans="1:3" ht="15.75" customHeight="1" x14ac:dyDescent="0.35">
      <c r="A331" s="5"/>
      <c r="C331" s="6"/>
    </row>
    <row r="332" spans="1:3" ht="15.75" customHeight="1" x14ac:dyDescent="0.35">
      <c r="A332" s="5"/>
      <c r="C332" s="6"/>
    </row>
    <row r="333" spans="1:3" ht="15.75" customHeight="1" x14ac:dyDescent="0.35">
      <c r="A333" s="5"/>
      <c r="C333" s="6"/>
    </row>
    <row r="334" spans="1:3" ht="15.75" customHeight="1" x14ac:dyDescent="0.35">
      <c r="A334" s="5"/>
      <c r="C334" s="6"/>
    </row>
    <row r="335" spans="1:3" ht="15.75" customHeight="1" x14ac:dyDescent="0.35">
      <c r="A335" s="5"/>
      <c r="C335" s="6"/>
    </row>
    <row r="336" spans="1:3" ht="15.75" customHeight="1" x14ac:dyDescent="0.35">
      <c r="A336" s="5"/>
      <c r="C336" s="6"/>
    </row>
    <row r="337" spans="1:3" ht="15.75" customHeight="1" x14ac:dyDescent="0.35">
      <c r="A337" s="5"/>
      <c r="C337" s="6"/>
    </row>
    <row r="338" spans="1:3" ht="15.75" customHeight="1" x14ac:dyDescent="0.35">
      <c r="A338" s="5"/>
      <c r="C338" s="6"/>
    </row>
    <row r="339" spans="1:3" ht="15.75" customHeight="1" x14ac:dyDescent="0.35">
      <c r="A339" s="5"/>
      <c r="C339" s="6"/>
    </row>
    <row r="340" spans="1:3" ht="15.75" customHeight="1" x14ac:dyDescent="0.35">
      <c r="A340" s="5"/>
      <c r="C340" s="6"/>
    </row>
    <row r="341" spans="1:3" ht="15.75" customHeight="1" x14ac:dyDescent="0.35">
      <c r="A341" s="5"/>
      <c r="C341" s="6"/>
    </row>
    <row r="342" spans="1:3" ht="15.75" customHeight="1" x14ac:dyDescent="0.35">
      <c r="A342" s="5"/>
      <c r="C342" s="6"/>
    </row>
    <row r="343" spans="1:3" ht="15.75" customHeight="1" x14ac:dyDescent="0.35">
      <c r="A343" s="5"/>
      <c r="C343" s="6"/>
    </row>
    <row r="344" spans="1:3" ht="15.75" customHeight="1" x14ac:dyDescent="0.35">
      <c r="A344" s="5"/>
      <c r="C344" s="6"/>
    </row>
    <row r="345" spans="1:3" ht="15.75" customHeight="1" x14ac:dyDescent="0.35">
      <c r="A345" s="5"/>
      <c r="C345" s="6"/>
    </row>
    <row r="346" spans="1:3" ht="15.75" customHeight="1" x14ac:dyDescent="0.35">
      <c r="A346" s="5"/>
      <c r="C346" s="6"/>
    </row>
    <row r="347" spans="1:3" ht="15.75" customHeight="1" x14ac:dyDescent="0.35">
      <c r="A347" s="5"/>
      <c r="C347" s="6"/>
    </row>
    <row r="348" spans="1:3" ht="15.75" customHeight="1" x14ac:dyDescent="0.35">
      <c r="A348" s="5"/>
      <c r="C348" s="6"/>
    </row>
    <row r="349" spans="1:3" ht="15.75" customHeight="1" x14ac:dyDescent="0.35">
      <c r="A349" s="5"/>
      <c r="C349" s="6"/>
    </row>
    <row r="350" spans="1:3" ht="15.75" customHeight="1" x14ac:dyDescent="0.35">
      <c r="A350" s="5"/>
      <c r="C350" s="6"/>
    </row>
    <row r="351" spans="1:3" ht="15.75" customHeight="1" x14ac:dyDescent="0.35">
      <c r="A351" s="5"/>
      <c r="C351" s="6"/>
    </row>
    <row r="352" spans="1:3" ht="15.75" customHeight="1" x14ac:dyDescent="0.35">
      <c r="A352" s="5"/>
      <c r="C352" s="6"/>
    </row>
    <row r="353" spans="1:3" ht="15.75" customHeight="1" x14ac:dyDescent="0.35">
      <c r="A353" s="5"/>
      <c r="C353" s="6"/>
    </row>
    <row r="354" spans="1:3" ht="15.75" customHeight="1" x14ac:dyDescent="0.35">
      <c r="A354" s="5"/>
      <c r="C354" s="6"/>
    </row>
    <row r="355" spans="1:3" ht="15.75" customHeight="1" x14ac:dyDescent="0.35">
      <c r="A355" s="5"/>
      <c r="C355" s="6"/>
    </row>
    <row r="356" spans="1:3" ht="15.75" customHeight="1" x14ac:dyDescent="0.35">
      <c r="A356" s="5"/>
      <c r="C356" s="6"/>
    </row>
    <row r="357" spans="1:3" ht="15.75" customHeight="1" x14ac:dyDescent="0.35">
      <c r="A357" s="5"/>
      <c r="C357" s="6"/>
    </row>
    <row r="358" spans="1:3" ht="15.75" customHeight="1" x14ac:dyDescent="0.35">
      <c r="A358" s="5"/>
      <c r="C358" s="6"/>
    </row>
    <row r="359" spans="1:3" ht="15.75" customHeight="1" x14ac:dyDescent="0.35">
      <c r="A359" s="5"/>
      <c r="C359" s="6"/>
    </row>
    <row r="360" spans="1:3" ht="15.75" customHeight="1" x14ac:dyDescent="0.35">
      <c r="A360" s="5"/>
      <c r="C360" s="6"/>
    </row>
    <row r="361" spans="1:3" ht="15.75" customHeight="1" x14ac:dyDescent="0.35">
      <c r="A361" s="5"/>
      <c r="C361" s="6"/>
    </row>
    <row r="362" spans="1:3" ht="15.75" customHeight="1" x14ac:dyDescent="0.35">
      <c r="A362" s="5"/>
      <c r="C362" s="6"/>
    </row>
    <row r="363" spans="1:3" ht="15.75" customHeight="1" x14ac:dyDescent="0.35">
      <c r="A363" s="5"/>
      <c r="C363" s="6"/>
    </row>
    <row r="364" spans="1:3" ht="15.75" customHeight="1" x14ac:dyDescent="0.35">
      <c r="A364" s="5"/>
      <c r="C364" s="6"/>
    </row>
    <row r="365" spans="1:3" ht="15.75" customHeight="1" x14ac:dyDescent="0.35">
      <c r="A365" s="5"/>
      <c r="C365" s="6"/>
    </row>
    <row r="366" spans="1:3" ht="15.75" customHeight="1" x14ac:dyDescent="0.35">
      <c r="A366" s="5"/>
      <c r="C366" s="6"/>
    </row>
    <row r="367" spans="1:3" ht="15.75" customHeight="1" x14ac:dyDescent="0.35">
      <c r="A367" s="5"/>
      <c r="C367" s="6"/>
    </row>
    <row r="368" spans="1:3" ht="15.75" customHeight="1" x14ac:dyDescent="0.35">
      <c r="A368" s="5"/>
      <c r="C368" s="6"/>
    </row>
    <row r="369" spans="1:3" ht="15.75" customHeight="1" x14ac:dyDescent="0.35">
      <c r="A369" s="5"/>
      <c r="C369" s="6"/>
    </row>
    <row r="370" spans="1:3" ht="15.75" customHeight="1" x14ac:dyDescent="0.35">
      <c r="A370" s="5"/>
      <c r="C370" s="6"/>
    </row>
    <row r="371" spans="1:3" ht="15.75" customHeight="1" x14ac:dyDescent="0.35">
      <c r="A371" s="5"/>
      <c r="C371" s="6"/>
    </row>
    <row r="372" spans="1:3" ht="15.75" customHeight="1" x14ac:dyDescent="0.35">
      <c r="A372" s="5"/>
      <c r="C372" s="6"/>
    </row>
    <row r="373" spans="1:3" ht="15.75" customHeight="1" x14ac:dyDescent="0.35">
      <c r="A373" s="5"/>
      <c r="C373" s="6"/>
    </row>
    <row r="374" spans="1:3" ht="15.75" customHeight="1" x14ac:dyDescent="0.35">
      <c r="A374" s="5"/>
      <c r="C374" s="6"/>
    </row>
    <row r="375" spans="1:3" ht="15.75" customHeight="1" x14ac:dyDescent="0.35">
      <c r="A375" s="5"/>
      <c r="C375" s="6"/>
    </row>
    <row r="376" spans="1:3" ht="15.75" customHeight="1" x14ac:dyDescent="0.35">
      <c r="A376" s="5"/>
      <c r="C376" s="6"/>
    </row>
    <row r="377" spans="1:3" ht="15.75" customHeight="1" x14ac:dyDescent="0.35">
      <c r="A377" s="5"/>
      <c r="C377" s="6"/>
    </row>
    <row r="378" spans="1:3" ht="15.75" customHeight="1" x14ac:dyDescent="0.35">
      <c r="A378" s="5"/>
      <c r="C378" s="6"/>
    </row>
    <row r="379" spans="1:3" ht="15.75" customHeight="1" x14ac:dyDescent="0.35">
      <c r="A379" s="5"/>
      <c r="C379" s="6"/>
    </row>
    <row r="380" spans="1:3" ht="15.75" customHeight="1" x14ac:dyDescent="0.35">
      <c r="A380" s="5"/>
      <c r="C380" s="6"/>
    </row>
    <row r="381" spans="1:3" ht="15.75" customHeight="1" x14ac:dyDescent="0.35">
      <c r="A381" s="5"/>
      <c r="C381" s="6"/>
    </row>
    <row r="382" spans="1:3" ht="15.75" customHeight="1" x14ac:dyDescent="0.35">
      <c r="A382" s="5"/>
      <c r="C382" s="6"/>
    </row>
    <row r="383" spans="1:3" ht="15.75" customHeight="1" x14ac:dyDescent="0.35">
      <c r="A383" s="5"/>
      <c r="C383" s="6"/>
    </row>
    <row r="384" spans="1:3" ht="15.75" customHeight="1" x14ac:dyDescent="0.35">
      <c r="A384" s="5"/>
      <c r="C384" s="6"/>
    </row>
    <row r="385" spans="1:3" ht="15.75" customHeight="1" x14ac:dyDescent="0.35">
      <c r="A385" s="5"/>
      <c r="C385" s="6"/>
    </row>
    <row r="386" spans="1:3" ht="15.75" customHeight="1" x14ac:dyDescent="0.35">
      <c r="A386" s="5"/>
      <c r="C386" s="6"/>
    </row>
    <row r="387" spans="1:3" ht="15.75" customHeight="1" x14ac:dyDescent="0.35">
      <c r="A387" s="5"/>
      <c r="C387" s="6"/>
    </row>
    <row r="388" spans="1:3" ht="15.75" customHeight="1" x14ac:dyDescent="0.35">
      <c r="A388" s="5"/>
      <c r="C388" s="6"/>
    </row>
    <row r="389" spans="1:3" ht="15.75" customHeight="1" x14ac:dyDescent="0.35">
      <c r="A389" s="5"/>
      <c r="C389" s="6"/>
    </row>
    <row r="390" spans="1:3" ht="15.75" customHeight="1" x14ac:dyDescent="0.35">
      <c r="A390" s="5"/>
      <c r="C390" s="6"/>
    </row>
    <row r="391" spans="1:3" ht="15.75" customHeight="1" x14ac:dyDescent="0.35">
      <c r="A391" s="5"/>
      <c r="C391" s="6"/>
    </row>
    <row r="392" spans="1:3" ht="15.75" customHeight="1" x14ac:dyDescent="0.35">
      <c r="A392" s="5"/>
      <c r="C392" s="6"/>
    </row>
    <row r="393" spans="1:3" ht="15.75" customHeight="1" x14ac:dyDescent="0.35">
      <c r="A393" s="5"/>
      <c r="C393" s="6"/>
    </row>
    <row r="394" spans="1:3" ht="15.75" customHeight="1" x14ac:dyDescent="0.35">
      <c r="A394" s="5"/>
      <c r="C394" s="6"/>
    </row>
    <row r="395" spans="1:3" ht="15.75" customHeight="1" x14ac:dyDescent="0.35">
      <c r="A395" s="5"/>
      <c r="C395" s="6"/>
    </row>
    <row r="396" spans="1:3" ht="15.75" customHeight="1" x14ac:dyDescent="0.35">
      <c r="A396" s="5"/>
      <c r="C396" s="6"/>
    </row>
    <row r="397" spans="1:3" ht="15.75" customHeight="1" x14ac:dyDescent="0.35">
      <c r="A397" s="5"/>
      <c r="C397" s="6"/>
    </row>
    <row r="398" spans="1:3" ht="15.75" customHeight="1" x14ac:dyDescent="0.35">
      <c r="A398" s="5"/>
      <c r="C398" s="6"/>
    </row>
    <row r="399" spans="1:3" ht="15.75" customHeight="1" x14ac:dyDescent="0.35">
      <c r="A399" s="5"/>
      <c r="C399" s="6"/>
    </row>
    <row r="400" spans="1:3" ht="15.75" customHeight="1" x14ac:dyDescent="0.35">
      <c r="A400" s="5"/>
      <c r="C400" s="6"/>
    </row>
    <row r="401" spans="1:3" ht="15.75" customHeight="1" x14ac:dyDescent="0.35">
      <c r="A401" s="5"/>
      <c r="C401" s="6"/>
    </row>
    <row r="402" spans="1:3" ht="15.75" customHeight="1" x14ac:dyDescent="0.35">
      <c r="A402" s="5"/>
      <c r="C402" s="6"/>
    </row>
    <row r="403" spans="1:3" ht="15.75" customHeight="1" x14ac:dyDescent="0.35">
      <c r="A403" s="5"/>
      <c r="C403" s="6"/>
    </row>
    <row r="404" spans="1:3" ht="15.75" customHeight="1" x14ac:dyDescent="0.35">
      <c r="A404" s="5"/>
      <c r="C404" s="6"/>
    </row>
    <row r="405" spans="1:3" ht="15.75" customHeight="1" x14ac:dyDescent="0.35">
      <c r="A405" s="5"/>
      <c r="C405" s="6"/>
    </row>
    <row r="406" spans="1:3" ht="15.75" customHeight="1" x14ac:dyDescent="0.35">
      <c r="A406" s="5"/>
      <c r="C406" s="6"/>
    </row>
    <row r="407" spans="1:3" ht="15.75" customHeight="1" x14ac:dyDescent="0.35">
      <c r="A407" s="5"/>
      <c r="C407" s="6"/>
    </row>
    <row r="408" spans="1:3" ht="15.75" customHeight="1" x14ac:dyDescent="0.35">
      <c r="A408" s="5"/>
      <c r="C408" s="6"/>
    </row>
    <row r="409" spans="1:3" ht="15.75" customHeight="1" x14ac:dyDescent="0.35">
      <c r="A409" s="5"/>
      <c r="C409" s="6"/>
    </row>
    <row r="410" spans="1:3" ht="15.75" customHeight="1" x14ac:dyDescent="0.35">
      <c r="A410" s="5"/>
      <c r="C410" s="6"/>
    </row>
    <row r="411" spans="1:3" ht="15.75" customHeight="1" x14ac:dyDescent="0.35">
      <c r="A411" s="5"/>
      <c r="C411" s="6"/>
    </row>
    <row r="412" spans="1:3" ht="15.75" customHeight="1" x14ac:dyDescent="0.35">
      <c r="A412" s="5"/>
      <c r="C412" s="6"/>
    </row>
    <row r="413" spans="1:3" ht="15.75" customHeight="1" x14ac:dyDescent="0.35">
      <c r="A413" s="5"/>
      <c r="C413" s="6"/>
    </row>
    <row r="414" spans="1:3" ht="15.75" customHeight="1" x14ac:dyDescent="0.35">
      <c r="A414" s="5"/>
      <c r="C414" s="6"/>
    </row>
    <row r="415" spans="1:3" ht="15.75" customHeight="1" x14ac:dyDescent="0.35">
      <c r="A415" s="5"/>
      <c r="C415" s="6"/>
    </row>
    <row r="416" spans="1:3" ht="15.75" customHeight="1" x14ac:dyDescent="0.35">
      <c r="A416" s="5"/>
      <c r="C416" s="6"/>
    </row>
    <row r="417" spans="1:3" ht="15.75" customHeight="1" x14ac:dyDescent="0.35">
      <c r="A417" s="5"/>
      <c r="C417" s="6"/>
    </row>
    <row r="418" spans="1:3" ht="15.75" customHeight="1" x14ac:dyDescent="0.35">
      <c r="A418" s="5"/>
      <c r="C418" s="6"/>
    </row>
    <row r="419" spans="1:3" ht="15.75" customHeight="1" x14ac:dyDescent="0.35">
      <c r="A419" s="5"/>
      <c r="C419" s="6"/>
    </row>
    <row r="420" spans="1:3" ht="15.75" customHeight="1" x14ac:dyDescent="0.35">
      <c r="A420" s="5"/>
      <c r="C420" s="6"/>
    </row>
    <row r="421" spans="1:3" ht="15.75" customHeight="1" x14ac:dyDescent="0.35">
      <c r="A421" s="5"/>
      <c r="C421" s="6"/>
    </row>
    <row r="422" spans="1:3" ht="15.75" customHeight="1" x14ac:dyDescent="0.35">
      <c r="A422" s="5"/>
      <c r="C422" s="6"/>
    </row>
    <row r="423" spans="1:3" ht="15.75" customHeight="1" x14ac:dyDescent="0.35">
      <c r="A423" s="5"/>
      <c r="C423" s="6"/>
    </row>
    <row r="424" spans="1:3" ht="15.75" customHeight="1" x14ac:dyDescent="0.35">
      <c r="A424" s="5"/>
      <c r="C424" s="6"/>
    </row>
    <row r="425" spans="1:3" ht="15.75" customHeight="1" x14ac:dyDescent="0.35">
      <c r="A425" s="5"/>
      <c r="C425" s="6"/>
    </row>
    <row r="426" spans="1:3" ht="15.75" customHeight="1" x14ac:dyDescent="0.35">
      <c r="A426" s="5"/>
      <c r="C426" s="6"/>
    </row>
    <row r="427" spans="1:3" ht="15.75" customHeight="1" x14ac:dyDescent="0.35">
      <c r="A427" s="5"/>
      <c r="C427" s="6"/>
    </row>
    <row r="428" spans="1:3" ht="15.75" customHeight="1" x14ac:dyDescent="0.35">
      <c r="A428" s="5"/>
      <c r="C428" s="6"/>
    </row>
    <row r="429" spans="1:3" ht="15.75" customHeight="1" x14ac:dyDescent="0.35">
      <c r="A429" s="5"/>
      <c r="C429" s="6"/>
    </row>
    <row r="430" spans="1:3" ht="15.75" customHeight="1" x14ac:dyDescent="0.35">
      <c r="A430" s="5"/>
      <c r="C430" s="6"/>
    </row>
    <row r="431" spans="1:3" ht="15.75" customHeight="1" x14ac:dyDescent="0.35">
      <c r="A431" s="5"/>
      <c r="C431" s="6"/>
    </row>
    <row r="432" spans="1:3" ht="15.75" customHeight="1" x14ac:dyDescent="0.35">
      <c r="A432" s="5"/>
      <c r="C432" s="6"/>
    </row>
    <row r="433" spans="1:3" ht="15.75" customHeight="1" x14ac:dyDescent="0.35">
      <c r="A433" s="5"/>
      <c r="C433" s="6"/>
    </row>
    <row r="434" spans="1:3" ht="15.75" customHeight="1" x14ac:dyDescent="0.35">
      <c r="A434" s="5"/>
      <c r="C434" s="6"/>
    </row>
    <row r="435" spans="1:3" ht="15.75" customHeight="1" x14ac:dyDescent="0.35">
      <c r="A435" s="5"/>
      <c r="C435" s="6"/>
    </row>
    <row r="436" spans="1:3" ht="15.75" customHeight="1" x14ac:dyDescent="0.35">
      <c r="A436" s="5"/>
      <c r="C436" s="6"/>
    </row>
    <row r="437" spans="1:3" ht="15.75" customHeight="1" x14ac:dyDescent="0.35">
      <c r="A437" s="5"/>
      <c r="C437" s="6"/>
    </row>
    <row r="438" spans="1:3" ht="15.75" customHeight="1" x14ac:dyDescent="0.35">
      <c r="A438" s="5"/>
      <c r="C438" s="6"/>
    </row>
    <row r="439" spans="1:3" ht="15.75" customHeight="1" x14ac:dyDescent="0.35">
      <c r="A439" s="5"/>
      <c r="C439" s="6"/>
    </row>
    <row r="440" spans="1:3" ht="15.75" customHeight="1" x14ac:dyDescent="0.35">
      <c r="A440" s="5"/>
      <c r="C440" s="6"/>
    </row>
    <row r="441" spans="1:3" ht="15.75" customHeight="1" x14ac:dyDescent="0.35">
      <c r="A441" s="5"/>
      <c r="C441" s="6"/>
    </row>
    <row r="442" spans="1:3" ht="15.75" customHeight="1" x14ac:dyDescent="0.35">
      <c r="A442" s="5"/>
      <c r="C442" s="6"/>
    </row>
    <row r="443" spans="1:3" ht="15.75" customHeight="1" x14ac:dyDescent="0.35">
      <c r="A443" s="5"/>
      <c r="C443" s="6"/>
    </row>
    <row r="444" spans="1:3" ht="15.75" customHeight="1" x14ac:dyDescent="0.35">
      <c r="A444" s="5"/>
      <c r="C444" s="6"/>
    </row>
    <row r="445" spans="1:3" ht="15.75" customHeight="1" x14ac:dyDescent="0.35">
      <c r="A445" s="5"/>
      <c r="C445" s="6"/>
    </row>
    <row r="446" spans="1:3" ht="15.75" customHeight="1" x14ac:dyDescent="0.35">
      <c r="A446" s="5"/>
      <c r="C446" s="6"/>
    </row>
    <row r="447" spans="1:3" ht="15.75" customHeight="1" x14ac:dyDescent="0.35">
      <c r="A447" s="5"/>
      <c r="C447" s="6"/>
    </row>
    <row r="448" spans="1:3" ht="15.75" customHeight="1" x14ac:dyDescent="0.35">
      <c r="A448" s="5"/>
      <c r="C448" s="6"/>
    </row>
    <row r="449" spans="1:3" ht="15.75" customHeight="1" x14ac:dyDescent="0.35">
      <c r="A449" s="5"/>
      <c r="C449" s="6"/>
    </row>
    <row r="450" spans="1:3" ht="15.75" customHeight="1" x14ac:dyDescent="0.35">
      <c r="A450" s="5"/>
      <c r="C450" s="6"/>
    </row>
    <row r="451" spans="1:3" ht="15.75" customHeight="1" x14ac:dyDescent="0.35">
      <c r="A451" s="5"/>
      <c r="C451" s="6"/>
    </row>
    <row r="452" spans="1:3" ht="15.75" customHeight="1" x14ac:dyDescent="0.35">
      <c r="A452" s="5"/>
      <c r="C452" s="6"/>
    </row>
    <row r="453" spans="1:3" ht="15.75" customHeight="1" x14ac:dyDescent="0.35">
      <c r="A453" s="5"/>
      <c r="C453" s="6"/>
    </row>
    <row r="454" spans="1:3" ht="15.75" customHeight="1" x14ac:dyDescent="0.35">
      <c r="A454" s="5"/>
      <c r="C454" s="6"/>
    </row>
    <row r="455" spans="1:3" ht="15.75" customHeight="1" x14ac:dyDescent="0.35">
      <c r="A455" s="5"/>
      <c r="C455" s="6"/>
    </row>
    <row r="456" spans="1:3" ht="15.75" customHeight="1" x14ac:dyDescent="0.35">
      <c r="A456" s="5"/>
      <c r="C456" s="6"/>
    </row>
    <row r="457" spans="1:3" ht="15.75" customHeight="1" x14ac:dyDescent="0.35">
      <c r="A457" s="5"/>
      <c r="C457" s="6"/>
    </row>
    <row r="458" spans="1:3" ht="15.75" customHeight="1" x14ac:dyDescent="0.35">
      <c r="A458" s="5"/>
      <c r="C458" s="6"/>
    </row>
    <row r="459" spans="1:3" ht="15.75" customHeight="1" x14ac:dyDescent="0.35">
      <c r="A459" s="5"/>
      <c r="C459" s="6"/>
    </row>
    <row r="460" spans="1:3" ht="15.75" customHeight="1" x14ac:dyDescent="0.35">
      <c r="A460" s="5"/>
      <c r="C460" s="6"/>
    </row>
    <row r="461" spans="1:3" ht="15.75" customHeight="1" x14ac:dyDescent="0.35">
      <c r="A461" s="5"/>
      <c r="C461" s="6"/>
    </row>
    <row r="462" spans="1:3" ht="15.75" customHeight="1" x14ac:dyDescent="0.35">
      <c r="A462" s="5"/>
      <c r="C462" s="6"/>
    </row>
    <row r="463" spans="1:3" ht="15.75" customHeight="1" x14ac:dyDescent="0.35">
      <c r="A463" s="5"/>
      <c r="C463" s="6"/>
    </row>
    <row r="464" spans="1:3" ht="15.75" customHeight="1" x14ac:dyDescent="0.35">
      <c r="A464" s="5"/>
      <c r="C464" s="6"/>
    </row>
    <row r="465" spans="1:3" ht="15.75" customHeight="1" x14ac:dyDescent="0.35">
      <c r="A465" s="5"/>
      <c r="C465" s="6"/>
    </row>
    <row r="466" spans="1:3" ht="15.75" customHeight="1" x14ac:dyDescent="0.35">
      <c r="A466" s="5"/>
      <c r="C466" s="6"/>
    </row>
    <row r="467" spans="1:3" ht="15.75" customHeight="1" x14ac:dyDescent="0.35">
      <c r="A467" s="5"/>
      <c r="C467" s="6"/>
    </row>
    <row r="468" spans="1:3" ht="15.75" customHeight="1" x14ac:dyDescent="0.35">
      <c r="A468" s="5"/>
      <c r="C468" s="6"/>
    </row>
    <row r="469" spans="1:3" ht="15.75" customHeight="1" x14ac:dyDescent="0.35">
      <c r="A469" s="5"/>
      <c r="C469" s="6"/>
    </row>
    <row r="470" spans="1:3" ht="15.75" customHeight="1" x14ac:dyDescent="0.35">
      <c r="A470" s="5"/>
      <c r="C470" s="6"/>
    </row>
    <row r="471" spans="1:3" ht="15.75" customHeight="1" x14ac:dyDescent="0.35">
      <c r="A471" s="5"/>
      <c r="C471" s="6"/>
    </row>
    <row r="472" spans="1:3" ht="15.75" customHeight="1" x14ac:dyDescent="0.35">
      <c r="A472" s="5"/>
      <c r="C472" s="6"/>
    </row>
    <row r="473" spans="1:3" ht="15.75" customHeight="1" x14ac:dyDescent="0.35">
      <c r="A473" s="5"/>
      <c r="C473" s="6"/>
    </row>
    <row r="474" spans="1:3" ht="15.75" customHeight="1" x14ac:dyDescent="0.35">
      <c r="A474" s="5"/>
      <c r="C474" s="6"/>
    </row>
    <row r="475" spans="1:3" ht="15.75" customHeight="1" x14ac:dyDescent="0.35">
      <c r="A475" s="5"/>
      <c r="C475" s="6"/>
    </row>
    <row r="476" spans="1:3" ht="15.75" customHeight="1" x14ac:dyDescent="0.35">
      <c r="A476" s="5"/>
      <c r="C476" s="6"/>
    </row>
    <row r="477" spans="1:3" ht="15.75" customHeight="1" x14ac:dyDescent="0.35">
      <c r="A477" s="5"/>
      <c r="C477" s="6"/>
    </row>
    <row r="478" spans="1:3" ht="15.75" customHeight="1" x14ac:dyDescent="0.35">
      <c r="A478" s="5"/>
      <c r="C478" s="6"/>
    </row>
    <row r="479" spans="1:3" ht="15.75" customHeight="1" x14ac:dyDescent="0.35">
      <c r="A479" s="5"/>
      <c r="C479" s="6"/>
    </row>
    <row r="480" spans="1:3" ht="15.75" customHeight="1" x14ac:dyDescent="0.35">
      <c r="A480" s="5"/>
      <c r="C480" s="6"/>
    </row>
    <row r="481" spans="1:3" ht="15.75" customHeight="1" x14ac:dyDescent="0.35">
      <c r="A481" s="5"/>
      <c r="C481" s="6"/>
    </row>
    <row r="482" spans="1:3" ht="15.75" customHeight="1" x14ac:dyDescent="0.35">
      <c r="A482" s="5"/>
      <c r="C482" s="6"/>
    </row>
    <row r="483" spans="1:3" ht="15.75" customHeight="1" x14ac:dyDescent="0.35">
      <c r="A483" s="5"/>
      <c r="C483" s="6"/>
    </row>
    <row r="484" spans="1:3" ht="15.75" customHeight="1" x14ac:dyDescent="0.35">
      <c r="A484" s="5"/>
      <c r="C484" s="6"/>
    </row>
    <row r="485" spans="1:3" ht="15.75" customHeight="1" x14ac:dyDescent="0.35">
      <c r="A485" s="5"/>
      <c r="C485" s="6"/>
    </row>
    <row r="486" spans="1:3" ht="15.75" customHeight="1" x14ac:dyDescent="0.35">
      <c r="A486" s="5"/>
      <c r="C486" s="6"/>
    </row>
    <row r="487" spans="1:3" ht="15.75" customHeight="1" x14ac:dyDescent="0.35">
      <c r="A487" s="5"/>
      <c r="C487" s="6"/>
    </row>
    <row r="488" spans="1:3" ht="15.75" customHeight="1" x14ac:dyDescent="0.35">
      <c r="A488" s="5"/>
      <c r="C488" s="6"/>
    </row>
    <row r="489" spans="1:3" ht="15.75" customHeight="1" x14ac:dyDescent="0.35">
      <c r="A489" s="5"/>
      <c r="C489" s="6"/>
    </row>
    <row r="490" spans="1:3" ht="15.75" customHeight="1" x14ac:dyDescent="0.35">
      <c r="A490" s="5"/>
      <c r="C490" s="6"/>
    </row>
    <row r="491" spans="1:3" ht="15.75" customHeight="1" x14ac:dyDescent="0.35">
      <c r="A491" s="5"/>
      <c r="C491" s="6"/>
    </row>
    <row r="492" spans="1:3" ht="15.75" customHeight="1" x14ac:dyDescent="0.35">
      <c r="A492" s="5"/>
      <c r="C492" s="6"/>
    </row>
    <row r="493" spans="1:3" ht="15.75" customHeight="1" x14ac:dyDescent="0.35">
      <c r="A493" s="5"/>
      <c r="C493" s="6"/>
    </row>
    <row r="494" spans="1:3" ht="15.75" customHeight="1" x14ac:dyDescent="0.35">
      <c r="A494" s="5"/>
      <c r="C494" s="6"/>
    </row>
    <row r="495" spans="1:3" ht="15.75" customHeight="1" x14ac:dyDescent="0.35">
      <c r="A495" s="5"/>
      <c r="C495" s="6"/>
    </row>
    <row r="496" spans="1:3" ht="15.75" customHeight="1" x14ac:dyDescent="0.35">
      <c r="A496" s="5"/>
      <c r="C496" s="6"/>
    </row>
    <row r="497" spans="1:3" ht="15.75" customHeight="1" x14ac:dyDescent="0.35">
      <c r="A497" s="5"/>
      <c r="C497" s="6"/>
    </row>
    <row r="498" spans="1:3" ht="15.75" customHeight="1" x14ac:dyDescent="0.35">
      <c r="A498" s="5"/>
      <c r="C498" s="6"/>
    </row>
    <row r="499" spans="1:3" ht="15.75" customHeight="1" x14ac:dyDescent="0.35">
      <c r="A499" s="5"/>
      <c r="C499" s="6"/>
    </row>
    <row r="500" spans="1:3" ht="15.75" customHeight="1" x14ac:dyDescent="0.35">
      <c r="A500" s="5"/>
      <c r="C500" s="6"/>
    </row>
    <row r="501" spans="1:3" ht="15.75" customHeight="1" x14ac:dyDescent="0.35">
      <c r="A501" s="5"/>
      <c r="C501" s="6"/>
    </row>
    <row r="502" spans="1:3" ht="15.75" customHeight="1" x14ac:dyDescent="0.35">
      <c r="A502" s="5"/>
      <c r="C502" s="6"/>
    </row>
    <row r="503" spans="1:3" ht="15.75" customHeight="1" x14ac:dyDescent="0.35">
      <c r="A503" s="5"/>
      <c r="C503" s="6"/>
    </row>
    <row r="504" spans="1:3" ht="15.75" customHeight="1" x14ac:dyDescent="0.35">
      <c r="A504" s="5"/>
      <c r="C504" s="6"/>
    </row>
    <row r="505" spans="1:3" ht="15.75" customHeight="1" x14ac:dyDescent="0.35">
      <c r="A505" s="5"/>
      <c r="C505" s="6"/>
    </row>
    <row r="506" spans="1:3" ht="15.75" customHeight="1" x14ac:dyDescent="0.35">
      <c r="A506" s="5"/>
      <c r="C506" s="6"/>
    </row>
    <row r="507" spans="1:3" ht="15.75" customHeight="1" x14ac:dyDescent="0.35">
      <c r="A507" s="5"/>
      <c r="C507" s="6"/>
    </row>
    <row r="508" spans="1:3" ht="15.75" customHeight="1" x14ac:dyDescent="0.35">
      <c r="A508" s="5"/>
      <c r="C508" s="6"/>
    </row>
    <row r="509" spans="1:3" ht="15.75" customHeight="1" x14ac:dyDescent="0.35">
      <c r="A509" s="5"/>
      <c r="C509" s="6"/>
    </row>
    <row r="510" spans="1:3" ht="15.75" customHeight="1" x14ac:dyDescent="0.35">
      <c r="A510" s="5"/>
      <c r="C510" s="6"/>
    </row>
    <row r="511" spans="1:3" ht="15.75" customHeight="1" x14ac:dyDescent="0.35">
      <c r="A511" s="5"/>
      <c r="C511" s="6"/>
    </row>
    <row r="512" spans="1:3" ht="15.75" customHeight="1" x14ac:dyDescent="0.35">
      <c r="A512" s="5"/>
      <c r="C512" s="6"/>
    </row>
    <row r="513" spans="1:3" ht="15.75" customHeight="1" x14ac:dyDescent="0.35">
      <c r="A513" s="5"/>
      <c r="C513" s="6"/>
    </row>
    <row r="514" spans="1:3" ht="15.75" customHeight="1" x14ac:dyDescent="0.35">
      <c r="A514" s="5"/>
      <c r="C514" s="6"/>
    </row>
    <row r="515" spans="1:3" ht="15.75" customHeight="1" x14ac:dyDescent="0.35">
      <c r="A515" s="5"/>
      <c r="C515" s="6"/>
    </row>
    <row r="516" spans="1:3" ht="15.75" customHeight="1" x14ac:dyDescent="0.35">
      <c r="A516" s="5"/>
      <c r="C516" s="6"/>
    </row>
    <row r="517" spans="1:3" ht="15.75" customHeight="1" x14ac:dyDescent="0.35">
      <c r="A517" s="5"/>
      <c r="C517" s="6"/>
    </row>
    <row r="518" spans="1:3" ht="15.75" customHeight="1" x14ac:dyDescent="0.35">
      <c r="A518" s="5"/>
      <c r="C518" s="6"/>
    </row>
    <row r="519" spans="1:3" ht="15.75" customHeight="1" x14ac:dyDescent="0.35">
      <c r="A519" s="5"/>
      <c r="C519" s="6"/>
    </row>
    <row r="520" spans="1:3" ht="15.75" customHeight="1" x14ac:dyDescent="0.35">
      <c r="A520" s="5"/>
      <c r="C520" s="6"/>
    </row>
    <row r="521" spans="1:3" ht="15.75" customHeight="1" x14ac:dyDescent="0.35">
      <c r="A521" s="5"/>
      <c r="C521" s="6"/>
    </row>
    <row r="522" spans="1:3" ht="15.75" customHeight="1" x14ac:dyDescent="0.35">
      <c r="A522" s="5"/>
      <c r="C522" s="6"/>
    </row>
    <row r="523" spans="1:3" ht="15.75" customHeight="1" x14ac:dyDescent="0.35">
      <c r="A523" s="5"/>
      <c r="C523" s="6"/>
    </row>
    <row r="524" spans="1:3" ht="15.75" customHeight="1" x14ac:dyDescent="0.35">
      <c r="A524" s="5"/>
      <c r="C524" s="6"/>
    </row>
    <row r="525" spans="1:3" ht="15.75" customHeight="1" x14ac:dyDescent="0.35">
      <c r="A525" s="5"/>
      <c r="C525" s="6"/>
    </row>
    <row r="526" spans="1:3" ht="15.75" customHeight="1" x14ac:dyDescent="0.35">
      <c r="A526" s="5"/>
      <c r="C526" s="6"/>
    </row>
    <row r="527" spans="1:3" ht="15.75" customHeight="1" x14ac:dyDescent="0.35">
      <c r="A527" s="5"/>
      <c r="C527" s="6"/>
    </row>
    <row r="528" spans="1:3" ht="15.75" customHeight="1" x14ac:dyDescent="0.35">
      <c r="A528" s="5"/>
      <c r="C528" s="6"/>
    </row>
    <row r="529" spans="1:3" ht="15.75" customHeight="1" x14ac:dyDescent="0.35">
      <c r="A529" s="5"/>
      <c r="C529" s="6"/>
    </row>
    <row r="530" spans="1:3" ht="15.75" customHeight="1" x14ac:dyDescent="0.35">
      <c r="A530" s="5"/>
      <c r="C530" s="6"/>
    </row>
    <row r="531" spans="1:3" ht="15.75" customHeight="1" x14ac:dyDescent="0.35">
      <c r="A531" s="5"/>
      <c r="C531" s="6"/>
    </row>
    <row r="532" spans="1:3" ht="15.75" customHeight="1" x14ac:dyDescent="0.35">
      <c r="A532" s="5"/>
      <c r="C532" s="6"/>
    </row>
    <row r="533" spans="1:3" ht="15.75" customHeight="1" x14ac:dyDescent="0.35">
      <c r="A533" s="5"/>
      <c r="C533" s="6"/>
    </row>
    <row r="534" spans="1:3" ht="15.75" customHeight="1" x14ac:dyDescent="0.35">
      <c r="A534" s="5"/>
      <c r="C534" s="6"/>
    </row>
    <row r="535" spans="1:3" ht="15.75" customHeight="1" x14ac:dyDescent="0.35">
      <c r="A535" s="5"/>
      <c r="C535" s="6"/>
    </row>
    <row r="536" spans="1:3" ht="15.75" customHeight="1" x14ac:dyDescent="0.35">
      <c r="A536" s="5"/>
      <c r="C536" s="6"/>
    </row>
    <row r="537" spans="1:3" ht="15.75" customHeight="1" x14ac:dyDescent="0.35">
      <c r="A537" s="5"/>
      <c r="C537" s="6"/>
    </row>
    <row r="538" spans="1:3" ht="15.75" customHeight="1" x14ac:dyDescent="0.35">
      <c r="A538" s="5"/>
      <c r="C538" s="6"/>
    </row>
    <row r="539" spans="1:3" ht="15.75" customHeight="1" x14ac:dyDescent="0.35">
      <c r="A539" s="5"/>
      <c r="C539" s="6"/>
    </row>
    <row r="540" spans="1:3" ht="15.75" customHeight="1" x14ac:dyDescent="0.35">
      <c r="A540" s="5"/>
      <c r="C540" s="6"/>
    </row>
    <row r="541" spans="1:3" ht="15.75" customHeight="1" x14ac:dyDescent="0.35">
      <c r="A541" s="5"/>
      <c r="C541" s="6"/>
    </row>
    <row r="542" spans="1:3" ht="15.75" customHeight="1" x14ac:dyDescent="0.35">
      <c r="A542" s="5"/>
      <c r="C542" s="6"/>
    </row>
    <row r="543" spans="1:3" ht="15.75" customHeight="1" x14ac:dyDescent="0.35">
      <c r="A543" s="5"/>
      <c r="C543" s="6"/>
    </row>
    <row r="544" spans="1:3" ht="15.75" customHeight="1" x14ac:dyDescent="0.35">
      <c r="A544" s="5"/>
      <c r="C544" s="6"/>
    </row>
    <row r="545" spans="1:3" ht="15.75" customHeight="1" x14ac:dyDescent="0.35">
      <c r="A545" s="5"/>
      <c r="C545" s="6"/>
    </row>
    <row r="546" spans="1:3" ht="15.75" customHeight="1" x14ac:dyDescent="0.35">
      <c r="A546" s="5"/>
      <c r="C546" s="6"/>
    </row>
    <row r="547" spans="1:3" ht="15.75" customHeight="1" x14ac:dyDescent="0.35">
      <c r="A547" s="5"/>
      <c r="C547" s="6"/>
    </row>
    <row r="548" spans="1:3" ht="15.75" customHeight="1" x14ac:dyDescent="0.35">
      <c r="A548" s="5"/>
      <c r="C548" s="6"/>
    </row>
    <row r="549" spans="1:3" ht="15.75" customHeight="1" x14ac:dyDescent="0.35">
      <c r="A549" s="5"/>
      <c r="C549" s="6"/>
    </row>
    <row r="550" spans="1:3" ht="15.75" customHeight="1" x14ac:dyDescent="0.35">
      <c r="A550" s="5"/>
      <c r="C550" s="6"/>
    </row>
    <row r="551" spans="1:3" ht="15.75" customHeight="1" x14ac:dyDescent="0.35">
      <c r="A551" s="5"/>
      <c r="C551" s="6"/>
    </row>
    <row r="552" spans="1:3" ht="15.75" customHeight="1" x14ac:dyDescent="0.35">
      <c r="A552" s="5"/>
      <c r="C552" s="6"/>
    </row>
    <row r="553" spans="1:3" ht="15.75" customHeight="1" x14ac:dyDescent="0.35">
      <c r="A553" s="5"/>
      <c r="C553" s="6"/>
    </row>
    <row r="554" spans="1:3" ht="15.75" customHeight="1" x14ac:dyDescent="0.35">
      <c r="A554" s="5"/>
      <c r="C554" s="6"/>
    </row>
    <row r="555" spans="1:3" ht="15.75" customHeight="1" x14ac:dyDescent="0.35">
      <c r="A555" s="5"/>
      <c r="C555" s="6"/>
    </row>
    <row r="556" spans="1:3" ht="15.75" customHeight="1" x14ac:dyDescent="0.35">
      <c r="A556" s="5"/>
      <c r="C556" s="6"/>
    </row>
    <row r="557" spans="1:3" ht="15.75" customHeight="1" x14ac:dyDescent="0.35">
      <c r="A557" s="5"/>
      <c r="C557" s="6"/>
    </row>
    <row r="558" spans="1:3" ht="15.75" customHeight="1" x14ac:dyDescent="0.35">
      <c r="A558" s="5"/>
      <c r="C558" s="6"/>
    </row>
    <row r="559" spans="1:3" ht="15.75" customHeight="1" x14ac:dyDescent="0.35">
      <c r="A559" s="5"/>
      <c r="C559" s="6"/>
    </row>
    <row r="560" spans="1:3" ht="15.75" customHeight="1" x14ac:dyDescent="0.35">
      <c r="A560" s="5"/>
      <c r="C560" s="6"/>
    </row>
    <row r="561" spans="1:3" ht="15.75" customHeight="1" x14ac:dyDescent="0.35">
      <c r="A561" s="5"/>
      <c r="C561" s="6"/>
    </row>
    <row r="562" spans="1:3" ht="15.75" customHeight="1" x14ac:dyDescent="0.35">
      <c r="A562" s="5"/>
      <c r="C562" s="6"/>
    </row>
    <row r="563" spans="1:3" ht="15.75" customHeight="1" x14ac:dyDescent="0.35">
      <c r="A563" s="5"/>
      <c r="C563" s="6"/>
    </row>
    <row r="564" spans="1:3" ht="15.75" customHeight="1" x14ac:dyDescent="0.35">
      <c r="A564" s="5"/>
      <c r="C564" s="6"/>
    </row>
    <row r="565" spans="1:3" ht="15.75" customHeight="1" x14ac:dyDescent="0.35">
      <c r="A565" s="5"/>
      <c r="C565" s="6"/>
    </row>
    <row r="566" spans="1:3" ht="15.75" customHeight="1" x14ac:dyDescent="0.35">
      <c r="A566" s="5"/>
      <c r="C566" s="6"/>
    </row>
    <row r="567" spans="1:3" ht="15.75" customHeight="1" x14ac:dyDescent="0.35">
      <c r="A567" s="5"/>
      <c r="C567" s="6"/>
    </row>
    <row r="568" spans="1:3" ht="15.75" customHeight="1" x14ac:dyDescent="0.35">
      <c r="A568" s="5"/>
      <c r="C568" s="6"/>
    </row>
    <row r="569" spans="1:3" ht="15.75" customHeight="1" x14ac:dyDescent="0.35">
      <c r="A569" s="5"/>
      <c r="C569" s="6"/>
    </row>
    <row r="570" spans="1:3" ht="15.75" customHeight="1" x14ac:dyDescent="0.35">
      <c r="A570" s="5"/>
      <c r="C570" s="6"/>
    </row>
    <row r="571" spans="1:3" ht="15.75" customHeight="1" x14ac:dyDescent="0.35">
      <c r="A571" s="5"/>
      <c r="C571" s="6"/>
    </row>
    <row r="572" spans="1:3" ht="15.75" customHeight="1" x14ac:dyDescent="0.35">
      <c r="A572" s="5"/>
      <c r="C572" s="6"/>
    </row>
    <row r="573" spans="1:3" ht="15.75" customHeight="1" x14ac:dyDescent="0.35">
      <c r="A573" s="5"/>
      <c r="C573" s="6"/>
    </row>
    <row r="574" spans="1:3" ht="15.75" customHeight="1" x14ac:dyDescent="0.35">
      <c r="A574" s="5"/>
      <c r="C574" s="6"/>
    </row>
    <row r="575" spans="1:3" ht="15.75" customHeight="1" x14ac:dyDescent="0.35">
      <c r="A575" s="5"/>
      <c r="C575" s="6"/>
    </row>
    <row r="576" spans="1:3" ht="15.75" customHeight="1" x14ac:dyDescent="0.35">
      <c r="A576" s="5"/>
      <c r="C576" s="6"/>
    </row>
    <row r="577" spans="1:3" ht="15.75" customHeight="1" x14ac:dyDescent="0.35">
      <c r="A577" s="5"/>
      <c r="C577" s="6"/>
    </row>
    <row r="578" spans="1:3" ht="15.75" customHeight="1" x14ac:dyDescent="0.35">
      <c r="A578" s="5"/>
      <c r="C578" s="6"/>
    </row>
    <row r="579" spans="1:3" ht="15.75" customHeight="1" x14ac:dyDescent="0.35">
      <c r="A579" s="5"/>
      <c r="C579" s="6"/>
    </row>
    <row r="580" spans="1:3" ht="15.75" customHeight="1" x14ac:dyDescent="0.35">
      <c r="A580" s="5"/>
      <c r="C580" s="6"/>
    </row>
    <row r="581" spans="1:3" ht="15.75" customHeight="1" x14ac:dyDescent="0.35">
      <c r="A581" s="5"/>
      <c r="C581" s="6"/>
    </row>
    <row r="582" spans="1:3" ht="15.75" customHeight="1" x14ac:dyDescent="0.35">
      <c r="A582" s="5"/>
      <c r="C582" s="6"/>
    </row>
    <row r="583" spans="1:3" ht="15.75" customHeight="1" x14ac:dyDescent="0.35">
      <c r="A583" s="5"/>
      <c r="C583" s="6"/>
    </row>
    <row r="584" spans="1:3" ht="15.75" customHeight="1" x14ac:dyDescent="0.35">
      <c r="A584" s="5"/>
      <c r="C584" s="6"/>
    </row>
    <row r="585" spans="1:3" ht="15.75" customHeight="1" x14ac:dyDescent="0.35">
      <c r="A585" s="5"/>
      <c r="C585" s="6"/>
    </row>
    <row r="586" spans="1:3" ht="15.75" customHeight="1" x14ac:dyDescent="0.35">
      <c r="A586" s="5"/>
      <c r="C586" s="6"/>
    </row>
    <row r="587" spans="1:3" ht="15.75" customHeight="1" x14ac:dyDescent="0.35">
      <c r="A587" s="5"/>
      <c r="C587" s="6"/>
    </row>
    <row r="588" spans="1:3" ht="15.75" customHeight="1" x14ac:dyDescent="0.35">
      <c r="A588" s="5"/>
      <c r="C588" s="6"/>
    </row>
    <row r="589" spans="1:3" ht="15.75" customHeight="1" x14ac:dyDescent="0.35">
      <c r="A589" s="5"/>
      <c r="C589" s="6"/>
    </row>
    <row r="590" spans="1:3" ht="15.75" customHeight="1" x14ac:dyDescent="0.35">
      <c r="A590" s="5"/>
      <c r="C590" s="6"/>
    </row>
    <row r="591" spans="1:3" ht="15.75" customHeight="1" x14ac:dyDescent="0.35">
      <c r="A591" s="5"/>
      <c r="C591" s="6"/>
    </row>
    <row r="592" spans="1:3" ht="15.75" customHeight="1" x14ac:dyDescent="0.35">
      <c r="A592" s="5"/>
      <c r="C592" s="6"/>
    </row>
    <row r="593" spans="1:3" ht="15.75" customHeight="1" x14ac:dyDescent="0.35">
      <c r="A593" s="5"/>
      <c r="C593" s="6"/>
    </row>
    <row r="594" spans="1:3" ht="15.75" customHeight="1" x14ac:dyDescent="0.35">
      <c r="A594" s="5"/>
      <c r="C594" s="6"/>
    </row>
    <row r="595" spans="1:3" ht="15.75" customHeight="1" x14ac:dyDescent="0.35">
      <c r="A595" s="5"/>
      <c r="C595" s="6"/>
    </row>
    <row r="596" spans="1:3" ht="15.75" customHeight="1" x14ac:dyDescent="0.35">
      <c r="A596" s="5"/>
      <c r="C596" s="6"/>
    </row>
    <row r="597" spans="1:3" ht="15.75" customHeight="1" x14ac:dyDescent="0.35">
      <c r="A597" s="5"/>
      <c r="C597" s="6"/>
    </row>
    <row r="598" spans="1:3" ht="15.75" customHeight="1" x14ac:dyDescent="0.35">
      <c r="A598" s="5"/>
      <c r="C598" s="6"/>
    </row>
    <row r="599" spans="1:3" ht="15.75" customHeight="1" x14ac:dyDescent="0.35">
      <c r="A599" s="5"/>
      <c r="C599" s="6"/>
    </row>
    <row r="600" spans="1:3" ht="15.75" customHeight="1" x14ac:dyDescent="0.35">
      <c r="A600" s="5"/>
      <c r="C600" s="6"/>
    </row>
    <row r="601" spans="1:3" ht="15.75" customHeight="1" x14ac:dyDescent="0.35">
      <c r="A601" s="5"/>
      <c r="C601" s="6"/>
    </row>
    <row r="602" spans="1:3" ht="15.75" customHeight="1" x14ac:dyDescent="0.35">
      <c r="A602" s="5"/>
      <c r="C602" s="6"/>
    </row>
    <row r="603" spans="1:3" ht="15.75" customHeight="1" x14ac:dyDescent="0.35">
      <c r="A603" s="5"/>
      <c r="C603" s="6"/>
    </row>
    <row r="604" spans="1:3" ht="15.75" customHeight="1" x14ac:dyDescent="0.35">
      <c r="A604" s="5"/>
      <c r="C604" s="6"/>
    </row>
    <row r="605" spans="1:3" ht="15.75" customHeight="1" x14ac:dyDescent="0.35">
      <c r="A605" s="5"/>
      <c r="C605" s="6"/>
    </row>
    <row r="606" spans="1:3" ht="15.75" customHeight="1" x14ac:dyDescent="0.35">
      <c r="A606" s="5"/>
      <c r="C606" s="6"/>
    </row>
    <row r="607" spans="1:3" ht="15.75" customHeight="1" x14ac:dyDescent="0.35">
      <c r="A607" s="5"/>
      <c r="C607" s="6"/>
    </row>
    <row r="608" spans="1:3" ht="15.75" customHeight="1" x14ac:dyDescent="0.35">
      <c r="A608" s="5"/>
      <c r="C608" s="6"/>
    </row>
    <row r="609" spans="1:3" ht="15.75" customHeight="1" x14ac:dyDescent="0.35">
      <c r="A609" s="5"/>
      <c r="C609" s="6"/>
    </row>
    <row r="610" spans="1:3" ht="15.75" customHeight="1" x14ac:dyDescent="0.35">
      <c r="A610" s="5"/>
      <c r="C610" s="6"/>
    </row>
    <row r="611" spans="1:3" ht="15.75" customHeight="1" x14ac:dyDescent="0.35">
      <c r="A611" s="5"/>
      <c r="C611" s="6"/>
    </row>
    <row r="612" spans="1:3" ht="15.75" customHeight="1" x14ac:dyDescent="0.35">
      <c r="A612" s="5"/>
      <c r="C612" s="6"/>
    </row>
    <row r="613" spans="1:3" ht="15.75" customHeight="1" x14ac:dyDescent="0.35">
      <c r="A613" s="5"/>
      <c r="C613" s="6"/>
    </row>
    <row r="614" spans="1:3" ht="15.75" customHeight="1" x14ac:dyDescent="0.35">
      <c r="A614" s="5"/>
      <c r="C614" s="6"/>
    </row>
    <row r="615" spans="1:3" ht="15.75" customHeight="1" x14ac:dyDescent="0.35">
      <c r="A615" s="5"/>
      <c r="C615" s="6"/>
    </row>
    <row r="616" spans="1:3" ht="15.75" customHeight="1" x14ac:dyDescent="0.35">
      <c r="A616" s="5"/>
      <c r="C616" s="6"/>
    </row>
    <row r="617" spans="1:3" ht="15.75" customHeight="1" x14ac:dyDescent="0.35">
      <c r="A617" s="5"/>
      <c r="C617" s="6"/>
    </row>
    <row r="618" spans="1:3" ht="15.75" customHeight="1" x14ac:dyDescent="0.35">
      <c r="A618" s="5"/>
      <c r="C618" s="6"/>
    </row>
    <row r="619" spans="1:3" ht="15.75" customHeight="1" x14ac:dyDescent="0.35">
      <c r="A619" s="5"/>
      <c r="C619" s="6"/>
    </row>
    <row r="620" spans="1:3" ht="15.75" customHeight="1" x14ac:dyDescent="0.35">
      <c r="A620" s="5"/>
      <c r="C620" s="6"/>
    </row>
    <row r="621" spans="1:3" ht="15.75" customHeight="1" x14ac:dyDescent="0.35">
      <c r="A621" s="5"/>
      <c r="C621" s="6"/>
    </row>
    <row r="622" spans="1:3" ht="15.75" customHeight="1" x14ac:dyDescent="0.35">
      <c r="A622" s="5"/>
      <c r="C622" s="6"/>
    </row>
    <row r="623" spans="1:3" ht="15.75" customHeight="1" x14ac:dyDescent="0.35">
      <c r="A623" s="5"/>
      <c r="C623" s="6"/>
    </row>
    <row r="624" spans="1:3" ht="15.75" customHeight="1" x14ac:dyDescent="0.35">
      <c r="A624" s="5"/>
      <c r="C624" s="6"/>
    </row>
    <row r="625" spans="1:3" ht="15.75" customHeight="1" x14ac:dyDescent="0.35">
      <c r="A625" s="5"/>
      <c r="C625" s="6"/>
    </row>
    <row r="626" spans="1:3" ht="15.75" customHeight="1" x14ac:dyDescent="0.35">
      <c r="A626" s="5"/>
      <c r="C626" s="6"/>
    </row>
    <row r="627" spans="1:3" ht="15.75" customHeight="1" x14ac:dyDescent="0.35">
      <c r="A627" s="5"/>
      <c r="C627" s="6"/>
    </row>
    <row r="628" spans="1:3" ht="15.75" customHeight="1" x14ac:dyDescent="0.35">
      <c r="A628" s="5"/>
      <c r="C628" s="6"/>
    </row>
    <row r="629" spans="1:3" ht="15.75" customHeight="1" x14ac:dyDescent="0.35">
      <c r="A629" s="5"/>
      <c r="C629" s="6"/>
    </row>
    <row r="630" spans="1:3" ht="15.75" customHeight="1" x14ac:dyDescent="0.35">
      <c r="A630" s="5"/>
      <c r="C630" s="6"/>
    </row>
    <row r="631" spans="1:3" ht="15.75" customHeight="1" x14ac:dyDescent="0.35">
      <c r="A631" s="5"/>
      <c r="C631" s="6"/>
    </row>
    <row r="632" spans="1:3" ht="15.75" customHeight="1" x14ac:dyDescent="0.35">
      <c r="A632" s="5"/>
      <c r="C632" s="6"/>
    </row>
    <row r="633" spans="1:3" ht="15.75" customHeight="1" x14ac:dyDescent="0.35">
      <c r="A633" s="5"/>
      <c r="C633" s="6"/>
    </row>
    <row r="634" spans="1:3" ht="15.75" customHeight="1" x14ac:dyDescent="0.35">
      <c r="A634" s="5"/>
      <c r="C634" s="6"/>
    </row>
    <row r="635" spans="1:3" ht="15.75" customHeight="1" x14ac:dyDescent="0.35">
      <c r="A635" s="5"/>
      <c r="C635" s="6"/>
    </row>
    <row r="636" spans="1:3" ht="15.75" customHeight="1" x14ac:dyDescent="0.35">
      <c r="A636" s="5"/>
      <c r="C636" s="6"/>
    </row>
    <row r="637" spans="1:3" ht="15.75" customHeight="1" x14ac:dyDescent="0.35">
      <c r="A637" s="5"/>
      <c r="C637" s="6"/>
    </row>
    <row r="638" spans="1:3" ht="15.75" customHeight="1" x14ac:dyDescent="0.35">
      <c r="A638" s="5"/>
      <c r="C638" s="6"/>
    </row>
    <row r="639" spans="1:3" ht="15.75" customHeight="1" x14ac:dyDescent="0.35">
      <c r="A639" s="5"/>
      <c r="C639" s="6"/>
    </row>
    <row r="640" spans="1:3" ht="15.75" customHeight="1" x14ac:dyDescent="0.35">
      <c r="A640" s="5"/>
      <c r="C640" s="6"/>
    </row>
    <row r="641" spans="1:3" ht="15.75" customHeight="1" x14ac:dyDescent="0.35">
      <c r="A641" s="5"/>
      <c r="C641" s="6"/>
    </row>
    <row r="642" spans="1:3" ht="15.75" customHeight="1" x14ac:dyDescent="0.35">
      <c r="A642" s="5"/>
      <c r="C642" s="6"/>
    </row>
    <row r="643" spans="1:3" ht="15.75" customHeight="1" x14ac:dyDescent="0.35">
      <c r="A643" s="5"/>
      <c r="C643" s="6"/>
    </row>
    <row r="644" spans="1:3" ht="15.75" customHeight="1" x14ac:dyDescent="0.35">
      <c r="A644" s="5"/>
      <c r="C644" s="6"/>
    </row>
    <row r="645" spans="1:3" ht="15.75" customHeight="1" x14ac:dyDescent="0.35">
      <c r="A645" s="5"/>
      <c r="C645" s="6"/>
    </row>
    <row r="646" spans="1:3" ht="15.75" customHeight="1" x14ac:dyDescent="0.35">
      <c r="A646" s="5"/>
      <c r="C646" s="6"/>
    </row>
    <row r="647" spans="1:3" ht="15.75" customHeight="1" x14ac:dyDescent="0.35">
      <c r="A647" s="5"/>
      <c r="C647" s="6"/>
    </row>
    <row r="648" spans="1:3" ht="15.75" customHeight="1" x14ac:dyDescent="0.35">
      <c r="A648" s="5"/>
      <c r="C648" s="6"/>
    </row>
    <row r="649" spans="1:3" ht="15.75" customHeight="1" x14ac:dyDescent="0.35">
      <c r="A649" s="5"/>
      <c r="C649" s="6"/>
    </row>
    <row r="650" spans="1:3" ht="15.75" customHeight="1" x14ac:dyDescent="0.35">
      <c r="A650" s="5"/>
      <c r="C650" s="6"/>
    </row>
    <row r="651" spans="1:3" ht="15.75" customHeight="1" x14ac:dyDescent="0.35">
      <c r="A651" s="5"/>
      <c r="C651" s="6"/>
    </row>
    <row r="652" spans="1:3" ht="15.75" customHeight="1" x14ac:dyDescent="0.35">
      <c r="A652" s="5"/>
      <c r="C652" s="6"/>
    </row>
    <row r="653" spans="1:3" ht="15.75" customHeight="1" x14ac:dyDescent="0.35">
      <c r="A653" s="5"/>
      <c r="C653" s="6"/>
    </row>
    <row r="654" spans="1:3" ht="15.75" customHeight="1" x14ac:dyDescent="0.35">
      <c r="A654" s="5"/>
      <c r="C654" s="6"/>
    </row>
    <row r="655" spans="1:3" ht="15.75" customHeight="1" x14ac:dyDescent="0.35">
      <c r="A655" s="5"/>
      <c r="C655" s="6"/>
    </row>
    <row r="656" spans="1:3" ht="15.75" customHeight="1" x14ac:dyDescent="0.35">
      <c r="A656" s="5"/>
      <c r="C656" s="6"/>
    </row>
    <row r="657" spans="1:3" ht="15.75" customHeight="1" x14ac:dyDescent="0.35">
      <c r="A657" s="5"/>
      <c r="C657" s="6"/>
    </row>
    <row r="658" spans="1:3" ht="15.75" customHeight="1" x14ac:dyDescent="0.35">
      <c r="A658" s="5"/>
      <c r="C658" s="6"/>
    </row>
    <row r="659" spans="1:3" ht="15.75" customHeight="1" x14ac:dyDescent="0.35">
      <c r="A659" s="5"/>
      <c r="C659" s="6"/>
    </row>
    <row r="660" spans="1:3" ht="15.75" customHeight="1" x14ac:dyDescent="0.35">
      <c r="A660" s="5"/>
      <c r="C660" s="6"/>
    </row>
    <row r="661" spans="1:3" ht="15.75" customHeight="1" x14ac:dyDescent="0.35">
      <c r="A661" s="5"/>
      <c r="C661" s="6"/>
    </row>
    <row r="662" spans="1:3" ht="15.75" customHeight="1" x14ac:dyDescent="0.35">
      <c r="A662" s="5"/>
      <c r="C662" s="6"/>
    </row>
    <row r="663" spans="1:3" ht="15.75" customHeight="1" x14ac:dyDescent="0.35">
      <c r="A663" s="5"/>
      <c r="C663" s="6"/>
    </row>
    <row r="664" spans="1:3" ht="15.75" customHeight="1" x14ac:dyDescent="0.35">
      <c r="A664" s="5"/>
      <c r="C664" s="6"/>
    </row>
    <row r="665" spans="1:3" ht="15.75" customHeight="1" x14ac:dyDescent="0.35">
      <c r="A665" s="5"/>
      <c r="C665" s="6"/>
    </row>
    <row r="666" spans="1:3" ht="15.75" customHeight="1" x14ac:dyDescent="0.35">
      <c r="A666" s="5"/>
      <c r="C666" s="6"/>
    </row>
    <row r="667" spans="1:3" ht="15.75" customHeight="1" x14ac:dyDescent="0.35">
      <c r="A667" s="5"/>
      <c r="C667" s="6"/>
    </row>
    <row r="668" spans="1:3" ht="15.75" customHeight="1" x14ac:dyDescent="0.35">
      <c r="A668" s="5"/>
      <c r="C668" s="6"/>
    </row>
    <row r="669" spans="1:3" ht="15.75" customHeight="1" x14ac:dyDescent="0.35">
      <c r="A669" s="5"/>
      <c r="C669" s="6"/>
    </row>
    <row r="670" spans="1:3" ht="15.75" customHeight="1" x14ac:dyDescent="0.35">
      <c r="A670" s="5"/>
      <c r="C670" s="6"/>
    </row>
    <row r="671" spans="1:3" ht="15.75" customHeight="1" x14ac:dyDescent="0.35">
      <c r="A671" s="5"/>
      <c r="C671" s="6"/>
    </row>
    <row r="672" spans="1:3" ht="15.75" customHeight="1" x14ac:dyDescent="0.35">
      <c r="A672" s="5"/>
      <c r="C672" s="6"/>
    </row>
    <row r="673" spans="1:3" ht="15.75" customHeight="1" x14ac:dyDescent="0.35">
      <c r="A673" s="5"/>
      <c r="C673" s="6"/>
    </row>
    <row r="674" spans="1:3" ht="15.75" customHeight="1" x14ac:dyDescent="0.35">
      <c r="A674" s="5"/>
      <c r="C674" s="6"/>
    </row>
    <row r="675" spans="1:3" ht="15.75" customHeight="1" x14ac:dyDescent="0.35">
      <c r="A675" s="5"/>
      <c r="C675" s="6"/>
    </row>
    <row r="676" spans="1:3" ht="15.75" customHeight="1" x14ac:dyDescent="0.35">
      <c r="A676" s="5"/>
      <c r="C676" s="6"/>
    </row>
    <row r="677" spans="1:3" ht="15.75" customHeight="1" x14ac:dyDescent="0.35">
      <c r="A677" s="5"/>
      <c r="C677" s="6"/>
    </row>
    <row r="678" spans="1:3" ht="15.75" customHeight="1" x14ac:dyDescent="0.35">
      <c r="A678" s="5"/>
      <c r="C678" s="6"/>
    </row>
    <row r="679" spans="1:3" ht="15.75" customHeight="1" x14ac:dyDescent="0.35">
      <c r="A679" s="5"/>
      <c r="C679" s="6"/>
    </row>
    <row r="680" spans="1:3" ht="15.75" customHeight="1" x14ac:dyDescent="0.35">
      <c r="A680" s="5"/>
      <c r="C680" s="6"/>
    </row>
    <row r="681" spans="1:3" ht="15.75" customHeight="1" x14ac:dyDescent="0.35">
      <c r="A681" s="5"/>
      <c r="C681" s="6"/>
    </row>
    <row r="682" spans="1:3" ht="15.75" customHeight="1" x14ac:dyDescent="0.35">
      <c r="A682" s="5"/>
      <c r="C682" s="6"/>
    </row>
    <row r="683" spans="1:3" ht="15.75" customHeight="1" x14ac:dyDescent="0.35">
      <c r="A683" s="5"/>
      <c r="C683" s="6"/>
    </row>
    <row r="684" spans="1:3" ht="15.75" customHeight="1" x14ac:dyDescent="0.35">
      <c r="A684" s="5"/>
      <c r="C684" s="6"/>
    </row>
    <row r="685" spans="1:3" ht="15.75" customHeight="1" x14ac:dyDescent="0.35">
      <c r="A685" s="5"/>
      <c r="C685" s="6"/>
    </row>
    <row r="686" spans="1:3" ht="15.75" customHeight="1" x14ac:dyDescent="0.35">
      <c r="A686" s="5"/>
      <c r="C686" s="6"/>
    </row>
    <row r="687" spans="1:3" ht="15.75" customHeight="1" x14ac:dyDescent="0.35">
      <c r="A687" s="5"/>
      <c r="C687" s="6"/>
    </row>
    <row r="688" spans="1:3" ht="15.75" customHeight="1" x14ac:dyDescent="0.35">
      <c r="A688" s="5"/>
      <c r="C688" s="6"/>
    </row>
    <row r="689" spans="1:3" ht="15.75" customHeight="1" x14ac:dyDescent="0.35">
      <c r="A689" s="5"/>
      <c r="C689" s="6"/>
    </row>
    <row r="690" spans="1:3" ht="15.75" customHeight="1" x14ac:dyDescent="0.35">
      <c r="A690" s="5"/>
      <c r="C690" s="6"/>
    </row>
    <row r="691" spans="1:3" ht="15.75" customHeight="1" x14ac:dyDescent="0.35">
      <c r="A691" s="5"/>
      <c r="C691" s="6"/>
    </row>
    <row r="692" spans="1:3" ht="15.75" customHeight="1" x14ac:dyDescent="0.35">
      <c r="A692" s="5"/>
      <c r="C692" s="6"/>
    </row>
    <row r="693" spans="1:3" ht="15.75" customHeight="1" x14ac:dyDescent="0.35">
      <c r="A693" s="5"/>
      <c r="C693" s="6"/>
    </row>
    <row r="694" spans="1:3" ht="15.75" customHeight="1" x14ac:dyDescent="0.35">
      <c r="A694" s="5"/>
      <c r="C694" s="6"/>
    </row>
    <row r="695" spans="1:3" ht="15.75" customHeight="1" x14ac:dyDescent="0.35">
      <c r="A695" s="5"/>
      <c r="C695" s="6"/>
    </row>
    <row r="696" spans="1:3" ht="15.75" customHeight="1" x14ac:dyDescent="0.35">
      <c r="A696" s="5"/>
      <c r="C696" s="6"/>
    </row>
    <row r="697" spans="1:3" ht="15.75" customHeight="1" x14ac:dyDescent="0.35">
      <c r="A697" s="5"/>
      <c r="C697" s="6"/>
    </row>
    <row r="698" spans="1:3" ht="15.75" customHeight="1" x14ac:dyDescent="0.35">
      <c r="A698" s="5"/>
      <c r="C698" s="6"/>
    </row>
    <row r="699" spans="1:3" ht="15.75" customHeight="1" x14ac:dyDescent="0.35">
      <c r="A699" s="5"/>
      <c r="C699" s="6"/>
    </row>
    <row r="700" spans="1:3" ht="15.75" customHeight="1" x14ac:dyDescent="0.35">
      <c r="A700" s="5"/>
      <c r="C700" s="6"/>
    </row>
    <row r="701" spans="1:3" ht="15.75" customHeight="1" x14ac:dyDescent="0.35">
      <c r="A701" s="5"/>
      <c r="C701" s="6"/>
    </row>
    <row r="702" spans="1:3" ht="15.75" customHeight="1" x14ac:dyDescent="0.35">
      <c r="A702" s="5"/>
      <c r="C702" s="6"/>
    </row>
    <row r="703" spans="1:3" ht="15.75" customHeight="1" x14ac:dyDescent="0.35">
      <c r="A703" s="5"/>
      <c r="C703" s="6"/>
    </row>
    <row r="704" spans="1:3" ht="15.75" customHeight="1" x14ac:dyDescent="0.35">
      <c r="A704" s="5"/>
      <c r="C704" s="6"/>
    </row>
    <row r="705" spans="1:3" ht="15.75" customHeight="1" x14ac:dyDescent="0.35">
      <c r="A705" s="5"/>
      <c r="C705" s="6"/>
    </row>
    <row r="706" spans="1:3" ht="15.75" customHeight="1" x14ac:dyDescent="0.35">
      <c r="A706" s="5"/>
      <c r="C706" s="6"/>
    </row>
    <row r="707" spans="1:3" ht="15.75" customHeight="1" x14ac:dyDescent="0.35">
      <c r="A707" s="5"/>
      <c r="C707" s="6"/>
    </row>
    <row r="708" spans="1:3" ht="15.75" customHeight="1" x14ac:dyDescent="0.35">
      <c r="A708" s="5"/>
      <c r="C708" s="6"/>
    </row>
    <row r="709" spans="1:3" ht="15.75" customHeight="1" x14ac:dyDescent="0.35">
      <c r="A709" s="5"/>
      <c r="C709" s="6"/>
    </row>
    <row r="710" spans="1:3" ht="15.75" customHeight="1" x14ac:dyDescent="0.35">
      <c r="A710" s="5"/>
      <c r="C710" s="6"/>
    </row>
    <row r="711" spans="1:3" ht="15.75" customHeight="1" x14ac:dyDescent="0.35">
      <c r="A711" s="5"/>
      <c r="C711" s="6"/>
    </row>
    <row r="712" spans="1:3" ht="15.75" customHeight="1" x14ac:dyDescent="0.35">
      <c r="A712" s="5"/>
      <c r="C712" s="6"/>
    </row>
    <row r="713" spans="1:3" ht="15.75" customHeight="1" x14ac:dyDescent="0.35">
      <c r="A713" s="5"/>
      <c r="C713" s="6"/>
    </row>
    <row r="714" spans="1:3" ht="15.75" customHeight="1" x14ac:dyDescent="0.35">
      <c r="A714" s="5"/>
      <c r="C714" s="6"/>
    </row>
    <row r="715" spans="1:3" ht="15.75" customHeight="1" x14ac:dyDescent="0.35">
      <c r="A715" s="5"/>
      <c r="C715" s="6"/>
    </row>
    <row r="716" spans="1:3" ht="15.75" customHeight="1" x14ac:dyDescent="0.35">
      <c r="A716" s="5"/>
      <c r="C716" s="6"/>
    </row>
    <row r="717" spans="1:3" ht="15.75" customHeight="1" x14ac:dyDescent="0.35">
      <c r="A717" s="5"/>
      <c r="C717" s="6"/>
    </row>
    <row r="718" spans="1:3" ht="15.75" customHeight="1" x14ac:dyDescent="0.35">
      <c r="A718" s="5"/>
      <c r="C718" s="6"/>
    </row>
    <row r="719" spans="1:3" ht="15.75" customHeight="1" x14ac:dyDescent="0.35">
      <c r="A719" s="5"/>
      <c r="C719" s="6"/>
    </row>
    <row r="720" spans="1:3" ht="15.75" customHeight="1" x14ac:dyDescent="0.35">
      <c r="A720" s="5"/>
      <c r="C720" s="6"/>
    </row>
    <row r="721" spans="1:3" ht="15.75" customHeight="1" x14ac:dyDescent="0.35">
      <c r="A721" s="5"/>
      <c r="C721" s="6"/>
    </row>
    <row r="722" spans="1:3" ht="15.75" customHeight="1" x14ac:dyDescent="0.35">
      <c r="A722" s="5"/>
      <c r="C722" s="6"/>
    </row>
    <row r="723" spans="1:3" ht="15.75" customHeight="1" x14ac:dyDescent="0.35">
      <c r="A723" s="5"/>
      <c r="C723" s="6"/>
    </row>
    <row r="724" spans="1:3" ht="15.75" customHeight="1" x14ac:dyDescent="0.35">
      <c r="A724" s="5"/>
      <c r="C724" s="6"/>
    </row>
    <row r="725" spans="1:3" ht="15.75" customHeight="1" x14ac:dyDescent="0.35">
      <c r="A725" s="5"/>
      <c r="C725" s="6"/>
    </row>
    <row r="726" spans="1:3" ht="15.75" customHeight="1" x14ac:dyDescent="0.35">
      <c r="A726" s="5"/>
      <c r="C726" s="6"/>
    </row>
    <row r="727" spans="1:3" ht="15.75" customHeight="1" x14ac:dyDescent="0.35">
      <c r="A727" s="5"/>
      <c r="C727" s="6"/>
    </row>
    <row r="728" spans="1:3" ht="15.75" customHeight="1" x14ac:dyDescent="0.35">
      <c r="A728" s="5"/>
      <c r="C728" s="6"/>
    </row>
    <row r="729" spans="1:3" ht="15.75" customHeight="1" x14ac:dyDescent="0.35">
      <c r="A729" s="5"/>
      <c r="C729" s="6"/>
    </row>
    <row r="730" spans="1:3" ht="15.75" customHeight="1" x14ac:dyDescent="0.35">
      <c r="A730" s="5"/>
      <c r="C730" s="6"/>
    </row>
    <row r="731" spans="1:3" ht="15.75" customHeight="1" x14ac:dyDescent="0.35">
      <c r="A731" s="5"/>
      <c r="C731" s="6"/>
    </row>
    <row r="732" spans="1:3" ht="15.75" customHeight="1" x14ac:dyDescent="0.35">
      <c r="A732" s="5"/>
      <c r="C732" s="6"/>
    </row>
    <row r="733" spans="1:3" ht="15.75" customHeight="1" x14ac:dyDescent="0.35">
      <c r="A733" s="5"/>
      <c r="C733" s="6"/>
    </row>
    <row r="734" spans="1:3" ht="15.75" customHeight="1" x14ac:dyDescent="0.35">
      <c r="A734" s="5"/>
      <c r="C734" s="6"/>
    </row>
    <row r="735" spans="1:3" ht="15.75" customHeight="1" x14ac:dyDescent="0.35">
      <c r="A735" s="5"/>
      <c r="C735" s="6"/>
    </row>
    <row r="736" spans="1:3" ht="15.75" customHeight="1" x14ac:dyDescent="0.35">
      <c r="A736" s="5"/>
      <c r="C736" s="6"/>
    </row>
    <row r="737" spans="1:3" ht="15.75" customHeight="1" x14ac:dyDescent="0.35">
      <c r="A737" s="5"/>
      <c r="C737" s="6"/>
    </row>
    <row r="738" spans="1:3" ht="15.75" customHeight="1" x14ac:dyDescent="0.35">
      <c r="A738" s="5"/>
      <c r="C738" s="6"/>
    </row>
    <row r="739" spans="1:3" ht="15.75" customHeight="1" x14ac:dyDescent="0.35">
      <c r="A739" s="5"/>
      <c r="C739" s="6"/>
    </row>
    <row r="740" spans="1:3" ht="15.75" customHeight="1" x14ac:dyDescent="0.35">
      <c r="A740" s="5"/>
      <c r="C740" s="6"/>
    </row>
    <row r="741" spans="1:3" ht="15.75" customHeight="1" x14ac:dyDescent="0.35">
      <c r="A741" s="5"/>
      <c r="C741" s="6"/>
    </row>
    <row r="742" spans="1:3" ht="15.75" customHeight="1" x14ac:dyDescent="0.35">
      <c r="A742" s="5"/>
      <c r="C742" s="6"/>
    </row>
    <row r="743" spans="1:3" ht="15.75" customHeight="1" x14ac:dyDescent="0.35">
      <c r="A743" s="5"/>
      <c r="C743" s="6"/>
    </row>
    <row r="744" spans="1:3" ht="15.75" customHeight="1" x14ac:dyDescent="0.35">
      <c r="A744" s="5"/>
      <c r="C744" s="6"/>
    </row>
    <row r="745" spans="1:3" ht="15.75" customHeight="1" x14ac:dyDescent="0.35">
      <c r="A745" s="5"/>
      <c r="C745" s="6"/>
    </row>
    <row r="746" spans="1:3" ht="15.75" customHeight="1" x14ac:dyDescent="0.35">
      <c r="A746" s="5"/>
      <c r="C746" s="6"/>
    </row>
    <row r="747" spans="1:3" ht="15.75" customHeight="1" x14ac:dyDescent="0.35">
      <c r="A747" s="5"/>
      <c r="C747" s="6"/>
    </row>
    <row r="748" spans="1:3" ht="15.75" customHeight="1" x14ac:dyDescent="0.35">
      <c r="A748" s="5"/>
      <c r="C748" s="6"/>
    </row>
    <row r="749" spans="1:3" ht="15.75" customHeight="1" x14ac:dyDescent="0.35">
      <c r="A749" s="5"/>
      <c r="C749" s="6"/>
    </row>
    <row r="750" spans="1:3" ht="15.75" customHeight="1" x14ac:dyDescent="0.35">
      <c r="A750" s="5"/>
      <c r="C750" s="6"/>
    </row>
    <row r="751" spans="1:3" ht="15.75" customHeight="1" x14ac:dyDescent="0.35">
      <c r="A751" s="5"/>
      <c r="C751" s="6"/>
    </row>
    <row r="752" spans="1:3" ht="15.75" customHeight="1" x14ac:dyDescent="0.35">
      <c r="A752" s="5"/>
      <c r="C752" s="6"/>
    </row>
    <row r="753" spans="1:3" ht="15.75" customHeight="1" x14ac:dyDescent="0.35">
      <c r="A753" s="5"/>
      <c r="C753" s="6"/>
    </row>
    <row r="754" spans="1:3" ht="15.75" customHeight="1" x14ac:dyDescent="0.35">
      <c r="A754" s="5"/>
      <c r="C754" s="6"/>
    </row>
    <row r="755" spans="1:3" ht="15.75" customHeight="1" x14ac:dyDescent="0.35">
      <c r="A755" s="5"/>
      <c r="C755" s="6"/>
    </row>
    <row r="756" spans="1:3" ht="15.75" customHeight="1" x14ac:dyDescent="0.35">
      <c r="A756" s="5"/>
      <c r="C756" s="6"/>
    </row>
    <row r="757" spans="1:3" ht="15.75" customHeight="1" x14ac:dyDescent="0.35">
      <c r="A757" s="5"/>
      <c r="C757" s="6"/>
    </row>
    <row r="758" spans="1:3" ht="15.75" customHeight="1" x14ac:dyDescent="0.35">
      <c r="A758" s="5"/>
      <c r="C758" s="6"/>
    </row>
    <row r="759" spans="1:3" ht="15.75" customHeight="1" x14ac:dyDescent="0.35">
      <c r="A759" s="5"/>
      <c r="C759" s="6"/>
    </row>
    <row r="760" spans="1:3" ht="15.75" customHeight="1" x14ac:dyDescent="0.35">
      <c r="A760" s="5"/>
      <c r="C760" s="6"/>
    </row>
    <row r="761" spans="1:3" ht="15.75" customHeight="1" x14ac:dyDescent="0.35">
      <c r="A761" s="5"/>
      <c r="C761" s="6"/>
    </row>
    <row r="762" spans="1:3" ht="15.75" customHeight="1" x14ac:dyDescent="0.35">
      <c r="A762" s="5"/>
      <c r="C762" s="6"/>
    </row>
    <row r="763" spans="1:3" ht="15.75" customHeight="1" x14ac:dyDescent="0.35">
      <c r="A763" s="5"/>
      <c r="C763" s="6"/>
    </row>
    <row r="764" spans="1:3" ht="15.75" customHeight="1" x14ac:dyDescent="0.35">
      <c r="A764" s="5"/>
      <c r="C764" s="6"/>
    </row>
    <row r="765" spans="1:3" ht="15.75" customHeight="1" x14ac:dyDescent="0.35">
      <c r="A765" s="5"/>
      <c r="C765" s="6"/>
    </row>
    <row r="766" spans="1:3" ht="15.75" customHeight="1" x14ac:dyDescent="0.35">
      <c r="A766" s="5"/>
      <c r="C766" s="6"/>
    </row>
    <row r="767" spans="1:3" ht="15.75" customHeight="1" x14ac:dyDescent="0.35">
      <c r="A767" s="5"/>
      <c r="C767" s="6"/>
    </row>
    <row r="768" spans="1:3" ht="15.75" customHeight="1" x14ac:dyDescent="0.35">
      <c r="A768" s="5"/>
      <c r="C768" s="6"/>
    </row>
    <row r="769" spans="1:3" ht="15.75" customHeight="1" x14ac:dyDescent="0.35">
      <c r="A769" s="5"/>
      <c r="C769" s="6"/>
    </row>
    <row r="770" spans="1:3" ht="15.75" customHeight="1" x14ac:dyDescent="0.35">
      <c r="A770" s="5"/>
      <c r="C770" s="6"/>
    </row>
    <row r="771" spans="1:3" ht="15.75" customHeight="1" x14ac:dyDescent="0.35">
      <c r="A771" s="5"/>
      <c r="C771" s="6"/>
    </row>
    <row r="772" spans="1:3" ht="15.75" customHeight="1" x14ac:dyDescent="0.35">
      <c r="A772" s="5"/>
      <c r="C772" s="6"/>
    </row>
    <row r="773" spans="1:3" ht="15.75" customHeight="1" x14ac:dyDescent="0.35">
      <c r="A773" s="5"/>
      <c r="C773" s="6"/>
    </row>
    <row r="774" spans="1:3" ht="15.75" customHeight="1" x14ac:dyDescent="0.35">
      <c r="A774" s="5"/>
      <c r="C774" s="6"/>
    </row>
    <row r="775" spans="1:3" ht="15.75" customHeight="1" x14ac:dyDescent="0.35">
      <c r="A775" s="5"/>
      <c r="C775" s="6"/>
    </row>
    <row r="776" spans="1:3" ht="15.75" customHeight="1" x14ac:dyDescent="0.35">
      <c r="A776" s="5"/>
      <c r="C776" s="6"/>
    </row>
    <row r="777" spans="1:3" ht="15.75" customHeight="1" x14ac:dyDescent="0.35">
      <c r="A777" s="5"/>
      <c r="C777" s="6"/>
    </row>
    <row r="778" spans="1:3" ht="15.75" customHeight="1" x14ac:dyDescent="0.35">
      <c r="A778" s="5"/>
      <c r="C778" s="6"/>
    </row>
    <row r="779" spans="1:3" ht="15.75" customHeight="1" x14ac:dyDescent="0.35">
      <c r="A779" s="5"/>
      <c r="C779" s="6"/>
    </row>
    <row r="780" spans="1:3" ht="15.75" customHeight="1" x14ac:dyDescent="0.35">
      <c r="A780" s="5"/>
      <c r="C780" s="6"/>
    </row>
    <row r="781" spans="1:3" ht="15.75" customHeight="1" x14ac:dyDescent="0.35">
      <c r="A781" s="5"/>
      <c r="C781" s="6"/>
    </row>
    <row r="782" spans="1:3" ht="15.75" customHeight="1" x14ac:dyDescent="0.35">
      <c r="A782" s="5"/>
      <c r="C782" s="6"/>
    </row>
    <row r="783" spans="1:3" ht="15.75" customHeight="1" x14ac:dyDescent="0.35">
      <c r="A783" s="5"/>
      <c r="C783" s="6"/>
    </row>
    <row r="784" spans="1:3" ht="15.75" customHeight="1" x14ac:dyDescent="0.35">
      <c r="A784" s="5"/>
      <c r="C784" s="6"/>
    </row>
    <row r="785" spans="1:3" ht="15.75" customHeight="1" x14ac:dyDescent="0.35">
      <c r="A785" s="5"/>
      <c r="C785" s="6"/>
    </row>
    <row r="786" spans="1:3" ht="15.75" customHeight="1" x14ac:dyDescent="0.35">
      <c r="A786" s="5"/>
      <c r="C786" s="6"/>
    </row>
    <row r="787" spans="1:3" ht="15.75" customHeight="1" x14ac:dyDescent="0.35">
      <c r="A787" s="5"/>
      <c r="C787" s="6"/>
    </row>
    <row r="788" spans="1:3" ht="15.75" customHeight="1" x14ac:dyDescent="0.35">
      <c r="A788" s="5"/>
      <c r="C788" s="6"/>
    </row>
    <row r="789" spans="1:3" ht="15.75" customHeight="1" x14ac:dyDescent="0.35">
      <c r="A789" s="5"/>
      <c r="C789" s="6"/>
    </row>
    <row r="790" spans="1:3" ht="15.75" customHeight="1" x14ac:dyDescent="0.35">
      <c r="A790" s="5"/>
      <c r="C790" s="6"/>
    </row>
    <row r="791" spans="1:3" ht="15.75" customHeight="1" x14ac:dyDescent="0.35">
      <c r="A791" s="5"/>
      <c r="C791" s="6"/>
    </row>
    <row r="792" spans="1:3" ht="15.75" customHeight="1" x14ac:dyDescent="0.35">
      <c r="A792" s="5"/>
      <c r="C792" s="6"/>
    </row>
    <row r="793" spans="1:3" ht="15.75" customHeight="1" x14ac:dyDescent="0.35">
      <c r="A793" s="5"/>
      <c r="C793" s="6"/>
    </row>
    <row r="794" spans="1:3" ht="15.75" customHeight="1" x14ac:dyDescent="0.35">
      <c r="A794" s="5"/>
      <c r="C794" s="6"/>
    </row>
    <row r="795" spans="1:3" ht="15.75" customHeight="1" x14ac:dyDescent="0.35">
      <c r="A795" s="5"/>
      <c r="C795" s="6"/>
    </row>
    <row r="796" spans="1:3" ht="15.75" customHeight="1" x14ac:dyDescent="0.35">
      <c r="A796" s="5"/>
      <c r="C796" s="6"/>
    </row>
    <row r="797" spans="1:3" ht="15.75" customHeight="1" x14ac:dyDescent="0.35">
      <c r="A797" s="5"/>
      <c r="C797" s="6"/>
    </row>
    <row r="798" spans="1:3" ht="15.75" customHeight="1" x14ac:dyDescent="0.35">
      <c r="A798" s="5"/>
      <c r="C798" s="6"/>
    </row>
    <row r="799" spans="1:3" ht="15.75" customHeight="1" x14ac:dyDescent="0.35">
      <c r="A799" s="5"/>
      <c r="C799" s="6"/>
    </row>
    <row r="800" spans="1:3" ht="15.75" customHeight="1" x14ac:dyDescent="0.35">
      <c r="A800" s="5"/>
      <c r="C800" s="6"/>
    </row>
    <row r="801" spans="1:3" ht="15.75" customHeight="1" x14ac:dyDescent="0.35">
      <c r="A801" s="5"/>
      <c r="C801" s="6"/>
    </row>
    <row r="802" spans="1:3" ht="15.75" customHeight="1" x14ac:dyDescent="0.35">
      <c r="A802" s="5"/>
      <c r="C802" s="6"/>
    </row>
    <row r="803" spans="1:3" ht="15.75" customHeight="1" x14ac:dyDescent="0.35">
      <c r="A803" s="5"/>
      <c r="C803" s="6"/>
    </row>
    <row r="804" spans="1:3" ht="15.75" customHeight="1" x14ac:dyDescent="0.35">
      <c r="A804" s="5"/>
      <c r="C804" s="6"/>
    </row>
    <row r="805" spans="1:3" ht="15.75" customHeight="1" x14ac:dyDescent="0.35">
      <c r="A805" s="5"/>
      <c r="C805" s="6"/>
    </row>
    <row r="806" spans="1:3" ht="15.75" customHeight="1" x14ac:dyDescent="0.35">
      <c r="A806" s="5"/>
      <c r="C806" s="6"/>
    </row>
    <row r="807" spans="1:3" ht="15.75" customHeight="1" x14ac:dyDescent="0.35">
      <c r="A807" s="5"/>
      <c r="C807" s="6"/>
    </row>
    <row r="808" spans="1:3" ht="15.75" customHeight="1" x14ac:dyDescent="0.35">
      <c r="A808" s="5"/>
      <c r="C808" s="6"/>
    </row>
    <row r="809" spans="1:3" ht="15.75" customHeight="1" x14ac:dyDescent="0.35">
      <c r="A809" s="5"/>
      <c r="C809" s="6"/>
    </row>
    <row r="810" spans="1:3" ht="15.75" customHeight="1" x14ac:dyDescent="0.35">
      <c r="A810" s="5"/>
      <c r="C810" s="6"/>
    </row>
    <row r="811" spans="1:3" ht="15.75" customHeight="1" x14ac:dyDescent="0.35">
      <c r="A811" s="5"/>
      <c r="C811" s="6"/>
    </row>
    <row r="812" spans="1:3" ht="15.75" customHeight="1" x14ac:dyDescent="0.35">
      <c r="A812" s="5"/>
      <c r="C812" s="6"/>
    </row>
    <row r="813" spans="1:3" ht="15.75" customHeight="1" x14ac:dyDescent="0.35">
      <c r="A813" s="5"/>
      <c r="C813" s="6"/>
    </row>
    <row r="814" spans="1:3" ht="15.75" customHeight="1" x14ac:dyDescent="0.35">
      <c r="A814" s="5"/>
      <c r="C814" s="6"/>
    </row>
    <row r="815" spans="1:3" ht="15.75" customHeight="1" x14ac:dyDescent="0.35">
      <c r="A815" s="5"/>
      <c r="C815" s="6"/>
    </row>
    <row r="816" spans="1:3" ht="15.75" customHeight="1" x14ac:dyDescent="0.35">
      <c r="A816" s="5"/>
      <c r="C816" s="6"/>
    </row>
    <row r="817" spans="1:3" ht="15.75" customHeight="1" x14ac:dyDescent="0.35">
      <c r="A817" s="5"/>
      <c r="C817" s="6"/>
    </row>
    <row r="818" spans="1:3" ht="15.75" customHeight="1" x14ac:dyDescent="0.35">
      <c r="A818" s="5"/>
      <c r="C818" s="6"/>
    </row>
    <row r="819" spans="1:3" ht="15.75" customHeight="1" x14ac:dyDescent="0.35">
      <c r="A819" s="5"/>
      <c r="C819" s="6"/>
    </row>
    <row r="820" spans="1:3" ht="15.75" customHeight="1" x14ac:dyDescent="0.35">
      <c r="A820" s="5"/>
      <c r="C820" s="6"/>
    </row>
    <row r="821" spans="1:3" ht="15.75" customHeight="1" x14ac:dyDescent="0.35">
      <c r="A821" s="5"/>
      <c r="C821" s="6"/>
    </row>
    <row r="822" spans="1:3" ht="15.75" customHeight="1" x14ac:dyDescent="0.35">
      <c r="A822" s="5"/>
      <c r="C822" s="6"/>
    </row>
    <row r="823" spans="1:3" ht="15.75" customHeight="1" x14ac:dyDescent="0.35">
      <c r="A823" s="5"/>
      <c r="C823" s="6"/>
    </row>
    <row r="824" spans="1:3" ht="15.75" customHeight="1" x14ac:dyDescent="0.35">
      <c r="A824" s="5"/>
      <c r="C824" s="6"/>
    </row>
    <row r="825" spans="1:3" ht="15.75" customHeight="1" x14ac:dyDescent="0.35">
      <c r="A825" s="5"/>
      <c r="C825" s="6"/>
    </row>
    <row r="826" spans="1:3" ht="15.75" customHeight="1" x14ac:dyDescent="0.35">
      <c r="A826" s="5"/>
      <c r="C826" s="6"/>
    </row>
    <row r="827" spans="1:3" ht="15.75" customHeight="1" x14ac:dyDescent="0.35">
      <c r="A827" s="5"/>
      <c r="C827" s="6"/>
    </row>
    <row r="828" spans="1:3" ht="15.75" customHeight="1" x14ac:dyDescent="0.35">
      <c r="A828" s="5"/>
      <c r="C828" s="6"/>
    </row>
    <row r="829" spans="1:3" ht="15.75" customHeight="1" x14ac:dyDescent="0.35">
      <c r="A829" s="5"/>
      <c r="C829" s="6"/>
    </row>
    <row r="830" spans="1:3" ht="15.75" customHeight="1" x14ac:dyDescent="0.35">
      <c r="A830" s="5"/>
      <c r="C830" s="6"/>
    </row>
    <row r="831" spans="1:3" ht="15.75" customHeight="1" x14ac:dyDescent="0.35">
      <c r="A831" s="5"/>
      <c r="C831" s="6"/>
    </row>
    <row r="832" spans="1:3" ht="15.75" customHeight="1" x14ac:dyDescent="0.35">
      <c r="A832" s="5"/>
      <c r="C832" s="6"/>
    </row>
    <row r="833" spans="1:3" ht="15.75" customHeight="1" x14ac:dyDescent="0.35">
      <c r="A833" s="5"/>
      <c r="C833" s="6"/>
    </row>
    <row r="834" spans="1:3" ht="15.75" customHeight="1" x14ac:dyDescent="0.35">
      <c r="A834" s="5"/>
      <c r="C834" s="6"/>
    </row>
    <row r="835" spans="1:3" ht="15.75" customHeight="1" x14ac:dyDescent="0.35">
      <c r="A835" s="5"/>
      <c r="C835" s="6"/>
    </row>
    <row r="836" spans="1:3" ht="15.75" customHeight="1" x14ac:dyDescent="0.35">
      <c r="A836" s="5"/>
      <c r="C836" s="6"/>
    </row>
    <row r="837" spans="1:3" ht="15.75" customHeight="1" x14ac:dyDescent="0.35">
      <c r="A837" s="5"/>
      <c r="C837" s="6"/>
    </row>
    <row r="838" spans="1:3" ht="15.75" customHeight="1" x14ac:dyDescent="0.35">
      <c r="A838" s="5"/>
      <c r="C838" s="6"/>
    </row>
    <row r="839" spans="1:3" ht="15.75" customHeight="1" x14ac:dyDescent="0.35">
      <c r="A839" s="5"/>
      <c r="C839" s="6"/>
    </row>
    <row r="840" spans="1:3" ht="15.75" customHeight="1" x14ac:dyDescent="0.35">
      <c r="A840" s="5"/>
      <c r="C840" s="6"/>
    </row>
    <row r="841" spans="1:3" ht="15.75" customHeight="1" x14ac:dyDescent="0.35">
      <c r="A841" s="5"/>
      <c r="C841" s="6"/>
    </row>
    <row r="842" spans="1:3" ht="15.75" customHeight="1" x14ac:dyDescent="0.35">
      <c r="A842" s="5"/>
      <c r="C842" s="6"/>
    </row>
    <row r="843" spans="1:3" ht="15.75" customHeight="1" x14ac:dyDescent="0.35">
      <c r="A843" s="5"/>
      <c r="C843" s="6"/>
    </row>
    <row r="844" spans="1:3" ht="15.75" customHeight="1" x14ac:dyDescent="0.35">
      <c r="A844" s="5"/>
      <c r="C844" s="6"/>
    </row>
    <row r="845" spans="1:3" ht="15.75" customHeight="1" x14ac:dyDescent="0.35">
      <c r="A845" s="5"/>
      <c r="C845" s="6"/>
    </row>
    <row r="846" spans="1:3" ht="15.75" customHeight="1" x14ac:dyDescent="0.35">
      <c r="A846" s="5"/>
      <c r="C846" s="6"/>
    </row>
    <row r="847" spans="1:3" ht="15.75" customHeight="1" x14ac:dyDescent="0.35">
      <c r="A847" s="5"/>
      <c r="C847" s="6"/>
    </row>
    <row r="848" spans="1:3" ht="15.75" customHeight="1" x14ac:dyDescent="0.35">
      <c r="A848" s="5"/>
      <c r="C848" s="6"/>
    </row>
    <row r="849" spans="1:3" ht="15.75" customHeight="1" x14ac:dyDescent="0.35">
      <c r="A849" s="5"/>
      <c r="C849" s="6"/>
    </row>
    <row r="850" spans="1:3" ht="15.75" customHeight="1" x14ac:dyDescent="0.35">
      <c r="A850" s="5"/>
      <c r="C850" s="6"/>
    </row>
    <row r="851" spans="1:3" ht="15.75" customHeight="1" x14ac:dyDescent="0.35">
      <c r="A851" s="5"/>
      <c r="C851" s="6"/>
    </row>
    <row r="852" spans="1:3" ht="15.75" customHeight="1" x14ac:dyDescent="0.35">
      <c r="A852" s="5"/>
      <c r="C852" s="6"/>
    </row>
    <row r="853" spans="1:3" ht="15.75" customHeight="1" x14ac:dyDescent="0.35">
      <c r="A853" s="5"/>
      <c r="C853" s="6"/>
    </row>
    <row r="854" spans="1:3" ht="15.75" customHeight="1" x14ac:dyDescent="0.35">
      <c r="A854" s="5"/>
      <c r="C854" s="6"/>
    </row>
    <row r="855" spans="1:3" ht="15.75" customHeight="1" x14ac:dyDescent="0.35">
      <c r="A855" s="5"/>
      <c r="C855" s="6"/>
    </row>
    <row r="856" spans="1:3" ht="15.75" customHeight="1" x14ac:dyDescent="0.35">
      <c r="A856" s="5"/>
      <c r="C856" s="6"/>
    </row>
    <row r="857" spans="1:3" ht="15.75" customHeight="1" x14ac:dyDescent="0.35">
      <c r="A857" s="5"/>
      <c r="C857" s="6"/>
    </row>
    <row r="858" spans="1:3" ht="15.75" customHeight="1" x14ac:dyDescent="0.35">
      <c r="A858" s="5"/>
      <c r="C858" s="6"/>
    </row>
    <row r="859" spans="1:3" ht="15.75" customHeight="1" x14ac:dyDescent="0.35">
      <c r="A859" s="5"/>
      <c r="C859" s="6"/>
    </row>
    <row r="860" spans="1:3" ht="15.75" customHeight="1" x14ac:dyDescent="0.35">
      <c r="A860" s="5"/>
      <c r="C860" s="6"/>
    </row>
    <row r="861" spans="1:3" ht="15.75" customHeight="1" x14ac:dyDescent="0.35">
      <c r="A861" s="5"/>
      <c r="C861" s="6"/>
    </row>
    <row r="862" spans="1:3" ht="15.75" customHeight="1" x14ac:dyDescent="0.35">
      <c r="A862" s="5"/>
      <c r="C862" s="6"/>
    </row>
    <row r="863" spans="1:3" ht="15.75" customHeight="1" x14ac:dyDescent="0.35">
      <c r="A863" s="5"/>
      <c r="C863" s="6"/>
    </row>
    <row r="864" spans="1:3" ht="15.75" customHeight="1" x14ac:dyDescent="0.35">
      <c r="A864" s="5"/>
      <c r="C864" s="6"/>
    </row>
    <row r="865" spans="1:3" ht="15.75" customHeight="1" x14ac:dyDescent="0.35">
      <c r="A865" s="5"/>
      <c r="C865" s="6"/>
    </row>
    <row r="866" spans="1:3" ht="15.75" customHeight="1" x14ac:dyDescent="0.35">
      <c r="A866" s="5"/>
      <c r="C866" s="6"/>
    </row>
    <row r="867" spans="1:3" ht="15.75" customHeight="1" x14ac:dyDescent="0.35">
      <c r="A867" s="5"/>
      <c r="C867" s="6"/>
    </row>
    <row r="868" spans="1:3" ht="15.75" customHeight="1" x14ac:dyDescent="0.35">
      <c r="A868" s="5"/>
      <c r="C868" s="6"/>
    </row>
    <row r="869" spans="1:3" ht="15.75" customHeight="1" x14ac:dyDescent="0.35">
      <c r="A869" s="5"/>
      <c r="C869" s="6"/>
    </row>
    <row r="870" spans="1:3" ht="15.75" customHeight="1" x14ac:dyDescent="0.35">
      <c r="A870" s="5"/>
      <c r="C870" s="6"/>
    </row>
    <row r="871" spans="1:3" ht="15.75" customHeight="1" x14ac:dyDescent="0.35">
      <c r="A871" s="5"/>
      <c r="C871" s="6"/>
    </row>
    <row r="872" spans="1:3" ht="15.75" customHeight="1" x14ac:dyDescent="0.35">
      <c r="A872" s="5"/>
      <c r="C872" s="6"/>
    </row>
    <row r="873" spans="1:3" ht="15.75" customHeight="1" x14ac:dyDescent="0.35">
      <c r="A873" s="5"/>
      <c r="C873" s="6"/>
    </row>
    <row r="874" spans="1:3" ht="15.75" customHeight="1" x14ac:dyDescent="0.35">
      <c r="A874" s="5"/>
      <c r="C874" s="6"/>
    </row>
    <row r="875" spans="1:3" ht="15.75" customHeight="1" x14ac:dyDescent="0.35">
      <c r="A875" s="5"/>
      <c r="C875" s="6"/>
    </row>
    <row r="876" spans="1:3" ht="15.75" customHeight="1" x14ac:dyDescent="0.35">
      <c r="A876" s="5"/>
      <c r="C876" s="6"/>
    </row>
    <row r="877" spans="1:3" ht="15.75" customHeight="1" x14ac:dyDescent="0.35">
      <c r="A877" s="5"/>
      <c r="C877" s="6"/>
    </row>
    <row r="878" spans="1:3" ht="15.75" customHeight="1" x14ac:dyDescent="0.35">
      <c r="A878" s="5"/>
      <c r="C878" s="6"/>
    </row>
    <row r="879" spans="1:3" ht="15.75" customHeight="1" x14ac:dyDescent="0.35">
      <c r="A879" s="5"/>
      <c r="C879" s="6"/>
    </row>
    <row r="880" spans="1:3" ht="15.75" customHeight="1" x14ac:dyDescent="0.35">
      <c r="A880" s="5"/>
      <c r="C880" s="6"/>
    </row>
    <row r="881" spans="1:3" ht="15.75" customHeight="1" x14ac:dyDescent="0.35">
      <c r="A881" s="5"/>
      <c r="C881" s="6"/>
    </row>
    <row r="882" spans="1:3" ht="15.75" customHeight="1" x14ac:dyDescent="0.35">
      <c r="A882" s="5"/>
      <c r="C882" s="6"/>
    </row>
    <row r="883" spans="1:3" ht="15.75" customHeight="1" x14ac:dyDescent="0.35">
      <c r="A883" s="5"/>
      <c r="C883" s="6"/>
    </row>
    <row r="884" spans="1:3" ht="15.75" customHeight="1" x14ac:dyDescent="0.35">
      <c r="A884" s="5"/>
      <c r="C884" s="6"/>
    </row>
    <row r="885" spans="1:3" ht="15.75" customHeight="1" x14ac:dyDescent="0.35">
      <c r="A885" s="5"/>
      <c r="C885" s="6"/>
    </row>
    <row r="886" spans="1:3" ht="15.75" customHeight="1" x14ac:dyDescent="0.35">
      <c r="A886" s="5"/>
      <c r="C886" s="6"/>
    </row>
    <row r="887" spans="1:3" ht="15.75" customHeight="1" x14ac:dyDescent="0.35">
      <c r="A887" s="5"/>
      <c r="C887" s="6"/>
    </row>
    <row r="888" spans="1:3" ht="15.75" customHeight="1" x14ac:dyDescent="0.35">
      <c r="A888" s="5"/>
      <c r="C888" s="6"/>
    </row>
    <row r="889" spans="1:3" ht="15.75" customHeight="1" x14ac:dyDescent="0.35">
      <c r="A889" s="5"/>
      <c r="C889" s="6"/>
    </row>
    <row r="890" spans="1:3" ht="15.75" customHeight="1" x14ac:dyDescent="0.35">
      <c r="A890" s="5"/>
      <c r="C890" s="6"/>
    </row>
    <row r="891" spans="1:3" ht="15.75" customHeight="1" x14ac:dyDescent="0.35">
      <c r="A891" s="5"/>
      <c r="C891" s="6"/>
    </row>
    <row r="892" spans="1:3" ht="15.75" customHeight="1" x14ac:dyDescent="0.35">
      <c r="A892" s="5"/>
      <c r="C892" s="6"/>
    </row>
    <row r="893" spans="1:3" ht="15.75" customHeight="1" x14ac:dyDescent="0.35">
      <c r="A893" s="5"/>
      <c r="C893" s="6"/>
    </row>
    <row r="894" spans="1:3" ht="15.75" customHeight="1" x14ac:dyDescent="0.35">
      <c r="A894" s="5"/>
      <c r="C894" s="6"/>
    </row>
    <row r="895" spans="1:3" ht="15.75" customHeight="1" x14ac:dyDescent="0.35">
      <c r="A895" s="5"/>
      <c r="C895" s="6"/>
    </row>
    <row r="896" spans="1:3" ht="15.75" customHeight="1" x14ac:dyDescent="0.35">
      <c r="A896" s="5"/>
      <c r="C896" s="6"/>
    </row>
    <row r="897" spans="1:3" ht="15.75" customHeight="1" x14ac:dyDescent="0.35">
      <c r="A897" s="5"/>
      <c r="C897" s="6"/>
    </row>
    <row r="898" spans="1:3" ht="15.75" customHeight="1" x14ac:dyDescent="0.35">
      <c r="A898" s="5"/>
      <c r="C898" s="6"/>
    </row>
    <row r="899" spans="1:3" ht="15.75" customHeight="1" x14ac:dyDescent="0.35">
      <c r="A899" s="5"/>
      <c r="C899" s="6"/>
    </row>
    <row r="900" spans="1:3" ht="15.75" customHeight="1" x14ac:dyDescent="0.35">
      <c r="A900" s="5"/>
      <c r="C900" s="6"/>
    </row>
    <row r="901" spans="1:3" ht="15.75" customHeight="1" x14ac:dyDescent="0.35">
      <c r="A901" s="5"/>
      <c r="C901" s="6"/>
    </row>
    <row r="902" spans="1:3" ht="15.75" customHeight="1" x14ac:dyDescent="0.35">
      <c r="A902" s="5"/>
      <c r="C902" s="6"/>
    </row>
    <row r="903" spans="1:3" ht="15.75" customHeight="1" x14ac:dyDescent="0.35">
      <c r="A903" s="5"/>
      <c r="C903" s="6"/>
    </row>
    <row r="904" spans="1:3" ht="15.75" customHeight="1" x14ac:dyDescent="0.35">
      <c r="A904" s="5"/>
      <c r="C904" s="6"/>
    </row>
    <row r="905" spans="1:3" ht="15.75" customHeight="1" x14ac:dyDescent="0.35">
      <c r="A905" s="5"/>
      <c r="C905" s="6"/>
    </row>
    <row r="906" spans="1:3" ht="15.75" customHeight="1" x14ac:dyDescent="0.35">
      <c r="A906" s="5"/>
      <c r="C906" s="6"/>
    </row>
    <row r="907" spans="1:3" ht="15.75" customHeight="1" x14ac:dyDescent="0.35">
      <c r="A907" s="5"/>
      <c r="C907" s="6"/>
    </row>
    <row r="908" spans="1:3" ht="15.75" customHeight="1" x14ac:dyDescent="0.35">
      <c r="A908" s="5"/>
      <c r="C908" s="6"/>
    </row>
    <row r="909" spans="1:3" ht="15.75" customHeight="1" x14ac:dyDescent="0.35">
      <c r="A909" s="5"/>
      <c r="C909" s="6"/>
    </row>
    <row r="910" spans="1:3" ht="15.75" customHeight="1" x14ac:dyDescent="0.35">
      <c r="A910" s="5"/>
      <c r="C910" s="6"/>
    </row>
    <row r="911" spans="1:3" ht="15.75" customHeight="1" x14ac:dyDescent="0.35">
      <c r="A911" s="5"/>
      <c r="C911" s="6"/>
    </row>
    <row r="912" spans="1:3" ht="15.75" customHeight="1" x14ac:dyDescent="0.35">
      <c r="A912" s="5"/>
      <c r="C912" s="6"/>
    </row>
    <row r="913" spans="1:3" ht="15.75" customHeight="1" x14ac:dyDescent="0.35">
      <c r="A913" s="5"/>
      <c r="C913" s="6"/>
    </row>
    <row r="914" spans="1:3" ht="15.75" customHeight="1" x14ac:dyDescent="0.35">
      <c r="A914" s="5"/>
      <c r="C914" s="6"/>
    </row>
    <row r="915" spans="1:3" ht="15.75" customHeight="1" x14ac:dyDescent="0.35">
      <c r="A915" s="5"/>
      <c r="C915" s="6"/>
    </row>
    <row r="916" spans="1:3" ht="15.75" customHeight="1" x14ac:dyDescent="0.35">
      <c r="A916" s="5"/>
      <c r="C916" s="6"/>
    </row>
    <row r="917" spans="1:3" ht="15.75" customHeight="1" x14ac:dyDescent="0.35">
      <c r="A917" s="5"/>
      <c r="C917" s="6"/>
    </row>
    <row r="918" spans="1:3" ht="15.75" customHeight="1" x14ac:dyDescent="0.35">
      <c r="A918" s="5"/>
      <c r="C918" s="6"/>
    </row>
    <row r="919" spans="1:3" ht="15.75" customHeight="1" x14ac:dyDescent="0.35">
      <c r="A919" s="5"/>
      <c r="C919" s="6"/>
    </row>
    <row r="920" spans="1:3" ht="15.75" customHeight="1" x14ac:dyDescent="0.35">
      <c r="A920" s="5"/>
      <c r="C920" s="6"/>
    </row>
    <row r="921" spans="1:3" ht="15.75" customHeight="1" x14ac:dyDescent="0.35">
      <c r="A921" s="5"/>
      <c r="C921" s="6"/>
    </row>
    <row r="922" spans="1:3" ht="15.75" customHeight="1" x14ac:dyDescent="0.35">
      <c r="A922" s="5"/>
      <c r="C922" s="6"/>
    </row>
    <row r="923" spans="1:3" ht="15.75" customHeight="1" x14ac:dyDescent="0.35">
      <c r="A923" s="5"/>
      <c r="C923" s="6"/>
    </row>
    <row r="924" spans="1:3" ht="15.75" customHeight="1" x14ac:dyDescent="0.35">
      <c r="A924" s="5"/>
      <c r="C924" s="6"/>
    </row>
    <row r="925" spans="1:3" ht="15.75" customHeight="1" x14ac:dyDescent="0.35">
      <c r="A925" s="5"/>
      <c r="C925" s="6"/>
    </row>
    <row r="926" spans="1:3" ht="15.75" customHeight="1" x14ac:dyDescent="0.35">
      <c r="A926" s="5"/>
      <c r="C926" s="6"/>
    </row>
    <row r="927" spans="1:3" ht="15.75" customHeight="1" x14ac:dyDescent="0.35">
      <c r="A927" s="5"/>
      <c r="C927" s="6"/>
    </row>
    <row r="928" spans="1:3" ht="15.75" customHeight="1" x14ac:dyDescent="0.35">
      <c r="A928" s="5"/>
      <c r="C928" s="6"/>
    </row>
    <row r="929" spans="1:3" ht="15.75" customHeight="1" x14ac:dyDescent="0.35">
      <c r="A929" s="5"/>
      <c r="C929" s="6"/>
    </row>
    <row r="930" spans="1:3" ht="15.75" customHeight="1" x14ac:dyDescent="0.35">
      <c r="A930" s="5"/>
      <c r="C930" s="6"/>
    </row>
    <row r="931" spans="1:3" ht="15.75" customHeight="1" x14ac:dyDescent="0.35">
      <c r="A931" s="5"/>
      <c r="C931" s="6"/>
    </row>
    <row r="932" spans="1:3" ht="15.75" customHeight="1" x14ac:dyDescent="0.35">
      <c r="A932" s="5"/>
      <c r="C932" s="6"/>
    </row>
    <row r="933" spans="1:3" ht="15.75" customHeight="1" x14ac:dyDescent="0.35">
      <c r="A933" s="5"/>
      <c r="C933" s="6"/>
    </row>
    <row r="934" spans="1:3" ht="15.75" customHeight="1" x14ac:dyDescent="0.35">
      <c r="A934" s="5"/>
      <c r="C934" s="6"/>
    </row>
    <row r="935" spans="1:3" ht="15.75" customHeight="1" x14ac:dyDescent="0.35">
      <c r="A935" s="5"/>
      <c r="C935" s="6"/>
    </row>
    <row r="936" spans="1:3" ht="15.75" customHeight="1" x14ac:dyDescent="0.35">
      <c r="A936" s="5"/>
      <c r="C936" s="6"/>
    </row>
    <row r="937" spans="1:3" ht="15.75" customHeight="1" x14ac:dyDescent="0.35">
      <c r="A937" s="5"/>
      <c r="C937" s="6"/>
    </row>
    <row r="938" spans="1:3" ht="15.75" customHeight="1" x14ac:dyDescent="0.35">
      <c r="A938" s="5"/>
      <c r="C938" s="6"/>
    </row>
    <row r="939" spans="1:3" ht="15.75" customHeight="1" x14ac:dyDescent="0.35">
      <c r="A939" s="5"/>
      <c r="C939" s="6"/>
    </row>
    <row r="940" spans="1:3" ht="15.75" customHeight="1" x14ac:dyDescent="0.35">
      <c r="A940" s="5"/>
      <c r="C940" s="6"/>
    </row>
    <row r="941" spans="1:3" ht="15.75" customHeight="1" x14ac:dyDescent="0.35">
      <c r="A941" s="5"/>
      <c r="C941" s="6"/>
    </row>
    <row r="942" spans="1:3" ht="15.75" customHeight="1" x14ac:dyDescent="0.35">
      <c r="A942" s="5"/>
      <c r="C942" s="6"/>
    </row>
    <row r="943" spans="1:3" ht="15.75" customHeight="1" x14ac:dyDescent="0.35">
      <c r="A943" s="5"/>
      <c r="C943" s="6"/>
    </row>
    <row r="944" spans="1:3" ht="15.75" customHeight="1" x14ac:dyDescent="0.35">
      <c r="A944" s="5"/>
      <c r="C944" s="6"/>
    </row>
    <row r="945" spans="1:3" ht="15.75" customHeight="1" x14ac:dyDescent="0.35">
      <c r="A945" s="5"/>
      <c r="C945" s="6"/>
    </row>
    <row r="946" spans="1:3" ht="15.75" customHeight="1" x14ac:dyDescent="0.35">
      <c r="A946" s="5"/>
      <c r="C946" s="6"/>
    </row>
    <row r="947" spans="1:3" ht="15.75" customHeight="1" x14ac:dyDescent="0.35">
      <c r="A947" s="5"/>
      <c r="C947" s="6"/>
    </row>
    <row r="948" spans="1:3" ht="15.75" customHeight="1" x14ac:dyDescent="0.35">
      <c r="A948" s="5"/>
      <c r="C948" s="6"/>
    </row>
    <row r="949" spans="1:3" ht="15.75" customHeight="1" x14ac:dyDescent="0.35">
      <c r="A949" s="5"/>
      <c r="C949" s="6"/>
    </row>
    <row r="950" spans="1:3" ht="15.75" customHeight="1" x14ac:dyDescent="0.35">
      <c r="A950" s="5"/>
      <c r="C950" s="6"/>
    </row>
    <row r="951" spans="1:3" ht="15.75" customHeight="1" x14ac:dyDescent="0.35">
      <c r="A951" s="5"/>
      <c r="C951" s="6"/>
    </row>
    <row r="952" spans="1:3" ht="15.75" customHeight="1" x14ac:dyDescent="0.35">
      <c r="A952" s="5"/>
      <c r="C952" s="6"/>
    </row>
    <row r="953" spans="1:3" ht="15.75" customHeight="1" x14ac:dyDescent="0.35">
      <c r="A953" s="5"/>
      <c r="C953" s="6"/>
    </row>
    <row r="954" spans="1:3" ht="15.75" customHeight="1" x14ac:dyDescent="0.35">
      <c r="A954" s="5"/>
      <c r="C954" s="6"/>
    </row>
    <row r="955" spans="1:3" ht="15.75" customHeight="1" x14ac:dyDescent="0.35">
      <c r="A955" s="5"/>
      <c r="C955" s="6"/>
    </row>
    <row r="956" spans="1:3" ht="15.75" customHeight="1" x14ac:dyDescent="0.35">
      <c r="A956" s="5"/>
      <c r="C956" s="6"/>
    </row>
    <row r="957" spans="1:3" ht="15.75" customHeight="1" x14ac:dyDescent="0.35">
      <c r="A957" s="5"/>
      <c r="C957" s="6"/>
    </row>
    <row r="958" spans="1:3" ht="15.75" customHeight="1" x14ac:dyDescent="0.35">
      <c r="A958" s="5"/>
      <c r="C958" s="6"/>
    </row>
    <row r="959" spans="1:3" ht="15.75" customHeight="1" x14ac:dyDescent="0.35">
      <c r="A959" s="5"/>
      <c r="C959" s="6"/>
    </row>
    <row r="960" spans="1:3" ht="15.75" customHeight="1" x14ac:dyDescent="0.35">
      <c r="A960" s="5"/>
      <c r="C960" s="6"/>
    </row>
    <row r="961" spans="1:3" ht="15.75" customHeight="1" x14ac:dyDescent="0.35">
      <c r="A961" s="5"/>
      <c r="C961" s="6"/>
    </row>
    <row r="962" spans="1:3" ht="15.75" customHeight="1" x14ac:dyDescent="0.35">
      <c r="A962" s="5"/>
      <c r="C962" s="6"/>
    </row>
    <row r="963" spans="1:3" ht="15.75" customHeight="1" x14ac:dyDescent="0.35">
      <c r="A963" s="5"/>
      <c r="C963" s="6"/>
    </row>
    <row r="964" spans="1:3" ht="15.75" customHeight="1" x14ac:dyDescent="0.35">
      <c r="A964" s="5"/>
      <c r="C964" s="6"/>
    </row>
    <row r="965" spans="1:3" ht="15.75" customHeight="1" x14ac:dyDescent="0.35">
      <c r="A965" s="5"/>
      <c r="C965" s="6"/>
    </row>
    <row r="966" spans="1:3" ht="15.75" customHeight="1" x14ac:dyDescent="0.35">
      <c r="A966" s="5"/>
      <c r="C966" s="6"/>
    </row>
    <row r="967" spans="1:3" ht="15.75" customHeight="1" x14ac:dyDescent="0.35">
      <c r="A967" s="5"/>
      <c r="C967" s="6"/>
    </row>
    <row r="968" spans="1:3" ht="15.75" customHeight="1" x14ac:dyDescent="0.35">
      <c r="A968" s="5"/>
      <c r="C968" s="6"/>
    </row>
  </sheetData>
  <autoFilter ref="A1:C138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69"/>
  <sheetViews>
    <sheetView workbookViewId="0">
      <pane ySplit="1" topLeftCell="A2" activePane="bottomLeft" state="frozen"/>
      <selection pane="bottomLeft" sqref="A1:F1"/>
    </sheetView>
  </sheetViews>
  <sheetFormatPr defaultColWidth="14.453125" defaultRowHeight="15" customHeight="1" x14ac:dyDescent="0.35"/>
  <cols>
    <col min="1" max="1" width="13.453125" customWidth="1"/>
    <col min="2" max="2" width="13.26953125" customWidth="1"/>
    <col min="3" max="3" width="18.08984375" customWidth="1"/>
    <col min="4" max="12" width="8.7265625" customWidth="1"/>
  </cols>
  <sheetData>
    <row r="1" spans="1:12" ht="14.5" x14ac:dyDescent="0.35">
      <c r="A1" s="24" t="s">
        <v>178</v>
      </c>
      <c r="B1" s="25" t="s">
        <v>179</v>
      </c>
      <c r="C1" s="25" t="s">
        <v>180</v>
      </c>
      <c r="D1" s="26" t="s">
        <v>171</v>
      </c>
      <c r="E1" s="26" t="s">
        <v>181</v>
      </c>
      <c r="F1" s="26" t="s">
        <v>182</v>
      </c>
      <c r="G1" s="5"/>
      <c r="H1" s="5"/>
      <c r="I1" s="5"/>
      <c r="J1" s="5"/>
      <c r="K1" s="5"/>
      <c r="L1" s="5"/>
    </row>
    <row r="2" spans="1:12" ht="14.5" x14ac:dyDescent="0.35">
      <c r="A2" s="3" t="s">
        <v>1</v>
      </c>
      <c r="B2" s="6">
        <v>2410</v>
      </c>
      <c r="C2" s="4">
        <v>2129</v>
      </c>
      <c r="D2" s="27">
        <v>28.047932676623283</v>
      </c>
      <c r="E2" s="5">
        <v>0</v>
      </c>
      <c r="F2" s="5">
        <v>27</v>
      </c>
      <c r="G2" s="5"/>
      <c r="H2" s="5"/>
      <c r="I2" s="5"/>
      <c r="J2" s="5"/>
      <c r="K2" s="5"/>
      <c r="L2" s="5"/>
    </row>
    <row r="3" spans="1:12" ht="14.5" x14ac:dyDescent="0.35">
      <c r="A3" s="3" t="s">
        <v>3</v>
      </c>
      <c r="B3" s="6">
        <v>3225</v>
      </c>
      <c r="C3" s="4">
        <v>2129</v>
      </c>
      <c r="D3" s="27">
        <v>28.047932676623283</v>
      </c>
      <c r="E3" s="5">
        <v>24951</v>
      </c>
      <c r="F3" s="5">
        <v>27</v>
      </c>
      <c r="G3" s="5"/>
      <c r="H3" s="5"/>
      <c r="I3" s="5"/>
      <c r="J3" s="5"/>
      <c r="K3" s="5"/>
      <c r="L3" s="5"/>
    </row>
    <row r="4" spans="1:12" ht="14.5" x14ac:dyDescent="0.35">
      <c r="A4" s="3" t="s">
        <v>4</v>
      </c>
      <c r="B4" s="6">
        <v>1473</v>
      </c>
      <c r="C4" s="4">
        <v>2131</v>
      </c>
      <c r="D4" s="27">
        <v>28.047932676623283</v>
      </c>
      <c r="E4" s="5">
        <v>725</v>
      </c>
      <c r="F4" s="5">
        <v>27</v>
      </c>
      <c r="G4" s="5"/>
      <c r="H4" s="5"/>
      <c r="I4" s="5"/>
      <c r="J4" s="5"/>
      <c r="K4" s="5"/>
      <c r="L4" s="5"/>
    </row>
    <row r="5" spans="1:12" ht="14.5" x14ac:dyDescent="0.35">
      <c r="A5" s="3" t="s">
        <v>5</v>
      </c>
      <c r="B5" s="6">
        <v>6650</v>
      </c>
      <c r="C5" s="4">
        <v>2131</v>
      </c>
      <c r="D5" s="27">
        <v>28.047932676623283</v>
      </c>
      <c r="E5" s="5">
        <v>7125</v>
      </c>
      <c r="F5" s="5">
        <v>27</v>
      </c>
      <c r="G5" s="5"/>
      <c r="H5" s="5"/>
      <c r="I5" s="5"/>
      <c r="J5" s="5"/>
      <c r="K5" s="5"/>
      <c r="L5" s="5"/>
    </row>
    <row r="6" spans="1:12" ht="14.5" x14ac:dyDescent="0.35">
      <c r="A6" s="3" t="s">
        <v>6</v>
      </c>
      <c r="B6" s="6">
        <v>3193</v>
      </c>
      <c r="C6" s="4">
        <v>2131</v>
      </c>
      <c r="D6" s="27">
        <v>28.047932676623283</v>
      </c>
      <c r="E6">
        <v>15379</v>
      </c>
      <c r="F6">
        <v>27</v>
      </c>
    </row>
    <row r="7" spans="1:12" ht="14.5" x14ac:dyDescent="0.35">
      <c r="A7" s="3" t="s">
        <v>7</v>
      </c>
      <c r="B7" s="6">
        <v>1495</v>
      </c>
      <c r="C7" s="4">
        <v>2131</v>
      </c>
      <c r="D7" s="27">
        <v>28.047932676623283</v>
      </c>
      <c r="E7">
        <v>806</v>
      </c>
      <c r="F7">
        <v>27</v>
      </c>
    </row>
    <row r="8" spans="1:12" ht="14.5" x14ac:dyDescent="0.35">
      <c r="A8" s="3" t="s">
        <v>8</v>
      </c>
      <c r="B8" s="6">
        <v>3780</v>
      </c>
      <c r="C8" s="4">
        <v>1694</v>
      </c>
      <c r="D8" s="27">
        <v>28.047932676623283</v>
      </c>
      <c r="E8">
        <v>0</v>
      </c>
      <c r="F8">
        <v>27</v>
      </c>
    </row>
    <row r="9" spans="1:12" ht="14.5" x14ac:dyDescent="0.35">
      <c r="A9" s="3" t="s">
        <v>10</v>
      </c>
      <c r="B9" s="6">
        <v>7464</v>
      </c>
      <c r="C9" s="4">
        <v>2846</v>
      </c>
      <c r="D9" s="27">
        <v>28.047932676623283</v>
      </c>
      <c r="E9">
        <v>273775</v>
      </c>
      <c r="F9">
        <v>27</v>
      </c>
    </row>
    <row r="10" spans="1:12" ht="14.5" x14ac:dyDescent="0.35">
      <c r="A10" s="3" t="s">
        <v>11</v>
      </c>
      <c r="B10" s="6">
        <v>2575</v>
      </c>
      <c r="C10" s="4">
        <v>2129</v>
      </c>
      <c r="D10" s="27">
        <v>28.047932676623283</v>
      </c>
      <c r="E10">
        <v>2125</v>
      </c>
      <c r="F10">
        <v>27</v>
      </c>
    </row>
    <row r="11" spans="1:12" ht="14.5" x14ac:dyDescent="0.35">
      <c r="A11" s="3" t="s">
        <v>12</v>
      </c>
      <c r="B11" s="6">
        <v>33899</v>
      </c>
      <c r="C11" s="4">
        <v>2263</v>
      </c>
      <c r="D11" s="27">
        <v>28.047932676623283</v>
      </c>
      <c r="E11">
        <v>38269</v>
      </c>
      <c r="F11">
        <v>27</v>
      </c>
    </row>
    <row r="12" spans="1:12" ht="15.75" customHeight="1" x14ac:dyDescent="0.35">
      <c r="A12" s="3" t="s">
        <v>13</v>
      </c>
      <c r="B12" s="6">
        <v>4996</v>
      </c>
      <c r="C12" s="4">
        <v>2732</v>
      </c>
      <c r="D12" s="27">
        <v>28.047932676623283</v>
      </c>
      <c r="E12">
        <v>0</v>
      </c>
      <c r="F12">
        <v>27</v>
      </c>
    </row>
    <row r="13" spans="1:12" ht="15.75" customHeight="1" x14ac:dyDescent="0.35">
      <c r="A13" s="3" t="s">
        <v>14</v>
      </c>
      <c r="B13" s="6">
        <v>4384</v>
      </c>
      <c r="C13" s="4">
        <v>2962</v>
      </c>
      <c r="D13" s="27">
        <v>28.047932676623283</v>
      </c>
      <c r="E13">
        <v>16496</v>
      </c>
      <c r="F13">
        <v>27</v>
      </c>
    </row>
    <row r="14" spans="1:12" ht="15.75" customHeight="1" x14ac:dyDescent="0.35">
      <c r="A14" s="3" t="s">
        <v>15</v>
      </c>
      <c r="B14" s="6">
        <v>124</v>
      </c>
      <c r="C14" s="4">
        <v>2263</v>
      </c>
      <c r="D14" s="27">
        <v>28.047932676623283</v>
      </c>
      <c r="E14">
        <v>0</v>
      </c>
      <c r="F14">
        <v>27</v>
      </c>
    </row>
    <row r="15" spans="1:12" ht="15.75" customHeight="1" x14ac:dyDescent="0.35">
      <c r="A15" s="3" t="s">
        <v>16</v>
      </c>
      <c r="B15" s="6">
        <v>770</v>
      </c>
      <c r="C15" s="4">
        <v>2263</v>
      </c>
      <c r="D15" s="27">
        <v>28.047932676623283</v>
      </c>
      <c r="E15">
        <v>0</v>
      </c>
      <c r="F15">
        <v>27</v>
      </c>
    </row>
    <row r="16" spans="1:12" ht="15.75" customHeight="1" x14ac:dyDescent="0.35">
      <c r="A16" s="3" t="s">
        <v>17</v>
      </c>
      <c r="B16" s="6">
        <v>0</v>
      </c>
      <c r="C16" s="4">
        <v>2268</v>
      </c>
      <c r="D16" s="27">
        <v>28.047932676623283</v>
      </c>
      <c r="E16">
        <v>0</v>
      </c>
      <c r="F16">
        <v>27</v>
      </c>
    </row>
    <row r="17" spans="1:6" ht="15.75" customHeight="1" x14ac:dyDescent="0.35">
      <c r="A17" s="3" t="s">
        <v>18</v>
      </c>
      <c r="B17" s="6">
        <v>1242</v>
      </c>
      <c r="C17" s="4">
        <v>1956</v>
      </c>
      <c r="D17" s="27">
        <v>28.047932676623283</v>
      </c>
      <c r="E17">
        <v>4400</v>
      </c>
      <c r="F17">
        <v>27</v>
      </c>
    </row>
    <row r="18" spans="1:6" ht="15.75" customHeight="1" x14ac:dyDescent="0.35">
      <c r="A18" s="3" t="s">
        <v>20</v>
      </c>
      <c r="B18" s="6">
        <v>1533</v>
      </c>
      <c r="C18" s="4">
        <v>2179</v>
      </c>
      <c r="D18" s="27">
        <v>28.047932676623283</v>
      </c>
      <c r="E18">
        <v>1350</v>
      </c>
      <c r="F18">
        <v>27</v>
      </c>
    </row>
    <row r="19" spans="1:6" ht="15.75" customHeight="1" x14ac:dyDescent="0.35">
      <c r="A19" s="3" t="s">
        <v>21</v>
      </c>
      <c r="B19" s="6">
        <v>1495</v>
      </c>
      <c r="C19" s="4">
        <v>2179</v>
      </c>
      <c r="D19" s="27">
        <v>28.047932676623283</v>
      </c>
      <c r="E19">
        <v>0</v>
      </c>
      <c r="F19">
        <v>27</v>
      </c>
    </row>
    <row r="20" spans="1:6" ht="15.75" customHeight="1" x14ac:dyDescent="0.35">
      <c r="A20" s="3" t="s">
        <v>19</v>
      </c>
      <c r="B20" s="6">
        <v>2015</v>
      </c>
      <c r="C20" s="4">
        <v>2179</v>
      </c>
      <c r="D20" s="27">
        <v>28.047932676623283</v>
      </c>
      <c r="E20">
        <v>50</v>
      </c>
      <c r="F20">
        <v>27</v>
      </c>
    </row>
    <row r="21" spans="1:6" ht="15.75" customHeight="1" x14ac:dyDescent="0.35">
      <c r="A21" s="3" t="s">
        <v>129</v>
      </c>
      <c r="B21" s="6">
        <v>675</v>
      </c>
      <c r="C21" s="4">
        <v>3145</v>
      </c>
      <c r="D21" s="27">
        <v>28.047932676623283</v>
      </c>
      <c r="E21">
        <v>100</v>
      </c>
      <c r="F21">
        <v>27</v>
      </c>
    </row>
    <row r="22" spans="1:6" ht="15.75" customHeight="1" x14ac:dyDescent="0.35">
      <c r="A22" s="3" t="s">
        <v>22</v>
      </c>
      <c r="B22" s="6">
        <v>18063</v>
      </c>
      <c r="C22" s="4">
        <v>2179</v>
      </c>
      <c r="D22" s="27">
        <v>28.047932676623283</v>
      </c>
      <c r="E22">
        <v>14500</v>
      </c>
      <c r="F22">
        <v>27</v>
      </c>
    </row>
    <row r="23" spans="1:6" ht="15.75" customHeight="1" x14ac:dyDescent="0.35">
      <c r="A23" s="3" t="s">
        <v>23</v>
      </c>
      <c r="B23" s="6">
        <v>0</v>
      </c>
      <c r="C23" s="4">
        <v>2268</v>
      </c>
      <c r="D23" s="27">
        <v>28.047932676623283</v>
      </c>
      <c r="E23">
        <v>0</v>
      </c>
      <c r="F23">
        <v>27</v>
      </c>
    </row>
    <row r="24" spans="1:6" ht="15.75" customHeight="1" x14ac:dyDescent="0.35">
      <c r="A24" s="3" t="s">
        <v>130</v>
      </c>
      <c r="B24" s="6">
        <v>6750</v>
      </c>
      <c r="C24" s="4">
        <v>2268</v>
      </c>
      <c r="D24" s="27">
        <v>28.047932676623283</v>
      </c>
      <c r="E24">
        <v>13750</v>
      </c>
      <c r="F24">
        <v>27</v>
      </c>
    </row>
    <row r="25" spans="1:6" ht="15.75" customHeight="1" x14ac:dyDescent="0.35">
      <c r="A25" s="3" t="s">
        <v>24</v>
      </c>
      <c r="B25" s="6">
        <v>71</v>
      </c>
      <c r="C25" s="4">
        <v>1956</v>
      </c>
      <c r="D25" s="27">
        <v>28.047932676623283</v>
      </c>
      <c r="E25">
        <v>0</v>
      </c>
      <c r="F25">
        <v>27</v>
      </c>
    </row>
    <row r="26" spans="1:6" ht="15.75" customHeight="1" x14ac:dyDescent="0.35">
      <c r="A26" s="3" t="s">
        <v>25</v>
      </c>
      <c r="B26" s="6">
        <v>85</v>
      </c>
      <c r="C26" s="4">
        <v>2218</v>
      </c>
      <c r="D26" s="27">
        <v>28.047932676623283</v>
      </c>
      <c r="E26">
        <v>0</v>
      </c>
      <c r="F26">
        <v>27</v>
      </c>
    </row>
    <row r="27" spans="1:6" ht="15.75" customHeight="1" x14ac:dyDescent="0.35">
      <c r="A27" s="3" t="s">
        <v>131</v>
      </c>
      <c r="B27" s="6">
        <v>8650</v>
      </c>
      <c r="C27" s="4">
        <v>2218</v>
      </c>
      <c r="D27" s="27">
        <v>28.047932676623283</v>
      </c>
      <c r="E27">
        <v>11625</v>
      </c>
      <c r="F27">
        <v>27</v>
      </c>
    </row>
    <row r="28" spans="1:6" ht="15.75" customHeight="1" x14ac:dyDescent="0.35">
      <c r="A28" s="3" t="s">
        <v>26</v>
      </c>
      <c r="B28" s="6">
        <v>88</v>
      </c>
      <c r="C28" s="4">
        <v>2218</v>
      </c>
      <c r="D28" s="27">
        <v>28.047932676623283</v>
      </c>
      <c r="E28">
        <v>0</v>
      </c>
      <c r="F28">
        <v>27</v>
      </c>
    </row>
    <row r="29" spans="1:6" ht="15.75" customHeight="1" x14ac:dyDescent="0.35">
      <c r="A29" s="3" t="s">
        <v>28</v>
      </c>
      <c r="B29" s="6">
        <v>3670</v>
      </c>
      <c r="C29" s="4">
        <v>2765</v>
      </c>
      <c r="D29" s="27">
        <v>28.047932676623283</v>
      </c>
      <c r="E29">
        <v>1050</v>
      </c>
      <c r="F29">
        <v>27</v>
      </c>
    </row>
    <row r="30" spans="1:6" ht="15.75" customHeight="1" x14ac:dyDescent="0.35">
      <c r="A30" s="3" t="s">
        <v>29</v>
      </c>
      <c r="B30" s="6">
        <v>8860</v>
      </c>
      <c r="C30" s="4">
        <v>4592</v>
      </c>
      <c r="D30" s="27">
        <v>28.047932676623283</v>
      </c>
      <c r="E30">
        <v>21305</v>
      </c>
      <c r="F30">
        <v>27</v>
      </c>
    </row>
    <row r="31" spans="1:6" ht="15.75" customHeight="1" x14ac:dyDescent="0.35">
      <c r="A31" s="3" t="s">
        <v>30</v>
      </c>
      <c r="B31" s="6">
        <v>6335</v>
      </c>
      <c r="C31" s="4">
        <v>2297</v>
      </c>
      <c r="D31" s="27">
        <v>28.047932676623283</v>
      </c>
      <c r="E31">
        <v>51021</v>
      </c>
      <c r="F31">
        <v>27</v>
      </c>
    </row>
    <row r="32" spans="1:6" ht="15.75" customHeight="1" x14ac:dyDescent="0.35">
      <c r="A32" s="3" t="s">
        <v>31</v>
      </c>
      <c r="B32" s="6">
        <v>3116</v>
      </c>
      <c r="C32" s="4">
        <v>2616</v>
      </c>
      <c r="D32" s="27">
        <v>28.047932676623283</v>
      </c>
      <c r="E32">
        <v>0</v>
      </c>
      <c r="F32">
        <v>27</v>
      </c>
    </row>
    <row r="33" spans="1:6" ht="15.75" customHeight="1" x14ac:dyDescent="0.35">
      <c r="A33" s="3" t="s">
        <v>32</v>
      </c>
      <c r="B33" s="6">
        <v>4875</v>
      </c>
      <c r="C33" s="4">
        <v>2616</v>
      </c>
      <c r="D33" s="27">
        <v>28.047932676623283</v>
      </c>
      <c r="E33">
        <v>775</v>
      </c>
      <c r="F33">
        <v>27</v>
      </c>
    </row>
    <row r="34" spans="1:6" ht="15.75" customHeight="1" x14ac:dyDescent="0.35">
      <c r="A34" s="3" t="s">
        <v>33</v>
      </c>
      <c r="B34" s="6">
        <v>39</v>
      </c>
      <c r="C34" s="4">
        <v>1968</v>
      </c>
      <c r="D34" s="27">
        <v>28.047932676623283</v>
      </c>
      <c r="E34">
        <v>44150</v>
      </c>
      <c r="F34">
        <v>27</v>
      </c>
    </row>
    <row r="35" spans="1:6" ht="15.75" customHeight="1" x14ac:dyDescent="0.35">
      <c r="A35" s="3" t="s">
        <v>35</v>
      </c>
      <c r="B35" s="6">
        <v>4562</v>
      </c>
      <c r="C35" s="4">
        <v>2503</v>
      </c>
      <c r="D35" s="27">
        <v>28.047932676623283</v>
      </c>
      <c r="E35">
        <v>161380</v>
      </c>
      <c r="F35">
        <v>27</v>
      </c>
    </row>
    <row r="36" spans="1:6" ht="15.75" customHeight="1" x14ac:dyDescent="0.35">
      <c r="A36" s="3" t="s">
        <v>36</v>
      </c>
      <c r="B36" s="6">
        <v>311</v>
      </c>
      <c r="C36" s="4">
        <v>2103</v>
      </c>
      <c r="D36" s="27">
        <v>28.047932676623283</v>
      </c>
      <c r="E36">
        <v>0</v>
      </c>
      <c r="F36">
        <v>27</v>
      </c>
    </row>
    <row r="37" spans="1:6" ht="15.75" customHeight="1" x14ac:dyDescent="0.35">
      <c r="A37" s="3" t="s">
        <v>37</v>
      </c>
      <c r="B37" s="6">
        <v>15246</v>
      </c>
      <c r="C37" s="4">
        <v>2802</v>
      </c>
      <c r="D37" s="27">
        <v>28.047932676623283</v>
      </c>
      <c r="E37">
        <v>18375</v>
      </c>
      <c r="F37">
        <v>27</v>
      </c>
    </row>
    <row r="38" spans="1:6" ht="15.75" customHeight="1" x14ac:dyDescent="0.35">
      <c r="A38" s="3" t="s">
        <v>149</v>
      </c>
      <c r="B38" s="6">
        <v>1200</v>
      </c>
      <c r="C38" s="4">
        <v>2103</v>
      </c>
      <c r="D38" s="27">
        <v>28.047932676623283</v>
      </c>
      <c r="E38">
        <v>8050</v>
      </c>
      <c r="F38">
        <v>27</v>
      </c>
    </row>
    <row r="39" spans="1:6" ht="15.75" customHeight="1" x14ac:dyDescent="0.35">
      <c r="A39" s="3" t="s">
        <v>38</v>
      </c>
      <c r="B39" s="6">
        <v>7049</v>
      </c>
      <c r="C39" s="4">
        <v>2126</v>
      </c>
      <c r="D39" s="27">
        <v>28.047932676623283</v>
      </c>
      <c r="E39">
        <v>150000</v>
      </c>
      <c r="F39">
        <v>27</v>
      </c>
    </row>
    <row r="40" spans="1:6" ht="15.75" customHeight="1" x14ac:dyDescent="0.35">
      <c r="A40" s="3" t="s">
        <v>144</v>
      </c>
      <c r="B40" s="6">
        <v>1870</v>
      </c>
      <c r="C40" s="4">
        <v>2514</v>
      </c>
      <c r="D40" s="27">
        <v>28.047932676623283</v>
      </c>
      <c r="E40">
        <v>0</v>
      </c>
      <c r="F40">
        <v>27</v>
      </c>
    </row>
    <row r="41" spans="1:6" ht="15.75" customHeight="1" x14ac:dyDescent="0.35">
      <c r="A41" s="3" t="s">
        <v>40</v>
      </c>
      <c r="B41" s="6">
        <v>413</v>
      </c>
      <c r="C41" s="4">
        <v>1956</v>
      </c>
      <c r="D41" s="27">
        <v>28.047932676623283</v>
      </c>
      <c r="E41">
        <v>0</v>
      </c>
      <c r="F41">
        <v>27</v>
      </c>
    </row>
    <row r="42" spans="1:6" ht="15.75" customHeight="1" x14ac:dyDescent="0.35">
      <c r="A42" s="3" t="s">
        <v>154</v>
      </c>
      <c r="B42" s="6">
        <v>25000</v>
      </c>
      <c r="C42" s="4">
        <v>2514</v>
      </c>
      <c r="D42" s="27">
        <v>28.047932676623283</v>
      </c>
      <c r="E42">
        <v>0</v>
      </c>
      <c r="F42">
        <v>27</v>
      </c>
    </row>
    <row r="43" spans="1:6" ht="15.75" customHeight="1" x14ac:dyDescent="0.35">
      <c r="A43" s="3" t="s">
        <v>41</v>
      </c>
      <c r="B43" s="6">
        <v>148</v>
      </c>
      <c r="C43" s="4">
        <v>3391</v>
      </c>
      <c r="D43" s="27">
        <v>28.047932676623283</v>
      </c>
      <c r="E43">
        <v>9736</v>
      </c>
      <c r="F43">
        <v>27</v>
      </c>
    </row>
    <row r="44" spans="1:6" ht="15.75" customHeight="1" x14ac:dyDescent="0.35">
      <c r="A44" s="3" t="s">
        <v>42</v>
      </c>
      <c r="B44" s="6">
        <v>21698</v>
      </c>
      <c r="C44" s="4">
        <v>3549</v>
      </c>
      <c r="D44" s="27">
        <v>28.047932676623283</v>
      </c>
      <c r="E44">
        <v>10590</v>
      </c>
      <c r="F44">
        <v>27</v>
      </c>
    </row>
    <row r="45" spans="1:6" ht="15.75" customHeight="1" x14ac:dyDescent="0.35">
      <c r="A45" s="3" t="s">
        <v>43</v>
      </c>
      <c r="B45" s="6">
        <v>1082</v>
      </c>
      <c r="C45" s="4">
        <v>2129</v>
      </c>
      <c r="D45" s="27">
        <v>28.047932676623283</v>
      </c>
      <c r="E45">
        <v>35202</v>
      </c>
      <c r="F45">
        <v>27</v>
      </c>
    </row>
    <row r="46" spans="1:6" ht="15.75" customHeight="1" x14ac:dyDescent="0.35">
      <c r="A46" s="3" t="s">
        <v>44</v>
      </c>
      <c r="B46" s="6">
        <v>5440</v>
      </c>
      <c r="C46" s="4">
        <v>2129</v>
      </c>
      <c r="D46" s="27">
        <v>28.047932676623283</v>
      </c>
      <c r="E46">
        <v>14950</v>
      </c>
      <c r="F46">
        <v>27</v>
      </c>
    </row>
    <row r="47" spans="1:6" ht="15.75" customHeight="1" x14ac:dyDescent="0.35">
      <c r="A47" s="3" t="s">
        <v>45</v>
      </c>
      <c r="B47" s="6">
        <v>469</v>
      </c>
      <c r="C47" s="4">
        <v>2131</v>
      </c>
      <c r="D47" s="27">
        <v>28.047932676623283</v>
      </c>
      <c r="E47">
        <v>275</v>
      </c>
      <c r="F47">
        <v>27</v>
      </c>
    </row>
    <row r="48" spans="1:6" ht="15.75" customHeight="1" x14ac:dyDescent="0.35">
      <c r="A48" s="3" t="s">
        <v>46</v>
      </c>
      <c r="B48" s="6">
        <v>1721</v>
      </c>
      <c r="C48" s="4">
        <v>2131</v>
      </c>
      <c r="D48" s="27">
        <v>28.047932676623283</v>
      </c>
      <c r="E48">
        <v>5130</v>
      </c>
      <c r="F48">
        <v>27</v>
      </c>
    </row>
    <row r="49" spans="1:6" ht="15.75" customHeight="1" x14ac:dyDescent="0.35">
      <c r="A49" s="3" t="s">
        <v>47</v>
      </c>
      <c r="B49" s="6">
        <v>14327</v>
      </c>
      <c r="C49" s="4">
        <v>2245</v>
      </c>
      <c r="D49" s="27">
        <v>28.047932676623283</v>
      </c>
      <c r="E49">
        <v>38250</v>
      </c>
      <c r="F49">
        <v>27</v>
      </c>
    </row>
    <row r="50" spans="1:6" ht="15.75" customHeight="1" x14ac:dyDescent="0.35">
      <c r="A50" s="3" t="s">
        <v>48</v>
      </c>
      <c r="B50" s="6">
        <v>873</v>
      </c>
      <c r="C50" s="4">
        <v>2121</v>
      </c>
      <c r="D50" s="27">
        <v>28.047932676623283</v>
      </c>
      <c r="E50">
        <v>0</v>
      </c>
      <c r="F50">
        <v>27</v>
      </c>
    </row>
    <row r="51" spans="1:6" ht="15.75" customHeight="1" x14ac:dyDescent="0.35">
      <c r="A51" s="3" t="s">
        <v>150</v>
      </c>
      <c r="B51" s="6">
        <v>17993</v>
      </c>
      <c r="C51" s="4">
        <v>2121</v>
      </c>
      <c r="D51" s="27">
        <v>28.047932676623283</v>
      </c>
      <c r="E51">
        <v>48375</v>
      </c>
      <c r="F51">
        <v>27</v>
      </c>
    </row>
    <row r="52" spans="1:6" ht="15.75" customHeight="1" x14ac:dyDescent="0.35">
      <c r="A52" s="3" t="s">
        <v>151</v>
      </c>
      <c r="B52" s="6">
        <v>2650</v>
      </c>
      <c r="C52" s="4">
        <v>2121</v>
      </c>
      <c r="D52" s="27">
        <v>28.047932676623283</v>
      </c>
      <c r="E52">
        <v>500</v>
      </c>
      <c r="F52">
        <v>27</v>
      </c>
    </row>
    <row r="53" spans="1:6" ht="15.75" customHeight="1" x14ac:dyDescent="0.35">
      <c r="A53" s="3" t="s">
        <v>50</v>
      </c>
      <c r="B53" s="6">
        <v>3195</v>
      </c>
      <c r="C53" s="4">
        <v>4592</v>
      </c>
      <c r="D53" s="27">
        <v>28.047932676623283</v>
      </c>
      <c r="E53">
        <v>2310</v>
      </c>
      <c r="F53">
        <v>27</v>
      </c>
    </row>
    <row r="54" spans="1:6" ht="15.75" customHeight="1" x14ac:dyDescent="0.35">
      <c r="A54" s="3" t="s">
        <v>51</v>
      </c>
      <c r="B54" s="6">
        <v>3254</v>
      </c>
      <c r="C54" s="4">
        <v>2297</v>
      </c>
      <c r="D54" s="27">
        <v>28.047932676623283</v>
      </c>
      <c r="E54">
        <v>15683</v>
      </c>
      <c r="F54">
        <v>27</v>
      </c>
    </row>
    <row r="55" spans="1:6" ht="15.75" customHeight="1" x14ac:dyDescent="0.35">
      <c r="A55" s="3" t="s">
        <v>52</v>
      </c>
      <c r="B55" s="6">
        <v>3600</v>
      </c>
      <c r="C55" s="4">
        <v>4592</v>
      </c>
      <c r="D55" s="27">
        <v>28.047932676623283</v>
      </c>
      <c r="E55">
        <v>0</v>
      </c>
      <c r="F55">
        <v>27</v>
      </c>
    </row>
    <row r="56" spans="1:6" ht="15.75" customHeight="1" x14ac:dyDescent="0.35">
      <c r="A56" s="3" t="s">
        <v>53</v>
      </c>
      <c r="B56" s="6">
        <v>2292</v>
      </c>
      <c r="C56" s="4">
        <v>4592</v>
      </c>
      <c r="D56" s="27">
        <v>28.047932676623283</v>
      </c>
      <c r="E56">
        <v>0</v>
      </c>
      <c r="F56">
        <v>27</v>
      </c>
    </row>
    <row r="57" spans="1:6" ht="15.75" customHeight="1" x14ac:dyDescent="0.35">
      <c r="A57" s="3" t="s">
        <v>145</v>
      </c>
      <c r="B57" s="6">
        <v>1000</v>
      </c>
      <c r="C57" s="4">
        <v>2103</v>
      </c>
      <c r="D57" s="27">
        <v>28.047932676623283</v>
      </c>
      <c r="E57">
        <v>1500</v>
      </c>
      <c r="F57">
        <v>27</v>
      </c>
    </row>
    <row r="58" spans="1:6" ht="15.75" customHeight="1" x14ac:dyDescent="0.35">
      <c r="A58" s="3" t="s">
        <v>55</v>
      </c>
      <c r="B58" s="6">
        <v>11420</v>
      </c>
      <c r="C58" s="4">
        <v>2103</v>
      </c>
      <c r="D58" s="27">
        <v>28.047932676623283</v>
      </c>
      <c r="E58">
        <v>1500</v>
      </c>
      <c r="F58">
        <v>27</v>
      </c>
    </row>
    <row r="59" spans="1:6" ht="15.75" customHeight="1" x14ac:dyDescent="0.35">
      <c r="A59" s="3" t="s">
        <v>56</v>
      </c>
      <c r="B59" s="6">
        <v>4548</v>
      </c>
      <c r="C59" s="4">
        <v>4592</v>
      </c>
      <c r="D59" s="27">
        <v>28.047932676623283</v>
      </c>
      <c r="E59">
        <v>2600</v>
      </c>
      <c r="F59">
        <v>27</v>
      </c>
    </row>
    <row r="60" spans="1:6" ht="15.75" customHeight="1" x14ac:dyDescent="0.35">
      <c r="A60" s="3" t="s">
        <v>57</v>
      </c>
      <c r="B60" s="6">
        <v>787</v>
      </c>
      <c r="C60" s="4">
        <v>2297</v>
      </c>
      <c r="D60" s="27">
        <v>28.047932676623283</v>
      </c>
      <c r="E60">
        <v>3398</v>
      </c>
      <c r="F60">
        <v>27</v>
      </c>
    </row>
    <row r="61" spans="1:6" ht="15.75" customHeight="1" x14ac:dyDescent="0.35">
      <c r="A61" s="3" t="s">
        <v>58</v>
      </c>
      <c r="B61" s="6">
        <v>1842</v>
      </c>
      <c r="C61" s="4">
        <v>2616</v>
      </c>
      <c r="D61" s="27">
        <v>28.047932676623283</v>
      </c>
      <c r="E61">
        <v>200</v>
      </c>
      <c r="F61">
        <v>27</v>
      </c>
    </row>
    <row r="62" spans="1:6" ht="15.75" customHeight="1" x14ac:dyDescent="0.35">
      <c r="A62" s="3" t="s">
        <v>59</v>
      </c>
      <c r="B62" s="6">
        <v>748</v>
      </c>
      <c r="C62" s="4">
        <v>2616</v>
      </c>
      <c r="D62" s="27">
        <v>28.047932676623283</v>
      </c>
      <c r="E62">
        <v>0</v>
      </c>
      <c r="F62">
        <v>27</v>
      </c>
    </row>
    <row r="63" spans="1:6" ht="15.75" customHeight="1" x14ac:dyDescent="0.35">
      <c r="A63" s="3" t="s">
        <v>61</v>
      </c>
      <c r="B63" s="6">
        <v>790</v>
      </c>
      <c r="C63" s="4">
        <v>7550</v>
      </c>
      <c r="D63" s="27">
        <v>28.047932676623283</v>
      </c>
      <c r="E63">
        <v>0</v>
      </c>
      <c r="F63">
        <v>27</v>
      </c>
    </row>
    <row r="64" spans="1:6" ht="15.75" customHeight="1" x14ac:dyDescent="0.35">
      <c r="A64" s="3" t="s">
        <v>158</v>
      </c>
      <c r="B64" s="6">
        <v>16855</v>
      </c>
      <c r="C64" s="4">
        <v>7550</v>
      </c>
      <c r="D64" s="27">
        <v>28.047932676623283</v>
      </c>
      <c r="E64">
        <v>7325</v>
      </c>
      <c r="F64">
        <v>27</v>
      </c>
    </row>
    <row r="65" spans="1:6" ht="15.75" customHeight="1" x14ac:dyDescent="0.35">
      <c r="A65" s="3" t="s">
        <v>62</v>
      </c>
      <c r="B65" s="6">
        <v>6120</v>
      </c>
      <c r="C65" s="4">
        <v>4592</v>
      </c>
      <c r="D65" s="27">
        <v>28.047932676623283</v>
      </c>
      <c r="E65">
        <v>3273</v>
      </c>
      <c r="F65">
        <v>27</v>
      </c>
    </row>
    <row r="66" spans="1:6" ht="15.75" customHeight="1" x14ac:dyDescent="0.35">
      <c r="A66" s="3" t="s">
        <v>63</v>
      </c>
      <c r="B66" s="6">
        <v>2804</v>
      </c>
      <c r="C66" s="4">
        <v>2297</v>
      </c>
      <c r="D66" s="27">
        <v>28.047932676623283</v>
      </c>
      <c r="E66">
        <v>12775</v>
      </c>
      <c r="F66">
        <v>27</v>
      </c>
    </row>
    <row r="67" spans="1:6" ht="15.75" customHeight="1" x14ac:dyDescent="0.35">
      <c r="A67" s="3" t="s">
        <v>64</v>
      </c>
      <c r="B67" s="6">
        <v>1850</v>
      </c>
      <c r="C67" s="4">
        <v>2616</v>
      </c>
      <c r="D67" s="27">
        <v>28.047932676623283</v>
      </c>
      <c r="E67">
        <v>200</v>
      </c>
      <c r="F67">
        <v>27</v>
      </c>
    </row>
    <row r="68" spans="1:6" ht="15.75" customHeight="1" x14ac:dyDescent="0.35">
      <c r="A68" s="3" t="s">
        <v>65</v>
      </c>
      <c r="B68" s="6">
        <v>2303</v>
      </c>
      <c r="C68" s="4">
        <v>2616</v>
      </c>
      <c r="D68" s="27">
        <v>28.047932676623283</v>
      </c>
      <c r="E68">
        <v>75</v>
      </c>
      <c r="F68">
        <v>27</v>
      </c>
    </row>
    <row r="69" spans="1:6" ht="15.75" customHeight="1" x14ac:dyDescent="0.35">
      <c r="A69" s="3" t="s">
        <v>66</v>
      </c>
      <c r="B69" s="6">
        <v>1770</v>
      </c>
      <c r="C69" s="4">
        <v>4592</v>
      </c>
      <c r="D69" s="27">
        <v>28.047932676623283</v>
      </c>
      <c r="E69">
        <v>1335</v>
      </c>
      <c r="F69">
        <v>27</v>
      </c>
    </row>
    <row r="70" spans="1:6" ht="15.75" customHeight="1" x14ac:dyDescent="0.35">
      <c r="A70" s="3" t="s">
        <v>67</v>
      </c>
      <c r="B70" s="6">
        <v>7880</v>
      </c>
      <c r="C70" s="4">
        <v>2297</v>
      </c>
      <c r="D70" s="27">
        <v>28.047932676623283</v>
      </c>
      <c r="E70">
        <v>1650</v>
      </c>
      <c r="F70">
        <v>27</v>
      </c>
    </row>
    <row r="71" spans="1:6" ht="15.75" customHeight="1" x14ac:dyDescent="0.35">
      <c r="A71" s="3" t="s">
        <v>68</v>
      </c>
      <c r="B71" s="6">
        <v>1525</v>
      </c>
      <c r="C71" s="4">
        <v>2616</v>
      </c>
      <c r="D71" s="27">
        <v>28.047932676623283</v>
      </c>
      <c r="E71">
        <v>0</v>
      </c>
      <c r="F71">
        <v>27</v>
      </c>
    </row>
    <row r="72" spans="1:6" ht="15.75" customHeight="1" x14ac:dyDescent="0.35">
      <c r="A72" s="3" t="s">
        <v>69</v>
      </c>
      <c r="B72" s="6">
        <v>2189</v>
      </c>
      <c r="C72" s="4">
        <v>1419</v>
      </c>
      <c r="D72" s="27">
        <v>28.047932676623283</v>
      </c>
      <c r="E72">
        <v>250</v>
      </c>
      <c r="F72">
        <v>27</v>
      </c>
    </row>
    <row r="73" spans="1:6" ht="15.75" customHeight="1" x14ac:dyDescent="0.35">
      <c r="A73" s="3" t="s">
        <v>70</v>
      </c>
      <c r="B73" s="6">
        <v>0</v>
      </c>
      <c r="C73" s="4">
        <v>1968</v>
      </c>
      <c r="D73" s="27">
        <v>28.047932676623283</v>
      </c>
      <c r="E73">
        <v>5900</v>
      </c>
      <c r="F73">
        <v>27</v>
      </c>
    </row>
    <row r="74" spans="1:6" ht="15.75" customHeight="1" x14ac:dyDescent="0.35">
      <c r="A74" s="3" t="s">
        <v>73</v>
      </c>
      <c r="B74" s="6">
        <v>16855</v>
      </c>
      <c r="C74" s="4">
        <v>1968</v>
      </c>
      <c r="D74" s="27">
        <v>28.047932676623283</v>
      </c>
      <c r="E74">
        <v>9059</v>
      </c>
      <c r="F74">
        <v>27</v>
      </c>
    </row>
    <row r="75" spans="1:6" ht="15.75" customHeight="1" x14ac:dyDescent="0.35">
      <c r="A75" s="3" t="s">
        <v>146</v>
      </c>
      <c r="B75" s="6">
        <v>2829</v>
      </c>
      <c r="C75" s="4">
        <v>2157</v>
      </c>
      <c r="D75" s="27">
        <v>28.047932676623283</v>
      </c>
      <c r="E75">
        <v>17771</v>
      </c>
      <c r="F75">
        <v>27</v>
      </c>
    </row>
    <row r="76" spans="1:6" ht="15.75" customHeight="1" x14ac:dyDescent="0.35">
      <c r="A76" s="3" t="s">
        <v>75</v>
      </c>
      <c r="B76" s="6">
        <v>1311</v>
      </c>
      <c r="C76" s="4">
        <v>2031</v>
      </c>
      <c r="D76" s="27">
        <v>28.047932676623283</v>
      </c>
      <c r="E76">
        <v>14296</v>
      </c>
      <c r="F76">
        <v>27</v>
      </c>
    </row>
    <row r="77" spans="1:6" ht="15.75" customHeight="1" x14ac:dyDescent="0.35">
      <c r="A77" s="3" t="s">
        <v>76</v>
      </c>
      <c r="B77" s="6">
        <v>4721</v>
      </c>
      <c r="C77" s="4">
        <v>2031</v>
      </c>
      <c r="D77" s="27">
        <v>28.047932676623283</v>
      </c>
      <c r="E77">
        <v>12148</v>
      </c>
      <c r="F77">
        <v>27</v>
      </c>
    </row>
    <row r="78" spans="1:6" ht="15.75" customHeight="1" x14ac:dyDescent="0.35">
      <c r="A78" s="3" t="s">
        <v>77</v>
      </c>
      <c r="B78" s="6">
        <v>1000</v>
      </c>
      <c r="C78" s="4">
        <v>2642</v>
      </c>
      <c r="D78" s="27">
        <v>28.047932676623283</v>
      </c>
      <c r="E78">
        <v>0</v>
      </c>
      <c r="F78">
        <v>27</v>
      </c>
    </row>
    <row r="79" spans="1:6" ht="15.75" customHeight="1" x14ac:dyDescent="0.35">
      <c r="A79" s="3" t="s">
        <v>78</v>
      </c>
      <c r="B79" s="6">
        <v>0</v>
      </c>
      <c r="C79" s="4">
        <v>2642</v>
      </c>
      <c r="D79" s="27">
        <v>28.047932676623283</v>
      </c>
      <c r="E79">
        <v>1800</v>
      </c>
      <c r="F79">
        <v>27</v>
      </c>
    </row>
    <row r="80" spans="1:6" ht="15.75" customHeight="1" x14ac:dyDescent="0.35">
      <c r="A80" s="3" t="s">
        <v>79</v>
      </c>
      <c r="B80" s="6">
        <v>450</v>
      </c>
      <c r="C80" s="4">
        <v>2488</v>
      </c>
      <c r="D80" s="27">
        <v>28.047932676623283</v>
      </c>
      <c r="E80">
        <v>0</v>
      </c>
      <c r="F80">
        <v>27</v>
      </c>
    </row>
    <row r="81" spans="1:6" ht="15.75" customHeight="1" x14ac:dyDescent="0.35">
      <c r="A81" s="3" t="s">
        <v>80</v>
      </c>
      <c r="B81" s="6">
        <v>1875</v>
      </c>
      <c r="C81" s="4">
        <v>2431</v>
      </c>
      <c r="D81" s="27">
        <v>28.047932676623283</v>
      </c>
      <c r="E81">
        <v>1725</v>
      </c>
      <c r="F81">
        <v>27</v>
      </c>
    </row>
    <row r="82" spans="1:6" ht="15.75" customHeight="1" x14ac:dyDescent="0.35">
      <c r="A82" s="3" t="s">
        <v>81</v>
      </c>
      <c r="B82" s="6">
        <v>7118</v>
      </c>
      <c r="C82" s="4">
        <v>4592</v>
      </c>
      <c r="D82" s="27">
        <v>28.047932676623283</v>
      </c>
      <c r="E82">
        <v>3960</v>
      </c>
      <c r="F82">
        <v>27</v>
      </c>
    </row>
    <row r="83" spans="1:6" ht="15.75" customHeight="1" x14ac:dyDescent="0.35">
      <c r="A83" s="3" t="s">
        <v>82</v>
      </c>
      <c r="B83" s="6">
        <v>1925</v>
      </c>
      <c r="C83" s="4">
        <v>2297</v>
      </c>
      <c r="D83" s="27">
        <v>28.047932676623283</v>
      </c>
      <c r="E83">
        <v>1250</v>
      </c>
      <c r="F83">
        <v>27</v>
      </c>
    </row>
    <row r="84" spans="1:6" ht="15.75" customHeight="1" x14ac:dyDescent="0.35">
      <c r="A84" s="3" t="s">
        <v>83</v>
      </c>
      <c r="B84" s="6">
        <v>2875</v>
      </c>
      <c r="C84" s="4">
        <v>2616</v>
      </c>
      <c r="D84" s="27">
        <v>28.047932676623283</v>
      </c>
      <c r="E84">
        <v>0</v>
      </c>
      <c r="F84">
        <v>27</v>
      </c>
    </row>
    <row r="85" spans="1:6" ht="15.75" customHeight="1" x14ac:dyDescent="0.35">
      <c r="A85" s="3" t="s">
        <v>84</v>
      </c>
      <c r="B85" s="6">
        <v>9600</v>
      </c>
      <c r="C85" s="4">
        <v>1419</v>
      </c>
      <c r="D85" s="27">
        <v>28.047932676623283</v>
      </c>
      <c r="E85">
        <v>14551</v>
      </c>
      <c r="F85">
        <v>27</v>
      </c>
    </row>
    <row r="86" spans="1:6" ht="15.75" customHeight="1" x14ac:dyDescent="0.35">
      <c r="A86" s="3" t="s">
        <v>85</v>
      </c>
      <c r="B86" s="6">
        <v>3244</v>
      </c>
      <c r="C86" s="4">
        <v>2616</v>
      </c>
      <c r="D86" s="27">
        <v>28.047932676623283</v>
      </c>
      <c r="E86">
        <v>0</v>
      </c>
      <c r="F86">
        <v>27</v>
      </c>
    </row>
    <row r="87" spans="1:6" ht="15.75" customHeight="1" x14ac:dyDescent="0.35">
      <c r="A87" s="3" t="s">
        <v>86</v>
      </c>
      <c r="B87" s="6">
        <v>5189</v>
      </c>
      <c r="C87" s="4">
        <v>2246</v>
      </c>
      <c r="D87" s="27">
        <v>28.047932676623283</v>
      </c>
      <c r="E87">
        <v>5750</v>
      </c>
      <c r="F87">
        <v>27</v>
      </c>
    </row>
    <row r="88" spans="1:6" ht="15.75" customHeight="1" x14ac:dyDescent="0.35">
      <c r="A88" s="3" t="s">
        <v>87</v>
      </c>
      <c r="B88" s="6">
        <v>12302</v>
      </c>
      <c r="C88" s="4">
        <v>2355</v>
      </c>
      <c r="D88" s="27">
        <v>28.047932676623283</v>
      </c>
      <c r="E88">
        <v>675</v>
      </c>
      <c r="F88">
        <v>27</v>
      </c>
    </row>
    <row r="89" spans="1:6" ht="15.75" customHeight="1" x14ac:dyDescent="0.35">
      <c r="A89" s="3" t="s">
        <v>88</v>
      </c>
      <c r="B89" s="6">
        <v>1863</v>
      </c>
      <c r="C89" s="4">
        <v>2031</v>
      </c>
      <c r="D89" s="27">
        <v>28.047932676623283</v>
      </c>
      <c r="E89">
        <v>9125</v>
      </c>
      <c r="F89">
        <v>27</v>
      </c>
    </row>
    <row r="90" spans="1:6" ht="15.75" customHeight="1" x14ac:dyDescent="0.35">
      <c r="A90" s="3" t="s">
        <v>89</v>
      </c>
      <c r="B90" s="6">
        <v>3000</v>
      </c>
      <c r="C90" s="4">
        <v>2108</v>
      </c>
      <c r="D90" s="27">
        <v>28.047932676623283</v>
      </c>
      <c r="E90">
        <v>25</v>
      </c>
      <c r="F90">
        <v>27</v>
      </c>
    </row>
    <row r="91" spans="1:6" ht="15.75" customHeight="1" x14ac:dyDescent="0.35">
      <c r="A91" s="3" t="s">
        <v>90</v>
      </c>
      <c r="B91" s="6">
        <v>1575</v>
      </c>
      <c r="C91" s="4">
        <v>2173</v>
      </c>
      <c r="D91" s="27">
        <v>28.047932676623283</v>
      </c>
      <c r="E91">
        <v>1000</v>
      </c>
      <c r="F91">
        <v>27</v>
      </c>
    </row>
    <row r="92" spans="1:6" ht="15.75" customHeight="1" x14ac:dyDescent="0.35">
      <c r="A92" s="3" t="s">
        <v>94</v>
      </c>
      <c r="B92" s="6">
        <v>2100</v>
      </c>
      <c r="C92" s="4">
        <v>2503</v>
      </c>
      <c r="D92" s="27">
        <v>28.047932676623283</v>
      </c>
      <c r="E92">
        <v>3125</v>
      </c>
      <c r="F92">
        <v>27</v>
      </c>
    </row>
    <row r="93" spans="1:6" ht="15.75" customHeight="1" x14ac:dyDescent="0.35">
      <c r="A93" s="3" t="s">
        <v>95</v>
      </c>
      <c r="B93" s="6">
        <v>0</v>
      </c>
      <c r="C93" s="4">
        <v>2355</v>
      </c>
      <c r="D93" s="27">
        <v>28.047932676623283</v>
      </c>
      <c r="E93">
        <v>5762</v>
      </c>
      <c r="F93">
        <v>27</v>
      </c>
    </row>
    <row r="94" spans="1:6" ht="15.75" customHeight="1" x14ac:dyDescent="0.35">
      <c r="A94" s="3" t="s">
        <v>96</v>
      </c>
      <c r="B94" s="6">
        <v>2065</v>
      </c>
      <c r="C94" s="4">
        <v>2216</v>
      </c>
      <c r="D94" s="27">
        <v>28.047932676623283</v>
      </c>
      <c r="E94">
        <v>400</v>
      </c>
      <c r="F94">
        <v>27</v>
      </c>
    </row>
    <row r="95" spans="1:6" ht="15.75" customHeight="1" x14ac:dyDescent="0.35">
      <c r="A95" s="3" t="s">
        <v>97</v>
      </c>
      <c r="B95" s="6">
        <v>2600</v>
      </c>
      <c r="C95" s="4">
        <v>1968</v>
      </c>
      <c r="D95" s="27">
        <v>28.047932676623283</v>
      </c>
      <c r="E95">
        <v>400</v>
      </c>
      <c r="F95">
        <v>27</v>
      </c>
    </row>
    <row r="96" spans="1:6" ht="15.75" customHeight="1" x14ac:dyDescent="0.35">
      <c r="A96" s="3" t="s">
        <v>147</v>
      </c>
      <c r="B96" s="6">
        <v>2000</v>
      </c>
      <c r="C96" s="4">
        <v>2297</v>
      </c>
      <c r="D96" s="27">
        <v>28.047932676623283</v>
      </c>
      <c r="E96">
        <v>2800</v>
      </c>
      <c r="F96">
        <v>27</v>
      </c>
    </row>
    <row r="97" spans="1:6" ht="15.75" customHeight="1" x14ac:dyDescent="0.35">
      <c r="A97" s="3" t="s">
        <v>148</v>
      </c>
      <c r="B97" s="6">
        <v>2275</v>
      </c>
      <c r="C97" s="4">
        <v>2616</v>
      </c>
      <c r="D97" s="27">
        <v>28.047932676623283</v>
      </c>
      <c r="E97">
        <v>225</v>
      </c>
      <c r="F97">
        <v>27</v>
      </c>
    </row>
    <row r="98" spans="1:6" ht="15.75" customHeight="1" x14ac:dyDescent="0.35">
      <c r="A98" s="3" t="s">
        <v>101</v>
      </c>
      <c r="B98" s="6">
        <v>2154</v>
      </c>
      <c r="C98" s="4">
        <v>2355</v>
      </c>
      <c r="D98" s="27">
        <v>28.047932676623283</v>
      </c>
      <c r="E98">
        <v>375</v>
      </c>
      <c r="F98">
        <v>27</v>
      </c>
    </row>
    <row r="99" spans="1:6" ht="15.75" customHeight="1" x14ac:dyDescent="0.35">
      <c r="A99" s="3" t="s">
        <v>102</v>
      </c>
      <c r="B99" s="6">
        <v>950</v>
      </c>
      <c r="C99" s="4">
        <v>2372</v>
      </c>
      <c r="D99" s="27">
        <v>28.047932676623283</v>
      </c>
      <c r="E99">
        <v>750</v>
      </c>
      <c r="F99">
        <v>27</v>
      </c>
    </row>
    <row r="100" spans="1:6" ht="15.75" customHeight="1" x14ac:dyDescent="0.35">
      <c r="A100" s="3" t="s">
        <v>103</v>
      </c>
      <c r="B100" s="6">
        <v>1225</v>
      </c>
      <c r="C100" s="4">
        <v>3482</v>
      </c>
      <c r="D100" s="27">
        <v>28.047932676623283</v>
      </c>
      <c r="E100">
        <v>0</v>
      </c>
      <c r="F100">
        <v>27</v>
      </c>
    </row>
    <row r="101" spans="1:6" ht="15.75" customHeight="1" x14ac:dyDescent="0.35">
      <c r="A101" s="3" t="s">
        <v>104</v>
      </c>
      <c r="B101" s="6">
        <v>1050</v>
      </c>
      <c r="C101" s="4">
        <v>2555</v>
      </c>
      <c r="D101" s="27">
        <v>28.047932676623283</v>
      </c>
      <c r="E101">
        <v>1050</v>
      </c>
      <c r="F101">
        <v>27</v>
      </c>
    </row>
    <row r="102" spans="1:6" ht="15.75" customHeight="1" x14ac:dyDescent="0.35">
      <c r="A102" s="3" t="s">
        <v>105</v>
      </c>
      <c r="B102" s="6">
        <v>2075</v>
      </c>
      <c r="C102" s="4">
        <v>3665</v>
      </c>
      <c r="D102" s="27">
        <v>28.047932676623283</v>
      </c>
      <c r="E102">
        <v>1039</v>
      </c>
      <c r="F102">
        <v>27</v>
      </c>
    </row>
    <row r="103" spans="1:6" ht="15.75" customHeight="1" x14ac:dyDescent="0.35">
      <c r="A103" s="3" t="s">
        <v>106</v>
      </c>
      <c r="B103" s="6">
        <v>0</v>
      </c>
      <c r="C103" s="4">
        <v>1904</v>
      </c>
      <c r="D103" s="27">
        <v>28.047932676623283</v>
      </c>
      <c r="E103">
        <v>1522</v>
      </c>
      <c r="F103">
        <v>27</v>
      </c>
    </row>
    <row r="104" spans="1:6" ht="15.75" customHeight="1" x14ac:dyDescent="0.35">
      <c r="A104" s="3" t="s">
        <v>107</v>
      </c>
      <c r="B104" s="6">
        <v>3400</v>
      </c>
      <c r="C104" s="4">
        <v>994</v>
      </c>
      <c r="D104" s="27">
        <v>28.047932676623283</v>
      </c>
      <c r="E104">
        <v>0</v>
      </c>
      <c r="F104">
        <v>27</v>
      </c>
    </row>
    <row r="105" spans="1:6" ht="15.75" customHeight="1" x14ac:dyDescent="0.35">
      <c r="A105" s="3" t="s">
        <v>108</v>
      </c>
      <c r="B105" s="6">
        <v>3000</v>
      </c>
      <c r="C105" s="4">
        <v>994</v>
      </c>
      <c r="D105" s="27">
        <v>28.047932676623283</v>
      </c>
      <c r="E105">
        <v>2500</v>
      </c>
      <c r="F105">
        <v>27</v>
      </c>
    </row>
    <row r="106" spans="1:6" ht="15.75" customHeight="1" x14ac:dyDescent="0.35">
      <c r="A106" s="3" t="s">
        <v>109</v>
      </c>
      <c r="B106" s="6">
        <v>275</v>
      </c>
      <c r="C106" s="4">
        <v>3489</v>
      </c>
      <c r="D106" s="27">
        <v>28.047932676623283</v>
      </c>
      <c r="E106">
        <v>1020</v>
      </c>
      <c r="F106">
        <v>27</v>
      </c>
    </row>
    <row r="107" spans="1:6" ht="15.75" customHeight="1" x14ac:dyDescent="0.35">
      <c r="A107" s="3" t="s">
        <v>132</v>
      </c>
      <c r="B107" s="6">
        <v>1550</v>
      </c>
      <c r="C107" s="4">
        <v>3162</v>
      </c>
      <c r="D107" s="27">
        <v>28.047932676623283</v>
      </c>
      <c r="E107">
        <v>250</v>
      </c>
      <c r="F107">
        <v>27</v>
      </c>
    </row>
    <row r="108" spans="1:6" ht="15.75" customHeight="1" x14ac:dyDescent="0.35">
      <c r="A108" s="3" t="s">
        <v>133</v>
      </c>
      <c r="B108" s="6">
        <v>1794</v>
      </c>
      <c r="C108" s="4">
        <v>3567</v>
      </c>
      <c r="D108" s="27">
        <v>28.047932676623283</v>
      </c>
      <c r="E108">
        <v>4115</v>
      </c>
      <c r="F108">
        <v>27</v>
      </c>
    </row>
    <row r="109" spans="1:6" ht="15.75" customHeight="1" x14ac:dyDescent="0.35">
      <c r="A109" s="3" t="s">
        <v>134</v>
      </c>
      <c r="B109" s="6">
        <v>1200</v>
      </c>
      <c r="C109" s="4">
        <v>3850</v>
      </c>
      <c r="D109" s="27">
        <v>28.047932676623283</v>
      </c>
      <c r="E109">
        <v>250</v>
      </c>
      <c r="F109">
        <v>27</v>
      </c>
    </row>
    <row r="110" spans="1:6" ht="15.75" customHeight="1" x14ac:dyDescent="0.35">
      <c r="A110" s="3" t="s">
        <v>135</v>
      </c>
      <c r="B110" s="6">
        <v>1000</v>
      </c>
      <c r="C110" s="4">
        <v>1402</v>
      </c>
      <c r="D110" s="27">
        <v>28.047932676623283</v>
      </c>
      <c r="E110">
        <v>500</v>
      </c>
      <c r="F110">
        <v>27</v>
      </c>
    </row>
    <row r="111" spans="1:6" ht="15.75" customHeight="1" x14ac:dyDescent="0.35">
      <c r="A111" s="3" t="s">
        <v>111</v>
      </c>
      <c r="B111" s="6">
        <v>8525</v>
      </c>
      <c r="C111" s="4">
        <v>6112</v>
      </c>
      <c r="D111" s="27">
        <v>28.047932676623283</v>
      </c>
      <c r="E111">
        <v>7875</v>
      </c>
      <c r="F111">
        <v>27</v>
      </c>
    </row>
    <row r="112" spans="1:6" ht="15.75" customHeight="1" x14ac:dyDescent="0.35">
      <c r="A112" s="3" t="s">
        <v>112</v>
      </c>
      <c r="B112" s="6">
        <v>572</v>
      </c>
      <c r="C112" s="4">
        <v>2392</v>
      </c>
      <c r="D112" s="27">
        <v>28.047932676623283</v>
      </c>
      <c r="E112">
        <v>1000</v>
      </c>
      <c r="F112">
        <v>27</v>
      </c>
    </row>
    <row r="113" spans="1:6" ht="15.75" customHeight="1" x14ac:dyDescent="0.35">
      <c r="A113" s="3" t="s">
        <v>113</v>
      </c>
      <c r="B113" s="6">
        <v>24</v>
      </c>
      <c r="C113" s="4">
        <v>2651</v>
      </c>
      <c r="D113" s="27">
        <v>28.047932676623283</v>
      </c>
      <c r="E113">
        <v>0</v>
      </c>
      <c r="F113">
        <v>27</v>
      </c>
    </row>
    <row r="114" spans="1:6" ht="15.75" customHeight="1" x14ac:dyDescent="0.35">
      <c r="A114" s="3" t="s">
        <v>159</v>
      </c>
      <c r="B114" s="6">
        <v>1020</v>
      </c>
      <c r="C114" s="4">
        <v>2651</v>
      </c>
      <c r="D114" s="27">
        <v>28.047932676623283</v>
      </c>
      <c r="E114">
        <v>1020</v>
      </c>
      <c r="F114">
        <v>27</v>
      </c>
    </row>
    <row r="115" spans="1:6" ht="15.75" customHeight="1" x14ac:dyDescent="0.35">
      <c r="A115" s="3" t="s">
        <v>114</v>
      </c>
      <c r="B115" s="6">
        <v>1431</v>
      </c>
      <c r="C115" s="4">
        <v>4343</v>
      </c>
      <c r="D115" s="27">
        <v>28.047932676623283</v>
      </c>
      <c r="E115">
        <v>520</v>
      </c>
      <c r="F115">
        <v>27</v>
      </c>
    </row>
    <row r="116" spans="1:6" ht="15.75" customHeight="1" x14ac:dyDescent="0.35">
      <c r="A116" s="3" t="s">
        <v>115</v>
      </c>
      <c r="B116" s="6">
        <v>2044</v>
      </c>
      <c r="C116" s="4">
        <v>2970</v>
      </c>
      <c r="D116" s="27">
        <v>28.047932676623283</v>
      </c>
      <c r="E116">
        <v>1050</v>
      </c>
      <c r="F116">
        <v>27</v>
      </c>
    </row>
    <row r="117" spans="1:6" ht="15.75" customHeight="1" x14ac:dyDescent="0.35">
      <c r="A117" s="3" t="s">
        <v>152</v>
      </c>
      <c r="B117" s="6">
        <v>748</v>
      </c>
      <c r="C117" s="4">
        <v>2970</v>
      </c>
      <c r="D117" s="27">
        <v>28.047932676623283</v>
      </c>
      <c r="E117">
        <v>1475</v>
      </c>
      <c r="F117">
        <v>27</v>
      </c>
    </row>
    <row r="118" spans="1:6" ht="15.75" customHeight="1" x14ac:dyDescent="0.35">
      <c r="A118" s="3" t="s">
        <v>117</v>
      </c>
      <c r="B118" s="6">
        <v>705</v>
      </c>
      <c r="C118" s="4">
        <v>2607</v>
      </c>
      <c r="D118" s="27">
        <v>28.047932676623283</v>
      </c>
      <c r="E118">
        <v>25</v>
      </c>
      <c r="F118">
        <v>27</v>
      </c>
    </row>
    <row r="119" spans="1:6" ht="15.75" customHeight="1" x14ac:dyDescent="0.35">
      <c r="A119" s="3" t="s">
        <v>118</v>
      </c>
      <c r="B119" s="6">
        <v>500</v>
      </c>
      <c r="C119" s="4">
        <v>1928</v>
      </c>
      <c r="D119" s="27">
        <v>28.047932676623283</v>
      </c>
      <c r="E119">
        <v>3050</v>
      </c>
      <c r="F119">
        <v>27</v>
      </c>
    </row>
    <row r="120" spans="1:6" ht="15.75" customHeight="1" x14ac:dyDescent="0.35">
      <c r="A120" s="3" t="s">
        <v>119</v>
      </c>
      <c r="B120" s="6">
        <v>9425</v>
      </c>
      <c r="C120" s="4">
        <v>2129</v>
      </c>
      <c r="D120" s="27">
        <v>28.047932676623283</v>
      </c>
      <c r="E120">
        <v>2395</v>
      </c>
      <c r="F120">
        <v>27</v>
      </c>
    </row>
    <row r="121" spans="1:6" ht="15.75" customHeight="1" x14ac:dyDescent="0.35">
      <c r="A121" s="3" t="s">
        <v>120</v>
      </c>
      <c r="B121" s="6">
        <v>25957</v>
      </c>
      <c r="C121" s="4">
        <v>2177</v>
      </c>
      <c r="D121" s="27">
        <v>28.047932676623283</v>
      </c>
      <c r="E121">
        <v>0</v>
      </c>
      <c r="F121">
        <v>27</v>
      </c>
    </row>
    <row r="122" spans="1:6" ht="15.75" customHeight="1" x14ac:dyDescent="0.35">
      <c r="A122" s="3" t="s">
        <v>121</v>
      </c>
      <c r="B122" s="6">
        <v>3250</v>
      </c>
      <c r="C122" s="4">
        <v>2177</v>
      </c>
      <c r="D122" s="27">
        <v>28.047932676623283</v>
      </c>
      <c r="E122">
        <v>37655</v>
      </c>
      <c r="F122">
        <v>27</v>
      </c>
    </row>
    <row r="123" spans="1:6" ht="15.75" customHeight="1" x14ac:dyDescent="0.35">
      <c r="A123" s="3" t="s">
        <v>122</v>
      </c>
      <c r="B123" s="6">
        <v>7043</v>
      </c>
      <c r="C123" s="4">
        <v>2177</v>
      </c>
      <c r="D123" s="27">
        <v>28.047932676623283</v>
      </c>
      <c r="E123">
        <v>8250</v>
      </c>
      <c r="F123">
        <v>27</v>
      </c>
    </row>
    <row r="124" spans="1:6" ht="15.75" customHeight="1" x14ac:dyDescent="0.35">
      <c r="A124" s="3" t="s">
        <v>123</v>
      </c>
      <c r="B124" s="6">
        <v>7753</v>
      </c>
      <c r="C124" s="4">
        <v>1948</v>
      </c>
      <c r="D124" s="27">
        <v>28.047932676623283</v>
      </c>
      <c r="E124">
        <v>24983</v>
      </c>
      <c r="F124">
        <v>27</v>
      </c>
    </row>
    <row r="125" spans="1:6" ht="15.75" customHeight="1" x14ac:dyDescent="0.35">
      <c r="A125" s="3" t="s">
        <v>124</v>
      </c>
      <c r="B125" s="6">
        <v>8243</v>
      </c>
      <c r="C125" s="4">
        <v>1989</v>
      </c>
      <c r="D125" s="27">
        <v>28.047932676623283</v>
      </c>
      <c r="E125">
        <v>4938</v>
      </c>
      <c r="F125">
        <v>27</v>
      </c>
    </row>
    <row r="126" spans="1:6" ht="15.75" customHeight="1" x14ac:dyDescent="0.35">
      <c r="A126" s="3" t="s">
        <v>125</v>
      </c>
      <c r="B126" s="6">
        <v>7315</v>
      </c>
      <c r="C126" s="4">
        <v>2181</v>
      </c>
      <c r="D126" s="27">
        <v>28.047932676623283</v>
      </c>
      <c r="E126">
        <v>9000</v>
      </c>
      <c r="F126">
        <v>27</v>
      </c>
    </row>
    <row r="127" spans="1:6" ht="15.75" customHeight="1" x14ac:dyDescent="0.35">
      <c r="A127" s="3" t="s">
        <v>136</v>
      </c>
      <c r="B127" s="6">
        <v>6050</v>
      </c>
      <c r="C127" s="4">
        <v>2181</v>
      </c>
      <c r="D127" s="27">
        <v>28.047932676623283</v>
      </c>
      <c r="E127">
        <v>0</v>
      </c>
      <c r="F127">
        <v>27</v>
      </c>
    </row>
    <row r="128" spans="1:6" ht="15.75" customHeight="1" x14ac:dyDescent="0.35">
      <c r="A128" s="3" t="s">
        <v>137</v>
      </c>
      <c r="B128" s="6">
        <v>7366</v>
      </c>
      <c r="C128" s="4">
        <v>2181</v>
      </c>
      <c r="D128" s="27">
        <v>28.047932676623283</v>
      </c>
      <c r="E128">
        <v>13050</v>
      </c>
      <c r="F128">
        <v>27</v>
      </c>
    </row>
    <row r="129" spans="1:6" ht="15.75" customHeight="1" x14ac:dyDescent="0.35">
      <c r="A129" s="3" t="s">
        <v>128</v>
      </c>
      <c r="B129" s="6">
        <v>13308</v>
      </c>
      <c r="C129" s="4">
        <v>2355</v>
      </c>
      <c r="D129" s="27">
        <v>28.047932676623283</v>
      </c>
      <c r="E129">
        <v>59850</v>
      </c>
      <c r="F129">
        <v>27</v>
      </c>
    </row>
    <row r="130" spans="1:6" ht="15.75" customHeight="1" x14ac:dyDescent="0.35">
      <c r="A130" s="3" t="s">
        <v>138</v>
      </c>
      <c r="B130" s="6">
        <v>3832</v>
      </c>
      <c r="C130" s="4">
        <v>2021</v>
      </c>
      <c r="D130" s="27">
        <v>28.047932676623283</v>
      </c>
      <c r="E130">
        <v>8475</v>
      </c>
      <c r="F130">
        <v>27</v>
      </c>
    </row>
    <row r="131" spans="1:6" ht="15.75" customHeight="1" x14ac:dyDescent="0.35">
      <c r="A131" s="3" t="s">
        <v>139</v>
      </c>
      <c r="B131" s="6">
        <v>7558</v>
      </c>
      <c r="C131" s="4">
        <v>2021</v>
      </c>
      <c r="D131" s="27">
        <v>28.047932676623283</v>
      </c>
      <c r="E131">
        <v>2610</v>
      </c>
      <c r="F131">
        <v>27</v>
      </c>
    </row>
    <row r="132" spans="1:6" ht="15.75" customHeight="1" x14ac:dyDescent="0.35">
      <c r="A132" s="3" t="s">
        <v>140</v>
      </c>
      <c r="B132" s="6">
        <v>13654</v>
      </c>
      <c r="C132" s="4">
        <v>2021</v>
      </c>
      <c r="D132" s="27">
        <v>28.047932676623283</v>
      </c>
      <c r="E132">
        <v>3200</v>
      </c>
      <c r="F132">
        <v>27</v>
      </c>
    </row>
    <row r="133" spans="1:6" ht="15.75" customHeight="1" x14ac:dyDescent="0.35">
      <c r="A133" s="3" t="s">
        <v>141</v>
      </c>
      <c r="B133" s="6">
        <v>0</v>
      </c>
      <c r="C133" s="4">
        <v>2846</v>
      </c>
      <c r="D133" s="27">
        <v>28.047932676623283</v>
      </c>
      <c r="E133">
        <v>16300</v>
      </c>
      <c r="F133">
        <v>27</v>
      </c>
    </row>
    <row r="134" spans="1:6" ht="15.75" customHeight="1" x14ac:dyDescent="0.35">
      <c r="A134" s="3" t="s">
        <v>155</v>
      </c>
      <c r="B134" s="6">
        <v>4077</v>
      </c>
      <c r="C134" s="4">
        <v>7550</v>
      </c>
      <c r="D134" s="27">
        <v>28.047932676623283</v>
      </c>
      <c r="E134">
        <v>13063</v>
      </c>
      <c r="F134">
        <v>27</v>
      </c>
    </row>
    <row r="135" spans="1:6" ht="15.75" customHeight="1" x14ac:dyDescent="0.35">
      <c r="A135" s="3" t="s">
        <v>156</v>
      </c>
      <c r="B135" s="6">
        <v>0</v>
      </c>
      <c r="C135" s="4">
        <v>7550</v>
      </c>
      <c r="D135" s="27">
        <v>28.047932676623283</v>
      </c>
      <c r="E135">
        <v>2110</v>
      </c>
      <c r="F135">
        <v>27</v>
      </c>
    </row>
    <row r="136" spans="1:6" ht="15.75" customHeight="1" x14ac:dyDescent="0.35">
      <c r="A136" s="3" t="s">
        <v>143</v>
      </c>
      <c r="B136" s="6">
        <v>200</v>
      </c>
      <c r="C136" s="4">
        <v>2658</v>
      </c>
      <c r="D136" s="27">
        <v>28.047932676623283</v>
      </c>
      <c r="E136">
        <v>0</v>
      </c>
      <c r="F136">
        <v>27</v>
      </c>
    </row>
    <row r="137" spans="1:6" ht="15.75" customHeight="1" x14ac:dyDescent="0.35">
      <c r="A137" s="3" t="s">
        <v>153</v>
      </c>
      <c r="B137" s="6">
        <v>22676</v>
      </c>
      <c r="C137" s="4">
        <v>2846</v>
      </c>
      <c r="D137" s="27">
        <v>28.047932676623283</v>
      </c>
      <c r="E137">
        <v>4500</v>
      </c>
      <c r="F137">
        <v>27</v>
      </c>
    </row>
    <row r="138" spans="1:6" ht="15.75" customHeight="1" x14ac:dyDescent="0.35">
      <c r="A138" s="3" t="s">
        <v>157</v>
      </c>
      <c r="B138" s="6">
        <v>0</v>
      </c>
      <c r="C138" s="4">
        <v>994</v>
      </c>
      <c r="D138" s="27">
        <v>28.047932676623283</v>
      </c>
      <c r="E138">
        <v>1000</v>
      </c>
      <c r="F138">
        <v>27</v>
      </c>
    </row>
    <row r="139" spans="1:6" ht="15.75" customHeight="1" x14ac:dyDescent="0.35">
      <c r="A139" s="5"/>
      <c r="C139" s="6"/>
    </row>
    <row r="140" spans="1:6" ht="15.75" customHeight="1" x14ac:dyDescent="0.35">
      <c r="A140" s="5"/>
      <c r="C140" s="6"/>
    </row>
    <row r="141" spans="1:6" ht="15.75" customHeight="1" x14ac:dyDescent="0.35">
      <c r="A141" s="5"/>
      <c r="C141" s="6"/>
    </row>
    <row r="142" spans="1:6" ht="15.75" customHeight="1" x14ac:dyDescent="0.35">
      <c r="A142" s="5"/>
      <c r="C142" s="6"/>
    </row>
    <row r="143" spans="1:6" ht="15.75" customHeight="1" x14ac:dyDescent="0.35">
      <c r="A143" s="5"/>
      <c r="C143" s="6"/>
    </row>
    <row r="144" spans="1:6" ht="15.75" customHeight="1" x14ac:dyDescent="0.35">
      <c r="A144" s="5"/>
      <c r="C144" s="6"/>
    </row>
    <row r="145" spans="1:3" ht="15.75" customHeight="1" x14ac:dyDescent="0.35">
      <c r="A145" s="5"/>
      <c r="C145" s="6"/>
    </row>
    <row r="146" spans="1:3" ht="15.75" customHeight="1" x14ac:dyDescent="0.35">
      <c r="A146" s="5"/>
      <c r="C146" s="6"/>
    </row>
    <row r="147" spans="1:3" ht="15.75" customHeight="1" x14ac:dyDescent="0.35">
      <c r="A147" s="5"/>
      <c r="C147" s="6"/>
    </row>
    <row r="148" spans="1:3" ht="15.75" customHeight="1" x14ac:dyDescent="0.35">
      <c r="A148" s="5"/>
      <c r="C148" s="6"/>
    </row>
    <row r="149" spans="1:3" ht="15.75" customHeight="1" x14ac:dyDescent="0.35">
      <c r="A149" s="5"/>
      <c r="C149" s="6"/>
    </row>
    <row r="150" spans="1:3" ht="15.75" customHeight="1" x14ac:dyDescent="0.35">
      <c r="A150" s="5"/>
      <c r="C150" s="6"/>
    </row>
    <row r="151" spans="1:3" ht="15.75" customHeight="1" x14ac:dyDescent="0.35">
      <c r="A151" s="5"/>
      <c r="C151" s="6"/>
    </row>
    <row r="152" spans="1:3" ht="15.75" customHeight="1" x14ac:dyDescent="0.35">
      <c r="A152" s="5"/>
      <c r="C152" s="6"/>
    </row>
    <row r="153" spans="1:3" ht="15.75" customHeight="1" x14ac:dyDescent="0.35">
      <c r="A153" s="5"/>
      <c r="C153" s="6"/>
    </row>
    <row r="154" spans="1:3" ht="15.75" customHeight="1" x14ac:dyDescent="0.35">
      <c r="A154" s="5"/>
      <c r="C154" s="6"/>
    </row>
    <row r="155" spans="1:3" ht="15.75" customHeight="1" x14ac:dyDescent="0.35">
      <c r="A155" s="5"/>
      <c r="C155" s="6"/>
    </row>
    <row r="156" spans="1:3" ht="15.75" customHeight="1" x14ac:dyDescent="0.35">
      <c r="A156" s="5"/>
      <c r="C156" s="6"/>
    </row>
    <row r="157" spans="1:3" ht="15.75" customHeight="1" x14ac:dyDescent="0.35">
      <c r="A157" s="5"/>
      <c r="C157" s="6"/>
    </row>
    <row r="158" spans="1:3" ht="15.75" customHeight="1" x14ac:dyDescent="0.35">
      <c r="A158" s="5"/>
      <c r="C158" s="6"/>
    </row>
    <row r="159" spans="1:3" ht="15.75" customHeight="1" x14ac:dyDescent="0.35">
      <c r="A159" s="5"/>
      <c r="C159" s="6"/>
    </row>
    <row r="160" spans="1:3" ht="15.75" customHeight="1" x14ac:dyDescent="0.35">
      <c r="A160" s="5"/>
      <c r="C160" s="6"/>
    </row>
    <row r="161" spans="1:3" ht="15.75" customHeight="1" x14ac:dyDescent="0.35">
      <c r="A161" s="5"/>
      <c r="C161" s="6"/>
    </row>
    <row r="162" spans="1:3" ht="15.75" customHeight="1" x14ac:dyDescent="0.35">
      <c r="A162" s="5"/>
      <c r="C162" s="6"/>
    </row>
    <row r="163" spans="1:3" ht="15.75" customHeight="1" x14ac:dyDescent="0.35">
      <c r="A163" s="5"/>
      <c r="C163" s="6"/>
    </row>
    <row r="164" spans="1:3" ht="15.75" customHeight="1" x14ac:dyDescent="0.35">
      <c r="A164" s="5"/>
      <c r="C164" s="6"/>
    </row>
    <row r="165" spans="1:3" ht="15.75" customHeight="1" x14ac:dyDescent="0.35">
      <c r="A165" s="5"/>
      <c r="C165" s="6"/>
    </row>
    <row r="166" spans="1:3" ht="15.75" customHeight="1" x14ac:dyDescent="0.35">
      <c r="A166" s="5"/>
      <c r="C166" s="6"/>
    </row>
    <row r="167" spans="1:3" ht="15.75" customHeight="1" x14ac:dyDescent="0.35">
      <c r="A167" s="5"/>
      <c r="C167" s="6"/>
    </row>
    <row r="168" spans="1:3" ht="15.75" customHeight="1" x14ac:dyDescent="0.35">
      <c r="A168" s="5"/>
      <c r="C168" s="6"/>
    </row>
    <row r="169" spans="1:3" ht="15.75" customHeight="1" x14ac:dyDescent="0.35">
      <c r="A169" s="5"/>
      <c r="C169" s="6"/>
    </row>
    <row r="170" spans="1:3" ht="15.75" customHeight="1" x14ac:dyDescent="0.35">
      <c r="A170" s="5"/>
      <c r="C170" s="6"/>
    </row>
    <row r="171" spans="1:3" ht="15.75" customHeight="1" x14ac:dyDescent="0.35">
      <c r="A171" s="5"/>
      <c r="C171" s="6"/>
    </row>
    <row r="172" spans="1:3" ht="15.75" customHeight="1" x14ac:dyDescent="0.35">
      <c r="A172" s="5"/>
      <c r="C172" s="6"/>
    </row>
    <row r="173" spans="1:3" ht="15.75" customHeight="1" x14ac:dyDescent="0.35">
      <c r="A173" s="5"/>
      <c r="C173" s="6"/>
    </row>
    <row r="174" spans="1:3" ht="15.75" customHeight="1" x14ac:dyDescent="0.35">
      <c r="A174" s="5"/>
      <c r="C174" s="6"/>
    </row>
    <row r="175" spans="1:3" ht="15.75" customHeight="1" x14ac:dyDescent="0.35">
      <c r="A175" s="5"/>
      <c r="C175" s="6"/>
    </row>
    <row r="176" spans="1:3" ht="15.75" customHeight="1" x14ac:dyDescent="0.35">
      <c r="A176" s="5"/>
      <c r="C176" s="6"/>
    </row>
    <row r="177" spans="1:3" ht="15.75" customHeight="1" x14ac:dyDescent="0.35">
      <c r="A177" s="5"/>
      <c r="C177" s="6"/>
    </row>
    <row r="178" spans="1:3" ht="15.75" customHeight="1" x14ac:dyDescent="0.35">
      <c r="A178" s="5"/>
      <c r="C178" s="6"/>
    </row>
    <row r="179" spans="1:3" ht="15.75" customHeight="1" x14ac:dyDescent="0.35">
      <c r="A179" s="5"/>
      <c r="C179" s="6"/>
    </row>
    <row r="180" spans="1:3" ht="15.75" customHeight="1" x14ac:dyDescent="0.35">
      <c r="A180" s="5"/>
      <c r="C180" s="6"/>
    </row>
    <row r="181" spans="1:3" ht="15.75" customHeight="1" x14ac:dyDescent="0.35">
      <c r="A181" s="5"/>
      <c r="C181" s="6"/>
    </row>
    <row r="182" spans="1:3" ht="15.75" customHeight="1" x14ac:dyDescent="0.35">
      <c r="A182" s="5"/>
      <c r="C182" s="6"/>
    </row>
    <row r="183" spans="1:3" ht="15.75" customHeight="1" x14ac:dyDescent="0.35">
      <c r="A183" s="5"/>
      <c r="C183" s="6"/>
    </row>
    <row r="184" spans="1:3" ht="15.75" customHeight="1" x14ac:dyDescent="0.35">
      <c r="A184" s="5"/>
      <c r="C184" s="6"/>
    </row>
    <row r="185" spans="1:3" ht="15.75" customHeight="1" x14ac:dyDescent="0.35">
      <c r="A185" s="5"/>
      <c r="C185" s="6"/>
    </row>
    <row r="186" spans="1:3" ht="15.75" customHeight="1" x14ac:dyDescent="0.35">
      <c r="A186" s="5"/>
      <c r="C186" s="6"/>
    </row>
    <row r="187" spans="1:3" ht="15.75" customHeight="1" x14ac:dyDescent="0.35">
      <c r="A187" s="5"/>
      <c r="C187" s="6"/>
    </row>
    <row r="188" spans="1:3" ht="15.75" customHeight="1" x14ac:dyDescent="0.35">
      <c r="A188" s="5"/>
      <c r="C188" s="6"/>
    </row>
    <row r="189" spans="1:3" ht="15.75" customHeight="1" x14ac:dyDescent="0.35">
      <c r="A189" s="5"/>
      <c r="C189" s="6"/>
    </row>
    <row r="190" spans="1:3" ht="15.75" customHeight="1" x14ac:dyDescent="0.35">
      <c r="A190" s="5"/>
      <c r="C190" s="6"/>
    </row>
    <row r="191" spans="1:3" ht="15.75" customHeight="1" x14ac:dyDescent="0.35">
      <c r="A191" s="5"/>
      <c r="C191" s="6"/>
    </row>
    <row r="192" spans="1:3" ht="15.75" customHeight="1" x14ac:dyDescent="0.35">
      <c r="A192" s="5"/>
      <c r="C192" s="6"/>
    </row>
    <row r="193" spans="1:3" ht="15.75" customHeight="1" x14ac:dyDescent="0.35">
      <c r="A193" s="5"/>
      <c r="C193" s="6"/>
    </row>
    <row r="194" spans="1:3" ht="15.75" customHeight="1" x14ac:dyDescent="0.35">
      <c r="A194" s="5"/>
      <c r="C194" s="6"/>
    </row>
    <row r="195" spans="1:3" ht="15.75" customHeight="1" x14ac:dyDescent="0.35">
      <c r="A195" s="5"/>
      <c r="C195" s="6"/>
    </row>
    <row r="196" spans="1:3" ht="15.75" customHeight="1" x14ac:dyDescent="0.35">
      <c r="A196" s="5"/>
      <c r="C196" s="6"/>
    </row>
    <row r="197" spans="1:3" ht="15.75" customHeight="1" x14ac:dyDescent="0.35">
      <c r="A197" s="5"/>
      <c r="C197" s="6"/>
    </row>
    <row r="198" spans="1:3" ht="15.75" customHeight="1" x14ac:dyDescent="0.35">
      <c r="A198" s="5"/>
      <c r="C198" s="6"/>
    </row>
    <row r="199" spans="1:3" ht="15.75" customHeight="1" x14ac:dyDescent="0.35">
      <c r="A199" s="5"/>
      <c r="C199" s="6"/>
    </row>
    <row r="200" spans="1:3" ht="15.75" customHeight="1" x14ac:dyDescent="0.35">
      <c r="A200" s="5"/>
      <c r="C200" s="6"/>
    </row>
    <row r="201" spans="1:3" ht="15.75" customHeight="1" x14ac:dyDescent="0.35">
      <c r="A201" s="5"/>
      <c r="C201" s="6"/>
    </row>
    <row r="202" spans="1:3" ht="15.75" customHeight="1" x14ac:dyDescent="0.35">
      <c r="A202" s="5"/>
      <c r="C202" s="6"/>
    </row>
    <row r="203" spans="1:3" ht="15.75" customHeight="1" x14ac:dyDescent="0.35">
      <c r="A203" s="5"/>
      <c r="C203" s="6"/>
    </row>
    <row r="204" spans="1:3" ht="15.75" customHeight="1" x14ac:dyDescent="0.35">
      <c r="A204" s="5"/>
      <c r="C204" s="6"/>
    </row>
    <row r="205" spans="1:3" ht="15.75" customHeight="1" x14ac:dyDescent="0.35">
      <c r="A205" s="5"/>
      <c r="C205" s="6"/>
    </row>
    <row r="206" spans="1:3" ht="15.75" customHeight="1" x14ac:dyDescent="0.35">
      <c r="A206" s="5"/>
      <c r="C206" s="6"/>
    </row>
    <row r="207" spans="1:3" ht="15.75" customHeight="1" x14ac:dyDescent="0.35">
      <c r="A207" s="5"/>
      <c r="C207" s="6"/>
    </row>
    <row r="208" spans="1:3" ht="15.75" customHeight="1" x14ac:dyDescent="0.35">
      <c r="A208" s="5"/>
      <c r="C208" s="6"/>
    </row>
    <row r="209" spans="1:3" ht="15.75" customHeight="1" x14ac:dyDescent="0.35">
      <c r="A209" s="5"/>
      <c r="C209" s="6"/>
    </row>
    <row r="210" spans="1:3" ht="15.75" customHeight="1" x14ac:dyDescent="0.35">
      <c r="A210" s="5"/>
      <c r="C210" s="6"/>
    </row>
    <row r="211" spans="1:3" ht="15.75" customHeight="1" x14ac:dyDescent="0.35">
      <c r="A211" s="5"/>
      <c r="C211" s="6"/>
    </row>
    <row r="212" spans="1:3" ht="15.75" customHeight="1" x14ac:dyDescent="0.35">
      <c r="A212" s="5"/>
      <c r="C212" s="6"/>
    </row>
    <row r="213" spans="1:3" ht="15.75" customHeight="1" x14ac:dyDescent="0.35">
      <c r="A213" s="5"/>
      <c r="C213" s="6"/>
    </row>
    <row r="214" spans="1:3" ht="15.75" customHeight="1" x14ac:dyDescent="0.35">
      <c r="A214" s="5"/>
      <c r="C214" s="6"/>
    </row>
    <row r="215" spans="1:3" ht="15.75" customHeight="1" x14ac:dyDescent="0.35">
      <c r="A215" s="5"/>
      <c r="C215" s="6"/>
    </row>
    <row r="216" spans="1:3" ht="15.75" customHeight="1" x14ac:dyDescent="0.35">
      <c r="A216" s="5"/>
      <c r="C216" s="6"/>
    </row>
    <row r="217" spans="1:3" ht="15.75" customHeight="1" x14ac:dyDescent="0.35">
      <c r="A217" s="5"/>
      <c r="C217" s="6"/>
    </row>
    <row r="218" spans="1:3" ht="15.75" customHeight="1" x14ac:dyDescent="0.35">
      <c r="A218" s="5"/>
      <c r="C218" s="6"/>
    </row>
    <row r="219" spans="1:3" ht="15.75" customHeight="1" x14ac:dyDescent="0.35">
      <c r="A219" s="5"/>
      <c r="C219" s="6"/>
    </row>
    <row r="220" spans="1:3" ht="15.75" customHeight="1" x14ac:dyDescent="0.35">
      <c r="A220" s="5"/>
      <c r="C220" s="6"/>
    </row>
    <row r="221" spans="1:3" ht="15.75" customHeight="1" x14ac:dyDescent="0.35">
      <c r="A221" s="5"/>
      <c r="C221" s="6"/>
    </row>
    <row r="222" spans="1:3" ht="15.75" customHeight="1" x14ac:dyDescent="0.35">
      <c r="A222" s="5"/>
      <c r="C222" s="6"/>
    </row>
    <row r="223" spans="1:3" ht="15.75" customHeight="1" x14ac:dyDescent="0.35">
      <c r="A223" s="5"/>
      <c r="C223" s="6"/>
    </row>
    <row r="224" spans="1:3" ht="15.75" customHeight="1" x14ac:dyDescent="0.35">
      <c r="A224" s="5"/>
      <c r="C224" s="6"/>
    </row>
    <row r="225" spans="1:3" ht="15.75" customHeight="1" x14ac:dyDescent="0.35">
      <c r="A225" s="5"/>
      <c r="C225" s="6"/>
    </row>
    <row r="226" spans="1:3" ht="15.75" customHeight="1" x14ac:dyDescent="0.35">
      <c r="A226" s="5"/>
      <c r="C226" s="6"/>
    </row>
    <row r="227" spans="1:3" ht="15.75" customHeight="1" x14ac:dyDescent="0.35">
      <c r="A227" s="5"/>
      <c r="C227" s="6"/>
    </row>
    <row r="228" spans="1:3" ht="15.75" customHeight="1" x14ac:dyDescent="0.35">
      <c r="A228" s="5"/>
      <c r="C228" s="6"/>
    </row>
    <row r="229" spans="1:3" ht="15.75" customHeight="1" x14ac:dyDescent="0.35">
      <c r="A229" s="5"/>
      <c r="C229" s="6"/>
    </row>
    <row r="230" spans="1:3" ht="15.75" customHeight="1" x14ac:dyDescent="0.35">
      <c r="A230" s="5"/>
      <c r="C230" s="6"/>
    </row>
    <row r="231" spans="1:3" ht="15.75" customHeight="1" x14ac:dyDescent="0.35">
      <c r="A231" s="5"/>
      <c r="C231" s="6"/>
    </row>
    <row r="232" spans="1:3" ht="15.75" customHeight="1" x14ac:dyDescent="0.35">
      <c r="A232" s="5"/>
      <c r="C232" s="6"/>
    </row>
    <row r="233" spans="1:3" ht="15.75" customHeight="1" x14ac:dyDescent="0.35">
      <c r="A233" s="5"/>
      <c r="C233" s="6"/>
    </row>
    <row r="234" spans="1:3" ht="15.75" customHeight="1" x14ac:dyDescent="0.35">
      <c r="A234" s="5"/>
      <c r="C234" s="6"/>
    </row>
    <row r="235" spans="1:3" ht="15.75" customHeight="1" x14ac:dyDescent="0.35">
      <c r="A235" s="5"/>
      <c r="C235" s="6"/>
    </row>
    <row r="236" spans="1:3" ht="15.75" customHeight="1" x14ac:dyDescent="0.35">
      <c r="A236" s="5"/>
      <c r="C236" s="6"/>
    </row>
    <row r="237" spans="1:3" ht="15.75" customHeight="1" x14ac:dyDescent="0.35">
      <c r="A237" s="5"/>
      <c r="C237" s="6"/>
    </row>
    <row r="238" spans="1:3" ht="15.75" customHeight="1" x14ac:dyDescent="0.35">
      <c r="A238" s="5"/>
      <c r="C238" s="6"/>
    </row>
    <row r="239" spans="1:3" ht="15.75" customHeight="1" x14ac:dyDescent="0.35">
      <c r="A239" s="5"/>
      <c r="C239" s="6"/>
    </row>
    <row r="240" spans="1:3" ht="15.75" customHeight="1" x14ac:dyDescent="0.35">
      <c r="A240" s="5"/>
      <c r="C240" s="6"/>
    </row>
    <row r="241" spans="1:3" ht="15.75" customHeight="1" x14ac:dyDescent="0.35">
      <c r="A241" s="5"/>
      <c r="C241" s="6"/>
    </row>
    <row r="242" spans="1:3" ht="15.75" customHeight="1" x14ac:dyDescent="0.35">
      <c r="A242" s="5"/>
      <c r="C242" s="6"/>
    </row>
    <row r="243" spans="1:3" ht="15.75" customHeight="1" x14ac:dyDescent="0.35">
      <c r="A243" s="5"/>
      <c r="C243" s="6"/>
    </row>
    <row r="244" spans="1:3" ht="15.75" customHeight="1" x14ac:dyDescent="0.35">
      <c r="A244" s="5"/>
      <c r="C244" s="6"/>
    </row>
    <row r="245" spans="1:3" ht="15.75" customHeight="1" x14ac:dyDescent="0.35">
      <c r="A245" s="5"/>
      <c r="C245" s="6"/>
    </row>
    <row r="246" spans="1:3" ht="15.75" customHeight="1" x14ac:dyDescent="0.35">
      <c r="A246" s="5"/>
      <c r="C246" s="6"/>
    </row>
    <row r="247" spans="1:3" ht="15.75" customHeight="1" x14ac:dyDescent="0.35">
      <c r="A247" s="5"/>
      <c r="C247" s="6"/>
    </row>
    <row r="248" spans="1:3" ht="15.75" customHeight="1" x14ac:dyDescent="0.35">
      <c r="A248" s="5"/>
      <c r="C248" s="6"/>
    </row>
    <row r="249" spans="1:3" ht="15.75" customHeight="1" x14ac:dyDescent="0.35">
      <c r="A249" s="5"/>
      <c r="C249" s="6"/>
    </row>
    <row r="250" spans="1:3" ht="15.75" customHeight="1" x14ac:dyDescent="0.35">
      <c r="A250" s="5"/>
      <c r="C250" s="6"/>
    </row>
    <row r="251" spans="1:3" ht="15.75" customHeight="1" x14ac:dyDescent="0.35">
      <c r="A251" s="5"/>
      <c r="C251" s="6"/>
    </row>
    <row r="252" spans="1:3" ht="15.75" customHeight="1" x14ac:dyDescent="0.35">
      <c r="A252" s="5"/>
      <c r="C252" s="6"/>
    </row>
    <row r="253" spans="1:3" ht="15.75" customHeight="1" x14ac:dyDescent="0.35">
      <c r="A253" s="5"/>
      <c r="C253" s="6"/>
    </row>
    <row r="254" spans="1:3" ht="15.75" customHeight="1" x14ac:dyDescent="0.35">
      <c r="A254" s="5"/>
      <c r="C254" s="6"/>
    </row>
    <row r="255" spans="1:3" ht="15.75" customHeight="1" x14ac:dyDescent="0.35">
      <c r="A255" s="5"/>
      <c r="C255" s="6"/>
    </row>
    <row r="256" spans="1:3" ht="15.75" customHeight="1" x14ac:dyDescent="0.35">
      <c r="A256" s="5"/>
      <c r="C256" s="6"/>
    </row>
    <row r="257" spans="1:3" ht="15.75" customHeight="1" x14ac:dyDescent="0.35">
      <c r="A257" s="5"/>
      <c r="C257" s="6"/>
    </row>
    <row r="258" spans="1:3" ht="15.75" customHeight="1" x14ac:dyDescent="0.35">
      <c r="A258" s="5"/>
      <c r="C258" s="6"/>
    </row>
    <row r="259" spans="1:3" ht="15.75" customHeight="1" x14ac:dyDescent="0.35">
      <c r="A259" s="5"/>
      <c r="C259" s="6"/>
    </row>
    <row r="260" spans="1:3" ht="15.75" customHeight="1" x14ac:dyDescent="0.35">
      <c r="A260" s="5"/>
      <c r="C260" s="6"/>
    </row>
    <row r="261" spans="1:3" ht="15.75" customHeight="1" x14ac:dyDescent="0.35">
      <c r="A261" s="5"/>
      <c r="C261" s="6"/>
    </row>
    <row r="262" spans="1:3" ht="15.75" customHeight="1" x14ac:dyDescent="0.35">
      <c r="A262" s="5"/>
      <c r="C262" s="6"/>
    </row>
    <row r="263" spans="1:3" ht="15.75" customHeight="1" x14ac:dyDescent="0.35">
      <c r="A263" s="5"/>
      <c r="C263" s="6"/>
    </row>
    <row r="264" spans="1:3" ht="15.75" customHeight="1" x14ac:dyDescent="0.35">
      <c r="A264" s="5"/>
      <c r="C264" s="6"/>
    </row>
    <row r="265" spans="1:3" ht="15.75" customHeight="1" x14ac:dyDescent="0.35">
      <c r="A265" s="5"/>
      <c r="C265" s="6"/>
    </row>
    <row r="266" spans="1:3" ht="15.75" customHeight="1" x14ac:dyDescent="0.35">
      <c r="A266" s="5"/>
      <c r="C266" s="6"/>
    </row>
    <row r="267" spans="1:3" ht="15.75" customHeight="1" x14ac:dyDescent="0.35">
      <c r="A267" s="5"/>
      <c r="C267" s="6"/>
    </row>
    <row r="268" spans="1:3" ht="15.75" customHeight="1" x14ac:dyDescent="0.35">
      <c r="A268" s="5"/>
      <c r="C268" s="6"/>
    </row>
    <row r="269" spans="1:3" ht="15.75" customHeight="1" x14ac:dyDescent="0.35">
      <c r="A269" s="5"/>
      <c r="C269" s="6"/>
    </row>
    <row r="270" spans="1:3" ht="15.75" customHeight="1" x14ac:dyDescent="0.35">
      <c r="A270" s="5"/>
      <c r="C270" s="6"/>
    </row>
    <row r="271" spans="1:3" ht="15.75" customHeight="1" x14ac:dyDescent="0.35">
      <c r="A271" s="5"/>
      <c r="C271" s="6"/>
    </row>
    <row r="272" spans="1:3" ht="15.75" customHeight="1" x14ac:dyDescent="0.35">
      <c r="A272" s="5"/>
      <c r="C272" s="6"/>
    </row>
    <row r="273" spans="1:3" ht="15.75" customHeight="1" x14ac:dyDescent="0.35">
      <c r="A273" s="5"/>
      <c r="C273" s="6"/>
    </row>
    <row r="274" spans="1:3" ht="15.75" customHeight="1" x14ac:dyDescent="0.35">
      <c r="A274" s="5"/>
      <c r="C274" s="6"/>
    </row>
    <row r="275" spans="1:3" ht="15.75" customHeight="1" x14ac:dyDescent="0.35">
      <c r="A275" s="5"/>
      <c r="C275" s="6"/>
    </row>
    <row r="276" spans="1:3" ht="15.75" customHeight="1" x14ac:dyDescent="0.35">
      <c r="A276" s="5"/>
      <c r="C276" s="6"/>
    </row>
    <row r="277" spans="1:3" ht="15.75" customHeight="1" x14ac:dyDescent="0.35">
      <c r="A277" s="5"/>
      <c r="C277" s="6"/>
    </row>
    <row r="278" spans="1:3" ht="15.75" customHeight="1" x14ac:dyDescent="0.35">
      <c r="A278" s="5"/>
      <c r="C278" s="6"/>
    </row>
    <row r="279" spans="1:3" ht="15.75" customHeight="1" x14ac:dyDescent="0.35">
      <c r="A279" s="5"/>
      <c r="C279" s="6"/>
    </row>
    <row r="280" spans="1:3" ht="15.75" customHeight="1" x14ac:dyDescent="0.35">
      <c r="A280" s="5"/>
      <c r="C280" s="6"/>
    </row>
    <row r="281" spans="1:3" ht="15.75" customHeight="1" x14ac:dyDescent="0.35">
      <c r="A281" s="5"/>
      <c r="C281" s="6"/>
    </row>
    <row r="282" spans="1:3" ht="15.75" customHeight="1" x14ac:dyDescent="0.35">
      <c r="A282" s="5"/>
      <c r="C282" s="6"/>
    </row>
    <row r="283" spans="1:3" ht="15.75" customHeight="1" x14ac:dyDescent="0.35">
      <c r="A283" s="5"/>
      <c r="C283" s="6"/>
    </row>
    <row r="284" spans="1:3" ht="15.75" customHeight="1" x14ac:dyDescent="0.35">
      <c r="A284" s="5"/>
      <c r="C284" s="6"/>
    </row>
    <row r="285" spans="1:3" ht="15.75" customHeight="1" x14ac:dyDescent="0.35">
      <c r="A285" s="5"/>
      <c r="C285" s="6"/>
    </row>
    <row r="286" spans="1:3" ht="15.75" customHeight="1" x14ac:dyDescent="0.35">
      <c r="A286" s="5"/>
      <c r="C286" s="6"/>
    </row>
    <row r="287" spans="1:3" ht="15.75" customHeight="1" x14ac:dyDescent="0.35">
      <c r="A287" s="5"/>
      <c r="C287" s="6"/>
    </row>
    <row r="288" spans="1:3" ht="15.75" customHeight="1" x14ac:dyDescent="0.35">
      <c r="A288" s="5"/>
      <c r="C288" s="6"/>
    </row>
    <row r="289" spans="1:3" ht="15.75" customHeight="1" x14ac:dyDescent="0.35">
      <c r="A289" s="5"/>
      <c r="C289" s="6"/>
    </row>
    <row r="290" spans="1:3" ht="15.75" customHeight="1" x14ac:dyDescent="0.35">
      <c r="A290" s="5"/>
      <c r="C290" s="6"/>
    </row>
    <row r="291" spans="1:3" ht="15.75" customHeight="1" x14ac:dyDescent="0.35">
      <c r="A291" s="5"/>
      <c r="C291" s="6"/>
    </row>
    <row r="292" spans="1:3" ht="15.75" customHeight="1" x14ac:dyDescent="0.35">
      <c r="A292" s="5"/>
      <c r="C292" s="6"/>
    </row>
    <row r="293" spans="1:3" ht="15.75" customHeight="1" x14ac:dyDescent="0.35">
      <c r="A293" s="5"/>
      <c r="C293" s="6"/>
    </row>
    <row r="294" spans="1:3" ht="15.75" customHeight="1" x14ac:dyDescent="0.35">
      <c r="A294" s="5"/>
      <c r="C294" s="6"/>
    </row>
    <row r="295" spans="1:3" ht="15.75" customHeight="1" x14ac:dyDescent="0.35">
      <c r="A295" s="5"/>
      <c r="C295" s="6"/>
    </row>
    <row r="296" spans="1:3" ht="15.75" customHeight="1" x14ac:dyDescent="0.35">
      <c r="A296" s="5"/>
      <c r="C296" s="6"/>
    </row>
    <row r="297" spans="1:3" ht="15.75" customHeight="1" x14ac:dyDescent="0.35">
      <c r="A297" s="5"/>
      <c r="C297" s="6"/>
    </row>
    <row r="298" spans="1:3" ht="15.75" customHeight="1" x14ac:dyDescent="0.35">
      <c r="A298" s="5"/>
      <c r="C298" s="6"/>
    </row>
    <row r="299" spans="1:3" ht="15.75" customHeight="1" x14ac:dyDescent="0.35">
      <c r="A299" s="5"/>
      <c r="C299" s="6"/>
    </row>
    <row r="300" spans="1:3" ht="15.75" customHeight="1" x14ac:dyDescent="0.35">
      <c r="A300" s="5"/>
      <c r="C300" s="6"/>
    </row>
    <row r="301" spans="1:3" ht="15.75" customHeight="1" x14ac:dyDescent="0.35">
      <c r="A301" s="5"/>
      <c r="C301" s="6"/>
    </row>
    <row r="302" spans="1:3" ht="15.75" customHeight="1" x14ac:dyDescent="0.35">
      <c r="A302" s="5"/>
      <c r="C302" s="6"/>
    </row>
    <row r="303" spans="1:3" ht="15.75" customHeight="1" x14ac:dyDescent="0.35">
      <c r="A303" s="5"/>
      <c r="C303" s="6"/>
    </row>
    <row r="304" spans="1:3" ht="15.75" customHeight="1" x14ac:dyDescent="0.35">
      <c r="A304" s="5"/>
      <c r="C304" s="6"/>
    </row>
    <row r="305" spans="1:3" ht="15.75" customHeight="1" x14ac:dyDescent="0.35">
      <c r="A305" s="5"/>
      <c r="C305" s="6"/>
    </row>
    <row r="306" spans="1:3" ht="15.75" customHeight="1" x14ac:dyDescent="0.35">
      <c r="A306" s="5"/>
      <c r="C306" s="6"/>
    </row>
    <row r="307" spans="1:3" ht="15.75" customHeight="1" x14ac:dyDescent="0.35">
      <c r="A307" s="5"/>
      <c r="C307" s="6"/>
    </row>
    <row r="308" spans="1:3" ht="15.75" customHeight="1" x14ac:dyDescent="0.35">
      <c r="A308" s="5"/>
      <c r="C308" s="6"/>
    </row>
    <row r="309" spans="1:3" ht="15.75" customHeight="1" x14ac:dyDescent="0.35">
      <c r="A309" s="5"/>
      <c r="C309" s="6"/>
    </row>
    <row r="310" spans="1:3" ht="15.75" customHeight="1" x14ac:dyDescent="0.35">
      <c r="A310" s="5"/>
      <c r="C310" s="6"/>
    </row>
    <row r="311" spans="1:3" ht="15.75" customHeight="1" x14ac:dyDescent="0.35">
      <c r="A311" s="5"/>
      <c r="C311" s="6"/>
    </row>
    <row r="312" spans="1:3" ht="15.75" customHeight="1" x14ac:dyDescent="0.35">
      <c r="A312" s="5"/>
      <c r="C312" s="6"/>
    </row>
    <row r="313" spans="1:3" ht="15.75" customHeight="1" x14ac:dyDescent="0.35">
      <c r="A313" s="5"/>
      <c r="C313" s="6"/>
    </row>
    <row r="314" spans="1:3" ht="15.75" customHeight="1" x14ac:dyDescent="0.35">
      <c r="A314" s="5"/>
      <c r="C314" s="6"/>
    </row>
    <row r="315" spans="1:3" ht="15.75" customHeight="1" x14ac:dyDescent="0.35">
      <c r="A315" s="5"/>
      <c r="C315" s="6"/>
    </row>
    <row r="316" spans="1:3" ht="15.75" customHeight="1" x14ac:dyDescent="0.35">
      <c r="A316" s="5"/>
      <c r="C316" s="6"/>
    </row>
    <row r="317" spans="1:3" ht="15.75" customHeight="1" x14ac:dyDescent="0.35">
      <c r="A317" s="5"/>
      <c r="C317" s="6"/>
    </row>
    <row r="318" spans="1:3" ht="15.75" customHeight="1" x14ac:dyDescent="0.35">
      <c r="A318" s="5"/>
      <c r="C318" s="6"/>
    </row>
    <row r="319" spans="1:3" ht="15.75" customHeight="1" x14ac:dyDescent="0.35">
      <c r="A319" s="5"/>
      <c r="C319" s="6"/>
    </row>
    <row r="320" spans="1:3" ht="15.75" customHeight="1" x14ac:dyDescent="0.35">
      <c r="A320" s="5"/>
      <c r="C320" s="6"/>
    </row>
    <row r="321" spans="1:3" ht="15.75" customHeight="1" x14ac:dyDescent="0.35">
      <c r="A321" s="5"/>
      <c r="C321" s="6"/>
    </row>
    <row r="322" spans="1:3" ht="15.75" customHeight="1" x14ac:dyDescent="0.35">
      <c r="A322" s="5"/>
      <c r="C322" s="6"/>
    </row>
    <row r="323" spans="1:3" ht="15.75" customHeight="1" x14ac:dyDescent="0.35">
      <c r="A323" s="5"/>
      <c r="C323" s="6"/>
    </row>
    <row r="324" spans="1:3" ht="15.75" customHeight="1" x14ac:dyDescent="0.35">
      <c r="A324" s="5"/>
      <c r="C324" s="6"/>
    </row>
    <row r="325" spans="1:3" ht="15.75" customHeight="1" x14ac:dyDescent="0.35">
      <c r="A325" s="5"/>
      <c r="C325" s="6"/>
    </row>
    <row r="326" spans="1:3" ht="15.75" customHeight="1" x14ac:dyDescent="0.35">
      <c r="A326" s="5"/>
      <c r="C326" s="6"/>
    </row>
    <row r="327" spans="1:3" ht="15.75" customHeight="1" x14ac:dyDescent="0.35">
      <c r="A327" s="5"/>
      <c r="C327" s="6"/>
    </row>
    <row r="328" spans="1:3" ht="15.75" customHeight="1" x14ac:dyDescent="0.35">
      <c r="A328" s="5"/>
      <c r="C328" s="6"/>
    </row>
    <row r="329" spans="1:3" ht="15.75" customHeight="1" x14ac:dyDescent="0.35">
      <c r="A329" s="5"/>
      <c r="C329" s="6"/>
    </row>
    <row r="330" spans="1:3" ht="15.75" customHeight="1" x14ac:dyDescent="0.35">
      <c r="A330" s="5"/>
      <c r="C330" s="6"/>
    </row>
    <row r="331" spans="1:3" ht="15.75" customHeight="1" x14ac:dyDescent="0.35">
      <c r="A331" s="5"/>
      <c r="C331" s="6"/>
    </row>
    <row r="332" spans="1:3" ht="15.75" customHeight="1" x14ac:dyDescent="0.35">
      <c r="A332" s="5"/>
      <c r="C332" s="6"/>
    </row>
    <row r="333" spans="1:3" ht="15.75" customHeight="1" x14ac:dyDescent="0.35">
      <c r="A333" s="5"/>
      <c r="C333" s="6"/>
    </row>
    <row r="334" spans="1:3" ht="15.75" customHeight="1" x14ac:dyDescent="0.35">
      <c r="A334" s="5"/>
      <c r="C334" s="6"/>
    </row>
    <row r="335" spans="1:3" ht="15.75" customHeight="1" x14ac:dyDescent="0.35">
      <c r="A335" s="5"/>
      <c r="C335" s="6"/>
    </row>
    <row r="336" spans="1:3" ht="15.75" customHeight="1" x14ac:dyDescent="0.35">
      <c r="A336" s="5"/>
      <c r="C336" s="6"/>
    </row>
    <row r="337" spans="1:3" ht="15.75" customHeight="1" x14ac:dyDescent="0.35">
      <c r="A337" s="5"/>
      <c r="C337" s="6"/>
    </row>
    <row r="338" spans="1:3" ht="15.75" customHeight="1" x14ac:dyDescent="0.35">
      <c r="A338" s="5"/>
      <c r="C338" s="6"/>
    </row>
    <row r="339" spans="1:3" ht="15.75" customHeight="1" x14ac:dyDescent="0.35">
      <c r="A339" s="5"/>
      <c r="C339" s="6"/>
    </row>
    <row r="340" spans="1:3" ht="15.75" customHeight="1" x14ac:dyDescent="0.35">
      <c r="A340" s="5"/>
      <c r="C340" s="6"/>
    </row>
    <row r="341" spans="1:3" ht="15.75" customHeight="1" x14ac:dyDescent="0.35">
      <c r="A341" s="5"/>
      <c r="C341" s="6"/>
    </row>
    <row r="342" spans="1:3" ht="15.75" customHeight="1" x14ac:dyDescent="0.35">
      <c r="A342" s="5"/>
      <c r="C342" s="6"/>
    </row>
    <row r="343" spans="1:3" ht="15.75" customHeight="1" x14ac:dyDescent="0.35">
      <c r="A343" s="5"/>
      <c r="C343" s="6"/>
    </row>
    <row r="344" spans="1:3" ht="15.75" customHeight="1" x14ac:dyDescent="0.35">
      <c r="A344" s="5"/>
      <c r="C344" s="6"/>
    </row>
    <row r="345" spans="1:3" ht="15.75" customHeight="1" x14ac:dyDescent="0.35">
      <c r="A345" s="5"/>
      <c r="C345" s="6"/>
    </row>
    <row r="346" spans="1:3" ht="15.75" customHeight="1" x14ac:dyDescent="0.35">
      <c r="A346" s="5"/>
      <c r="C346" s="6"/>
    </row>
    <row r="347" spans="1:3" ht="15.75" customHeight="1" x14ac:dyDescent="0.35">
      <c r="A347" s="5"/>
      <c r="C347" s="6"/>
    </row>
    <row r="348" spans="1:3" ht="15.75" customHeight="1" x14ac:dyDescent="0.35">
      <c r="A348" s="5"/>
      <c r="C348" s="6"/>
    </row>
    <row r="349" spans="1:3" ht="15.75" customHeight="1" x14ac:dyDescent="0.35">
      <c r="A349" s="5"/>
      <c r="C349" s="6"/>
    </row>
    <row r="350" spans="1:3" ht="15.75" customHeight="1" x14ac:dyDescent="0.35">
      <c r="A350" s="5"/>
      <c r="C350" s="6"/>
    </row>
    <row r="351" spans="1:3" ht="15.75" customHeight="1" x14ac:dyDescent="0.35">
      <c r="A351" s="5"/>
      <c r="C351" s="6"/>
    </row>
    <row r="352" spans="1:3" ht="15.75" customHeight="1" x14ac:dyDescent="0.35">
      <c r="A352" s="5"/>
      <c r="C352" s="6"/>
    </row>
    <row r="353" spans="1:3" ht="15.75" customHeight="1" x14ac:dyDescent="0.35">
      <c r="A353" s="5"/>
      <c r="C353" s="6"/>
    </row>
    <row r="354" spans="1:3" ht="15.75" customHeight="1" x14ac:dyDescent="0.35">
      <c r="A354" s="5"/>
      <c r="C354" s="6"/>
    </row>
    <row r="355" spans="1:3" ht="15.75" customHeight="1" x14ac:dyDescent="0.35">
      <c r="A355" s="5"/>
      <c r="C355" s="6"/>
    </row>
    <row r="356" spans="1:3" ht="15.75" customHeight="1" x14ac:dyDescent="0.35">
      <c r="A356" s="5"/>
      <c r="C356" s="6"/>
    </row>
    <row r="357" spans="1:3" ht="15.75" customHeight="1" x14ac:dyDescent="0.35">
      <c r="A357" s="5"/>
      <c r="C357" s="6"/>
    </row>
    <row r="358" spans="1:3" ht="15.75" customHeight="1" x14ac:dyDescent="0.35">
      <c r="A358" s="5"/>
      <c r="C358" s="6"/>
    </row>
    <row r="359" spans="1:3" ht="15.75" customHeight="1" x14ac:dyDescent="0.35">
      <c r="A359" s="5"/>
      <c r="C359" s="6"/>
    </row>
    <row r="360" spans="1:3" ht="15.75" customHeight="1" x14ac:dyDescent="0.35">
      <c r="A360" s="5"/>
      <c r="C360" s="6"/>
    </row>
    <row r="361" spans="1:3" ht="15.75" customHeight="1" x14ac:dyDescent="0.35">
      <c r="A361" s="5"/>
      <c r="C361" s="6"/>
    </row>
    <row r="362" spans="1:3" ht="15.75" customHeight="1" x14ac:dyDescent="0.35">
      <c r="A362" s="5"/>
      <c r="C362" s="6"/>
    </row>
    <row r="363" spans="1:3" ht="15.75" customHeight="1" x14ac:dyDescent="0.35">
      <c r="A363" s="5"/>
      <c r="C363" s="6"/>
    </row>
    <row r="364" spans="1:3" ht="15.75" customHeight="1" x14ac:dyDescent="0.35">
      <c r="A364" s="5"/>
      <c r="C364" s="6"/>
    </row>
    <row r="365" spans="1:3" ht="15.75" customHeight="1" x14ac:dyDescent="0.35">
      <c r="A365" s="5"/>
      <c r="C365" s="6"/>
    </row>
    <row r="366" spans="1:3" ht="15.75" customHeight="1" x14ac:dyDescent="0.35">
      <c r="A366" s="5"/>
      <c r="C366" s="6"/>
    </row>
    <row r="367" spans="1:3" ht="15.75" customHeight="1" x14ac:dyDescent="0.35">
      <c r="A367" s="5"/>
      <c r="C367" s="6"/>
    </row>
    <row r="368" spans="1:3" ht="15.75" customHeight="1" x14ac:dyDescent="0.35">
      <c r="A368" s="5"/>
      <c r="C368" s="6"/>
    </row>
    <row r="369" spans="1:3" ht="15.75" customHeight="1" x14ac:dyDescent="0.35">
      <c r="A369" s="5"/>
      <c r="C369" s="6"/>
    </row>
    <row r="370" spans="1:3" ht="15.75" customHeight="1" x14ac:dyDescent="0.35">
      <c r="A370" s="5"/>
      <c r="C370" s="6"/>
    </row>
    <row r="371" spans="1:3" ht="15.75" customHeight="1" x14ac:dyDescent="0.35">
      <c r="A371" s="5"/>
      <c r="C371" s="6"/>
    </row>
    <row r="372" spans="1:3" ht="15.75" customHeight="1" x14ac:dyDescent="0.35">
      <c r="A372" s="5"/>
      <c r="C372" s="6"/>
    </row>
    <row r="373" spans="1:3" ht="15.75" customHeight="1" x14ac:dyDescent="0.35">
      <c r="A373" s="5"/>
      <c r="C373" s="6"/>
    </row>
    <row r="374" spans="1:3" ht="15.75" customHeight="1" x14ac:dyDescent="0.35">
      <c r="A374" s="5"/>
      <c r="C374" s="6"/>
    </row>
    <row r="375" spans="1:3" ht="15.75" customHeight="1" x14ac:dyDescent="0.35">
      <c r="A375" s="5"/>
      <c r="C375" s="6"/>
    </row>
    <row r="376" spans="1:3" ht="15.75" customHeight="1" x14ac:dyDescent="0.35">
      <c r="A376" s="5"/>
      <c r="C376" s="6"/>
    </row>
    <row r="377" spans="1:3" ht="15.75" customHeight="1" x14ac:dyDescent="0.35">
      <c r="A377" s="5"/>
      <c r="C377" s="6"/>
    </row>
    <row r="378" spans="1:3" ht="15.75" customHeight="1" x14ac:dyDescent="0.35">
      <c r="A378" s="5"/>
      <c r="C378" s="6"/>
    </row>
    <row r="379" spans="1:3" ht="15.75" customHeight="1" x14ac:dyDescent="0.35">
      <c r="A379" s="5"/>
      <c r="C379" s="6"/>
    </row>
    <row r="380" spans="1:3" ht="15.75" customHeight="1" x14ac:dyDescent="0.35">
      <c r="A380" s="5"/>
      <c r="C380" s="6"/>
    </row>
    <row r="381" spans="1:3" ht="15.75" customHeight="1" x14ac:dyDescent="0.35">
      <c r="A381" s="5"/>
      <c r="C381" s="6"/>
    </row>
    <row r="382" spans="1:3" ht="15.75" customHeight="1" x14ac:dyDescent="0.35">
      <c r="A382" s="5"/>
      <c r="C382" s="6"/>
    </row>
    <row r="383" spans="1:3" ht="15.75" customHeight="1" x14ac:dyDescent="0.35">
      <c r="A383" s="5"/>
      <c r="C383" s="6"/>
    </row>
    <row r="384" spans="1:3" ht="15.75" customHeight="1" x14ac:dyDescent="0.35">
      <c r="A384" s="5"/>
      <c r="C384" s="6"/>
    </row>
    <row r="385" spans="1:3" ht="15.75" customHeight="1" x14ac:dyDescent="0.35">
      <c r="A385" s="5"/>
      <c r="C385" s="6"/>
    </row>
    <row r="386" spans="1:3" ht="15.75" customHeight="1" x14ac:dyDescent="0.35">
      <c r="A386" s="5"/>
      <c r="C386" s="6"/>
    </row>
    <row r="387" spans="1:3" ht="15.75" customHeight="1" x14ac:dyDescent="0.35">
      <c r="A387" s="5"/>
      <c r="C387" s="6"/>
    </row>
    <row r="388" spans="1:3" ht="15.75" customHeight="1" x14ac:dyDescent="0.35">
      <c r="A388" s="5"/>
      <c r="C388" s="6"/>
    </row>
    <row r="389" spans="1:3" ht="15.75" customHeight="1" x14ac:dyDescent="0.35">
      <c r="A389" s="5"/>
      <c r="C389" s="6"/>
    </row>
    <row r="390" spans="1:3" ht="15.75" customHeight="1" x14ac:dyDescent="0.35">
      <c r="A390" s="5"/>
      <c r="C390" s="6"/>
    </row>
    <row r="391" spans="1:3" ht="15.75" customHeight="1" x14ac:dyDescent="0.35">
      <c r="A391" s="5"/>
      <c r="C391" s="6"/>
    </row>
    <row r="392" spans="1:3" ht="15.75" customHeight="1" x14ac:dyDescent="0.35">
      <c r="A392" s="5"/>
      <c r="C392" s="6"/>
    </row>
    <row r="393" spans="1:3" ht="15.75" customHeight="1" x14ac:dyDescent="0.35">
      <c r="A393" s="5"/>
      <c r="C393" s="6"/>
    </row>
    <row r="394" spans="1:3" ht="15.75" customHeight="1" x14ac:dyDescent="0.35">
      <c r="A394" s="5"/>
      <c r="C394" s="6"/>
    </row>
    <row r="395" spans="1:3" ht="15.75" customHeight="1" x14ac:dyDescent="0.35">
      <c r="A395" s="5"/>
      <c r="C395" s="6"/>
    </row>
    <row r="396" spans="1:3" ht="15.75" customHeight="1" x14ac:dyDescent="0.35">
      <c r="A396" s="5"/>
      <c r="C396" s="6"/>
    </row>
    <row r="397" spans="1:3" ht="15.75" customHeight="1" x14ac:dyDescent="0.35">
      <c r="A397" s="5"/>
      <c r="C397" s="6"/>
    </row>
    <row r="398" spans="1:3" ht="15.75" customHeight="1" x14ac:dyDescent="0.35">
      <c r="A398" s="5"/>
      <c r="C398" s="6"/>
    </row>
    <row r="399" spans="1:3" ht="15.75" customHeight="1" x14ac:dyDescent="0.35">
      <c r="A399" s="5"/>
      <c r="C399" s="6"/>
    </row>
    <row r="400" spans="1:3" ht="15.75" customHeight="1" x14ac:dyDescent="0.35">
      <c r="A400" s="5"/>
      <c r="C400" s="6"/>
    </row>
    <row r="401" spans="1:3" ht="15.75" customHeight="1" x14ac:dyDescent="0.35">
      <c r="A401" s="5"/>
      <c r="C401" s="6"/>
    </row>
    <row r="402" spans="1:3" ht="15.75" customHeight="1" x14ac:dyDescent="0.35">
      <c r="A402" s="5"/>
      <c r="C402" s="6"/>
    </row>
    <row r="403" spans="1:3" ht="15.75" customHeight="1" x14ac:dyDescent="0.35">
      <c r="A403" s="5"/>
      <c r="C403" s="6"/>
    </row>
    <row r="404" spans="1:3" ht="15.75" customHeight="1" x14ac:dyDescent="0.35">
      <c r="A404" s="5"/>
      <c r="C404" s="6"/>
    </row>
    <row r="405" spans="1:3" ht="15.75" customHeight="1" x14ac:dyDescent="0.35">
      <c r="A405" s="5"/>
      <c r="C405" s="6"/>
    </row>
    <row r="406" spans="1:3" ht="15.75" customHeight="1" x14ac:dyDescent="0.35">
      <c r="A406" s="5"/>
      <c r="C406" s="6"/>
    </row>
    <row r="407" spans="1:3" ht="15.75" customHeight="1" x14ac:dyDescent="0.35">
      <c r="A407" s="5"/>
      <c r="C407" s="6"/>
    </row>
    <row r="408" spans="1:3" ht="15.75" customHeight="1" x14ac:dyDescent="0.35">
      <c r="A408" s="5"/>
      <c r="C408" s="6"/>
    </row>
    <row r="409" spans="1:3" ht="15.75" customHeight="1" x14ac:dyDescent="0.35">
      <c r="A409" s="5"/>
      <c r="C409" s="6"/>
    </row>
    <row r="410" spans="1:3" ht="15.75" customHeight="1" x14ac:dyDescent="0.35">
      <c r="A410" s="5"/>
      <c r="C410" s="6"/>
    </row>
    <row r="411" spans="1:3" ht="15.75" customHeight="1" x14ac:dyDescent="0.35">
      <c r="A411" s="5"/>
      <c r="C411" s="6"/>
    </row>
    <row r="412" spans="1:3" ht="15.75" customHeight="1" x14ac:dyDescent="0.35">
      <c r="A412" s="5"/>
      <c r="C412" s="6"/>
    </row>
    <row r="413" spans="1:3" ht="15.75" customHeight="1" x14ac:dyDescent="0.35">
      <c r="A413" s="5"/>
      <c r="C413" s="6"/>
    </row>
    <row r="414" spans="1:3" ht="15.75" customHeight="1" x14ac:dyDescent="0.35">
      <c r="A414" s="5"/>
      <c r="C414" s="6"/>
    </row>
    <row r="415" spans="1:3" ht="15.75" customHeight="1" x14ac:dyDescent="0.35">
      <c r="A415" s="5"/>
      <c r="C415" s="6"/>
    </row>
    <row r="416" spans="1:3" ht="15.75" customHeight="1" x14ac:dyDescent="0.35">
      <c r="A416" s="5"/>
      <c r="C416" s="6"/>
    </row>
    <row r="417" spans="1:3" ht="15.75" customHeight="1" x14ac:dyDescent="0.35">
      <c r="A417" s="5"/>
      <c r="C417" s="6"/>
    </row>
    <row r="418" spans="1:3" ht="15.75" customHeight="1" x14ac:dyDescent="0.35">
      <c r="A418" s="5"/>
      <c r="C418" s="6"/>
    </row>
    <row r="419" spans="1:3" ht="15.75" customHeight="1" x14ac:dyDescent="0.35">
      <c r="A419" s="5"/>
      <c r="C419" s="6"/>
    </row>
    <row r="420" spans="1:3" ht="15.75" customHeight="1" x14ac:dyDescent="0.35">
      <c r="A420" s="5"/>
      <c r="C420" s="6"/>
    </row>
    <row r="421" spans="1:3" ht="15.75" customHeight="1" x14ac:dyDescent="0.35">
      <c r="A421" s="5"/>
      <c r="C421" s="6"/>
    </row>
    <row r="422" spans="1:3" ht="15.75" customHeight="1" x14ac:dyDescent="0.35">
      <c r="A422" s="5"/>
      <c r="C422" s="6"/>
    </row>
    <row r="423" spans="1:3" ht="15.75" customHeight="1" x14ac:dyDescent="0.35">
      <c r="A423" s="5"/>
      <c r="C423" s="6"/>
    </row>
    <row r="424" spans="1:3" ht="15.75" customHeight="1" x14ac:dyDescent="0.35">
      <c r="A424" s="5"/>
      <c r="C424" s="6"/>
    </row>
    <row r="425" spans="1:3" ht="15.75" customHeight="1" x14ac:dyDescent="0.35">
      <c r="A425" s="5"/>
      <c r="C425" s="6"/>
    </row>
    <row r="426" spans="1:3" ht="15.75" customHeight="1" x14ac:dyDescent="0.35">
      <c r="A426" s="5"/>
      <c r="C426" s="6"/>
    </row>
    <row r="427" spans="1:3" ht="15.75" customHeight="1" x14ac:dyDescent="0.35">
      <c r="A427" s="5"/>
      <c r="C427" s="6"/>
    </row>
    <row r="428" spans="1:3" ht="15.75" customHeight="1" x14ac:dyDescent="0.35">
      <c r="A428" s="5"/>
      <c r="C428" s="6"/>
    </row>
    <row r="429" spans="1:3" ht="15.75" customHeight="1" x14ac:dyDescent="0.35">
      <c r="A429" s="5"/>
      <c r="C429" s="6"/>
    </row>
    <row r="430" spans="1:3" ht="15.75" customHeight="1" x14ac:dyDescent="0.35">
      <c r="A430" s="5"/>
      <c r="C430" s="6"/>
    </row>
    <row r="431" spans="1:3" ht="15.75" customHeight="1" x14ac:dyDescent="0.35">
      <c r="A431" s="5"/>
      <c r="C431" s="6"/>
    </row>
    <row r="432" spans="1:3" ht="15.75" customHeight="1" x14ac:dyDescent="0.35">
      <c r="A432" s="5"/>
      <c r="C432" s="6"/>
    </row>
    <row r="433" spans="1:3" ht="15.75" customHeight="1" x14ac:dyDescent="0.35">
      <c r="A433" s="5"/>
      <c r="C433" s="6"/>
    </row>
    <row r="434" spans="1:3" ht="15.75" customHeight="1" x14ac:dyDescent="0.35">
      <c r="A434" s="5"/>
      <c r="C434" s="6"/>
    </row>
    <row r="435" spans="1:3" ht="15.75" customHeight="1" x14ac:dyDescent="0.35">
      <c r="A435" s="5"/>
      <c r="C435" s="6"/>
    </row>
    <row r="436" spans="1:3" ht="15.75" customHeight="1" x14ac:dyDescent="0.35">
      <c r="A436" s="5"/>
      <c r="C436" s="6"/>
    </row>
    <row r="437" spans="1:3" ht="15.75" customHeight="1" x14ac:dyDescent="0.35">
      <c r="A437" s="5"/>
      <c r="C437" s="6"/>
    </row>
    <row r="438" spans="1:3" ht="15.75" customHeight="1" x14ac:dyDescent="0.35">
      <c r="A438" s="5"/>
      <c r="C438" s="6"/>
    </row>
    <row r="439" spans="1:3" ht="15.75" customHeight="1" x14ac:dyDescent="0.35">
      <c r="A439" s="5"/>
      <c r="C439" s="6"/>
    </row>
    <row r="440" spans="1:3" ht="15.75" customHeight="1" x14ac:dyDescent="0.35">
      <c r="A440" s="5"/>
      <c r="C440" s="6"/>
    </row>
    <row r="441" spans="1:3" ht="15.75" customHeight="1" x14ac:dyDescent="0.35">
      <c r="A441" s="5"/>
      <c r="C441" s="6"/>
    </row>
    <row r="442" spans="1:3" ht="15.75" customHeight="1" x14ac:dyDescent="0.35">
      <c r="A442" s="5"/>
      <c r="C442" s="6"/>
    </row>
    <row r="443" spans="1:3" ht="15.75" customHeight="1" x14ac:dyDescent="0.35">
      <c r="A443" s="5"/>
      <c r="C443" s="6"/>
    </row>
    <row r="444" spans="1:3" ht="15.75" customHeight="1" x14ac:dyDescent="0.35">
      <c r="A444" s="5"/>
      <c r="C444" s="6"/>
    </row>
    <row r="445" spans="1:3" ht="15.75" customHeight="1" x14ac:dyDescent="0.35">
      <c r="A445" s="5"/>
      <c r="C445" s="6"/>
    </row>
    <row r="446" spans="1:3" ht="15.75" customHeight="1" x14ac:dyDescent="0.35">
      <c r="A446" s="5"/>
      <c r="C446" s="6"/>
    </row>
    <row r="447" spans="1:3" ht="15.75" customHeight="1" x14ac:dyDescent="0.35">
      <c r="A447" s="5"/>
      <c r="C447" s="6"/>
    </row>
    <row r="448" spans="1:3" ht="15.75" customHeight="1" x14ac:dyDescent="0.35">
      <c r="A448" s="5"/>
      <c r="C448" s="6"/>
    </row>
    <row r="449" spans="1:3" ht="15.75" customHeight="1" x14ac:dyDescent="0.35">
      <c r="A449" s="5"/>
      <c r="C449" s="6"/>
    </row>
    <row r="450" spans="1:3" ht="15.75" customHeight="1" x14ac:dyDescent="0.35">
      <c r="A450" s="5"/>
      <c r="C450" s="6"/>
    </row>
    <row r="451" spans="1:3" ht="15.75" customHeight="1" x14ac:dyDescent="0.35">
      <c r="A451" s="5"/>
      <c r="C451" s="6"/>
    </row>
    <row r="452" spans="1:3" ht="15.75" customHeight="1" x14ac:dyDescent="0.35">
      <c r="A452" s="5"/>
      <c r="C452" s="6"/>
    </row>
    <row r="453" spans="1:3" ht="15.75" customHeight="1" x14ac:dyDescent="0.35">
      <c r="A453" s="5"/>
      <c r="C453" s="6"/>
    </row>
    <row r="454" spans="1:3" ht="15.75" customHeight="1" x14ac:dyDescent="0.35">
      <c r="A454" s="5"/>
      <c r="C454" s="6"/>
    </row>
    <row r="455" spans="1:3" ht="15.75" customHeight="1" x14ac:dyDescent="0.35">
      <c r="A455" s="5"/>
      <c r="C455" s="6"/>
    </row>
    <row r="456" spans="1:3" ht="15.75" customHeight="1" x14ac:dyDescent="0.35">
      <c r="A456" s="5"/>
      <c r="C456" s="6"/>
    </row>
    <row r="457" spans="1:3" ht="15.75" customHeight="1" x14ac:dyDescent="0.35">
      <c r="A457" s="5"/>
      <c r="C457" s="6"/>
    </row>
    <row r="458" spans="1:3" ht="15.75" customHeight="1" x14ac:dyDescent="0.35">
      <c r="A458" s="5"/>
      <c r="C458" s="6"/>
    </row>
    <row r="459" spans="1:3" ht="15.75" customHeight="1" x14ac:dyDescent="0.35">
      <c r="A459" s="5"/>
      <c r="C459" s="6"/>
    </row>
    <row r="460" spans="1:3" ht="15.75" customHeight="1" x14ac:dyDescent="0.35">
      <c r="A460" s="5"/>
      <c r="C460" s="6"/>
    </row>
    <row r="461" spans="1:3" ht="15.75" customHeight="1" x14ac:dyDescent="0.35">
      <c r="A461" s="5"/>
      <c r="C461" s="6"/>
    </row>
    <row r="462" spans="1:3" ht="15.75" customHeight="1" x14ac:dyDescent="0.35">
      <c r="A462" s="5"/>
      <c r="C462" s="6"/>
    </row>
    <row r="463" spans="1:3" ht="15.75" customHeight="1" x14ac:dyDescent="0.35">
      <c r="A463" s="5"/>
      <c r="C463" s="6"/>
    </row>
    <row r="464" spans="1:3" ht="15.75" customHeight="1" x14ac:dyDescent="0.35">
      <c r="A464" s="5"/>
      <c r="C464" s="6"/>
    </row>
    <row r="465" spans="1:3" ht="15.75" customHeight="1" x14ac:dyDescent="0.35">
      <c r="A465" s="5"/>
      <c r="C465" s="6"/>
    </row>
    <row r="466" spans="1:3" ht="15.75" customHeight="1" x14ac:dyDescent="0.35">
      <c r="A466" s="5"/>
      <c r="C466" s="6"/>
    </row>
    <row r="467" spans="1:3" ht="15.75" customHeight="1" x14ac:dyDescent="0.35">
      <c r="A467" s="5"/>
      <c r="C467" s="6"/>
    </row>
    <row r="468" spans="1:3" ht="15.75" customHeight="1" x14ac:dyDescent="0.35">
      <c r="A468" s="5"/>
      <c r="C468" s="6"/>
    </row>
    <row r="469" spans="1:3" ht="15.75" customHeight="1" x14ac:dyDescent="0.35">
      <c r="A469" s="5"/>
      <c r="C469" s="6"/>
    </row>
    <row r="470" spans="1:3" ht="15.75" customHeight="1" x14ac:dyDescent="0.35">
      <c r="A470" s="5"/>
      <c r="C470" s="6"/>
    </row>
    <row r="471" spans="1:3" ht="15.75" customHeight="1" x14ac:dyDescent="0.35">
      <c r="A471" s="5"/>
      <c r="C471" s="6"/>
    </row>
    <row r="472" spans="1:3" ht="15.75" customHeight="1" x14ac:dyDescent="0.35">
      <c r="A472" s="5"/>
      <c r="C472" s="6"/>
    </row>
    <row r="473" spans="1:3" ht="15.75" customHeight="1" x14ac:dyDescent="0.35">
      <c r="A473" s="5"/>
      <c r="C473" s="6"/>
    </row>
    <row r="474" spans="1:3" ht="15.75" customHeight="1" x14ac:dyDescent="0.35">
      <c r="A474" s="5"/>
      <c r="C474" s="6"/>
    </row>
    <row r="475" spans="1:3" ht="15.75" customHeight="1" x14ac:dyDescent="0.35">
      <c r="A475" s="5"/>
      <c r="C475" s="6"/>
    </row>
    <row r="476" spans="1:3" ht="15.75" customHeight="1" x14ac:dyDescent="0.35">
      <c r="A476" s="5"/>
      <c r="C476" s="6"/>
    </row>
    <row r="477" spans="1:3" ht="15.75" customHeight="1" x14ac:dyDescent="0.35">
      <c r="A477" s="5"/>
      <c r="C477" s="6"/>
    </row>
    <row r="478" spans="1:3" ht="15.75" customHeight="1" x14ac:dyDescent="0.35">
      <c r="A478" s="5"/>
      <c r="C478" s="6"/>
    </row>
    <row r="479" spans="1:3" ht="15.75" customHeight="1" x14ac:dyDescent="0.35">
      <c r="A479" s="5"/>
      <c r="C479" s="6"/>
    </row>
    <row r="480" spans="1:3" ht="15.75" customHeight="1" x14ac:dyDescent="0.35">
      <c r="A480" s="5"/>
      <c r="C480" s="6"/>
    </row>
    <row r="481" spans="1:3" ht="15.75" customHeight="1" x14ac:dyDescent="0.35">
      <c r="A481" s="5"/>
      <c r="C481" s="6"/>
    </row>
    <row r="482" spans="1:3" ht="15.75" customHeight="1" x14ac:dyDescent="0.35">
      <c r="A482" s="5"/>
      <c r="C482" s="6"/>
    </row>
    <row r="483" spans="1:3" ht="15.75" customHeight="1" x14ac:dyDescent="0.35">
      <c r="A483" s="5"/>
      <c r="C483" s="6"/>
    </row>
    <row r="484" spans="1:3" ht="15.75" customHeight="1" x14ac:dyDescent="0.35">
      <c r="A484" s="5"/>
      <c r="C484" s="6"/>
    </row>
    <row r="485" spans="1:3" ht="15.75" customHeight="1" x14ac:dyDescent="0.35">
      <c r="A485" s="5"/>
      <c r="C485" s="6"/>
    </row>
    <row r="486" spans="1:3" ht="15.75" customHeight="1" x14ac:dyDescent="0.35">
      <c r="A486" s="5"/>
      <c r="C486" s="6"/>
    </row>
    <row r="487" spans="1:3" ht="15.75" customHeight="1" x14ac:dyDescent="0.35">
      <c r="A487" s="5"/>
      <c r="C487" s="6"/>
    </row>
    <row r="488" spans="1:3" ht="15.75" customHeight="1" x14ac:dyDescent="0.35">
      <c r="A488" s="5"/>
      <c r="C488" s="6"/>
    </row>
    <row r="489" spans="1:3" ht="15.75" customHeight="1" x14ac:dyDescent="0.35">
      <c r="A489" s="5"/>
      <c r="C489" s="6"/>
    </row>
    <row r="490" spans="1:3" ht="15.75" customHeight="1" x14ac:dyDescent="0.35">
      <c r="A490" s="5"/>
      <c r="C490" s="6"/>
    </row>
    <row r="491" spans="1:3" ht="15.75" customHeight="1" x14ac:dyDescent="0.35">
      <c r="A491" s="5"/>
      <c r="C491" s="6"/>
    </row>
    <row r="492" spans="1:3" ht="15.75" customHeight="1" x14ac:dyDescent="0.35">
      <c r="A492" s="5"/>
      <c r="C492" s="6"/>
    </row>
    <row r="493" spans="1:3" ht="15.75" customHeight="1" x14ac:dyDescent="0.35">
      <c r="A493" s="5"/>
      <c r="C493" s="6"/>
    </row>
    <row r="494" spans="1:3" ht="15.75" customHeight="1" x14ac:dyDescent="0.35">
      <c r="A494" s="5"/>
      <c r="C494" s="6"/>
    </row>
    <row r="495" spans="1:3" ht="15.75" customHeight="1" x14ac:dyDescent="0.35">
      <c r="A495" s="5"/>
      <c r="C495" s="6"/>
    </row>
    <row r="496" spans="1:3" ht="15.75" customHeight="1" x14ac:dyDescent="0.35">
      <c r="A496" s="5"/>
      <c r="C496" s="6"/>
    </row>
    <row r="497" spans="1:3" ht="15.75" customHeight="1" x14ac:dyDescent="0.35">
      <c r="A497" s="5"/>
      <c r="C497" s="6"/>
    </row>
    <row r="498" spans="1:3" ht="15.75" customHeight="1" x14ac:dyDescent="0.35">
      <c r="A498" s="5"/>
      <c r="C498" s="6"/>
    </row>
    <row r="499" spans="1:3" ht="15.75" customHeight="1" x14ac:dyDescent="0.35">
      <c r="A499" s="5"/>
      <c r="C499" s="6"/>
    </row>
    <row r="500" spans="1:3" ht="15.75" customHeight="1" x14ac:dyDescent="0.35">
      <c r="A500" s="5"/>
      <c r="C500" s="6"/>
    </row>
    <row r="501" spans="1:3" ht="15.75" customHeight="1" x14ac:dyDescent="0.35">
      <c r="A501" s="5"/>
      <c r="C501" s="6"/>
    </row>
    <row r="502" spans="1:3" ht="15.75" customHeight="1" x14ac:dyDescent="0.35">
      <c r="A502" s="5"/>
      <c r="C502" s="6"/>
    </row>
    <row r="503" spans="1:3" ht="15.75" customHeight="1" x14ac:dyDescent="0.35">
      <c r="A503" s="5"/>
      <c r="C503" s="6"/>
    </row>
    <row r="504" spans="1:3" ht="15.75" customHeight="1" x14ac:dyDescent="0.35">
      <c r="A504" s="5"/>
      <c r="C504" s="6"/>
    </row>
    <row r="505" spans="1:3" ht="15.75" customHeight="1" x14ac:dyDescent="0.35">
      <c r="A505" s="5"/>
      <c r="C505" s="6"/>
    </row>
    <row r="506" spans="1:3" ht="15.75" customHeight="1" x14ac:dyDescent="0.35">
      <c r="A506" s="5"/>
      <c r="C506" s="6"/>
    </row>
    <row r="507" spans="1:3" ht="15.75" customHeight="1" x14ac:dyDescent="0.35">
      <c r="A507" s="5"/>
      <c r="C507" s="6"/>
    </row>
    <row r="508" spans="1:3" ht="15.75" customHeight="1" x14ac:dyDescent="0.35">
      <c r="A508" s="5"/>
      <c r="C508" s="6"/>
    </row>
    <row r="509" spans="1:3" ht="15.75" customHeight="1" x14ac:dyDescent="0.35">
      <c r="A509" s="5"/>
      <c r="C509" s="6"/>
    </row>
    <row r="510" spans="1:3" ht="15.75" customHeight="1" x14ac:dyDescent="0.35">
      <c r="A510" s="5"/>
      <c r="C510" s="6"/>
    </row>
    <row r="511" spans="1:3" ht="15.75" customHeight="1" x14ac:dyDescent="0.35">
      <c r="A511" s="5"/>
      <c r="C511" s="6"/>
    </row>
    <row r="512" spans="1:3" ht="15.75" customHeight="1" x14ac:dyDescent="0.35">
      <c r="A512" s="5"/>
      <c r="C512" s="6"/>
    </row>
    <row r="513" spans="1:3" ht="15.75" customHeight="1" x14ac:dyDescent="0.35">
      <c r="A513" s="5"/>
      <c r="C513" s="6"/>
    </row>
    <row r="514" spans="1:3" ht="15.75" customHeight="1" x14ac:dyDescent="0.35">
      <c r="A514" s="5"/>
      <c r="C514" s="6"/>
    </row>
    <row r="515" spans="1:3" ht="15.75" customHeight="1" x14ac:dyDescent="0.35">
      <c r="A515" s="5"/>
      <c r="C515" s="6"/>
    </row>
    <row r="516" spans="1:3" ht="15.75" customHeight="1" x14ac:dyDescent="0.35">
      <c r="A516" s="5"/>
      <c r="C516" s="6"/>
    </row>
    <row r="517" spans="1:3" ht="15.75" customHeight="1" x14ac:dyDescent="0.35">
      <c r="A517" s="5"/>
      <c r="C517" s="6"/>
    </row>
    <row r="518" spans="1:3" ht="15.75" customHeight="1" x14ac:dyDescent="0.35">
      <c r="A518" s="5"/>
      <c r="C518" s="6"/>
    </row>
    <row r="519" spans="1:3" ht="15.75" customHeight="1" x14ac:dyDescent="0.35">
      <c r="A519" s="5"/>
      <c r="C519" s="6"/>
    </row>
    <row r="520" spans="1:3" ht="15.75" customHeight="1" x14ac:dyDescent="0.35">
      <c r="A520" s="5"/>
      <c r="C520" s="6"/>
    </row>
    <row r="521" spans="1:3" ht="15.75" customHeight="1" x14ac:dyDescent="0.35">
      <c r="A521" s="5"/>
      <c r="C521" s="6"/>
    </row>
    <row r="522" spans="1:3" ht="15.75" customHeight="1" x14ac:dyDescent="0.35">
      <c r="A522" s="5"/>
      <c r="C522" s="6"/>
    </row>
    <row r="523" spans="1:3" ht="15.75" customHeight="1" x14ac:dyDescent="0.35">
      <c r="A523" s="5"/>
      <c r="C523" s="6"/>
    </row>
    <row r="524" spans="1:3" ht="15.75" customHeight="1" x14ac:dyDescent="0.35">
      <c r="A524" s="5"/>
      <c r="C524" s="6"/>
    </row>
    <row r="525" spans="1:3" ht="15.75" customHeight="1" x14ac:dyDescent="0.35">
      <c r="A525" s="5"/>
      <c r="C525" s="6"/>
    </row>
    <row r="526" spans="1:3" ht="15.75" customHeight="1" x14ac:dyDescent="0.35">
      <c r="A526" s="5"/>
      <c r="C526" s="6"/>
    </row>
    <row r="527" spans="1:3" ht="15.75" customHeight="1" x14ac:dyDescent="0.35">
      <c r="A527" s="5"/>
      <c r="C527" s="6"/>
    </row>
    <row r="528" spans="1:3" ht="15.75" customHeight="1" x14ac:dyDescent="0.35">
      <c r="A528" s="5"/>
      <c r="C528" s="6"/>
    </row>
    <row r="529" spans="1:3" ht="15.75" customHeight="1" x14ac:dyDescent="0.35">
      <c r="A529" s="5"/>
      <c r="C529" s="6"/>
    </row>
    <row r="530" spans="1:3" ht="15.75" customHeight="1" x14ac:dyDescent="0.35">
      <c r="A530" s="5"/>
      <c r="C530" s="6"/>
    </row>
    <row r="531" spans="1:3" ht="15.75" customHeight="1" x14ac:dyDescent="0.35">
      <c r="A531" s="5"/>
      <c r="C531" s="6"/>
    </row>
    <row r="532" spans="1:3" ht="15.75" customHeight="1" x14ac:dyDescent="0.35">
      <c r="A532" s="5"/>
      <c r="C532" s="6"/>
    </row>
    <row r="533" spans="1:3" ht="15.75" customHeight="1" x14ac:dyDescent="0.35">
      <c r="A533" s="5"/>
      <c r="C533" s="6"/>
    </row>
    <row r="534" spans="1:3" ht="15.75" customHeight="1" x14ac:dyDescent="0.35">
      <c r="A534" s="5"/>
      <c r="C534" s="6"/>
    </row>
    <row r="535" spans="1:3" ht="15.75" customHeight="1" x14ac:dyDescent="0.35">
      <c r="A535" s="5"/>
      <c r="C535" s="6"/>
    </row>
    <row r="536" spans="1:3" ht="15.75" customHeight="1" x14ac:dyDescent="0.35">
      <c r="A536" s="5"/>
      <c r="C536" s="6"/>
    </row>
    <row r="537" spans="1:3" ht="15.75" customHeight="1" x14ac:dyDescent="0.35">
      <c r="A537" s="5"/>
      <c r="C537" s="6"/>
    </row>
    <row r="538" spans="1:3" ht="15.75" customHeight="1" x14ac:dyDescent="0.35">
      <c r="A538" s="5"/>
      <c r="C538" s="6"/>
    </row>
    <row r="539" spans="1:3" ht="15.75" customHeight="1" x14ac:dyDescent="0.35">
      <c r="A539" s="5"/>
      <c r="C539" s="6"/>
    </row>
    <row r="540" spans="1:3" ht="15.75" customHeight="1" x14ac:dyDescent="0.35">
      <c r="A540" s="5"/>
      <c r="C540" s="6"/>
    </row>
    <row r="541" spans="1:3" ht="15.75" customHeight="1" x14ac:dyDescent="0.35">
      <c r="A541" s="5"/>
      <c r="C541" s="6"/>
    </row>
    <row r="542" spans="1:3" ht="15.75" customHeight="1" x14ac:dyDescent="0.35">
      <c r="A542" s="5"/>
      <c r="C542" s="6"/>
    </row>
    <row r="543" spans="1:3" ht="15.75" customHeight="1" x14ac:dyDescent="0.35">
      <c r="A543" s="5"/>
      <c r="C543" s="6"/>
    </row>
    <row r="544" spans="1:3" ht="15.75" customHeight="1" x14ac:dyDescent="0.35">
      <c r="A544" s="5"/>
      <c r="C544" s="6"/>
    </row>
    <row r="545" spans="1:3" ht="15.75" customHeight="1" x14ac:dyDescent="0.35">
      <c r="A545" s="5"/>
      <c r="C545" s="6"/>
    </row>
    <row r="546" spans="1:3" ht="15.75" customHeight="1" x14ac:dyDescent="0.35">
      <c r="A546" s="5"/>
      <c r="C546" s="6"/>
    </row>
    <row r="547" spans="1:3" ht="15.75" customHeight="1" x14ac:dyDescent="0.35">
      <c r="A547" s="5"/>
      <c r="C547" s="6"/>
    </row>
    <row r="548" spans="1:3" ht="15.75" customHeight="1" x14ac:dyDescent="0.35">
      <c r="A548" s="5"/>
      <c r="C548" s="6"/>
    </row>
    <row r="549" spans="1:3" ht="15.75" customHeight="1" x14ac:dyDescent="0.35">
      <c r="A549" s="5"/>
      <c r="C549" s="6"/>
    </row>
    <row r="550" spans="1:3" ht="15.75" customHeight="1" x14ac:dyDescent="0.35">
      <c r="A550" s="5"/>
      <c r="C550" s="6"/>
    </row>
    <row r="551" spans="1:3" ht="15.75" customHeight="1" x14ac:dyDescent="0.35">
      <c r="A551" s="5"/>
      <c r="C551" s="6"/>
    </row>
    <row r="552" spans="1:3" ht="15.75" customHeight="1" x14ac:dyDescent="0.35">
      <c r="A552" s="5"/>
      <c r="C552" s="6"/>
    </row>
    <row r="553" spans="1:3" ht="15.75" customHeight="1" x14ac:dyDescent="0.35">
      <c r="A553" s="5"/>
      <c r="C553" s="6"/>
    </row>
    <row r="554" spans="1:3" ht="15.75" customHeight="1" x14ac:dyDescent="0.35">
      <c r="A554" s="5"/>
      <c r="C554" s="6"/>
    </row>
    <row r="555" spans="1:3" ht="15.75" customHeight="1" x14ac:dyDescent="0.35">
      <c r="A555" s="5"/>
      <c r="C555" s="6"/>
    </row>
    <row r="556" spans="1:3" ht="15.75" customHeight="1" x14ac:dyDescent="0.35">
      <c r="A556" s="5"/>
      <c r="C556" s="6"/>
    </row>
    <row r="557" spans="1:3" ht="15.75" customHeight="1" x14ac:dyDescent="0.35">
      <c r="A557" s="5"/>
      <c r="C557" s="6"/>
    </row>
    <row r="558" spans="1:3" ht="15.75" customHeight="1" x14ac:dyDescent="0.35">
      <c r="A558" s="5"/>
      <c r="C558" s="6"/>
    </row>
    <row r="559" spans="1:3" ht="15.75" customHeight="1" x14ac:dyDescent="0.35">
      <c r="A559" s="5"/>
      <c r="C559" s="6"/>
    </row>
    <row r="560" spans="1:3" ht="15.75" customHeight="1" x14ac:dyDescent="0.35">
      <c r="A560" s="5"/>
      <c r="C560" s="6"/>
    </row>
    <row r="561" spans="1:3" ht="15.75" customHeight="1" x14ac:dyDescent="0.35">
      <c r="A561" s="5"/>
      <c r="C561" s="6"/>
    </row>
    <row r="562" spans="1:3" ht="15.75" customHeight="1" x14ac:dyDescent="0.35">
      <c r="A562" s="5"/>
      <c r="C562" s="6"/>
    </row>
    <row r="563" spans="1:3" ht="15.75" customHeight="1" x14ac:dyDescent="0.35">
      <c r="A563" s="5"/>
      <c r="C563" s="6"/>
    </row>
    <row r="564" spans="1:3" ht="15.75" customHeight="1" x14ac:dyDescent="0.35">
      <c r="A564" s="5"/>
      <c r="C564" s="6"/>
    </row>
    <row r="565" spans="1:3" ht="15.75" customHeight="1" x14ac:dyDescent="0.35">
      <c r="A565" s="5"/>
      <c r="C565" s="6"/>
    </row>
    <row r="566" spans="1:3" ht="15.75" customHeight="1" x14ac:dyDescent="0.35">
      <c r="A566" s="5"/>
      <c r="C566" s="6"/>
    </row>
    <row r="567" spans="1:3" ht="15.75" customHeight="1" x14ac:dyDescent="0.35">
      <c r="A567" s="5"/>
      <c r="C567" s="6"/>
    </row>
    <row r="568" spans="1:3" ht="15.75" customHeight="1" x14ac:dyDescent="0.35">
      <c r="A568" s="5"/>
      <c r="C568" s="6"/>
    </row>
    <row r="569" spans="1:3" ht="15.75" customHeight="1" x14ac:dyDescent="0.35">
      <c r="A569" s="5"/>
      <c r="C569" s="6"/>
    </row>
    <row r="570" spans="1:3" ht="15.75" customHeight="1" x14ac:dyDescent="0.35">
      <c r="A570" s="5"/>
      <c r="C570" s="6"/>
    </row>
    <row r="571" spans="1:3" ht="15.75" customHeight="1" x14ac:dyDescent="0.35">
      <c r="A571" s="5"/>
      <c r="C571" s="6"/>
    </row>
    <row r="572" spans="1:3" ht="15.75" customHeight="1" x14ac:dyDescent="0.35">
      <c r="A572" s="5"/>
      <c r="C572" s="6"/>
    </row>
    <row r="573" spans="1:3" ht="15.75" customHeight="1" x14ac:dyDescent="0.35">
      <c r="A573" s="5"/>
      <c r="C573" s="6"/>
    </row>
    <row r="574" spans="1:3" ht="15.75" customHeight="1" x14ac:dyDescent="0.35">
      <c r="A574" s="5"/>
      <c r="C574" s="6"/>
    </row>
    <row r="575" spans="1:3" ht="15.75" customHeight="1" x14ac:dyDescent="0.35">
      <c r="A575" s="5"/>
      <c r="C575" s="6"/>
    </row>
    <row r="576" spans="1:3" ht="15.75" customHeight="1" x14ac:dyDescent="0.35">
      <c r="A576" s="5"/>
      <c r="C576" s="6"/>
    </row>
    <row r="577" spans="1:3" ht="15.75" customHeight="1" x14ac:dyDescent="0.35">
      <c r="A577" s="5"/>
      <c r="C577" s="6"/>
    </row>
    <row r="578" spans="1:3" ht="15.75" customHeight="1" x14ac:dyDescent="0.35">
      <c r="A578" s="5"/>
      <c r="C578" s="6"/>
    </row>
    <row r="579" spans="1:3" ht="15.75" customHeight="1" x14ac:dyDescent="0.35">
      <c r="A579" s="5"/>
      <c r="C579" s="6"/>
    </row>
    <row r="580" spans="1:3" ht="15.75" customHeight="1" x14ac:dyDescent="0.35">
      <c r="A580" s="5"/>
      <c r="C580" s="6"/>
    </row>
    <row r="581" spans="1:3" ht="15.75" customHeight="1" x14ac:dyDescent="0.35">
      <c r="A581" s="5"/>
      <c r="C581" s="6"/>
    </row>
    <row r="582" spans="1:3" ht="15.75" customHeight="1" x14ac:dyDescent="0.35">
      <c r="A582" s="5"/>
      <c r="C582" s="6"/>
    </row>
    <row r="583" spans="1:3" ht="15.75" customHeight="1" x14ac:dyDescent="0.35">
      <c r="A583" s="5"/>
      <c r="C583" s="6"/>
    </row>
    <row r="584" spans="1:3" ht="15.75" customHeight="1" x14ac:dyDescent="0.35">
      <c r="A584" s="5"/>
      <c r="C584" s="6"/>
    </row>
    <row r="585" spans="1:3" ht="15.75" customHeight="1" x14ac:dyDescent="0.35">
      <c r="A585" s="5"/>
      <c r="C585" s="6"/>
    </row>
    <row r="586" spans="1:3" ht="15.75" customHeight="1" x14ac:dyDescent="0.35">
      <c r="A586" s="5"/>
      <c r="C586" s="6"/>
    </row>
    <row r="587" spans="1:3" ht="15.75" customHeight="1" x14ac:dyDescent="0.35">
      <c r="A587" s="5"/>
      <c r="C587" s="6"/>
    </row>
    <row r="588" spans="1:3" ht="15.75" customHeight="1" x14ac:dyDescent="0.35">
      <c r="A588" s="5"/>
      <c r="C588" s="6"/>
    </row>
    <row r="589" spans="1:3" ht="15.75" customHeight="1" x14ac:dyDescent="0.35">
      <c r="A589" s="5"/>
      <c r="C589" s="6"/>
    </row>
    <row r="590" spans="1:3" ht="15.75" customHeight="1" x14ac:dyDescent="0.35">
      <c r="A590" s="5"/>
      <c r="C590" s="6"/>
    </row>
    <row r="591" spans="1:3" ht="15.75" customHeight="1" x14ac:dyDescent="0.35">
      <c r="A591" s="5"/>
      <c r="C591" s="6"/>
    </row>
    <row r="592" spans="1:3" ht="15.75" customHeight="1" x14ac:dyDescent="0.35">
      <c r="A592" s="5"/>
      <c r="C592" s="6"/>
    </row>
    <row r="593" spans="1:3" ht="15.75" customHeight="1" x14ac:dyDescent="0.35">
      <c r="A593" s="5"/>
      <c r="C593" s="6"/>
    </row>
    <row r="594" spans="1:3" ht="15.75" customHeight="1" x14ac:dyDescent="0.35">
      <c r="A594" s="5"/>
      <c r="C594" s="6"/>
    </row>
    <row r="595" spans="1:3" ht="15.75" customHeight="1" x14ac:dyDescent="0.35">
      <c r="A595" s="5"/>
      <c r="C595" s="6"/>
    </row>
    <row r="596" spans="1:3" ht="15.75" customHeight="1" x14ac:dyDescent="0.35">
      <c r="A596" s="5"/>
      <c r="C596" s="6"/>
    </row>
    <row r="597" spans="1:3" ht="15.75" customHeight="1" x14ac:dyDescent="0.35">
      <c r="A597" s="5"/>
      <c r="C597" s="6"/>
    </row>
    <row r="598" spans="1:3" ht="15.75" customHeight="1" x14ac:dyDescent="0.35">
      <c r="A598" s="5"/>
      <c r="C598" s="6"/>
    </row>
    <row r="599" spans="1:3" ht="15.75" customHeight="1" x14ac:dyDescent="0.35">
      <c r="A599" s="5"/>
      <c r="C599" s="6"/>
    </row>
    <row r="600" spans="1:3" ht="15.75" customHeight="1" x14ac:dyDescent="0.35">
      <c r="A600" s="5"/>
      <c r="C600" s="6"/>
    </row>
    <row r="601" spans="1:3" ht="15.75" customHeight="1" x14ac:dyDescent="0.35">
      <c r="A601" s="5"/>
      <c r="C601" s="6"/>
    </row>
    <row r="602" spans="1:3" ht="15.75" customHeight="1" x14ac:dyDescent="0.35">
      <c r="A602" s="5"/>
      <c r="C602" s="6"/>
    </row>
    <row r="603" spans="1:3" ht="15.75" customHeight="1" x14ac:dyDescent="0.35">
      <c r="A603" s="5"/>
      <c r="C603" s="6"/>
    </row>
    <row r="604" spans="1:3" ht="15.75" customHeight="1" x14ac:dyDescent="0.35">
      <c r="A604" s="5"/>
      <c r="C604" s="6"/>
    </row>
    <row r="605" spans="1:3" ht="15.75" customHeight="1" x14ac:dyDescent="0.35">
      <c r="A605" s="5"/>
      <c r="C605" s="6"/>
    </row>
    <row r="606" spans="1:3" ht="15.75" customHeight="1" x14ac:dyDescent="0.35">
      <c r="A606" s="5"/>
      <c r="C606" s="6"/>
    </row>
    <row r="607" spans="1:3" ht="15.75" customHeight="1" x14ac:dyDescent="0.35">
      <c r="A607" s="5"/>
      <c r="C607" s="6"/>
    </row>
    <row r="608" spans="1:3" ht="15.75" customHeight="1" x14ac:dyDescent="0.35">
      <c r="A608" s="5"/>
      <c r="C608" s="6"/>
    </row>
    <row r="609" spans="1:3" ht="15.75" customHeight="1" x14ac:dyDescent="0.35">
      <c r="A609" s="5"/>
      <c r="C609" s="6"/>
    </row>
    <row r="610" spans="1:3" ht="15.75" customHeight="1" x14ac:dyDescent="0.35">
      <c r="A610" s="5"/>
      <c r="C610" s="6"/>
    </row>
    <row r="611" spans="1:3" ht="15.75" customHeight="1" x14ac:dyDescent="0.35">
      <c r="A611" s="5"/>
      <c r="C611" s="6"/>
    </row>
    <row r="612" spans="1:3" ht="15.75" customHeight="1" x14ac:dyDescent="0.35">
      <c r="A612" s="5"/>
      <c r="C612" s="6"/>
    </row>
    <row r="613" spans="1:3" ht="15.75" customHeight="1" x14ac:dyDescent="0.35">
      <c r="A613" s="5"/>
      <c r="C613" s="6"/>
    </row>
    <row r="614" spans="1:3" ht="15.75" customHeight="1" x14ac:dyDescent="0.35">
      <c r="A614" s="5"/>
      <c r="C614" s="6"/>
    </row>
    <row r="615" spans="1:3" ht="15.75" customHeight="1" x14ac:dyDescent="0.35">
      <c r="A615" s="5"/>
      <c r="C615" s="6"/>
    </row>
    <row r="616" spans="1:3" ht="15.75" customHeight="1" x14ac:dyDescent="0.35">
      <c r="A616" s="5"/>
      <c r="C616" s="6"/>
    </row>
    <row r="617" spans="1:3" ht="15.75" customHeight="1" x14ac:dyDescent="0.35">
      <c r="A617" s="5"/>
      <c r="C617" s="6"/>
    </row>
    <row r="618" spans="1:3" ht="15.75" customHeight="1" x14ac:dyDescent="0.35">
      <c r="A618" s="5"/>
      <c r="C618" s="6"/>
    </row>
    <row r="619" spans="1:3" ht="15.75" customHeight="1" x14ac:dyDescent="0.35">
      <c r="A619" s="5"/>
      <c r="C619" s="6"/>
    </row>
    <row r="620" spans="1:3" ht="15.75" customHeight="1" x14ac:dyDescent="0.35">
      <c r="A620" s="5"/>
      <c r="C620" s="6"/>
    </row>
    <row r="621" spans="1:3" ht="15.75" customHeight="1" x14ac:dyDescent="0.35">
      <c r="A621" s="5"/>
      <c r="C621" s="6"/>
    </row>
    <row r="622" spans="1:3" ht="15.75" customHeight="1" x14ac:dyDescent="0.35">
      <c r="A622" s="5"/>
      <c r="C622" s="6"/>
    </row>
    <row r="623" spans="1:3" ht="15.75" customHeight="1" x14ac:dyDescent="0.35">
      <c r="A623" s="5"/>
      <c r="C623" s="6"/>
    </row>
    <row r="624" spans="1:3" ht="15.75" customHeight="1" x14ac:dyDescent="0.35">
      <c r="A624" s="5"/>
      <c r="C624" s="6"/>
    </row>
    <row r="625" spans="1:3" ht="15.75" customHeight="1" x14ac:dyDescent="0.35">
      <c r="A625" s="5"/>
      <c r="C625" s="6"/>
    </row>
    <row r="626" spans="1:3" ht="15.75" customHeight="1" x14ac:dyDescent="0.35">
      <c r="A626" s="5"/>
      <c r="C626" s="6"/>
    </row>
    <row r="627" spans="1:3" ht="15.75" customHeight="1" x14ac:dyDescent="0.35">
      <c r="A627" s="5"/>
      <c r="C627" s="6"/>
    </row>
    <row r="628" spans="1:3" ht="15.75" customHeight="1" x14ac:dyDescent="0.35">
      <c r="A628" s="5"/>
      <c r="C628" s="6"/>
    </row>
    <row r="629" spans="1:3" ht="15.75" customHeight="1" x14ac:dyDescent="0.35">
      <c r="A629" s="5"/>
      <c r="C629" s="6"/>
    </row>
    <row r="630" spans="1:3" ht="15.75" customHeight="1" x14ac:dyDescent="0.35">
      <c r="A630" s="5"/>
      <c r="C630" s="6"/>
    </row>
    <row r="631" spans="1:3" ht="15.75" customHeight="1" x14ac:dyDescent="0.35">
      <c r="A631" s="5"/>
      <c r="C631" s="6"/>
    </row>
    <row r="632" spans="1:3" ht="15.75" customHeight="1" x14ac:dyDescent="0.35">
      <c r="A632" s="5"/>
      <c r="C632" s="6"/>
    </row>
    <row r="633" spans="1:3" ht="15.75" customHeight="1" x14ac:dyDescent="0.35">
      <c r="A633" s="5"/>
      <c r="C633" s="6"/>
    </row>
    <row r="634" spans="1:3" ht="15.75" customHeight="1" x14ac:dyDescent="0.35">
      <c r="A634" s="5"/>
      <c r="C634" s="6"/>
    </row>
    <row r="635" spans="1:3" ht="15.75" customHeight="1" x14ac:dyDescent="0.35">
      <c r="A635" s="5"/>
      <c r="C635" s="6"/>
    </row>
    <row r="636" spans="1:3" ht="15.75" customHeight="1" x14ac:dyDescent="0.35">
      <c r="A636" s="5"/>
      <c r="C636" s="6"/>
    </row>
    <row r="637" spans="1:3" ht="15.75" customHeight="1" x14ac:dyDescent="0.35">
      <c r="A637" s="5"/>
      <c r="C637" s="6"/>
    </row>
    <row r="638" spans="1:3" ht="15.75" customHeight="1" x14ac:dyDescent="0.35">
      <c r="A638" s="5"/>
      <c r="C638" s="6"/>
    </row>
    <row r="639" spans="1:3" ht="15.75" customHeight="1" x14ac:dyDescent="0.35">
      <c r="A639" s="5"/>
      <c r="C639" s="6"/>
    </row>
    <row r="640" spans="1:3" ht="15.75" customHeight="1" x14ac:dyDescent="0.35">
      <c r="A640" s="5"/>
      <c r="C640" s="6"/>
    </row>
    <row r="641" spans="1:3" ht="15.75" customHeight="1" x14ac:dyDescent="0.35">
      <c r="A641" s="5"/>
      <c r="C641" s="6"/>
    </row>
    <row r="642" spans="1:3" ht="15.75" customHeight="1" x14ac:dyDescent="0.35">
      <c r="A642" s="5"/>
      <c r="C642" s="6"/>
    </row>
    <row r="643" spans="1:3" ht="15.75" customHeight="1" x14ac:dyDescent="0.35">
      <c r="A643" s="5"/>
      <c r="C643" s="6"/>
    </row>
    <row r="644" spans="1:3" ht="15.75" customHeight="1" x14ac:dyDescent="0.35">
      <c r="A644" s="5"/>
      <c r="C644" s="6"/>
    </row>
    <row r="645" spans="1:3" ht="15.75" customHeight="1" x14ac:dyDescent="0.35">
      <c r="A645" s="5"/>
      <c r="C645" s="6"/>
    </row>
    <row r="646" spans="1:3" ht="15.75" customHeight="1" x14ac:dyDescent="0.35">
      <c r="A646" s="5"/>
      <c r="C646" s="6"/>
    </row>
    <row r="647" spans="1:3" ht="15.75" customHeight="1" x14ac:dyDescent="0.35">
      <c r="A647" s="5"/>
      <c r="C647" s="6"/>
    </row>
    <row r="648" spans="1:3" ht="15.75" customHeight="1" x14ac:dyDescent="0.35">
      <c r="A648" s="5"/>
      <c r="C648" s="6"/>
    </row>
    <row r="649" spans="1:3" ht="15.75" customHeight="1" x14ac:dyDescent="0.35">
      <c r="A649" s="5"/>
      <c r="C649" s="6"/>
    </row>
    <row r="650" spans="1:3" ht="15.75" customHeight="1" x14ac:dyDescent="0.35">
      <c r="A650" s="5"/>
      <c r="C650" s="6"/>
    </row>
    <row r="651" spans="1:3" ht="15.75" customHeight="1" x14ac:dyDescent="0.35">
      <c r="A651" s="5"/>
      <c r="C651" s="6"/>
    </row>
    <row r="652" spans="1:3" ht="15.75" customHeight="1" x14ac:dyDescent="0.35">
      <c r="A652" s="5"/>
      <c r="C652" s="6"/>
    </row>
    <row r="653" spans="1:3" ht="15.75" customHeight="1" x14ac:dyDescent="0.35">
      <c r="A653" s="5"/>
      <c r="C653" s="6"/>
    </row>
    <row r="654" spans="1:3" ht="15.75" customHeight="1" x14ac:dyDescent="0.35">
      <c r="A654" s="5"/>
      <c r="C654" s="6"/>
    </row>
    <row r="655" spans="1:3" ht="15.75" customHeight="1" x14ac:dyDescent="0.35">
      <c r="A655" s="5"/>
      <c r="C655" s="6"/>
    </row>
    <row r="656" spans="1:3" ht="15.75" customHeight="1" x14ac:dyDescent="0.35">
      <c r="A656" s="5"/>
      <c r="C656" s="6"/>
    </row>
    <row r="657" spans="1:3" ht="15.75" customHeight="1" x14ac:dyDescent="0.35">
      <c r="A657" s="5"/>
      <c r="C657" s="6"/>
    </row>
    <row r="658" spans="1:3" ht="15.75" customHeight="1" x14ac:dyDescent="0.35">
      <c r="A658" s="5"/>
      <c r="C658" s="6"/>
    </row>
    <row r="659" spans="1:3" ht="15.75" customHeight="1" x14ac:dyDescent="0.35">
      <c r="A659" s="5"/>
      <c r="C659" s="6"/>
    </row>
    <row r="660" spans="1:3" ht="15.75" customHeight="1" x14ac:dyDescent="0.35">
      <c r="A660" s="5"/>
      <c r="C660" s="6"/>
    </row>
    <row r="661" spans="1:3" ht="15.75" customHeight="1" x14ac:dyDescent="0.35">
      <c r="A661" s="5"/>
      <c r="C661" s="6"/>
    </row>
    <row r="662" spans="1:3" ht="15.75" customHeight="1" x14ac:dyDescent="0.35">
      <c r="A662" s="5"/>
      <c r="C662" s="6"/>
    </row>
    <row r="663" spans="1:3" ht="15.75" customHeight="1" x14ac:dyDescent="0.35">
      <c r="A663" s="5"/>
      <c r="C663" s="6"/>
    </row>
    <row r="664" spans="1:3" ht="15.75" customHeight="1" x14ac:dyDescent="0.35">
      <c r="A664" s="5"/>
      <c r="C664" s="6"/>
    </row>
    <row r="665" spans="1:3" ht="15.75" customHeight="1" x14ac:dyDescent="0.35">
      <c r="A665" s="5"/>
      <c r="C665" s="6"/>
    </row>
    <row r="666" spans="1:3" ht="15.75" customHeight="1" x14ac:dyDescent="0.35">
      <c r="A666" s="5"/>
      <c r="C666" s="6"/>
    </row>
    <row r="667" spans="1:3" ht="15.75" customHeight="1" x14ac:dyDescent="0.35">
      <c r="A667" s="5"/>
      <c r="C667" s="6"/>
    </row>
    <row r="668" spans="1:3" ht="15.75" customHeight="1" x14ac:dyDescent="0.35">
      <c r="A668" s="5"/>
      <c r="C668" s="6"/>
    </row>
    <row r="669" spans="1:3" ht="15.75" customHeight="1" x14ac:dyDescent="0.35">
      <c r="A669" s="5"/>
      <c r="C669" s="6"/>
    </row>
    <row r="670" spans="1:3" ht="15.75" customHeight="1" x14ac:dyDescent="0.35">
      <c r="A670" s="5"/>
      <c r="C670" s="6"/>
    </row>
    <row r="671" spans="1:3" ht="15.75" customHeight="1" x14ac:dyDescent="0.35">
      <c r="A671" s="5"/>
      <c r="C671" s="6"/>
    </row>
    <row r="672" spans="1:3" ht="15.75" customHeight="1" x14ac:dyDescent="0.35">
      <c r="A672" s="5"/>
      <c r="C672" s="6"/>
    </row>
    <row r="673" spans="1:3" ht="15.75" customHeight="1" x14ac:dyDescent="0.35">
      <c r="A673" s="5"/>
      <c r="C673" s="6"/>
    </row>
    <row r="674" spans="1:3" ht="15.75" customHeight="1" x14ac:dyDescent="0.35">
      <c r="A674" s="5"/>
      <c r="C674" s="6"/>
    </row>
    <row r="675" spans="1:3" ht="15.75" customHeight="1" x14ac:dyDescent="0.35">
      <c r="A675" s="5"/>
      <c r="C675" s="6"/>
    </row>
    <row r="676" spans="1:3" ht="15.75" customHeight="1" x14ac:dyDescent="0.35">
      <c r="A676" s="5"/>
      <c r="C676" s="6"/>
    </row>
    <row r="677" spans="1:3" ht="15.75" customHeight="1" x14ac:dyDescent="0.35">
      <c r="A677" s="5"/>
      <c r="C677" s="6"/>
    </row>
    <row r="678" spans="1:3" ht="15.75" customHeight="1" x14ac:dyDescent="0.35">
      <c r="A678" s="5"/>
      <c r="C678" s="6"/>
    </row>
    <row r="679" spans="1:3" ht="15.75" customHeight="1" x14ac:dyDescent="0.35">
      <c r="A679" s="5"/>
      <c r="C679" s="6"/>
    </row>
    <row r="680" spans="1:3" ht="15.75" customHeight="1" x14ac:dyDescent="0.35">
      <c r="A680" s="5"/>
      <c r="C680" s="6"/>
    </row>
    <row r="681" spans="1:3" ht="15.75" customHeight="1" x14ac:dyDescent="0.35">
      <c r="A681" s="5"/>
      <c r="C681" s="6"/>
    </row>
    <row r="682" spans="1:3" ht="15.75" customHeight="1" x14ac:dyDescent="0.35">
      <c r="A682" s="5"/>
      <c r="C682" s="6"/>
    </row>
    <row r="683" spans="1:3" ht="15.75" customHeight="1" x14ac:dyDescent="0.35">
      <c r="A683" s="5"/>
      <c r="C683" s="6"/>
    </row>
    <row r="684" spans="1:3" ht="15.75" customHeight="1" x14ac:dyDescent="0.35">
      <c r="A684" s="5"/>
      <c r="C684" s="6"/>
    </row>
    <row r="685" spans="1:3" ht="15.75" customHeight="1" x14ac:dyDescent="0.35">
      <c r="A685" s="5"/>
      <c r="C685" s="6"/>
    </row>
    <row r="686" spans="1:3" ht="15.75" customHeight="1" x14ac:dyDescent="0.35">
      <c r="A686" s="5"/>
      <c r="C686" s="6"/>
    </row>
    <row r="687" spans="1:3" ht="15.75" customHeight="1" x14ac:dyDescent="0.35">
      <c r="A687" s="5"/>
      <c r="C687" s="6"/>
    </row>
    <row r="688" spans="1:3" ht="15.75" customHeight="1" x14ac:dyDescent="0.35">
      <c r="A688" s="5"/>
      <c r="C688" s="6"/>
    </row>
    <row r="689" spans="1:3" ht="15.75" customHeight="1" x14ac:dyDescent="0.35">
      <c r="A689" s="5"/>
      <c r="C689" s="6"/>
    </row>
    <row r="690" spans="1:3" ht="15.75" customHeight="1" x14ac:dyDescent="0.35">
      <c r="A690" s="5"/>
      <c r="C690" s="6"/>
    </row>
    <row r="691" spans="1:3" ht="15.75" customHeight="1" x14ac:dyDescent="0.35">
      <c r="A691" s="5"/>
      <c r="C691" s="6"/>
    </row>
    <row r="692" spans="1:3" ht="15.75" customHeight="1" x14ac:dyDescent="0.35">
      <c r="A692" s="5"/>
      <c r="C692" s="6"/>
    </row>
    <row r="693" spans="1:3" ht="15.75" customHeight="1" x14ac:dyDescent="0.35">
      <c r="A693" s="5"/>
      <c r="C693" s="6"/>
    </row>
    <row r="694" spans="1:3" ht="15.75" customHeight="1" x14ac:dyDescent="0.35">
      <c r="A694" s="5"/>
      <c r="C694" s="6"/>
    </row>
    <row r="695" spans="1:3" ht="15.75" customHeight="1" x14ac:dyDescent="0.35">
      <c r="A695" s="5"/>
      <c r="C695" s="6"/>
    </row>
    <row r="696" spans="1:3" ht="15.75" customHeight="1" x14ac:dyDescent="0.35">
      <c r="A696" s="5"/>
      <c r="C696" s="6"/>
    </row>
    <row r="697" spans="1:3" ht="15.75" customHeight="1" x14ac:dyDescent="0.35">
      <c r="A697" s="5"/>
      <c r="C697" s="6"/>
    </row>
    <row r="698" spans="1:3" ht="15.75" customHeight="1" x14ac:dyDescent="0.35">
      <c r="A698" s="5"/>
      <c r="C698" s="6"/>
    </row>
    <row r="699" spans="1:3" ht="15.75" customHeight="1" x14ac:dyDescent="0.35">
      <c r="A699" s="5"/>
      <c r="C699" s="6"/>
    </row>
    <row r="700" spans="1:3" ht="15.75" customHeight="1" x14ac:dyDescent="0.35">
      <c r="A700" s="5"/>
      <c r="C700" s="6"/>
    </row>
    <row r="701" spans="1:3" ht="15.75" customHeight="1" x14ac:dyDescent="0.35">
      <c r="A701" s="5"/>
      <c r="C701" s="6"/>
    </row>
    <row r="702" spans="1:3" ht="15.75" customHeight="1" x14ac:dyDescent="0.35">
      <c r="A702" s="5"/>
      <c r="C702" s="6"/>
    </row>
    <row r="703" spans="1:3" ht="15.75" customHeight="1" x14ac:dyDescent="0.35">
      <c r="A703" s="5"/>
      <c r="C703" s="6"/>
    </row>
    <row r="704" spans="1:3" ht="15.75" customHeight="1" x14ac:dyDescent="0.35">
      <c r="A704" s="5"/>
      <c r="C704" s="6"/>
    </row>
    <row r="705" spans="1:3" ht="15.75" customHeight="1" x14ac:dyDescent="0.35">
      <c r="A705" s="5"/>
      <c r="C705" s="6"/>
    </row>
    <row r="706" spans="1:3" ht="15.75" customHeight="1" x14ac:dyDescent="0.35">
      <c r="A706" s="5"/>
      <c r="C706" s="6"/>
    </row>
    <row r="707" spans="1:3" ht="15.75" customHeight="1" x14ac:dyDescent="0.35">
      <c r="A707" s="5"/>
      <c r="C707" s="6"/>
    </row>
    <row r="708" spans="1:3" ht="15.75" customHeight="1" x14ac:dyDescent="0.35">
      <c r="A708" s="5"/>
      <c r="C708" s="6"/>
    </row>
    <row r="709" spans="1:3" ht="15.75" customHeight="1" x14ac:dyDescent="0.35">
      <c r="A709" s="5"/>
      <c r="C709" s="6"/>
    </row>
    <row r="710" spans="1:3" ht="15.75" customHeight="1" x14ac:dyDescent="0.35">
      <c r="A710" s="5"/>
      <c r="C710" s="6"/>
    </row>
    <row r="711" spans="1:3" ht="15.75" customHeight="1" x14ac:dyDescent="0.35">
      <c r="A711" s="5"/>
      <c r="C711" s="6"/>
    </row>
    <row r="712" spans="1:3" ht="15.75" customHeight="1" x14ac:dyDescent="0.35">
      <c r="A712" s="5"/>
      <c r="C712" s="6"/>
    </row>
    <row r="713" spans="1:3" ht="15.75" customHeight="1" x14ac:dyDescent="0.35">
      <c r="A713" s="5"/>
      <c r="C713" s="6"/>
    </row>
    <row r="714" spans="1:3" ht="15.75" customHeight="1" x14ac:dyDescent="0.35">
      <c r="A714" s="5"/>
      <c r="C714" s="6"/>
    </row>
    <row r="715" spans="1:3" ht="15.75" customHeight="1" x14ac:dyDescent="0.35">
      <c r="A715" s="5"/>
      <c r="C715" s="6"/>
    </row>
    <row r="716" spans="1:3" ht="15.75" customHeight="1" x14ac:dyDescent="0.35">
      <c r="A716" s="5"/>
      <c r="C716" s="6"/>
    </row>
    <row r="717" spans="1:3" ht="15.75" customHeight="1" x14ac:dyDescent="0.35">
      <c r="A717" s="5"/>
      <c r="C717" s="6"/>
    </row>
    <row r="718" spans="1:3" ht="15.75" customHeight="1" x14ac:dyDescent="0.35">
      <c r="A718" s="5"/>
      <c r="C718" s="6"/>
    </row>
    <row r="719" spans="1:3" ht="15.75" customHeight="1" x14ac:dyDescent="0.35">
      <c r="A719" s="5"/>
      <c r="C719" s="6"/>
    </row>
    <row r="720" spans="1:3" ht="15.75" customHeight="1" x14ac:dyDescent="0.35">
      <c r="A720" s="5"/>
      <c r="C720" s="6"/>
    </row>
    <row r="721" spans="1:3" ht="15.75" customHeight="1" x14ac:dyDescent="0.35">
      <c r="A721" s="5"/>
      <c r="C721" s="6"/>
    </row>
    <row r="722" spans="1:3" ht="15.75" customHeight="1" x14ac:dyDescent="0.35">
      <c r="A722" s="5"/>
      <c r="C722" s="6"/>
    </row>
    <row r="723" spans="1:3" ht="15.75" customHeight="1" x14ac:dyDescent="0.35">
      <c r="A723" s="5"/>
      <c r="C723" s="6"/>
    </row>
    <row r="724" spans="1:3" ht="15.75" customHeight="1" x14ac:dyDescent="0.35">
      <c r="A724" s="5"/>
      <c r="C724" s="6"/>
    </row>
    <row r="725" spans="1:3" ht="15.75" customHeight="1" x14ac:dyDescent="0.35">
      <c r="A725" s="5"/>
      <c r="C725" s="6"/>
    </row>
    <row r="726" spans="1:3" ht="15.75" customHeight="1" x14ac:dyDescent="0.35">
      <c r="A726" s="5"/>
      <c r="C726" s="6"/>
    </row>
    <row r="727" spans="1:3" ht="15.75" customHeight="1" x14ac:dyDescent="0.35">
      <c r="A727" s="5"/>
      <c r="C727" s="6"/>
    </row>
    <row r="728" spans="1:3" ht="15.75" customHeight="1" x14ac:dyDescent="0.35">
      <c r="A728" s="5"/>
      <c r="C728" s="6"/>
    </row>
    <row r="729" spans="1:3" ht="15.75" customHeight="1" x14ac:dyDescent="0.35">
      <c r="A729" s="5"/>
      <c r="C729" s="6"/>
    </row>
    <row r="730" spans="1:3" ht="15.75" customHeight="1" x14ac:dyDescent="0.35">
      <c r="A730" s="5"/>
      <c r="C730" s="6"/>
    </row>
    <row r="731" spans="1:3" ht="15.75" customHeight="1" x14ac:dyDescent="0.35">
      <c r="A731" s="5"/>
      <c r="C731" s="6"/>
    </row>
    <row r="732" spans="1:3" ht="15.75" customHeight="1" x14ac:dyDescent="0.35">
      <c r="A732" s="5"/>
      <c r="C732" s="6"/>
    </row>
    <row r="733" spans="1:3" ht="15.75" customHeight="1" x14ac:dyDescent="0.35">
      <c r="A733" s="5"/>
      <c r="C733" s="6"/>
    </row>
    <row r="734" spans="1:3" ht="15.75" customHeight="1" x14ac:dyDescent="0.35">
      <c r="A734" s="5"/>
      <c r="C734" s="6"/>
    </row>
    <row r="735" spans="1:3" ht="15.75" customHeight="1" x14ac:dyDescent="0.35">
      <c r="A735" s="5"/>
      <c r="C735" s="6"/>
    </row>
    <row r="736" spans="1:3" ht="15.75" customHeight="1" x14ac:dyDescent="0.35">
      <c r="A736" s="5"/>
      <c r="C736" s="6"/>
    </row>
    <row r="737" spans="1:3" ht="15.75" customHeight="1" x14ac:dyDescent="0.35">
      <c r="A737" s="5"/>
      <c r="C737" s="6"/>
    </row>
    <row r="738" spans="1:3" ht="15.75" customHeight="1" x14ac:dyDescent="0.35">
      <c r="A738" s="5"/>
      <c r="C738" s="6"/>
    </row>
    <row r="739" spans="1:3" ht="15.75" customHeight="1" x14ac:dyDescent="0.35">
      <c r="A739" s="5"/>
      <c r="C739" s="6"/>
    </row>
    <row r="740" spans="1:3" ht="15.75" customHeight="1" x14ac:dyDescent="0.35">
      <c r="A740" s="5"/>
      <c r="C740" s="6"/>
    </row>
    <row r="741" spans="1:3" ht="15.75" customHeight="1" x14ac:dyDescent="0.35">
      <c r="A741" s="5"/>
      <c r="C741" s="6"/>
    </row>
    <row r="742" spans="1:3" ht="15.75" customHeight="1" x14ac:dyDescent="0.35">
      <c r="A742" s="5"/>
      <c r="C742" s="6"/>
    </row>
    <row r="743" spans="1:3" ht="15.75" customHeight="1" x14ac:dyDescent="0.35">
      <c r="A743" s="5"/>
      <c r="C743" s="6"/>
    </row>
    <row r="744" spans="1:3" ht="15.75" customHeight="1" x14ac:dyDescent="0.35">
      <c r="A744" s="5"/>
      <c r="C744" s="6"/>
    </row>
    <row r="745" spans="1:3" ht="15.75" customHeight="1" x14ac:dyDescent="0.35">
      <c r="A745" s="5"/>
      <c r="C745" s="6"/>
    </row>
    <row r="746" spans="1:3" ht="15.75" customHeight="1" x14ac:dyDescent="0.35">
      <c r="A746" s="5"/>
      <c r="C746" s="6"/>
    </row>
    <row r="747" spans="1:3" ht="15.75" customHeight="1" x14ac:dyDescent="0.35">
      <c r="A747" s="5"/>
      <c r="C747" s="6"/>
    </row>
    <row r="748" spans="1:3" ht="15.75" customHeight="1" x14ac:dyDescent="0.35">
      <c r="A748" s="5"/>
      <c r="C748" s="6"/>
    </row>
    <row r="749" spans="1:3" ht="15.75" customHeight="1" x14ac:dyDescent="0.35">
      <c r="A749" s="5"/>
      <c r="C749" s="6"/>
    </row>
    <row r="750" spans="1:3" ht="15.75" customHeight="1" x14ac:dyDescent="0.35">
      <c r="A750" s="5"/>
      <c r="C750" s="6"/>
    </row>
    <row r="751" spans="1:3" ht="15.75" customHeight="1" x14ac:dyDescent="0.35">
      <c r="A751" s="5"/>
      <c r="C751" s="6"/>
    </row>
    <row r="752" spans="1:3" ht="15.75" customHeight="1" x14ac:dyDescent="0.35">
      <c r="A752" s="5"/>
      <c r="C752" s="6"/>
    </row>
    <row r="753" spans="1:3" ht="15.75" customHeight="1" x14ac:dyDescent="0.35">
      <c r="A753" s="5"/>
      <c r="C753" s="6"/>
    </row>
    <row r="754" spans="1:3" ht="15.75" customHeight="1" x14ac:dyDescent="0.35">
      <c r="A754" s="5"/>
      <c r="C754" s="6"/>
    </row>
    <row r="755" spans="1:3" ht="15.75" customHeight="1" x14ac:dyDescent="0.35">
      <c r="A755" s="5"/>
      <c r="C755" s="6"/>
    </row>
    <row r="756" spans="1:3" ht="15.75" customHeight="1" x14ac:dyDescent="0.35">
      <c r="A756" s="5"/>
      <c r="C756" s="6"/>
    </row>
    <row r="757" spans="1:3" ht="15.75" customHeight="1" x14ac:dyDescent="0.35">
      <c r="A757" s="5"/>
      <c r="C757" s="6"/>
    </row>
    <row r="758" spans="1:3" ht="15.75" customHeight="1" x14ac:dyDescent="0.35">
      <c r="A758" s="5"/>
      <c r="C758" s="6"/>
    </row>
    <row r="759" spans="1:3" ht="15.75" customHeight="1" x14ac:dyDescent="0.35">
      <c r="A759" s="5"/>
      <c r="C759" s="6"/>
    </row>
    <row r="760" spans="1:3" ht="15.75" customHeight="1" x14ac:dyDescent="0.35">
      <c r="A760" s="5"/>
      <c r="C760" s="6"/>
    </row>
    <row r="761" spans="1:3" ht="15.75" customHeight="1" x14ac:dyDescent="0.35">
      <c r="A761" s="5"/>
      <c r="C761" s="6"/>
    </row>
    <row r="762" spans="1:3" ht="15.75" customHeight="1" x14ac:dyDescent="0.35">
      <c r="A762" s="5"/>
      <c r="C762" s="6"/>
    </row>
    <row r="763" spans="1:3" ht="15.75" customHeight="1" x14ac:dyDescent="0.35">
      <c r="A763" s="5"/>
      <c r="C763" s="6"/>
    </row>
    <row r="764" spans="1:3" ht="15.75" customHeight="1" x14ac:dyDescent="0.35">
      <c r="A764" s="5"/>
      <c r="C764" s="6"/>
    </row>
    <row r="765" spans="1:3" ht="15.75" customHeight="1" x14ac:dyDescent="0.35">
      <c r="A765" s="5"/>
      <c r="C765" s="6"/>
    </row>
    <row r="766" spans="1:3" ht="15.75" customHeight="1" x14ac:dyDescent="0.35">
      <c r="A766" s="5"/>
      <c r="C766" s="6"/>
    </row>
    <row r="767" spans="1:3" ht="15.75" customHeight="1" x14ac:dyDescent="0.35">
      <c r="A767" s="5"/>
      <c r="C767" s="6"/>
    </row>
    <row r="768" spans="1:3" ht="15.75" customHeight="1" x14ac:dyDescent="0.35">
      <c r="A768" s="5"/>
      <c r="C768" s="6"/>
    </row>
    <row r="769" spans="1:3" ht="15.75" customHeight="1" x14ac:dyDescent="0.35">
      <c r="A769" s="5"/>
      <c r="C769" s="6"/>
    </row>
    <row r="770" spans="1:3" ht="15.75" customHeight="1" x14ac:dyDescent="0.35">
      <c r="A770" s="5"/>
      <c r="C770" s="6"/>
    </row>
    <row r="771" spans="1:3" ht="15.75" customHeight="1" x14ac:dyDescent="0.35">
      <c r="A771" s="5"/>
      <c r="C771" s="6"/>
    </row>
    <row r="772" spans="1:3" ht="15.75" customHeight="1" x14ac:dyDescent="0.35">
      <c r="A772" s="5"/>
      <c r="C772" s="6"/>
    </row>
    <row r="773" spans="1:3" ht="15.75" customHeight="1" x14ac:dyDescent="0.35">
      <c r="A773" s="5"/>
      <c r="C773" s="6"/>
    </row>
    <row r="774" spans="1:3" ht="15.75" customHeight="1" x14ac:dyDescent="0.35">
      <c r="A774" s="5"/>
      <c r="C774" s="6"/>
    </row>
    <row r="775" spans="1:3" ht="15.75" customHeight="1" x14ac:dyDescent="0.35">
      <c r="A775" s="5"/>
      <c r="C775" s="6"/>
    </row>
    <row r="776" spans="1:3" ht="15.75" customHeight="1" x14ac:dyDescent="0.35">
      <c r="A776" s="5"/>
      <c r="C776" s="6"/>
    </row>
    <row r="777" spans="1:3" ht="15.75" customHeight="1" x14ac:dyDescent="0.35">
      <c r="A777" s="5"/>
      <c r="C777" s="6"/>
    </row>
    <row r="778" spans="1:3" ht="15.75" customHeight="1" x14ac:dyDescent="0.35">
      <c r="A778" s="5"/>
      <c r="C778" s="6"/>
    </row>
    <row r="779" spans="1:3" ht="15.75" customHeight="1" x14ac:dyDescent="0.35">
      <c r="A779" s="5"/>
      <c r="C779" s="6"/>
    </row>
    <row r="780" spans="1:3" ht="15.75" customHeight="1" x14ac:dyDescent="0.35">
      <c r="A780" s="5"/>
      <c r="C780" s="6"/>
    </row>
    <row r="781" spans="1:3" ht="15.75" customHeight="1" x14ac:dyDescent="0.35">
      <c r="A781" s="5"/>
      <c r="C781" s="6"/>
    </row>
    <row r="782" spans="1:3" ht="15.75" customHeight="1" x14ac:dyDescent="0.35">
      <c r="A782" s="5"/>
      <c r="C782" s="6"/>
    </row>
    <row r="783" spans="1:3" ht="15.75" customHeight="1" x14ac:dyDescent="0.35">
      <c r="A783" s="5"/>
      <c r="C783" s="6"/>
    </row>
    <row r="784" spans="1:3" ht="15.75" customHeight="1" x14ac:dyDescent="0.35">
      <c r="A784" s="5"/>
      <c r="C784" s="6"/>
    </row>
    <row r="785" spans="1:3" ht="15.75" customHeight="1" x14ac:dyDescent="0.35">
      <c r="A785" s="5"/>
      <c r="C785" s="6"/>
    </row>
    <row r="786" spans="1:3" ht="15.75" customHeight="1" x14ac:dyDescent="0.35">
      <c r="A786" s="5"/>
      <c r="C786" s="6"/>
    </row>
    <row r="787" spans="1:3" ht="15.75" customHeight="1" x14ac:dyDescent="0.35">
      <c r="A787" s="5"/>
      <c r="C787" s="6"/>
    </row>
    <row r="788" spans="1:3" ht="15.75" customHeight="1" x14ac:dyDescent="0.35">
      <c r="A788" s="5"/>
      <c r="C788" s="6"/>
    </row>
    <row r="789" spans="1:3" ht="15.75" customHeight="1" x14ac:dyDescent="0.35">
      <c r="A789" s="5"/>
      <c r="C789" s="6"/>
    </row>
    <row r="790" spans="1:3" ht="15.75" customHeight="1" x14ac:dyDescent="0.35">
      <c r="A790" s="5"/>
      <c r="C790" s="6"/>
    </row>
    <row r="791" spans="1:3" ht="15.75" customHeight="1" x14ac:dyDescent="0.35">
      <c r="A791" s="5"/>
      <c r="C791" s="6"/>
    </row>
    <row r="792" spans="1:3" ht="15.75" customHeight="1" x14ac:dyDescent="0.35">
      <c r="A792" s="5"/>
      <c r="C792" s="6"/>
    </row>
    <row r="793" spans="1:3" ht="15.75" customHeight="1" x14ac:dyDescent="0.35">
      <c r="A793" s="5"/>
      <c r="C793" s="6"/>
    </row>
    <row r="794" spans="1:3" ht="15.75" customHeight="1" x14ac:dyDescent="0.35">
      <c r="A794" s="5"/>
      <c r="C794" s="6"/>
    </row>
    <row r="795" spans="1:3" ht="15.75" customHeight="1" x14ac:dyDescent="0.35">
      <c r="A795" s="5"/>
      <c r="C795" s="6"/>
    </row>
    <row r="796" spans="1:3" ht="15.75" customHeight="1" x14ac:dyDescent="0.35">
      <c r="A796" s="5"/>
      <c r="C796" s="6"/>
    </row>
    <row r="797" spans="1:3" ht="15.75" customHeight="1" x14ac:dyDescent="0.35">
      <c r="A797" s="5"/>
      <c r="C797" s="6"/>
    </row>
    <row r="798" spans="1:3" ht="15.75" customHeight="1" x14ac:dyDescent="0.35">
      <c r="A798" s="5"/>
      <c r="C798" s="6"/>
    </row>
    <row r="799" spans="1:3" ht="15.75" customHeight="1" x14ac:dyDescent="0.35">
      <c r="A799" s="5"/>
      <c r="C799" s="6"/>
    </row>
    <row r="800" spans="1:3" ht="15.75" customHeight="1" x14ac:dyDescent="0.35">
      <c r="A800" s="5"/>
      <c r="C800" s="6"/>
    </row>
    <row r="801" spans="1:3" ht="15.75" customHeight="1" x14ac:dyDescent="0.35">
      <c r="A801" s="5"/>
      <c r="C801" s="6"/>
    </row>
    <row r="802" spans="1:3" ht="15.75" customHeight="1" x14ac:dyDescent="0.35">
      <c r="A802" s="5"/>
      <c r="C802" s="6"/>
    </row>
    <row r="803" spans="1:3" ht="15.75" customHeight="1" x14ac:dyDescent="0.35">
      <c r="A803" s="5"/>
      <c r="C803" s="6"/>
    </row>
    <row r="804" spans="1:3" ht="15.75" customHeight="1" x14ac:dyDescent="0.35">
      <c r="A804" s="5"/>
      <c r="C804" s="6"/>
    </row>
    <row r="805" spans="1:3" ht="15.75" customHeight="1" x14ac:dyDescent="0.35">
      <c r="A805" s="5"/>
      <c r="C805" s="6"/>
    </row>
    <row r="806" spans="1:3" ht="15.75" customHeight="1" x14ac:dyDescent="0.35">
      <c r="A806" s="5"/>
      <c r="C806" s="6"/>
    </row>
    <row r="807" spans="1:3" ht="15.75" customHeight="1" x14ac:dyDescent="0.35">
      <c r="A807" s="5"/>
      <c r="C807" s="6"/>
    </row>
    <row r="808" spans="1:3" ht="15.75" customHeight="1" x14ac:dyDescent="0.35">
      <c r="A808" s="5"/>
      <c r="C808" s="6"/>
    </row>
    <row r="809" spans="1:3" ht="15.75" customHeight="1" x14ac:dyDescent="0.35">
      <c r="A809" s="5"/>
      <c r="C809" s="6"/>
    </row>
    <row r="810" spans="1:3" ht="15.75" customHeight="1" x14ac:dyDescent="0.35">
      <c r="A810" s="5"/>
      <c r="C810" s="6"/>
    </row>
    <row r="811" spans="1:3" ht="15.75" customHeight="1" x14ac:dyDescent="0.35">
      <c r="A811" s="5"/>
      <c r="C811" s="6"/>
    </row>
    <row r="812" spans="1:3" ht="15.75" customHeight="1" x14ac:dyDescent="0.35">
      <c r="A812" s="5"/>
      <c r="C812" s="6"/>
    </row>
    <row r="813" spans="1:3" ht="15.75" customHeight="1" x14ac:dyDescent="0.35">
      <c r="A813" s="5"/>
      <c r="C813" s="6"/>
    </row>
    <row r="814" spans="1:3" ht="15.75" customHeight="1" x14ac:dyDescent="0.35">
      <c r="A814" s="5"/>
      <c r="C814" s="6"/>
    </row>
    <row r="815" spans="1:3" ht="15.75" customHeight="1" x14ac:dyDescent="0.35">
      <c r="A815" s="5"/>
      <c r="C815" s="6"/>
    </row>
    <row r="816" spans="1:3" ht="15.75" customHeight="1" x14ac:dyDescent="0.35">
      <c r="A816" s="5"/>
      <c r="C816" s="6"/>
    </row>
    <row r="817" spans="1:3" ht="15.75" customHeight="1" x14ac:dyDescent="0.35">
      <c r="A817" s="5"/>
      <c r="C817" s="6"/>
    </row>
    <row r="818" spans="1:3" ht="15.75" customHeight="1" x14ac:dyDescent="0.35">
      <c r="A818" s="5"/>
      <c r="C818" s="6"/>
    </row>
    <row r="819" spans="1:3" ht="15.75" customHeight="1" x14ac:dyDescent="0.35">
      <c r="A819" s="5"/>
      <c r="C819" s="6"/>
    </row>
    <row r="820" spans="1:3" ht="15.75" customHeight="1" x14ac:dyDescent="0.35">
      <c r="A820" s="5"/>
      <c r="C820" s="6"/>
    </row>
    <row r="821" spans="1:3" ht="15.75" customHeight="1" x14ac:dyDescent="0.35">
      <c r="A821" s="5"/>
      <c r="C821" s="6"/>
    </row>
    <row r="822" spans="1:3" ht="15.75" customHeight="1" x14ac:dyDescent="0.35">
      <c r="A822" s="5"/>
      <c r="C822" s="6"/>
    </row>
    <row r="823" spans="1:3" ht="15.75" customHeight="1" x14ac:dyDescent="0.35">
      <c r="A823" s="5"/>
      <c r="C823" s="6"/>
    </row>
    <row r="824" spans="1:3" ht="15.75" customHeight="1" x14ac:dyDescent="0.35">
      <c r="A824" s="5"/>
      <c r="C824" s="6"/>
    </row>
    <row r="825" spans="1:3" ht="15.75" customHeight="1" x14ac:dyDescent="0.35">
      <c r="A825" s="5"/>
      <c r="C825" s="6"/>
    </row>
    <row r="826" spans="1:3" ht="15.75" customHeight="1" x14ac:dyDescent="0.35">
      <c r="A826" s="5"/>
      <c r="C826" s="6"/>
    </row>
    <row r="827" spans="1:3" ht="15.75" customHeight="1" x14ac:dyDescent="0.35">
      <c r="A827" s="5"/>
      <c r="C827" s="6"/>
    </row>
    <row r="828" spans="1:3" ht="15.75" customHeight="1" x14ac:dyDescent="0.35">
      <c r="A828" s="5"/>
      <c r="C828" s="6"/>
    </row>
    <row r="829" spans="1:3" ht="15.75" customHeight="1" x14ac:dyDescent="0.35">
      <c r="A829" s="5"/>
      <c r="C829" s="6"/>
    </row>
    <row r="830" spans="1:3" ht="15.75" customHeight="1" x14ac:dyDescent="0.35">
      <c r="A830" s="5"/>
      <c r="C830" s="6"/>
    </row>
    <row r="831" spans="1:3" ht="15.75" customHeight="1" x14ac:dyDescent="0.35">
      <c r="A831" s="5"/>
      <c r="C831" s="6"/>
    </row>
    <row r="832" spans="1:3" ht="15.75" customHeight="1" x14ac:dyDescent="0.35">
      <c r="A832" s="5"/>
      <c r="C832" s="6"/>
    </row>
    <row r="833" spans="1:3" ht="15.75" customHeight="1" x14ac:dyDescent="0.35">
      <c r="A833" s="5"/>
      <c r="C833" s="6"/>
    </row>
    <row r="834" spans="1:3" ht="15.75" customHeight="1" x14ac:dyDescent="0.35">
      <c r="A834" s="5"/>
      <c r="C834" s="6"/>
    </row>
    <row r="835" spans="1:3" ht="15.75" customHeight="1" x14ac:dyDescent="0.35">
      <c r="A835" s="5"/>
      <c r="C835" s="6"/>
    </row>
    <row r="836" spans="1:3" ht="15.75" customHeight="1" x14ac:dyDescent="0.35">
      <c r="A836" s="5"/>
      <c r="C836" s="6"/>
    </row>
    <row r="837" spans="1:3" ht="15.75" customHeight="1" x14ac:dyDescent="0.35">
      <c r="A837" s="5"/>
      <c r="C837" s="6"/>
    </row>
    <row r="838" spans="1:3" ht="15.75" customHeight="1" x14ac:dyDescent="0.35">
      <c r="A838" s="5"/>
      <c r="C838" s="6"/>
    </row>
    <row r="839" spans="1:3" ht="15.75" customHeight="1" x14ac:dyDescent="0.35">
      <c r="A839" s="5"/>
      <c r="C839" s="6"/>
    </row>
    <row r="840" spans="1:3" ht="15.75" customHeight="1" x14ac:dyDescent="0.35">
      <c r="A840" s="5"/>
      <c r="C840" s="6"/>
    </row>
    <row r="841" spans="1:3" ht="15.75" customHeight="1" x14ac:dyDescent="0.35">
      <c r="A841" s="5"/>
      <c r="C841" s="6"/>
    </row>
    <row r="842" spans="1:3" ht="15.75" customHeight="1" x14ac:dyDescent="0.35">
      <c r="A842" s="5"/>
      <c r="C842" s="6"/>
    </row>
    <row r="843" spans="1:3" ht="15.75" customHeight="1" x14ac:dyDescent="0.35">
      <c r="A843" s="5"/>
      <c r="C843" s="6"/>
    </row>
    <row r="844" spans="1:3" ht="15.75" customHeight="1" x14ac:dyDescent="0.35">
      <c r="A844" s="5"/>
      <c r="C844" s="6"/>
    </row>
    <row r="845" spans="1:3" ht="15.75" customHeight="1" x14ac:dyDescent="0.35">
      <c r="A845" s="5"/>
      <c r="C845" s="6"/>
    </row>
    <row r="846" spans="1:3" ht="15.75" customHeight="1" x14ac:dyDescent="0.35">
      <c r="A846" s="5"/>
      <c r="C846" s="6"/>
    </row>
    <row r="847" spans="1:3" ht="15.75" customHeight="1" x14ac:dyDescent="0.35">
      <c r="A847" s="5"/>
      <c r="C847" s="6"/>
    </row>
    <row r="848" spans="1:3" ht="15.75" customHeight="1" x14ac:dyDescent="0.35">
      <c r="A848" s="5"/>
      <c r="C848" s="6"/>
    </row>
    <row r="849" spans="1:3" ht="15.75" customHeight="1" x14ac:dyDescent="0.35">
      <c r="A849" s="5"/>
      <c r="C849" s="6"/>
    </row>
    <row r="850" spans="1:3" ht="15.75" customHeight="1" x14ac:dyDescent="0.35">
      <c r="A850" s="5"/>
      <c r="C850" s="6"/>
    </row>
    <row r="851" spans="1:3" ht="15.75" customHeight="1" x14ac:dyDescent="0.35">
      <c r="A851" s="5"/>
      <c r="C851" s="6"/>
    </row>
    <row r="852" spans="1:3" ht="15.75" customHeight="1" x14ac:dyDescent="0.35">
      <c r="A852" s="5"/>
      <c r="C852" s="6"/>
    </row>
    <row r="853" spans="1:3" ht="15.75" customHeight="1" x14ac:dyDescent="0.35">
      <c r="A853" s="5"/>
      <c r="C853" s="6"/>
    </row>
    <row r="854" spans="1:3" ht="15.75" customHeight="1" x14ac:dyDescent="0.35">
      <c r="A854" s="5"/>
      <c r="C854" s="6"/>
    </row>
    <row r="855" spans="1:3" ht="15.75" customHeight="1" x14ac:dyDescent="0.35">
      <c r="A855" s="5"/>
      <c r="C855" s="6"/>
    </row>
    <row r="856" spans="1:3" ht="15.75" customHeight="1" x14ac:dyDescent="0.35">
      <c r="A856" s="5"/>
      <c r="C856" s="6"/>
    </row>
    <row r="857" spans="1:3" ht="15.75" customHeight="1" x14ac:dyDescent="0.35">
      <c r="A857" s="5"/>
      <c r="C857" s="6"/>
    </row>
    <row r="858" spans="1:3" ht="15.75" customHeight="1" x14ac:dyDescent="0.35">
      <c r="A858" s="5"/>
      <c r="C858" s="6"/>
    </row>
    <row r="859" spans="1:3" ht="15.75" customHeight="1" x14ac:dyDescent="0.35">
      <c r="A859" s="5"/>
      <c r="C859" s="6"/>
    </row>
    <row r="860" spans="1:3" ht="15.75" customHeight="1" x14ac:dyDescent="0.35">
      <c r="A860" s="5"/>
      <c r="C860" s="6"/>
    </row>
    <row r="861" spans="1:3" ht="15.75" customHeight="1" x14ac:dyDescent="0.35">
      <c r="A861" s="5"/>
      <c r="C861" s="6"/>
    </row>
    <row r="862" spans="1:3" ht="15.75" customHeight="1" x14ac:dyDescent="0.35">
      <c r="A862" s="5"/>
      <c r="C862" s="6"/>
    </row>
    <row r="863" spans="1:3" ht="15.75" customHeight="1" x14ac:dyDescent="0.35">
      <c r="A863" s="5"/>
      <c r="C863" s="6"/>
    </row>
    <row r="864" spans="1:3" ht="15.75" customHeight="1" x14ac:dyDescent="0.35">
      <c r="A864" s="5"/>
      <c r="C864" s="6"/>
    </row>
    <row r="865" spans="1:3" ht="15.75" customHeight="1" x14ac:dyDescent="0.35">
      <c r="A865" s="5"/>
      <c r="C865" s="6"/>
    </row>
    <row r="866" spans="1:3" ht="15.75" customHeight="1" x14ac:dyDescent="0.35">
      <c r="A866" s="5"/>
      <c r="C866" s="6"/>
    </row>
    <row r="867" spans="1:3" ht="15.75" customHeight="1" x14ac:dyDescent="0.35">
      <c r="A867" s="5"/>
      <c r="C867" s="6"/>
    </row>
    <row r="868" spans="1:3" ht="15.75" customHeight="1" x14ac:dyDescent="0.35">
      <c r="A868" s="5"/>
      <c r="C868" s="6"/>
    </row>
    <row r="869" spans="1:3" ht="15.75" customHeight="1" x14ac:dyDescent="0.35">
      <c r="A869" s="5"/>
      <c r="C869" s="6"/>
    </row>
    <row r="870" spans="1:3" ht="15.75" customHeight="1" x14ac:dyDescent="0.35">
      <c r="A870" s="5"/>
      <c r="C870" s="6"/>
    </row>
    <row r="871" spans="1:3" ht="15.75" customHeight="1" x14ac:dyDescent="0.35">
      <c r="A871" s="5"/>
      <c r="C871" s="6"/>
    </row>
    <row r="872" spans="1:3" ht="15.75" customHeight="1" x14ac:dyDescent="0.35">
      <c r="A872" s="5"/>
      <c r="C872" s="6"/>
    </row>
    <row r="873" spans="1:3" ht="15.75" customHeight="1" x14ac:dyDescent="0.35">
      <c r="A873" s="5"/>
      <c r="C873" s="6"/>
    </row>
    <row r="874" spans="1:3" ht="15.75" customHeight="1" x14ac:dyDescent="0.35">
      <c r="A874" s="5"/>
      <c r="C874" s="6"/>
    </row>
    <row r="875" spans="1:3" ht="15.75" customHeight="1" x14ac:dyDescent="0.35">
      <c r="A875" s="5"/>
      <c r="C875" s="6"/>
    </row>
    <row r="876" spans="1:3" ht="15.75" customHeight="1" x14ac:dyDescent="0.35">
      <c r="A876" s="5"/>
      <c r="C876" s="6"/>
    </row>
    <row r="877" spans="1:3" ht="15.75" customHeight="1" x14ac:dyDescent="0.35">
      <c r="A877" s="5"/>
      <c r="C877" s="6"/>
    </row>
    <row r="878" spans="1:3" ht="15.75" customHeight="1" x14ac:dyDescent="0.35">
      <c r="A878" s="5"/>
      <c r="C878" s="6"/>
    </row>
    <row r="879" spans="1:3" ht="15.75" customHeight="1" x14ac:dyDescent="0.35">
      <c r="A879" s="5"/>
      <c r="C879" s="6"/>
    </row>
    <row r="880" spans="1:3" ht="15.75" customHeight="1" x14ac:dyDescent="0.35">
      <c r="A880" s="5"/>
      <c r="C880" s="6"/>
    </row>
    <row r="881" spans="1:3" ht="15.75" customHeight="1" x14ac:dyDescent="0.35">
      <c r="A881" s="5"/>
      <c r="C881" s="6"/>
    </row>
    <row r="882" spans="1:3" ht="15.75" customHeight="1" x14ac:dyDescent="0.35">
      <c r="A882" s="5"/>
      <c r="C882" s="6"/>
    </row>
    <row r="883" spans="1:3" ht="15.75" customHeight="1" x14ac:dyDescent="0.35">
      <c r="A883" s="5"/>
      <c r="C883" s="6"/>
    </row>
    <row r="884" spans="1:3" ht="15.75" customHeight="1" x14ac:dyDescent="0.35">
      <c r="A884" s="5"/>
      <c r="C884" s="6"/>
    </row>
    <row r="885" spans="1:3" ht="15.75" customHeight="1" x14ac:dyDescent="0.35">
      <c r="A885" s="5"/>
      <c r="C885" s="6"/>
    </row>
    <row r="886" spans="1:3" ht="15.75" customHeight="1" x14ac:dyDescent="0.35">
      <c r="A886" s="5"/>
      <c r="C886" s="6"/>
    </row>
    <row r="887" spans="1:3" ht="15.75" customHeight="1" x14ac:dyDescent="0.35">
      <c r="A887" s="5"/>
      <c r="C887" s="6"/>
    </row>
    <row r="888" spans="1:3" ht="15.75" customHeight="1" x14ac:dyDescent="0.35">
      <c r="A888" s="5"/>
      <c r="C888" s="6"/>
    </row>
    <row r="889" spans="1:3" ht="15.75" customHeight="1" x14ac:dyDescent="0.35">
      <c r="A889" s="5"/>
      <c r="C889" s="6"/>
    </row>
    <row r="890" spans="1:3" ht="15.75" customHeight="1" x14ac:dyDescent="0.35">
      <c r="A890" s="5"/>
      <c r="C890" s="6"/>
    </row>
    <row r="891" spans="1:3" ht="15.75" customHeight="1" x14ac:dyDescent="0.35">
      <c r="A891" s="5"/>
      <c r="C891" s="6"/>
    </row>
    <row r="892" spans="1:3" ht="15.75" customHeight="1" x14ac:dyDescent="0.35">
      <c r="A892" s="5"/>
      <c r="C892" s="6"/>
    </row>
    <row r="893" spans="1:3" ht="15.75" customHeight="1" x14ac:dyDescent="0.35">
      <c r="A893" s="5"/>
      <c r="C893" s="6"/>
    </row>
    <row r="894" spans="1:3" ht="15.75" customHeight="1" x14ac:dyDescent="0.35">
      <c r="A894" s="5"/>
      <c r="C894" s="6"/>
    </row>
    <row r="895" spans="1:3" ht="15.75" customHeight="1" x14ac:dyDescent="0.35">
      <c r="A895" s="5"/>
      <c r="C895" s="6"/>
    </row>
    <row r="896" spans="1:3" ht="15.75" customHeight="1" x14ac:dyDescent="0.35">
      <c r="A896" s="5"/>
      <c r="C896" s="6"/>
    </row>
    <row r="897" spans="1:3" ht="15.75" customHeight="1" x14ac:dyDescent="0.35">
      <c r="A897" s="5"/>
      <c r="C897" s="6"/>
    </row>
    <row r="898" spans="1:3" ht="15.75" customHeight="1" x14ac:dyDescent="0.35">
      <c r="A898" s="5"/>
      <c r="C898" s="6"/>
    </row>
    <row r="899" spans="1:3" ht="15.75" customHeight="1" x14ac:dyDescent="0.35">
      <c r="A899" s="5"/>
      <c r="C899" s="6"/>
    </row>
    <row r="900" spans="1:3" ht="15.75" customHeight="1" x14ac:dyDescent="0.35">
      <c r="A900" s="5"/>
      <c r="C900" s="6"/>
    </row>
    <row r="901" spans="1:3" ht="15.75" customHeight="1" x14ac:dyDescent="0.35">
      <c r="A901" s="5"/>
      <c r="C901" s="6"/>
    </row>
    <row r="902" spans="1:3" ht="15.75" customHeight="1" x14ac:dyDescent="0.35">
      <c r="A902" s="5"/>
      <c r="C902" s="6"/>
    </row>
    <row r="903" spans="1:3" ht="15.75" customHeight="1" x14ac:dyDescent="0.35">
      <c r="A903" s="5"/>
      <c r="C903" s="6"/>
    </row>
    <row r="904" spans="1:3" ht="15.75" customHeight="1" x14ac:dyDescent="0.35">
      <c r="A904" s="5"/>
      <c r="C904" s="6"/>
    </row>
    <row r="905" spans="1:3" ht="15.75" customHeight="1" x14ac:dyDescent="0.35">
      <c r="A905" s="5"/>
      <c r="C905" s="6"/>
    </row>
    <row r="906" spans="1:3" ht="15.75" customHeight="1" x14ac:dyDescent="0.35">
      <c r="A906" s="5"/>
      <c r="C906" s="6"/>
    </row>
    <row r="907" spans="1:3" ht="15.75" customHeight="1" x14ac:dyDescent="0.35">
      <c r="A907" s="5"/>
      <c r="C907" s="6"/>
    </row>
    <row r="908" spans="1:3" ht="15.75" customHeight="1" x14ac:dyDescent="0.35">
      <c r="A908" s="5"/>
      <c r="C908" s="6"/>
    </row>
    <row r="909" spans="1:3" ht="15.75" customHeight="1" x14ac:dyDescent="0.35">
      <c r="A909" s="5"/>
      <c r="C909" s="6"/>
    </row>
    <row r="910" spans="1:3" ht="15.75" customHeight="1" x14ac:dyDescent="0.35">
      <c r="A910" s="5"/>
      <c r="C910" s="6"/>
    </row>
    <row r="911" spans="1:3" ht="15.75" customHeight="1" x14ac:dyDescent="0.35">
      <c r="A911" s="5"/>
      <c r="C911" s="6"/>
    </row>
    <row r="912" spans="1:3" ht="15.75" customHeight="1" x14ac:dyDescent="0.35">
      <c r="A912" s="5"/>
      <c r="C912" s="6"/>
    </row>
    <row r="913" spans="1:3" ht="15.75" customHeight="1" x14ac:dyDescent="0.35">
      <c r="A913" s="5"/>
      <c r="C913" s="6"/>
    </row>
    <row r="914" spans="1:3" ht="15.75" customHeight="1" x14ac:dyDescent="0.35">
      <c r="A914" s="5"/>
      <c r="C914" s="6"/>
    </row>
    <row r="915" spans="1:3" ht="15.75" customHeight="1" x14ac:dyDescent="0.35">
      <c r="A915" s="5"/>
      <c r="C915" s="6"/>
    </row>
    <row r="916" spans="1:3" ht="15.75" customHeight="1" x14ac:dyDescent="0.35">
      <c r="A916" s="5"/>
      <c r="C916" s="6"/>
    </row>
    <row r="917" spans="1:3" ht="15.75" customHeight="1" x14ac:dyDescent="0.35">
      <c r="A917" s="5"/>
      <c r="C917" s="6"/>
    </row>
    <row r="918" spans="1:3" ht="15.75" customHeight="1" x14ac:dyDescent="0.35">
      <c r="A918" s="5"/>
      <c r="C918" s="6"/>
    </row>
    <row r="919" spans="1:3" ht="15.75" customHeight="1" x14ac:dyDescent="0.35">
      <c r="A919" s="5"/>
      <c r="C919" s="6"/>
    </row>
    <row r="920" spans="1:3" ht="15.75" customHeight="1" x14ac:dyDescent="0.35">
      <c r="A920" s="5"/>
      <c r="C920" s="6"/>
    </row>
    <row r="921" spans="1:3" ht="15.75" customHeight="1" x14ac:dyDescent="0.35">
      <c r="A921" s="5"/>
      <c r="C921" s="6"/>
    </row>
    <row r="922" spans="1:3" ht="15.75" customHeight="1" x14ac:dyDescent="0.35">
      <c r="A922" s="5"/>
      <c r="C922" s="6"/>
    </row>
    <row r="923" spans="1:3" ht="15.75" customHeight="1" x14ac:dyDescent="0.35">
      <c r="A923" s="5"/>
      <c r="C923" s="6"/>
    </row>
    <row r="924" spans="1:3" ht="15.75" customHeight="1" x14ac:dyDescent="0.35">
      <c r="A924" s="5"/>
      <c r="C924" s="6"/>
    </row>
    <row r="925" spans="1:3" ht="15.75" customHeight="1" x14ac:dyDescent="0.35">
      <c r="A925" s="5"/>
      <c r="C925" s="6"/>
    </row>
    <row r="926" spans="1:3" ht="15.75" customHeight="1" x14ac:dyDescent="0.35">
      <c r="A926" s="5"/>
      <c r="C926" s="6"/>
    </row>
    <row r="927" spans="1:3" ht="15.75" customHeight="1" x14ac:dyDescent="0.35">
      <c r="A927" s="5"/>
      <c r="C927" s="6"/>
    </row>
    <row r="928" spans="1:3" ht="15.75" customHeight="1" x14ac:dyDescent="0.35">
      <c r="A928" s="5"/>
      <c r="C928" s="6"/>
    </row>
    <row r="929" spans="1:3" ht="15.75" customHeight="1" x14ac:dyDescent="0.35">
      <c r="A929" s="5"/>
      <c r="C929" s="6"/>
    </row>
    <row r="930" spans="1:3" ht="15.75" customHeight="1" x14ac:dyDescent="0.35">
      <c r="A930" s="5"/>
      <c r="C930" s="6"/>
    </row>
    <row r="931" spans="1:3" ht="15.75" customHeight="1" x14ac:dyDescent="0.35">
      <c r="A931" s="5"/>
      <c r="C931" s="6"/>
    </row>
    <row r="932" spans="1:3" ht="15.75" customHeight="1" x14ac:dyDescent="0.35">
      <c r="A932" s="5"/>
      <c r="C932" s="6"/>
    </row>
    <row r="933" spans="1:3" ht="15.75" customHeight="1" x14ac:dyDescent="0.35">
      <c r="A933" s="5"/>
      <c r="C933" s="6"/>
    </row>
    <row r="934" spans="1:3" ht="15.75" customHeight="1" x14ac:dyDescent="0.35">
      <c r="A934" s="5"/>
      <c r="C934" s="6"/>
    </row>
    <row r="935" spans="1:3" ht="15.75" customHeight="1" x14ac:dyDescent="0.35">
      <c r="A935" s="5"/>
      <c r="C935" s="6"/>
    </row>
    <row r="936" spans="1:3" ht="15.75" customHeight="1" x14ac:dyDescent="0.35">
      <c r="A936" s="5"/>
      <c r="C936" s="6"/>
    </row>
    <row r="937" spans="1:3" ht="15.75" customHeight="1" x14ac:dyDescent="0.35">
      <c r="A937" s="5"/>
      <c r="C937" s="6"/>
    </row>
    <row r="938" spans="1:3" ht="15.75" customHeight="1" x14ac:dyDescent="0.35">
      <c r="A938" s="5"/>
      <c r="C938" s="6"/>
    </row>
    <row r="939" spans="1:3" ht="15.75" customHeight="1" x14ac:dyDescent="0.35">
      <c r="A939" s="5"/>
      <c r="C939" s="6"/>
    </row>
    <row r="940" spans="1:3" ht="15.75" customHeight="1" x14ac:dyDescent="0.35">
      <c r="A940" s="5"/>
      <c r="C940" s="6"/>
    </row>
    <row r="941" spans="1:3" ht="15.75" customHeight="1" x14ac:dyDescent="0.35">
      <c r="A941" s="5"/>
      <c r="C941" s="6"/>
    </row>
    <row r="942" spans="1:3" ht="15.75" customHeight="1" x14ac:dyDescent="0.35">
      <c r="A942" s="5"/>
      <c r="C942" s="6"/>
    </row>
    <row r="943" spans="1:3" ht="15.75" customHeight="1" x14ac:dyDescent="0.35">
      <c r="A943" s="5"/>
      <c r="C943" s="6"/>
    </row>
    <row r="944" spans="1:3" ht="15.75" customHeight="1" x14ac:dyDescent="0.35">
      <c r="A944" s="5"/>
      <c r="C944" s="6"/>
    </row>
    <row r="945" spans="1:3" ht="15.75" customHeight="1" x14ac:dyDescent="0.35">
      <c r="A945" s="5"/>
      <c r="C945" s="6"/>
    </row>
    <row r="946" spans="1:3" ht="15.75" customHeight="1" x14ac:dyDescent="0.35">
      <c r="A946" s="5"/>
      <c r="C946" s="6"/>
    </row>
    <row r="947" spans="1:3" ht="15.75" customHeight="1" x14ac:dyDescent="0.35">
      <c r="A947" s="5"/>
      <c r="C947" s="6"/>
    </row>
    <row r="948" spans="1:3" ht="15.75" customHeight="1" x14ac:dyDescent="0.35">
      <c r="A948" s="5"/>
      <c r="C948" s="6"/>
    </row>
    <row r="949" spans="1:3" ht="15.75" customHeight="1" x14ac:dyDescent="0.35">
      <c r="A949" s="5"/>
      <c r="C949" s="6"/>
    </row>
    <row r="950" spans="1:3" ht="15.75" customHeight="1" x14ac:dyDescent="0.35">
      <c r="A950" s="5"/>
      <c r="C950" s="6"/>
    </row>
    <row r="951" spans="1:3" ht="15.75" customHeight="1" x14ac:dyDescent="0.35">
      <c r="A951" s="5"/>
      <c r="C951" s="6"/>
    </row>
    <row r="952" spans="1:3" ht="15.75" customHeight="1" x14ac:dyDescent="0.35">
      <c r="A952" s="5"/>
      <c r="C952" s="6"/>
    </row>
    <row r="953" spans="1:3" ht="15.75" customHeight="1" x14ac:dyDescent="0.35">
      <c r="A953" s="5"/>
      <c r="C953" s="6"/>
    </row>
    <row r="954" spans="1:3" ht="15.75" customHeight="1" x14ac:dyDescent="0.35">
      <c r="A954" s="5"/>
      <c r="C954" s="6"/>
    </row>
    <row r="955" spans="1:3" ht="15.75" customHeight="1" x14ac:dyDescent="0.35">
      <c r="A955" s="5"/>
      <c r="C955" s="6"/>
    </row>
    <row r="956" spans="1:3" ht="15.75" customHeight="1" x14ac:dyDescent="0.35">
      <c r="A956" s="5"/>
      <c r="C956" s="6"/>
    </row>
    <row r="957" spans="1:3" ht="15.75" customHeight="1" x14ac:dyDescent="0.35">
      <c r="A957" s="5"/>
      <c r="C957" s="6"/>
    </row>
    <row r="958" spans="1:3" ht="15.75" customHeight="1" x14ac:dyDescent="0.35">
      <c r="A958" s="5"/>
      <c r="C958" s="6"/>
    </row>
    <row r="959" spans="1:3" ht="15.75" customHeight="1" x14ac:dyDescent="0.35">
      <c r="A959" s="5"/>
      <c r="C959" s="6"/>
    </row>
    <row r="960" spans="1:3" ht="15.75" customHeight="1" x14ac:dyDescent="0.35">
      <c r="A960" s="5"/>
      <c r="C960" s="6"/>
    </row>
    <row r="961" spans="1:3" ht="15.75" customHeight="1" x14ac:dyDescent="0.35">
      <c r="A961" s="5"/>
      <c r="C961" s="6"/>
    </row>
    <row r="962" spans="1:3" ht="15.75" customHeight="1" x14ac:dyDescent="0.35">
      <c r="A962" s="5"/>
      <c r="C962" s="6"/>
    </row>
    <row r="963" spans="1:3" ht="15.75" customHeight="1" x14ac:dyDescent="0.35">
      <c r="A963" s="5"/>
      <c r="C963" s="6"/>
    </row>
    <row r="964" spans="1:3" ht="15.75" customHeight="1" x14ac:dyDescent="0.35">
      <c r="A964" s="5"/>
      <c r="C964" s="6"/>
    </row>
    <row r="965" spans="1:3" ht="15.75" customHeight="1" x14ac:dyDescent="0.35">
      <c r="A965" s="5"/>
      <c r="C965" s="6"/>
    </row>
    <row r="966" spans="1:3" ht="15.75" customHeight="1" x14ac:dyDescent="0.35">
      <c r="A966" s="5"/>
      <c r="C966" s="6"/>
    </row>
    <row r="967" spans="1:3" ht="15.75" customHeight="1" x14ac:dyDescent="0.35">
      <c r="A967" s="5"/>
      <c r="C967" s="6"/>
    </row>
    <row r="968" spans="1:3" ht="15.75" customHeight="1" x14ac:dyDescent="0.35">
      <c r="A968" s="5"/>
      <c r="C968" s="6"/>
    </row>
    <row r="969" spans="1:3" ht="15.75" customHeight="1" x14ac:dyDescent="0.35">
      <c r="A969" s="5"/>
      <c r="C969" s="6"/>
    </row>
  </sheetData>
  <autoFilter ref="A1:B138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2E42-D225-4027-9A5B-FCCDC0196E20}">
  <dimension ref="A1:F123"/>
  <sheetViews>
    <sheetView tabSelected="1" workbookViewId="0">
      <selection activeCell="G131" sqref="G131"/>
    </sheetView>
  </sheetViews>
  <sheetFormatPr defaultRowHeight="14.5" x14ac:dyDescent="0.35"/>
  <cols>
    <col min="1" max="1" width="13.453125" style="33" customWidth="1"/>
    <col min="2" max="2" width="8.7265625" style="33"/>
    <col min="3" max="3" width="15" style="34" customWidth="1"/>
    <col min="4" max="4" width="8.7265625" customWidth="1"/>
    <col min="5" max="6" width="8.7265625" style="33"/>
    <col min="7" max="16384" width="8.7265625" style="28"/>
  </cols>
  <sheetData>
    <row r="1" spans="1:6" ht="15" thickBot="1" x14ac:dyDescent="0.4">
      <c r="A1" s="24" t="s">
        <v>178</v>
      </c>
      <c r="B1" s="25" t="s">
        <v>179</v>
      </c>
      <c r="C1" s="25" t="s">
        <v>180</v>
      </c>
      <c r="D1" s="26" t="s">
        <v>171</v>
      </c>
      <c r="E1" s="26" t="s">
        <v>181</v>
      </c>
      <c r="F1" s="26" t="s">
        <v>182</v>
      </c>
    </row>
    <row r="2" spans="1:6" x14ac:dyDescent="0.35">
      <c r="A2" s="29" t="s">
        <v>3</v>
      </c>
      <c r="B2" s="31">
        <v>2828.625</v>
      </c>
      <c r="C2" s="32">
        <v>2129</v>
      </c>
      <c r="D2" s="27">
        <v>28.047932676623283</v>
      </c>
      <c r="E2" s="30">
        <v>27883</v>
      </c>
      <c r="F2" s="30">
        <v>26</v>
      </c>
    </row>
    <row r="3" spans="1:6" x14ac:dyDescent="0.35">
      <c r="A3" s="29" t="s">
        <v>4</v>
      </c>
      <c r="B3" s="31">
        <v>1064.6666666666702</v>
      </c>
      <c r="C3" s="32">
        <v>2129</v>
      </c>
      <c r="D3" s="27">
        <v>28.047932676623283</v>
      </c>
      <c r="E3" s="30">
        <v>775</v>
      </c>
      <c r="F3" s="30">
        <v>26</v>
      </c>
    </row>
    <row r="4" spans="1:6" x14ac:dyDescent="0.35">
      <c r="A4" s="29" t="s">
        <v>5</v>
      </c>
      <c r="B4" s="31">
        <v>10650.222222222199</v>
      </c>
      <c r="C4" s="32">
        <v>2131</v>
      </c>
      <c r="D4" s="27">
        <v>28.047932676623283</v>
      </c>
      <c r="E4" s="30">
        <v>10350</v>
      </c>
      <c r="F4" s="30">
        <v>26</v>
      </c>
    </row>
    <row r="5" spans="1:6" x14ac:dyDescent="0.35">
      <c r="A5" s="29" t="s">
        <v>183</v>
      </c>
      <c r="B5" s="31">
        <v>11138.75</v>
      </c>
      <c r="C5" s="32">
        <v>2131</v>
      </c>
      <c r="D5" s="27">
        <v>28.047932676623283</v>
      </c>
      <c r="E5" s="30">
        <v>54759</v>
      </c>
      <c r="F5" s="30">
        <v>26</v>
      </c>
    </row>
    <row r="6" spans="1:6" x14ac:dyDescent="0.35">
      <c r="A6" s="29" t="s">
        <v>6</v>
      </c>
      <c r="B6" s="31">
        <v>2432</v>
      </c>
      <c r="C6" s="32">
        <v>1910</v>
      </c>
      <c r="D6" s="27">
        <v>28.047932676623283</v>
      </c>
      <c r="E6" s="30">
        <v>9142</v>
      </c>
      <c r="F6" s="30">
        <v>26</v>
      </c>
    </row>
    <row r="7" spans="1:6" x14ac:dyDescent="0.35">
      <c r="A7" s="29" t="s">
        <v>7</v>
      </c>
      <c r="B7" s="31">
        <v>665</v>
      </c>
      <c r="C7" s="32">
        <v>1910</v>
      </c>
      <c r="D7" s="27">
        <v>28.047932676623283</v>
      </c>
      <c r="E7" s="30">
        <v>1245</v>
      </c>
      <c r="F7" s="30">
        <v>26</v>
      </c>
    </row>
    <row r="8" spans="1:6" x14ac:dyDescent="0.35">
      <c r="A8" s="29" t="s">
        <v>11</v>
      </c>
      <c r="B8" s="31">
        <v>2475</v>
      </c>
      <c r="C8" s="32">
        <v>2217</v>
      </c>
      <c r="D8" s="27">
        <v>28.047932676623283</v>
      </c>
      <c r="E8" s="30">
        <v>2225</v>
      </c>
      <c r="F8" s="30">
        <v>26</v>
      </c>
    </row>
    <row r="9" spans="1:6" x14ac:dyDescent="0.35">
      <c r="A9" s="29" t="s">
        <v>12</v>
      </c>
      <c r="B9" s="31">
        <v>19081.142857142899</v>
      </c>
      <c r="C9" s="32">
        <v>2131</v>
      </c>
      <c r="D9" s="27">
        <v>28.047932676623283</v>
      </c>
      <c r="E9" s="30">
        <v>40625</v>
      </c>
      <c r="F9" s="30">
        <v>26</v>
      </c>
    </row>
    <row r="10" spans="1:6" x14ac:dyDescent="0.35">
      <c r="A10" s="29" t="s">
        <v>13</v>
      </c>
      <c r="B10" s="31">
        <v>3496</v>
      </c>
      <c r="C10" s="32">
        <v>2131</v>
      </c>
      <c r="D10" s="27">
        <v>28.047932676623283</v>
      </c>
      <c r="E10" s="30">
        <v>2000</v>
      </c>
      <c r="F10" s="30">
        <v>26</v>
      </c>
    </row>
    <row r="11" spans="1:6" x14ac:dyDescent="0.35">
      <c r="A11" s="29" t="s">
        <v>14</v>
      </c>
      <c r="B11" s="31">
        <v>5185.470588235291</v>
      </c>
      <c r="C11" s="32">
        <v>1691</v>
      </c>
      <c r="D11" s="27">
        <v>28.047932676623283</v>
      </c>
      <c r="E11" s="30">
        <v>24293</v>
      </c>
      <c r="F11" s="30">
        <v>26</v>
      </c>
    </row>
    <row r="12" spans="1:6" x14ac:dyDescent="0.35">
      <c r="A12" s="29" t="s">
        <v>18</v>
      </c>
      <c r="B12" s="31">
        <v>3394.5</v>
      </c>
      <c r="C12" s="32">
        <v>1890</v>
      </c>
      <c r="D12" s="27">
        <v>28.047932676623283</v>
      </c>
      <c r="E12" s="30">
        <v>7650</v>
      </c>
      <c r="F12" s="30">
        <v>26</v>
      </c>
    </row>
    <row r="13" spans="1:6" x14ac:dyDescent="0.35">
      <c r="A13" s="29" t="s">
        <v>20</v>
      </c>
      <c r="B13" s="31">
        <v>1508</v>
      </c>
      <c r="C13" s="32">
        <v>2216</v>
      </c>
      <c r="D13" s="27">
        <v>28.047932676623283</v>
      </c>
      <c r="E13" s="30">
        <v>550</v>
      </c>
      <c r="F13" s="30">
        <v>26</v>
      </c>
    </row>
    <row r="14" spans="1:6" x14ac:dyDescent="0.35">
      <c r="A14" s="29" t="s">
        <v>19</v>
      </c>
      <c r="B14" s="31">
        <v>1940</v>
      </c>
      <c r="C14" s="32">
        <v>2846</v>
      </c>
      <c r="D14" s="27">
        <v>28.047932676623283</v>
      </c>
      <c r="E14" s="30">
        <v>100</v>
      </c>
      <c r="F14" s="30">
        <v>26</v>
      </c>
    </row>
    <row r="15" spans="1:6" x14ac:dyDescent="0.35">
      <c r="A15" s="29" t="s">
        <v>129</v>
      </c>
      <c r="B15" s="31">
        <v>1170</v>
      </c>
      <c r="C15" s="32">
        <v>2846</v>
      </c>
      <c r="D15" s="27">
        <v>28.047932676623283</v>
      </c>
      <c r="E15" s="30">
        <v>1200</v>
      </c>
      <c r="F15" s="30">
        <v>26</v>
      </c>
    </row>
    <row r="16" spans="1:6" x14ac:dyDescent="0.35">
      <c r="A16" s="29" t="s">
        <v>22</v>
      </c>
      <c r="B16" s="31">
        <v>16135.142857142901</v>
      </c>
      <c r="C16" s="32">
        <v>2129</v>
      </c>
      <c r="D16" s="27">
        <v>28.047932676623283</v>
      </c>
      <c r="E16" s="30">
        <v>18600</v>
      </c>
      <c r="F16" s="30">
        <v>26</v>
      </c>
    </row>
    <row r="17" spans="1:6" x14ac:dyDescent="0.35">
      <c r="A17" s="29" t="s">
        <v>131</v>
      </c>
      <c r="B17" s="31">
        <v>5077.5</v>
      </c>
      <c r="C17" s="32">
        <v>2129</v>
      </c>
      <c r="D17" s="27">
        <v>28.047932676623283</v>
      </c>
      <c r="E17" s="30">
        <v>20925</v>
      </c>
      <c r="F17" s="30">
        <v>26</v>
      </c>
    </row>
    <row r="18" spans="1:6" x14ac:dyDescent="0.35">
      <c r="A18" s="29" t="s">
        <v>26</v>
      </c>
      <c r="B18" s="30">
        <v>88</v>
      </c>
      <c r="C18" s="32">
        <v>2263</v>
      </c>
      <c r="D18" s="27">
        <v>28.047932676623283</v>
      </c>
      <c r="E18" s="30">
        <v>0</v>
      </c>
      <c r="F18" s="30">
        <v>26</v>
      </c>
    </row>
    <row r="19" spans="1:6" x14ac:dyDescent="0.35">
      <c r="A19" s="29" t="s">
        <v>28</v>
      </c>
      <c r="B19" s="31">
        <v>1795</v>
      </c>
      <c r="C19" s="32">
        <v>2263</v>
      </c>
      <c r="D19" s="27">
        <v>28.047932676623283</v>
      </c>
      <c r="E19" s="30">
        <v>2500</v>
      </c>
      <c r="F19" s="30">
        <v>26</v>
      </c>
    </row>
    <row r="20" spans="1:6" x14ac:dyDescent="0.35">
      <c r="A20" s="29" t="s">
        <v>29</v>
      </c>
      <c r="B20" s="31">
        <v>14503.809523809501</v>
      </c>
      <c r="C20" s="32">
        <v>2732</v>
      </c>
      <c r="D20" s="27">
        <v>28.047932676623283</v>
      </c>
      <c r="E20" s="30">
        <v>26186</v>
      </c>
      <c r="F20" s="30">
        <v>26</v>
      </c>
    </row>
    <row r="21" spans="1:6" x14ac:dyDescent="0.35">
      <c r="A21" s="29" t="s">
        <v>30</v>
      </c>
      <c r="B21" s="31">
        <v>6483.0869565217399</v>
      </c>
      <c r="C21" s="32">
        <v>2962</v>
      </c>
      <c r="D21" s="27">
        <v>28.047932676623283</v>
      </c>
      <c r="E21" s="30">
        <v>46266</v>
      </c>
      <c r="F21" s="30">
        <v>26</v>
      </c>
    </row>
    <row r="22" spans="1:6" x14ac:dyDescent="0.35">
      <c r="A22" s="29" t="s">
        <v>31</v>
      </c>
      <c r="B22" s="30">
        <v>3116</v>
      </c>
      <c r="C22" s="32">
        <v>2268</v>
      </c>
      <c r="D22" s="27">
        <v>28.047932676623283</v>
      </c>
      <c r="E22" s="30">
        <v>0</v>
      </c>
      <c r="F22" s="30">
        <v>26</v>
      </c>
    </row>
    <row r="23" spans="1:6" x14ac:dyDescent="0.35">
      <c r="A23" s="29" t="s">
        <v>32</v>
      </c>
      <c r="B23" s="31">
        <v>3925</v>
      </c>
      <c r="C23" s="32">
        <v>1956</v>
      </c>
      <c r="D23" s="27">
        <v>28.047932676623283</v>
      </c>
      <c r="E23" s="30">
        <v>1150</v>
      </c>
      <c r="F23" s="30">
        <v>26</v>
      </c>
    </row>
    <row r="24" spans="1:6" x14ac:dyDescent="0.35">
      <c r="A24" s="29" t="s">
        <v>33</v>
      </c>
      <c r="B24" s="30">
        <v>39</v>
      </c>
      <c r="C24" s="32">
        <v>2031</v>
      </c>
      <c r="D24" s="27">
        <v>28.047932676623283</v>
      </c>
      <c r="E24" s="30">
        <v>0</v>
      </c>
      <c r="F24" s="30">
        <v>26</v>
      </c>
    </row>
    <row r="25" spans="1:6" x14ac:dyDescent="0.35">
      <c r="A25" s="29" t="s">
        <v>36</v>
      </c>
      <c r="B25" s="30">
        <v>311</v>
      </c>
      <c r="C25" s="32">
        <v>2179</v>
      </c>
      <c r="D25" s="27">
        <v>28.047932676623283</v>
      </c>
      <c r="E25" s="30">
        <v>0</v>
      </c>
      <c r="F25" s="30">
        <v>26</v>
      </c>
    </row>
    <row r="26" spans="1:6" x14ac:dyDescent="0.35">
      <c r="A26" s="29" t="s">
        <v>37</v>
      </c>
      <c r="B26" s="31">
        <v>10746</v>
      </c>
      <c r="C26" s="32">
        <v>2179</v>
      </c>
      <c r="D26" s="27">
        <v>28.047932676623283</v>
      </c>
      <c r="E26" s="30">
        <v>15250</v>
      </c>
      <c r="F26" s="30">
        <v>26</v>
      </c>
    </row>
    <row r="27" spans="1:6" x14ac:dyDescent="0.35">
      <c r="A27" s="29" t="s">
        <v>149</v>
      </c>
      <c r="B27" s="31">
        <v>6925</v>
      </c>
      <c r="C27" s="32">
        <v>2179</v>
      </c>
      <c r="D27" s="27">
        <v>28.047932676623283</v>
      </c>
      <c r="E27" s="30">
        <v>8750</v>
      </c>
      <c r="F27" s="30">
        <v>26</v>
      </c>
    </row>
    <row r="28" spans="1:6" x14ac:dyDescent="0.35">
      <c r="A28" s="29" t="s">
        <v>154</v>
      </c>
      <c r="B28" s="31">
        <v>14350</v>
      </c>
      <c r="C28" s="32">
        <v>3145</v>
      </c>
      <c r="D28" s="27">
        <v>28.047932676623283</v>
      </c>
      <c r="E28" s="30">
        <v>18425</v>
      </c>
      <c r="F28" s="30">
        <v>26</v>
      </c>
    </row>
    <row r="29" spans="1:6" x14ac:dyDescent="0.35">
      <c r="A29" s="29" t="s">
        <v>41</v>
      </c>
      <c r="B29" s="31">
        <v>3151.1333333333296</v>
      </c>
      <c r="C29" s="32">
        <v>2179</v>
      </c>
      <c r="D29" s="27">
        <v>28.047932676623283</v>
      </c>
      <c r="E29" s="30">
        <v>17826</v>
      </c>
      <c r="F29" s="30">
        <v>26</v>
      </c>
    </row>
    <row r="30" spans="1:6" x14ac:dyDescent="0.35">
      <c r="A30" s="29" t="s">
        <v>42</v>
      </c>
      <c r="B30" s="31">
        <v>14103.555555555602</v>
      </c>
      <c r="C30" s="32">
        <v>2268</v>
      </c>
      <c r="D30" s="27">
        <v>28.047932676623283</v>
      </c>
      <c r="E30" s="30">
        <v>15400</v>
      </c>
      <c r="F30" s="30">
        <v>26</v>
      </c>
    </row>
    <row r="31" spans="1:6" x14ac:dyDescent="0.35">
      <c r="A31" s="29" t="s">
        <v>43</v>
      </c>
      <c r="B31" s="31">
        <v>18231.5</v>
      </c>
      <c r="C31" s="32">
        <v>2268</v>
      </c>
      <c r="D31" s="27">
        <v>28.047932676623283</v>
      </c>
      <c r="E31" s="30">
        <v>29935</v>
      </c>
      <c r="F31" s="30">
        <v>26</v>
      </c>
    </row>
    <row r="32" spans="1:6" x14ac:dyDescent="0.35">
      <c r="A32" s="29" t="s">
        <v>44</v>
      </c>
      <c r="B32" s="31">
        <v>6838.5714285714303</v>
      </c>
      <c r="C32" s="32">
        <v>2218</v>
      </c>
      <c r="D32" s="27">
        <v>28.047932676623283</v>
      </c>
      <c r="E32" s="30">
        <v>16096</v>
      </c>
      <c r="F32" s="30">
        <v>26</v>
      </c>
    </row>
    <row r="33" spans="1:6" x14ac:dyDescent="0.35">
      <c r="A33" s="29" t="s">
        <v>45</v>
      </c>
      <c r="B33" s="31">
        <v>344</v>
      </c>
      <c r="C33" s="32">
        <v>2218</v>
      </c>
      <c r="D33" s="27">
        <v>28.047932676623283</v>
      </c>
      <c r="E33" s="30">
        <v>125</v>
      </c>
      <c r="F33" s="30">
        <v>26</v>
      </c>
    </row>
    <row r="34" spans="1:6" x14ac:dyDescent="0.35">
      <c r="A34" s="29" t="s">
        <v>46</v>
      </c>
      <c r="B34" s="31">
        <v>1764.75</v>
      </c>
      <c r="C34" s="32">
        <v>2245</v>
      </c>
      <c r="D34" s="27">
        <v>28.047932676623283</v>
      </c>
      <c r="E34" s="30">
        <v>4275</v>
      </c>
      <c r="F34" s="30">
        <v>26</v>
      </c>
    </row>
    <row r="35" spans="1:6" x14ac:dyDescent="0.35">
      <c r="A35" s="29" t="s">
        <v>47</v>
      </c>
      <c r="B35" s="31">
        <v>21574.5</v>
      </c>
      <c r="C35" s="32">
        <v>1419</v>
      </c>
      <c r="D35" s="27">
        <v>28.047932676623283</v>
      </c>
      <c r="E35" s="30">
        <v>44200</v>
      </c>
      <c r="F35" s="30">
        <v>26</v>
      </c>
    </row>
    <row r="36" spans="1:6" x14ac:dyDescent="0.35">
      <c r="A36" s="29" t="s">
        <v>48</v>
      </c>
      <c r="B36" s="30">
        <v>873</v>
      </c>
      <c r="C36" s="32">
        <v>2765</v>
      </c>
      <c r="D36" s="27">
        <v>28.047932676623283</v>
      </c>
      <c r="E36" s="30">
        <v>0</v>
      </c>
      <c r="F36" s="30">
        <v>26</v>
      </c>
    </row>
    <row r="37" spans="1:6" x14ac:dyDescent="0.35">
      <c r="A37" s="29" t="s">
        <v>150</v>
      </c>
      <c r="B37" s="31">
        <v>18439.785714285699</v>
      </c>
      <c r="C37" s="32">
        <v>4592</v>
      </c>
      <c r="D37" s="27">
        <v>28.047932676623283</v>
      </c>
      <c r="E37" s="30">
        <v>33182</v>
      </c>
      <c r="F37" s="30">
        <v>26</v>
      </c>
    </row>
    <row r="38" spans="1:6" x14ac:dyDescent="0.35">
      <c r="A38" s="29" t="s">
        <v>151</v>
      </c>
      <c r="B38" s="31">
        <v>1312.5</v>
      </c>
      <c r="C38" s="32">
        <v>2297</v>
      </c>
      <c r="D38" s="27">
        <v>28.047932676623283</v>
      </c>
      <c r="E38" s="30">
        <v>2125</v>
      </c>
      <c r="F38" s="30">
        <v>26</v>
      </c>
    </row>
    <row r="39" spans="1:6" x14ac:dyDescent="0.35">
      <c r="A39" s="29" t="s">
        <v>50</v>
      </c>
      <c r="B39" s="31">
        <v>2310</v>
      </c>
      <c r="C39" s="32">
        <v>2616</v>
      </c>
      <c r="D39" s="27">
        <v>28.047932676623283</v>
      </c>
      <c r="E39" s="30">
        <v>1000</v>
      </c>
      <c r="F39" s="30">
        <v>26</v>
      </c>
    </row>
    <row r="40" spans="1:6" x14ac:dyDescent="0.35">
      <c r="A40" s="29" t="s">
        <v>51</v>
      </c>
      <c r="B40" s="31">
        <v>5334.4444444444407</v>
      </c>
      <c r="C40" s="32">
        <v>2616</v>
      </c>
      <c r="D40" s="27">
        <v>28.047932676623283</v>
      </c>
      <c r="E40" s="30">
        <v>9737</v>
      </c>
      <c r="F40" s="30">
        <v>26</v>
      </c>
    </row>
    <row r="41" spans="1:6" x14ac:dyDescent="0.35">
      <c r="A41" s="29" t="s">
        <v>52</v>
      </c>
      <c r="B41" s="31">
        <v>3275</v>
      </c>
      <c r="C41" s="32">
        <v>1968</v>
      </c>
      <c r="D41" s="27">
        <v>28.047932676623283</v>
      </c>
      <c r="E41" s="30">
        <v>650</v>
      </c>
      <c r="F41" s="30">
        <v>26</v>
      </c>
    </row>
    <row r="42" spans="1:6" x14ac:dyDescent="0.35">
      <c r="A42" s="29" t="s">
        <v>53</v>
      </c>
      <c r="B42" s="31">
        <v>2743.3333333333298</v>
      </c>
      <c r="C42" s="32">
        <v>1968</v>
      </c>
      <c r="D42" s="27">
        <v>28.047932676623283</v>
      </c>
      <c r="E42" s="30">
        <v>1625</v>
      </c>
      <c r="F42" s="30">
        <v>26</v>
      </c>
    </row>
    <row r="43" spans="1:6" x14ac:dyDescent="0.35">
      <c r="A43" s="29" t="s">
        <v>145</v>
      </c>
      <c r="B43" s="30">
        <v>1000</v>
      </c>
      <c r="C43" s="32">
        <v>2503</v>
      </c>
      <c r="D43" s="27">
        <v>28.047932676623283</v>
      </c>
      <c r="E43" s="30">
        <v>0</v>
      </c>
      <c r="F43" s="30">
        <v>26</v>
      </c>
    </row>
    <row r="44" spans="1:6" x14ac:dyDescent="0.35">
      <c r="A44" s="29" t="s">
        <v>55</v>
      </c>
      <c r="B44" s="31">
        <v>9301</v>
      </c>
      <c r="C44" s="32">
        <v>2503</v>
      </c>
      <c r="D44" s="27">
        <v>28.047932676623283</v>
      </c>
      <c r="E44" s="30">
        <v>5070</v>
      </c>
      <c r="F44" s="30">
        <v>26</v>
      </c>
    </row>
    <row r="45" spans="1:6" x14ac:dyDescent="0.35">
      <c r="A45" s="29" t="s">
        <v>56</v>
      </c>
      <c r="B45" s="31">
        <v>3788</v>
      </c>
      <c r="C45" s="32">
        <v>2103</v>
      </c>
      <c r="D45" s="27">
        <v>28.047932676623283</v>
      </c>
      <c r="E45" s="30">
        <v>1000</v>
      </c>
      <c r="F45" s="30">
        <v>26</v>
      </c>
    </row>
    <row r="46" spans="1:6" x14ac:dyDescent="0.35">
      <c r="A46" s="29" t="s">
        <v>57</v>
      </c>
      <c r="B46" s="31">
        <v>1299.5</v>
      </c>
      <c r="C46" s="32">
        <v>2802</v>
      </c>
      <c r="D46" s="27">
        <v>28.047932676623283</v>
      </c>
      <c r="E46" s="30">
        <v>1025</v>
      </c>
      <c r="F46" s="30">
        <v>26</v>
      </c>
    </row>
    <row r="47" spans="1:6" x14ac:dyDescent="0.35">
      <c r="A47" s="29" t="s">
        <v>58</v>
      </c>
      <c r="B47" s="31">
        <v>1742</v>
      </c>
      <c r="C47" s="32">
        <v>2103</v>
      </c>
      <c r="D47" s="27">
        <v>28.047932676623283</v>
      </c>
      <c r="E47" s="30">
        <v>100</v>
      </c>
      <c r="F47" s="30">
        <v>26</v>
      </c>
    </row>
    <row r="48" spans="1:6" x14ac:dyDescent="0.35">
      <c r="A48" s="29" t="s">
        <v>59</v>
      </c>
      <c r="B48" s="31">
        <v>373</v>
      </c>
      <c r="C48" s="32">
        <v>2126</v>
      </c>
      <c r="D48" s="27">
        <v>28.047932676623283</v>
      </c>
      <c r="E48" s="30">
        <v>1750</v>
      </c>
      <c r="F48" s="30">
        <v>26</v>
      </c>
    </row>
    <row r="49" spans="1:6" x14ac:dyDescent="0.35">
      <c r="A49" s="29" t="s">
        <v>61</v>
      </c>
      <c r="B49" s="31">
        <v>790</v>
      </c>
      <c r="C49" s="32">
        <v>2126</v>
      </c>
      <c r="D49" s="27">
        <v>28.047932676623283</v>
      </c>
      <c r="E49" s="30">
        <v>0</v>
      </c>
      <c r="F49" s="30">
        <v>26</v>
      </c>
    </row>
    <row r="50" spans="1:6" x14ac:dyDescent="0.35">
      <c r="A50" s="29" t="s">
        <v>158</v>
      </c>
      <c r="B50" s="31">
        <v>10128.333333333299</v>
      </c>
      <c r="C50" s="32">
        <v>2846</v>
      </c>
      <c r="D50" s="27">
        <v>28.047932676623283</v>
      </c>
      <c r="E50" s="30">
        <v>9330</v>
      </c>
      <c r="F50" s="30">
        <v>26</v>
      </c>
    </row>
    <row r="51" spans="1:6" x14ac:dyDescent="0.35">
      <c r="A51" s="29" t="s">
        <v>62</v>
      </c>
      <c r="B51" s="31">
        <v>5120</v>
      </c>
      <c r="C51" s="32">
        <v>2846</v>
      </c>
      <c r="D51" s="27">
        <v>28.047932676623283</v>
      </c>
      <c r="E51" s="30">
        <v>1270</v>
      </c>
      <c r="F51" s="30">
        <v>26</v>
      </c>
    </row>
    <row r="52" spans="1:6" x14ac:dyDescent="0.35">
      <c r="A52" s="29" t="s">
        <v>63</v>
      </c>
      <c r="B52" s="31">
        <v>4378.25</v>
      </c>
      <c r="C52" s="32">
        <v>2514</v>
      </c>
      <c r="D52" s="27">
        <v>28.047932676623283</v>
      </c>
      <c r="E52" s="30">
        <v>6623</v>
      </c>
      <c r="F52" s="30">
        <v>26</v>
      </c>
    </row>
    <row r="53" spans="1:6" x14ac:dyDescent="0.35">
      <c r="A53" s="29" t="s">
        <v>64</v>
      </c>
      <c r="B53" s="31">
        <v>1725</v>
      </c>
      <c r="C53" s="32">
        <v>3391</v>
      </c>
      <c r="D53" s="27">
        <v>28.047932676623283</v>
      </c>
      <c r="E53" s="30">
        <v>125</v>
      </c>
      <c r="F53" s="30">
        <v>26</v>
      </c>
    </row>
    <row r="54" spans="1:6" x14ac:dyDescent="0.35">
      <c r="A54" s="29" t="s">
        <v>184</v>
      </c>
      <c r="B54" s="31">
        <v>1565.5</v>
      </c>
      <c r="C54" s="32">
        <v>3549</v>
      </c>
      <c r="D54" s="27">
        <v>28.047932676623283</v>
      </c>
      <c r="E54" s="30">
        <v>925</v>
      </c>
      <c r="F54" s="30">
        <v>26</v>
      </c>
    </row>
    <row r="55" spans="1:6" x14ac:dyDescent="0.35">
      <c r="A55" s="29" t="s">
        <v>66</v>
      </c>
      <c r="B55" s="31">
        <v>1050</v>
      </c>
      <c r="C55" s="32">
        <v>2129</v>
      </c>
      <c r="D55" s="27">
        <v>28.047932676623283</v>
      </c>
      <c r="E55" s="30">
        <v>720</v>
      </c>
      <c r="F55" s="30">
        <v>26</v>
      </c>
    </row>
    <row r="56" spans="1:6" x14ac:dyDescent="0.35">
      <c r="A56" s="29" t="s">
        <v>67</v>
      </c>
      <c r="B56" s="31">
        <v>6592.5</v>
      </c>
      <c r="C56" s="32">
        <v>2129</v>
      </c>
      <c r="D56" s="27">
        <v>28.047932676623283</v>
      </c>
      <c r="E56" s="30">
        <v>1325</v>
      </c>
      <c r="F56" s="30">
        <v>26</v>
      </c>
    </row>
    <row r="57" spans="1:6" x14ac:dyDescent="0.35">
      <c r="A57" s="29" t="s">
        <v>68</v>
      </c>
      <c r="B57" s="30">
        <v>1525</v>
      </c>
      <c r="C57" s="32">
        <v>2131</v>
      </c>
      <c r="D57" s="27">
        <v>28.047932676623283</v>
      </c>
      <c r="E57" s="30">
        <v>0</v>
      </c>
      <c r="F57" s="30">
        <v>26</v>
      </c>
    </row>
    <row r="58" spans="1:6" x14ac:dyDescent="0.35">
      <c r="A58" s="29" t="s">
        <v>69</v>
      </c>
      <c r="B58" s="31">
        <v>1389</v>
      </c>
      <c r="C58" s="32">
        <v>2131</v>
      </c>
      <c r="D58" s="27">
        <v>28.047932676623283</v>
      </c>
      <c r="E58" s="30">
        <v>800</v>
      </c>
      <c r="F58" s="30">
        <v>26</v>
      </c>
    </row>
    <row r="59" spans="1:6" x14ac:dyDescent="0.35">
      <c r="A59" s="29" t="s">
        <v>70</v>
      </c>
      <c r="B59" s="31">
        <v>2218.5</v>
      </c>
      <c r="C59" s="32">
        <v>2245</v>
      </c>
      <c r="D59" s="27">
        <v>28.047932676623283</v>
      </c>
      <c r="E59" s="30">
        <v>4437</v>
      </c>
      <c r="F59" s="30">
        <v>26</v>
      </c>
    </row>
    <row r="60" spans="1:6" x14ac:dyDescent="0.35">
      <c r="A60" s="29" t="s">
        <v>185</v>
      </c>
      <c r="B60" s="31">
        <v>8380.4285714285688</v>
      </c>
      <c r="C60" s="32">
        <v>2121</v>
      </c>
      <c r="D60" s="27">
        <v>28.047932676623283</v>
      </c>
      <c r="E60" s="30">
        <v>45547</v>
      </c>
      <c r="F60" s="30">
        <v>26</v>
      </c>
    </row>
    <row r="61" spans="1:6" x14ac:dyDescent="0.35">
      <c r="A61" s="29" t="s">
        <v>73</v>
      </c>
      <c r="B61" s="31">
        <v>14307.777777777801</v>
      </c>
      <c r="C61" s="32">
        <v>2121</v>
      </c>
      <c r="D61" s="27">
        <v>28.047932676623283</v>
      </c>
      <c r="E61" s="30">
        <v>14100</v>
      </c>
      <c r="F61" s="30">
        <v>26</v>
      </c>
    </row>
    <row r="62" spans="1:6" x14ac:dyDescent="0.35">
      <c r="A62" s="29" t="s">
        <v>146</v>
      </c>
      <c r="B62" s="31">
        <v>11530.222222222199</v>
      </c>
      <c r="C62" s="32">
        <v>2121</v>
      </c>
      <c r="D62" s="27">
        <v>28.047932676623283</v>
      </c>
      <c r="E62" s="30">
        <v>10923</v>
      </c>
      <c r="F62" s="30">
        <v>26</v>
      </c>
    </row>
    <row r="63" spans="1:6" x14ac:dyDescent="0.35">
      <c r="A63" s="29" t="s">
        <v>75</v>
      </c>
      <c r="B63" s="31">
        <v>4535.5</v>
      </c>
      <c r="C63" s="32">
        <v>4592</v>
      </c>
      <c r="D63" s="27">
        <v>28.047932676623283</v>
      </c>
      <c r="E63" s="30">
        <v>12194</v>
      </c>
      <c r="F63" s="30">
        <v>26</v>
      </c>
    </row>
    <row r="64" spans="1:6" x14ac:dyDescent="0.35">
      <c r="A64" s="29" t="s">
        <v>76</v>
      </c>
      <c r="B64" s="31">
        <v>10280.285714285701</v>
      </c>
      <c r="C64" s="32">
        <v>2297</v>
      </c>
      <c r="D64" s="27">
        <v>28.047932676623283</v>
      </c>
      <c r="E64" s="30">
        <v>13910</v>
      </c>
      <c r="F64" s="30">
        <v>26</v>
      </c>
    </row>
    <row r="65" spans="1:6" x14ac:dyDescent="0.35">
      <c r="A65" s="29" t="s">
        <v>81</v>
      </c>
      <c r="B65" s="31">
        <v>5408</v>
      </c>
      <c r="C65" s="32">
        <v>4592</v>
      </c>
      <c r="D65" s="27">
        <v>28.047932676623283</v>
      </c>
      <c r="E65" s="30">
        <v>2340</v>
      </c>
      <c r="F65" s="30">
        <v>26</v>
      </c>
    </row>
    <row r="66" spans="1:6" x14ac:dyDescent="0.35">
      <c r="A66" s="29" t="s">
        <v>82</v>
      </c>
      <c r="B66" s="31">
        <v>1391.6666666666702</v>
      </c>
      <c r="C66" s="32">
        <v>1419</v>
      </c>
      <c r="D66" s="27">
        <v>28.047932676623283</v>
      </c>
      <c r="E66" s="30">
        <v>925</v>
      </c>
      <c r="F66" s="30">
        <v>26</v>
      </c>
    </row>
    <row r="67" spans="1:6" x14ac:dyDescent="0.35">
      <c r="A67" s="29" t="s">
        <v>83</v>
      </c>
      <c r="B67" s="31">
        <v>2658.3333333333298</v>
      </c>
      <c r="C67" s="32">
        <v>4592</v>
      </c>
      <c r="D67" s="27">
        <v>28.047932676623283</v>
      </c>
      <c r="E67" s="30">
        <v>350</v>
      </c>
      <c r="F67" s="30">
        <v>26</v>
      </c>
    </row>
    <row r="68" spans="1:6" x14ac:dyDescent="0.35">
      <c r="A68" s="29" t="s">
        <v>84</v>
      </c>
      <c r="B68" s="31">
        <v>17413.888888888898</v>
      </c>
      <c r="C68" s="32">
        <v>2103</v>
      </c>
      <c r="D68" s="27">
        <v>28.047932676623283</v>
      </c>
      <c r="E68" s="30">
        <v>9000</v>
      </c>
      <c r="F68" s="30">
        <v>26</v>
      </c>
    </row>
    <row r="69" spans="1:6" x14ac:dyDescent="0.35">
      <c r="A69" s="29" t="s">
        <v>85</v>
      </c>
      <c r="B69" s="31">
        <v>2767.5</v>
      </c>
      <c r="C69" s="32">
        <v>2103</v>
      </c>
      <c r="D69" s="27">
        <v>28.047932676623283</v>
      </c>
      <c r="E69" s="30">
        <v>519</v>
      </c>
      <c r="F69" s="30">
        <v>26</v>
      </c>
    </row>
    <row r="70" spans="1:6" x14ac:dyDescent="0.35">
      <c r="A70" s="29" t="s">
        <v>86</v>
      </c>
      <c r="B70" s="31">
        <v>5601.4285714285697</v>
      </c>
      <c r="C70" s="32">
        <v>4592</v>
      </c>
      <c r="D70" s="27">
        <v>28.047932676623283</v>
      </c>
      <c r="E70" s="30">
        <v>14091</v>
      </c>
      <c r="F70" s="30">
        <v>26</v>
      </c>
    </row>
    <row r="71" spans="1:6" x14ac:dyDescent="0.35">
      <c r="A71" s="29" t="s">
        <v>87</v>
      </c>
      <c r="B71" s="31">
        <v>9324.5</v>
      </c>
      <c r="C71" s="32">
        <v>2297</v>
      </c>
      <c r="D71" s="27">
        <v>28.047932676623283</v>
      </c>
      <c r="E71" s="30">
        <v>4455</v>
      </c>
      <c r="F71" s="30">
        <v>26</v>
      </c>
    </row>
    <row r="72" spans="1:6" x14ac:dyDescent="0.35">
      <c r="A72" s="29" t="s">
        <v>88</v>
      </c>
      <c r="B72" s="31">
        <v>2337.0714285714303</v>
      </c>
      <c r="C72" s="32">
        <v>2616</v>
      </c>
      <c r="D72" s="27">
        <v>28.047932676623283</v>
      </c>
      <c r="E72" s="30">
        <v>10501</v>
      </c>
      <c r="F72" s="30">
        <v>26</v>
      </c>
    </row>
    <row r="73" spans="1:6" x14ac:dyDescent="0.35">
      <c r="A73" s="29" t="s">
        <v>89</v>
      </c>
      <c r="B73" s="31">
        <v>6933.3333333333303</v>
      </c>
      <c r="C73" s="32">
        <v>1419</v>
      </c>
      <c r="D73" s="27">
        <v>28.047932676623283</v>
      </c>
      <c r="E73" s="30">
        <v>3725</v>
      </c>
      <c r="F73" s="30">
        <v>26</v>
      </c>
    </row>
    <row r="74" spans="1:6" x14ac:dyDescent="0.35">
      <c r="A74" s="29" t="s">
        <v>90</v>
      </c>
      <c r="B74" s="31">
        <v>1725</v>
      </c>
      <c r="C74" s="32">
        <v>2616</v>
      </c>
      <c r="D74" s="27">
        <v>28.047932676623283</v>
      </c>
      <c r="E74" s="30">
        <v>350</v>
      </c>
      <c r="F74" s="30">
        <v>26</v>
      </c>
    </row>
    <row r="75" spans="1:6" x14ac:dyDescent="0.35">
      <c r="A75" s="29" t="s">
        <v>94</v>
      </c>
      <c r="B75" s="31">
        <v>3759</v>
      </c>
      <c r="C75" s="32">
        <v>7550</v>
      </c>
      <c r="D75" s="27">
        <v>28.047932676623283</v>
      </c>
      <c r="E75" s="30">
        <v>4893</v>
      </c>
      <c r="F75" s="30">
        <v>26</v>
      </c>
    </row>
    <row r="76" spans="1:6" x14ac:dyDescent="0.35">
      <c r="A76" s="29" t="s">
        <v>95</v>
      </c>
      <c r="B76" s="31">
        <v>787.5</v>
      </c>
      <c r="C76" s="32">
        <v>7550</v>
      </c>
      <c r="D76" s="27">
        <v>28.047932676623283</v>
      </c>
      <c r="E76" s="30">
        <v>1575</v>
      </c>
      <c r="F76" s="30">
        <v>26</v>
      </c>
    </row>
    <row r="77" spans="1:6" x14ac:dyDescent="0.35">
      <c r="A77" s="29" t="s">
        <v>96</v>
      </c>
      <c r="B77" s="30">
        <v>2065</v>
      </c>
      <c r="C77" s="32">
        <v>4592</v>
      </c>
      <c r="D77" s="27">
        <v>28.047932676623283</v>
      </c>
      <c r="E77" s="30">
        <v>0</v>
      </c>
      <c r="F77" s="30">
        <v>26</v>
      </c>
    </row>
    <row r="78" spans="1:6" x14ac:dyDescent="0.35">
      <c r="A78" s="29" t="s">
        <v>97</v>
      </c>
      <c r="B78" s="31">
        <v>1875</v>
      </c>
      <c r="C78" s="32">
        <v>2297</v>
      </c>
      <c r="D78" s="27">
        <v>28.047932676623283</v>
      </c>
      <c r="E78" s="30">
        <v>1250</v>
      </c>
      <c r="F78" s="30">
        <v>26</v>
      </c>
    </row>
    <row r="79" spans="1:6" x14ac:dyDescent="0.35">
      <c r="A79" s="29" t="s">
        <v>147</v>
      </c>
      <c r="B79" s="31">
        <v>750</v>
      </c>
      <c r="C79" s="32">
        <v>2616</v>
      </c>
      <c r="D79" s="27">
        <v>28.047932676623283</v>
      </c>
      <c r="E79" s="30">
        <v>3000</v>
      </c>
      <c r="F79" s="30">
        <v>26</v>
      </c>
    </row>
    <row r="80" spans="1:6" x14ac:dyDescent="0.35">
      <c r="A80" s="29" t="s">
        <v>148</v>
      </c>
      <c r="B80" s="31">
        <v>1267.6000000000001</v>
      </c>
      <c r="C80" s="32">
        <v>1419</v>
      </c>
      <c r="D80" s="27">
        <v>28.047932676623283</v>
      </c>
      <c r="E80" s="30">
        <v>1873</v>
      </c>
      <c r="F80" s="30">
        <v>26</v>
      </c>
    </row>
    <row r="81" spans="1:6" x14ac:dyDescent="0.35">
      <c r="A81" s="29" t="s">
        <v>101</v>
      </c>
      <c r="B81" s="31">
        <v>904</v>
      </c>
      <c r="C81" s="32">
        <v>2616</v>
      </c>
      <c r="D81" s="27">
        <v>28.047932676623283</v>
      </c>
      <c r="E81" s="30">
        <v>1400</v>
      </c>
      <c r="F81" s="30">
        <v>26</v>
      </c>
    </row>
    <row r="82" spans="1:6" x14ac:dyDescent="0.35">
      <c r="A82" s="29" t="s">
        <v>102</v>
      </c>
      <c r="B82" s="30">
        <v>950</v>
      </c>
      <c r="C82" s="32">
        <v>4592</v>
      </c>
      <c r="D82" s="27">
        <v>28.047932676623283</v>
      </c>
      <c r="E82" s="30">
        <v>0</v>
      </c>
      <c r="F82" s="30">
        <v>26</v>
      </c>
    </row>
    <row r="83" spans="1:6" x14ac:dyDescent="0.35">
      <c r="A83" s="29" t="s">
        <v>103</v>
      </c>
      <c r="B83" s="30">
        <v>1225</v>
      </c>
      <c r="C83" s="32">
        <v>2297</v>
      </c>
      <c r="D83" s="27">
        <v>28.047932676623283</v>
      </c>
      <c r="E83" s="30">
        <v>0</v>
      </c>
      <c r="F83" s="30">
        <v>26</v>
      </c>
    </row>
    <row r="84" spans="1:6" x14ac:dyDescent="0.35">
      <c r="A84" s="29" t="s">
        <v>104</v>
      </c>
      <c r="B84" s="31">
        <v>0</v>
      </c>
      <c r="C84" s="32">
        <v>2616</v>
      </c>
      <c r="D84" s="27">
        <v>28.047932676623283</v>
      </c>
      <c r="E84" s="30">
        <v>1050</v>
      </c>
      <c r="F84" s="30">
        <v>26</v>
      </c>
    </row>
    <row r="85" spans="1:6" x14ac:dyDescent="0.35">
      <c r="A85" s="29" t="s">
        <v>105</v>
      </c>
      <c r="B85" s="31">
        <v>1503.125</v>
      </c>
      <c r="C85" s="32">
        <v>1419</v>
      </c>
      <c r="D85" s="27">
        <v>28.047932676623283</v>
      </c>
      <c r="E85" s="30">
        <v>2075</v>
      </c>
      <c r="F85" s="30">
        <v>26</v>
      </c>
    </row>
    <row r="86" spans="1:6" x14ac:dyDescent="0.35">
      <c r="A86" s="29" t="s">
        <v>107</v>
      </c>
      <c r="B86" s="31">
        <v>900</v>
      </c>
      <c r="C86" s="32">
        <v>1419</v>
      </c>
      <c r="D86" s="27">
        <v>28.047932676623283</v>
      </c>
      <c r="E86" s="30">
        <v>2500</v>
      </c>
      <c r="F86" s="30">
        <v>26</v>
      </c>
    </row>
    <row r="87" spans="1:6" x14ac:dyDescent="0.35">
      <c r="A87" s="29" t="s">
        <v>108</v>
      </c>
      <c r="B87" s="31">
        <v>1000</v>
      </c>
      <c r="C87" s="32">
        <v>1968</v>
      </c>
      <c r="D87" s="27">
        <v>28.047932676623283</v>
      </c>
      <c r="E87" s="30">
        <v>3000</v>
      </c>
      <c r="F87" s="30">
        <v>26</v>
      </c>
    </row>
    <row r="88" spans="1:6" x14ac:dyDescent="0.35">
      <c r="A88" s="29" t="s">
        <v>109</v>
      </c>
      <c r="B88" s="31">
        <v>510</v>
      </c>
      <c r="C88" s="32">
        <v>1968</v>
      </c>
      <c r="D88" s="27">
        <v>28.047932676623283</v>
      </c>
      <c r="E88" s="30">
        <v>275</v>
      </c>
      <c r="F88" s="30">
        <v>26</v>
      </c>
    </row>
    <row r="89" spans="1:6" x14ac:dyDescent="0.35">
      <c r="A89" s="29" t="s">
        <v>132</v>
      </c>
      <c r="B89" s="31">
        <v>1375</v>
      </c>
      <c r="C89" s="32">
        <v>1968</v>
      </c>
      <c r="D89" s="27">
        <v>28.047932676623283</v>
      </c>
      <c r="E89" s="30">
        <v>275</v>
      </c>
      <c r="F89" s="30">
        <v>26</v>
      </c>
    </row>
    <row r="90" spans="1:6" x14ac:dyDescent="0.35">
      <c r="A90" s="29" t="s">
        <v>133</v>
      </c>
      <c r="B90" s="31">
        <v>1322.5</v>
      </c>
      <c r="C90" s="32">
        <v>2157</v>
      </c>
      <c r="D90" s="27">
        <v>28.047932676623283</v>
      </c>
      <c r="E90" s="30">
        <v>3421</v>
      </c>
      <c r="F90" s="30">
        <v>26</v>
      </c>
    </row>
    <row r="91" spans="1:6" x14ac:dyDescent="0.35">
      <c r="A91" s="29" t="s">
        <v>134</v>
      </c>
      <c r="B91" s="31">
        <v>1125</v>
      </c>
      <c r="C91" s="32">
        <v>2031</v>
      </c>
      <c r="D91" s="27">
        <v>28.047932676623283</v>
      </c>
      <c r="E91" s="30">
        <v>100</v>
      </c>
      <c r="F91" s="30">
        <v>26</v>
      </c>
    </row>
    <row r="92" spans="1:6" x14ac:dyDescent="0.35">
      <c r="A92" s="29" t="s">
        <v>135</v>
      </c>
      <c r="B92" s="31">
        <v>1000</v>
      </c>
      <c r="C92" s="32">
        <v>2031</v>
      </c>
      <c r="D92" s="27">
        <v>28.047932676623283</v>
      </c>
      <c r="E92" s="30">
        <v>500</v>
      </c>
      <c r="F92" s="30">
        <v>26</v>
      </c>
    </row>
    <row r="93" spans="1:6" x14ac:dyDescent="0.35">
      <c r="A93" s="29" t="s">
        <v>111</v>
      </c>
      <c r="B93" s="31">
        <v>5533.9285714285697</v>
      </c>
      <c r="C93" s="32">
        <v>4592</v>
      </c>
      <c r="D93" s="27">
        <v>28.047932676623283</v>
      </c>
      <c r="E93" s="30">
        <v>10075</v>
      </c>
      <c r="F93" s="30">
        <v>26</v>
      </c>
    </row>
    <row r="94" spans="1:6" x14ac:dyDescent="0.35">
      <c r="A94" s="29" t="s">
        <v>112</v>
      </c>
      <c r="B94" s="31">
        <v>1263.6666666666702</v>
      </c>
      <c r="C94" s="32">
        <v>2297</v>
      </c>
      <c r="D94" s="27">
        <v>28.047932676623283</v>
      </c>
      <c r="E94" s="30">
        <v>675</v>
      </c>
      <c r="F94" s="30">
        <v>26</v>
      </c>
    </row>
    <row r="95" spans="1:6" x14ac:dyDescent="0.35">
      <c r="A95" s="29" t="s">
        <v>113</v>
      </c>
      <c r="B95" s="30">
        <v>24</v>
      </c>
      <c r="C95" s="32">
        <v>2616</v>
      </c>
      <c r="D95" s="27">
        <v>28.047932676623283</v>
      </c>
      <c r="E95" s="30">
        <v>0</v>
      </c>
      <c r="F95" s="30">
        <v>26</v>
      </c>
    </row>
    <row r="96" spans="1:6" x14ac:dyDescent="0.35">
      <c r="A96" s="29" t="s">
        <v>159</v>
      </c>
      <c r="B96" s="31">
        <v>260</v>
      </c>
      <c r="C96" s="32">
        <v>1419</v>
      </c>
      <c r="D96" s="27">
        <v>28.047932676623283</v>
      </c>
      <c r="E96" s="30">
        <v>1020</v>
      </c>
      <c r="F96" s="30">
        <v>26</v>
      </c>
    </row>
    <row r="97" spans="1:6" x14ac:dyDescent="0.35">
      <c r="A97" s="29" t="s">
        <v>114</v>
      </c>
      <c r="B97" s="31">
        <v>1465.3333333333301</v>
      </c>
      <c r="C97" s="32">
        <v>2616</v>
      </c>
      <c r="D97" s="27">
        <v>28.047932676623283</v>
      </c>
      <c r="E97" s="30">
        <v>530</v>
      </c>
      <c r="F97" s="30">
        <v>26</v>
      </c>
    </row>
    <row r="98" spans="1:6" x14ac:dyDescent="0.35">
      <c r="A98" s="29" t="s">
        <v>115</v>
      </c>
      <c r="B98" s="31">
        <v>1910.3333333333301</v>
      </c>
      <c r="C98" s="32">
        <v>2246</v>
      </c>
      <c r="D98" s="27">
        <v>28.047932676623283</v>
      </c>
      <c r="E98" s="30">
        <v>1573</v>
      </c>
      <c r="F98" s="30">
        <v>26</v>
      </c>
    </row>
    <row r="99" spans="1:6" x14ac:dyDescent="0.35">
      <c r="A99" s="29" t="s">
        <v>152</v>
      </c>
      <c r="B99" s="31">
        <v>1259.8</v>
      </c>
      <c r="C99" s="32">
        <v>2355</v>
      </c>
      <c r="D99" s="27">
        <v>28.047932676623283</v>
      </c>
      <c r="E99" s="30">
        <v>1203</v>
      </c>
      <c r="F99" s="30">
        <v>26</v>
      </c>
    </row>
    <row r="100" spans="1:6" x14ac:dyDescent="0.35">
      <c r="A100" s="29" t="s">
        <v>117</v>
      </c>
      <c r="B100" s="31">
        <v>655</v>
      </c>
      <c r="C100" s="32">
        <v>2031</v>
      </c>
      <c r="D100" s="27">
        <v>28.047932676623283</v>
      </c>
      <c r="E100" s="30">
        <v>50</v>
      </c>
      <c r="F100" s="30">
        <v>26</v>
      </c>
    </row>
    <row r="101" spans="1:6" x14ac:dyDescent="0.35">
      <c r="A101" s="29" t="s">
        <v>118</v>
      </c>
      <c r="B101" s="31">
        <v>1203.125</v>
      </c>
      <c r="C101" s="32">
        <v>2108</v>
      </c>
      <c r="D101" s="27">
        <v>28.047932676623283</v>
      </c>
      <c r="E101" s="30">
        <v>3625</v>
      </c>
      <c r="F101" s="30">
        <v>26</v>
      </c>
    </row>
    <row r="102" spans="1:6" x14ac:dyDescent="0.35">
      <c r="A102" s="29" t="s">
        <v>119</v>
      </c>
      <c r="B102" s="31">
        <v>5586.6666666666697</v>
      </c>
      <c r="C102" s="32">
        <v>2173</v>
      </c>
      <c r="D102" s="27">
        <v>28.047932676623283</v>
      </c>
      <c r="E102" s="30">
        <v>6480</v>
      </c>
      <c r="F102" s="30">
        <v>26</v>
      </c>
    </row>
    <row r="103" spans="1:6" x14ac:dyDescent="0.35">
      <c r="A103" s="29" t="s">
        <v>120</v>
      </c>
      <c r="B103" s="31">
        <v>22152</v>
      </c>
      <c r="C103" s="32">
        <v>2503</v>
      </c>
      <c r="D103" s="27">
        <v>28.047932676623283</v>
      </c>
      <c r="E103" s="30">
        <v>6055</v>
      </c>
      <c r="F103" s="30">
        <v>26</v>
      </c>
    </row>
    <row r="104" spans="1:6" x14ac:dyDescent="0.35">
      <c r="A104" s="29" t="s">
        <v>186</v>
      </c>
      <c r="B104" s="31">
        <v>5790.625</v>
      </c>
      <c r="C104" s="32">
        <v>2355</v>
      </c>
      <c r="D104" s="27">
        <v>28.047932676623283</v>
      </c>
      <c r="E104" s="30">
        <v>15857</v>
      </c>
      <c r="F104" s="30">
        <v>26</v>
      </c>
    </row>
    <row r="105" spans="1:6" x14ac:dyDescent="0.35">
      <c r="A105" s="29" t="s">
        <v>187</v>
      </c>
      <c r="B105" s="31">
        <v>10989.285714285701</v>
      </c>
      <c r="C105" s="32">
        <v>2216</v>
      </c>
      <c r="D105" s="27">
        <v>28.047932676623283</v>
      </c>
      <c r="E105" s="30">
        <v>4300</v>
      </c>
      <c r="F105" s="30">
        <v>26</v>
      </c>
    </row>
    <row r="106" spans="1:6" x14ac:dyDescent="0.35">
      <c r="A106" s="29" t="s">
        <v>121</v>
      </c>
      <c r="B106" s="31">
        <v>3828.125</v>
      </c>
      <c r="C106" s="32">
        <v>1968</v>
      </c>
      <c r="D106" s="27">
        <v>28.047932676623283</v>
      </c>
      <c r="E106" s="30">
        <v>17165</v>
      </c>
      <c r="F106" s="30">
        <v>26</v>
      </c>
    </row>
    <row r="107" spans="1:6" x14ac:dyDescent="0.35">
      <c r="A107" s="29" t="s">
        <v>122</v>
      </c>
      <c r="B107" s="31">
        <v>735</v>
      </c>
      <c r="C107" s="32">
        <v>2297</v>
      </c>
      <c r="D107" s="27">
        <v>28.047932676623283</v>
      </c>
      <c r="E107" s="30">
        <v>6983</v>
      </c>
      <c r="F107" s="30">
        <v>26</v>
      </c>
    </row>
    <row r="108" spans="1:6" x14ac:dyDescent="0.35">
      <c r="A108" s="29" t="s">
        <v>123</v>
      </c>
      <c r="B108" s="31">
        <v>7186.0769230769201</v>
      </c>
      <c r="C108" s="32">
        <v>2616</v>
      </c>
      <c r="D108" s="27">
        <v>28.047932676623283</v>
      </c>
      <c r="E108" s="30">
        <v>20332</v>
      </c>
      <c r="F108" s="30">
        <v>26</v>
      </c>
    </row>
    <row r="109" spans="1:6" x14ac:dyDescent="0.35">
      <c r="A109" s="29" t="s">
        <v>124</v>
      </c>
      <c r="B109" s="31">
        <v>5891.6666666666697</v>
      </c>
      <c r="C109" s="32">
        <v>2355</v>
      </c>
      <c r="D109" s="27">
        <v>28.047932676623283</v>
      </c>
      <c r="E109" s="30">
        <v>3518</v>
      </c>
      <c r="F109" s="30">
        <v>26</v>
      </c>
    </row>
    <row r="110" spans="1:6" x14ac:dyDescent="0.35">
      <c r="A110" s="29" t="s">
        <v>125</v>
      </c>
      <c r="B110" s="30">
        <v>7315</v>
      </c>
      <c r="C110" s="32">
        <v>2372</v>
      </c>
      <c r="D110" s="27">
        <v>28.047932676623283</v>
      </c>
      <c r="E110" s="30">
        <v>0</v>
      </c>
      <c r="F110" s="30">
        <v>26</v>
      </c>
    </row>
    <row r="111" spans="1:6" x14ac:dyDescent="0.35">
      <c r="A111" s="29" t="s">
        <v>136</v>
      </c>
      <c r="B111" s="31">
        <v>2260</v>
      </c>
      <c r="C111" s="32">
        <v>3482</v>
      </c>
      <c r="D111" s="27">
        <v>28.047932676623283</v>
      </c>
      <c r="E111" s="30">
        <v>4090</v>
      </c>
      <c r="F111" s="30">
        <v>26</v>
      </c>
    </row>
    <row r="112" spans="1:6" x14ac:dyDescent="0.35">
      <c r="A112" s="29" t="s">
        <v>137</v>
      </c>
      <c r="B112" s="31">
        <v>4976.4615384615399</v>
      </c>
      <c r="C112" s="32">
        <v>2555</v>
      </c>
      <c r="D112" s="27">
        <v>28.047932676623283</v>
      </c>
      <c r="E112" s="30">
        <v>31466</v>
      </c>
      <c r="F112" s="30">
        <v>26</v>
      </c>
    </row>
    <row r="113" spans="1:6" x14ac:dyDescent="0.35">
      <c r="A113" s="29" t="s">
        <v>188</v>
      </c>
      <c r="B113" s="31">
        <v>9155.5555555555602</v>
      </c>
      <c r="C113" s="32">
        <v>3665</v>
      </c>
      <c r="D113" s="27">
        <v>28.047932676623283</v>
      </c>
      <c r="E113" s="30">
        <v>31450</v>
      </c>
      <c r="F113" s="30">
        <v>26</v>
      </c>
    </row>
    <row r="114" spans="1:6" x14ac:dyDescent="0.35">
      <c r="A114" s="29" t="s">
        <v>128</v>
      </c>
      <c r="B114" s="31">
        <v>17668.5769230769</v>
      </c>
      <c r="C114" s="32">
        <v>994</v>
      </c>
      <c r="D114" s="27">
        <v>28.047932676623283</v>
      </c>
      <c r="E114" s="30">
        <v>72175</v>
      </c>
      <c r="F114" s="30">
        <v>26</v>
      </c>
    </row>
    <row r="115" spans="1:6" x14ac:dyDescent="0.35">
      <c r="A115" s="29" t="s">
        <v>138</v>
      </c>
      <c r="B115" s="31">
        <v>5167.6000000000004</v>
      </c>
      <c r="C115" s="32">
        <v>994</v>
      </c>
      <c r="D115" s="27">
        <v>28.047932676623283</v>
      </c>
      <c r="E115" s="30">
        <v>4414</v>
      </c>
      <c r="F115" s="30">
        <v>26</v>
      </c>
    </row>
    <row r="116" spans="1:6" x14ac:dyDescent="0.35">
      <c r="A116" s="29" t="s">
        <v>139</v>
      </c>
      <c r="B116" s="31">
        <v>9908</v>
      </c>
      <c r="C116" s="32">
        <v>3489</v>
      </c>
      <c r="D116" s="27">
        <v>28.047932676623283</v>
      </c>
      <c r="E116" s="30">
        <v>5250</v>
      </c>
      <c r="F116" s="30">
        <v>26</v>
      </c>
    </row>
    <row r="117" spans="1:6" x14ac:dyDescent="0.35">
      <c r="A117" s="29" t="s">
        <v>140</v>
      </c>
      <c r="B117" s="31">
        <v>8839</v>
      </c>
      <c r="C117" s="32">
        <v>3162</v>
      </c>
      <c r="D117" s="27">
        <v>28.047932676623283</v>
      </c>
      <c r="E117" s="30">
        <v>7490</v>
      </c>
      <c r="F117" s="30">
        <v>26</v>
      </c>
    </row>
    <row r="118" spans="1:6" x14ac:dyDescent="0.35">
      <c r="A118" s="29" t="s">
        <v>189</v>
      </c>
      <c r="B118" s="31">
        <v>2125</v>
      </c>
      <c r="C118" s="32">
        <v>3567</v>
      </c>
      <c r="D118" s="27">
        <v>28.047932676623283</v>
      </c>
      <c r="E118" s="30">
        <v>15000</v>
      </c>
      <c r="F118" s="30">
        <v>26</v>
      </c>
    </row>
    <row r="119" spans="1:6" x14ac:dyDescent="0.35">
      <c r="A119" s="29" t="s">
        <v>141</v>
      </c>
      <c r="B119" s="31">
        <v>3777.7777777777801</v>
      </c>
      <c r="C119" s="32">
        <v>3850</v>
      </c>
      <c r="D119" s="27">
        <v>28.047932676623283</v>
      </c>
      <c r="E119" s="30">
        <v>15000</v>
      </c>
      <c r="F119" s="30">
        <v>26</v>
      </c>
    </row>
    <row r="120" spans="1:6" x14ac:dyDescent="0.35">
      <c r="A120" s="29" t="s">
        <v>155</v>
      </c>
      <c r="B120" s="31">
        <v>2769.6</v>
      </c>
      <c r="C120" s="32">
        <v>1402</v>
      </c>
      <c r="D120" s="27">
        <v>28.047932676623283</v>
      </c>
      <c r="E120" s="30">
        <v>19242</v>
      </c>
      <c r="F120" s="30">
        <v>26</v>
      </c>
    </row>
    <row r="121" spans="1:6" x14ac:dyDescent="0.35">
      <c r="A121" s="29" t="s">
        <v>156</v>
      </c>
      <c r="B121" s="31">
        <v>0</v>
      </c>
      <c r="C121" s="32">
        <v>6112</v>
      </c>
      <c r="D121" s="27">
        <v>28.047932676623283</v>
      </c>
      <c r="E121" s="30">
        <v>0</v>
      </c>
      <c r="F121" s="30">
        <v>0</v>
      </c>
    </row>
    <row r="122" spans="1:6" x14ac:dyDescent="0.35">
      <c r="A122" s="29" t="s">
        <v>153</v>
      </c>
      <c r="B122" s="31">
        <v>14148.800000000001</v>
      </c>
      <c r="C122" s="32">
        <v>2392</v>
      </c>
      <c r="D122" s="27">
        <v>28.047932676623283</v>
      </c>
      <c r="E122" s="30">
        <v>15626</v>
      </c>
      <c r="F122" s="30">
        <v>26</v>
      </c>
    </row>
    <row r="123" spans="1:6" x14ac:dyDescent="0.35">
      <c r="A123" s="29" t="s">
        <v>157</v>
      </c>
      <c r="B123" s="31">
        <v>1000</v>
      </c>
      <c r="C123" s="32">
        <v>2651</v>
      </c>
      <c r="D123" s="27">
        <v>28.047932676623283</v>
      </c>
      <c r="E123" s="30">
        <v>0</v>
      </c>
      <c r="F123" s="30">
        <v>26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E1" workbookViewId="0">
      <selection activeCell="E8" sqref="E8"/>
    </sheetView>
  </sheetViews>
  <sheetFormatPr defaultColWidth="14.453125" defaultRowHeight="15" customHeight="1" x14ac:dyDescent="0.35"/>
  <cols>
    <col min="1" max="1" width="26.81640625" customWidth="1"/>
    <col min="2" max="2" width="21.54296875" customWidth="1"/>
    <col min="3" max="3" width="21.26953125" customWidth="1"/>
    <col min="4" max="4" width="21.54296875" customWidth="1"/>
    <col min="5" max="5" width="20.26953125" customWidth="1"/>
    <col min="6" max="8" width="21.54296875" customWidth="1"/>
    <col min="9" max="9" width="15.54296875" customWidth="1"/>
  </cols>
  <sheetData>
    <row r="1" spans="1:26" ht="17.25" customHeight="1" x14ac:dyDescent="0.35">
      <c r="A1" s="9" t="s">
        <v>160</v>
      </c>
      <c r="B1" s="10" t="s">
        <v>161</v>
      </c>
      <c r="C1" s="10" t="s">
        <v>162</v>
      </c>
      <c r="D1" s="10" t="s">
        <v>163</v>
      </c>
      <c r="E1" s="10" t="s">
        <v>164</v>
      </c>
      <c r="F1" s="10" t="s">
        <v>165</v>
      </c>
      <c r="G1" s="10" t="s">
        <v>166</v>
      </c>
      <c r="H1" s="10" t="s">
        <v>167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7.25" customHeight="1" x14ac:dyDescent="0.35">
      <c r="A2" s="10" t="s">
        <v>168</v>
      </c>
      <c r="B2" s="12">
        <v>4987902</v>
      </c>
      <c r="C2" s="12">
        <v>5448887</v>
      </c>
      <c r="D2" s="12">
        <v>5818323</v>
      </c>
      <c r="E2" s="12">
        <v>3631283</v>
      </c>
      <c r="F2" s="12">
        <v>6497337</v>
      </c>
      <c r="G2" s="12">
        <v>4902276</v>
      </c>
      <c r="H2" s="12">
        <v>4797145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7.25" customHeight="1" x14ac:dyDescent="0.35">
      <c r="A3" s="10" t="s">
        <v>169</v>
      </c>
      <c r="B3" s="13">
        <v>10834932241</v>
      </c>
      <c r="C3" s="13">
        <v>11931412377</v>
      </c>
      <c r="D3" s="13">
        <v>13492280520</v>
      </c>
      <c r="E3" s="13">
        <v>8013939155</v>
      </c>
      <c r="F3" s="13">
        <v>14220724127</v>
      </c>
      <c r="G3" s="13">
        <v>10488994582</v>
      </c>
      <c r="H3" s="13">
        <v>10321575540</v>
      </c>
      <c r="I3" s="14" t="s">
        <v>170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7.25" customHeight="1" x14ac:dyDescent="0.35">
      <c r="A4" s="10" t="s">
        <v>171</v>
      </c>
      <c r="B4" s="15">
        <v>26.975269361747685</v>
      </c>
      <c r="C4" s="15">
        <v>24.693116227222184</v>
      </c>
      <c r="D4" s="15">
        <v>23.125220102080959</v>
      </c>
      <c r="E4" s="15">
        <v>37.053019552593398</v>
      </c>
      <c r="F4" s="15">
        <v>20.708484106642459</v>
      </c>
      <c r="G4" s="15">
        <v>27.446435084438331</v>
      </c>
      <c r="H4" s="15">
        <v>28.047932676623283</v>
      </c>
      <c r="I4" s="16">
        <v>26.8642110159069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7.25" customHeight="1" x14ac:dyDescent="0.35">
      <c r="A5" s="10" t="s">
        <v>172</v>
      </c>
      <c r="B5" s="17">
        <v>1.2418167184364582E-2</v>
      </c>
      <c r="C5" s="17">
        <v>1.1276954961289408E-2</v>
      </c>
      <c r="D5" s="17">
        <v>9.9723690002259165E-3</v>
      </c>
      <c r="E5" s="17">
        <v>1.6789496076477263E-2</v>
      </c>
      <c r="F5" s="17">
        <v>9.4615435049849768E-3</v>
      </c>
      <c r="G5" s="17">
        <v>1.2827730908632477E-2</v>
      </c>
      <c r="H5" s="17">
        <v>1.3035800540195435E-2</v>
      </c>
      <c r="I5" s="17">
        <v>1.2254580310881434E-2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7.25" customHeight="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7.25" customHeight="1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7.25" customHeight="1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7.25" customHeight="1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7.25" customHeight="1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7.25" customHeight="1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7.25" customHeight="1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7.25" customHeight="1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7.25" customHeight="1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7.25" customHeight="1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7.25" customHeight="1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25" customHeight="1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7.25" customHeight="1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7.25" customHeight="1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7.25" customHeight="1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7.25" customHeight="1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7.25" customHeight="1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7.25" customHeight="1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7.25" customHeight="1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7.25" customHeight="1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7.25" customHeight="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7.25" customHeigh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7.25" customHeight="1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7.25" customHeigh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7.25" customHeight="1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7.25" customHeight="1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7.25" customHeight="1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7.25" customHeight="1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7.25" customHeight="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7.25" customHeight="1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7.25" customHeigh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7.25" customHeigh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7.25" customHeigh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7.25" customHeigh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7.25" customHeigh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7.25" customHeight="1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7.25" customHeight="1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7.25" customHeigh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7.25" customHeight="1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7.25" customHeight="1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7.25" customHeigh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7.25" customHeight="1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7.25" customHeigh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7.25" customHeight="1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7.25" customHeight="1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7.25" customHeight="1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7.25" customHeigh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7.25" customHeigh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7.25" customHeigh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7.25" customHeigh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7.25" customHeigh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7.25" customHeigh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7.25" customHeigh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7.25" customHeight="1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7.25" customHeight="1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7.25" customHeigh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7.25" customHeigh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7.25" customHeigh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7.25" customHeight="1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7.25" customHeigh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7.25" customHeight="1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7.25" customHeight="1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7.25" customHeight="1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7.25" customHeight="1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7.25" customHeight="1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7.25" customHeight="1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7.25" customHeight="1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7.25" customHeight="1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7.25" customHeight="1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7.25" customHeight="1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7.25" customHeight="1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7.25" customHeight="1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7.25" customHeight="1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7.25" customHeight="1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7.25" customHeight="1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7.25" customHeight="1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7.25" customHeight="1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7.25" customHeight="1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7.25" customHeight="1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7.25" customHeigh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7.25" customHeigh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7.25" customHeigh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7.25" customHeigh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7.25" customHeigh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7.25" customHeigh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7.25" customHeigh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7.25" customHeigh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7.25" customHeigh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7.25" customHeight="1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7.25" customHeight="1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7.25" customHeigh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7.25" customHeigh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7.25" customHeigh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7.25" customHeigh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7.25" customHeigh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7.25" customHeigh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7.25" customHeigh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7.25" customHeigh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7.25" customHeigh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7.25" customHeigh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7.25" customHeigh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7.25" customHeigh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7.25" customHeigh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7.25" customHeigh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7.25" customHeigh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7.25" customHeigh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7.25" customHeigh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7.25" customHeigh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7.25" customHeigh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7.25" customHeigh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7.25" customHeigh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7.25" customHeigh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7.25" customHeigh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7.25" customHeigh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7.25" customHeigh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7.25" customHeigh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7.25" customHeigh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7.25" customHeigh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7.25" customHeigh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7.25" customHeigh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7.25" customHeigh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7.25" customHeigh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7.25" customHeigh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7.25" customHeigh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7.25" customHeigh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7.25" customHeigh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7.25" customHeigh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7.25" customHeigh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7.25" customHeigh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7.25" customHeigh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7.25" customHeigh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7.25" customHeigh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7.25" customHeigh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7.25" customHeigh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7.25" customHeigh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7.25" customHeigh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7.25" customHeigh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7.25" customHeigh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7.25" customHeigh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7.25" customHeigh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7.25" customHeigh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7.25" customHeigh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7.25" customHeigh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7.25" customHeigh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7.25" customHeigh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7.25" customHeigh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7.25" customHeigh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7.25" customHeigh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7.25" customHeigh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7.25" customHeigh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7.25" customHeigh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7.25" customHeigh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7.25" customHeigh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7.25" customHeigh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7.25" customHeigh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7.25" customHeigh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7.25" customHeigh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7.25" customHeigh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7.25" customHeigh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7.25" customHeigh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7.25" customHeigh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7.25" customHeigh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7.25" customHeigh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7.25" customHeigh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7.25" customHeigh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7.25" customHeigh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7.25" customHeigh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7.25" customHeigh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7.25" customHeigh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7.25" customHeigh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7.25" customHeigh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7.25" customHeigh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7.25" customHeigh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7.25" customHeigh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7.25" customHeigh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7.25" customHeigh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7.25" customHeigh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7.25" customHeigh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7.25" customHeigh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7.25" customHeigh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7.25" customHeigh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7.25" customHeigh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7.25" customHeigh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7.25" customHeigh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7.25" customHeigh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7.25" customHeigh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7.25" customHeigh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7.25" customHeigh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7.25" customHeigh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7.25" customHeigh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7.25" customHeigh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7.25" customHeigh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7.25" customHeigh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7.25" customHeigh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7.25" customHeigh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7.25" customHeigh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7.25" customHeigh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7.25" customHeigh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7.25" customHeigh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7.25" customHeigh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7.25" customHeigh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7.25" customHeigh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7.25" customHeigh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7.25" customHeigh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7.25" customHeigh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7.25" customHeigh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7.25" customHeigh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7.25" customHeigh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7.25" customHeigh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7.25" customHeigh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7.25" customHeigh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7.25" customHeigh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7.25" customHeigh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7.25" customHeigh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7.25" customHeigh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7.25" customHeight="1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7.25" customHeigh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7.25" customHeight="1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7.25" customHeigh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7.25" customHeight="1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7.25" customHeigh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7.25" customHeight="1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7.25" customHeigh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7.25" customHeight="1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7.25" customHeigh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7.25" customHeight="1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7.25" customHeigh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7.25" customHeight="1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7.25" customHeigh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7.25" customHeight="1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7.25" customHeigh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7.25" customHeight="1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7.25" customHeigh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7.25" customHeight="1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7.25" customHeigh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7.25" customHeight="1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7.25" customHeigh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7.25" customHeight="1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7.25" customHeigh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7.25" customHeight="1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7.25" customHeigh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7.25" customHeight="1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7.25" customHeigh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7.25" customHeight="1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7.25" customHeigh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7.25" customHeight="1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7.25" customHeigh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7.25" customHeight="1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7.25" customHeigh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7.25" customHeight="1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7.25" customHeigh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7.25" customHeight="1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7.25" customHeigh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7.25" customHeight="1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7.25" customHeigh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7.25" customHeight="1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7.25" customHeigh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7.25" customHeight="1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7.25" customHeigh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7.25" customHeight="1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7.25" customHeigh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7.25" customHeight="1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7.25" customHeigh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7.25" customHeight="1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7.25" customHeigh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7.25" customHeight="1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7.25" customHeigh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7.25" customHeight="1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7.25" customHeigh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7.25" customHeight="1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7.25" customHeigh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7.25" customHeight="1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7.25" customHeigh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7.25" customHeight="1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7.25" customHeigh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7.25" customHeight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7.25" customHeigh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7.25" customHeight="1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7.25" customHeigh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7.25" customHeight="1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7.25" customHeigh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7.25" customHeight="1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7.25" customHeigh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7.25" customHeight="1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7.25" customHeigh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7.25" customHeight="1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7.25" customHeigh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7.25" customHeight="1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7.25" customHeigh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7.25" customHeight="1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7.25" customHeigh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7.25" customHeight="1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7.25" customHeigh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7.25" customHeight="1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7.25" customHeigh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7.25" customHeight="1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7.25" customHeigh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7.25" customHeight="1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7.25" customHeigh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7.25" customHeight="1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7.25" customHeigh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7.25" customHeight="1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7.25" customHeigh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7.25" customHeight="1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7.25" customHeigh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7.25" customHeight="1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7.25" customHeigh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7.25" customHeight="1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7.25" customHeigh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7.25" customHeight="1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7.25" customHeigh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7.25" customHeight="1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7.25" customHeigh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7.25" customHeight="1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7.25" customHeigh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7.25" customHeight="1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7.25" customHeigh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7.25" customHeight="1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7.25" customHeigh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7.25" customHeight="1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7.25" customHeigh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7.25" customHeight="1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7.25" customHeigh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7.25" customHeight="1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7.25" customHeigh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7.25" customHeight="1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7.25" customHeigh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7.25" customHeight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7.25" customHeigh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7.25" customHeight="1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7.25" customHeigh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7.25" customHeight="1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7.25" customHeigh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7.25" customHeight="1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7.25" customHeigh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7.25" customHeight="1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7.25" customHeigh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7.25" customHeight="1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7.25" customHeigh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7.25" customHeight="1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7.25" customHeigh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7.25" customHeight="1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7.25" customHeigh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7.25" customHeight="1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7.25" customHeigh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7.25" customHeight="1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7.25" customHeigh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7.25" customHeight="1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7.25" customHeigh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7.25" customHeight="1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7.25" customHeigh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7.25" customHeight="1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7.25" customHeigh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7.25" customHeight="1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7.25" customHeigh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7.25" customHeight="1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7.25" customHeigh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7.25" customHeight="1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7.25" customHeigh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7.25" customHeight="1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7.25" customHeigh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7.25" customHeight="1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7.25" customHeigh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7.25" customHeight="1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7.25" customHeigh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7.25" customHeight="1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7.25" customHeigh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7.25" customHeight="1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7.25" customHeigh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7.25" customHeight="1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7.25" customHeigh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7.25" customHeight="1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7.25" customHeigh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7.25" customHeight="1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7.25" customHeigh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7.25" customHeight="1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7.25" customHeigh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7.25" customHeight="1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7.25" customHeigh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7.25" customHeigh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7.25" customHeigh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7.25" customHeigh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7.25" customHeigh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7.25" customHeigh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7.25" customHeigh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7.25" customHeigh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7.25" customHeigh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7.25" customHeigh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7.25" customHeigh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7.25" customHeigh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7.25" customHeigh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7.25" customHeigh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7.25" customHeigh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7.25" customHeigh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7.25" customHeigh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7.25" customHeigh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7.25" customHeigh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7.25" customHeigh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7.25" customHeigh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7.25" customHeigh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7.25" customHeigh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7.25" customHeigh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7.25" customHeigh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7.25" customHeigh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7.25" customHeigh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7.25" customHeigh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7.25" customHeigh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7.25" customHeigh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7.25" customHeigh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7.25" customHeigh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7.25" customHeigh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7.25" customHeigh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7.25" customHeigh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7.25" customHeigh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7.25" customHeigh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7.25" customHeigh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7.25" customHeigh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7.25" customHeigh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7.25" customHeigh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7.25" customHeigh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7.25" customHeigh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7.25" customHeigh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7.25" customHeigh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7.25" customHeigh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7.25" customHeigh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7.25" customHeigh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7.25" customHeigh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7.25" customHeigh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7.25" customHeigh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7.25" customHeigh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7.25" customHeigh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7.25" customHeigh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7.25" customHeigh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7.25" customHeigh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7.25" customHeigh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7.25" customHeigh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7.25" customHeigh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7.25" customHeigh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7.25" customHeigh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7.25" customHeigh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7.25" customHeigh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7.25" customHeigh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7.25" customHeigh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7.25" customHeigh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7.25" customHeigh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7.25" customHeigh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7.25" customHeigh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7.25" customHeigh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7.25" customHeigh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7.25" customHeigh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7.25" customHeigh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7.25" customHeigh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7.25" customHeigh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7.25" customHeigh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7.25" customHeigh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7.25" customHeigh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7.25" customHeigh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7.25" customHeigh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7.25" customHeigh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7.25" customHeigh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7.25" customHeigh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7.25" customHeigh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7.25" customHeigh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7.25" customHeigh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7.25" customHeigh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7.25" customHeigh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7.25" customHeigh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7.25" customHeigh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7.25" customHeigh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7.25" customHeigh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7.25" customHeigh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7.25" customHeigh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7.25" customHeigh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7.25" customHeigh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7.25" customHeigh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7.25" customHeigh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7.25" customHeigh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7.25" customHeigh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7.25" customHeigh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7.25" customHeigh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7.25" customHeigh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7.25" customHeigh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7.25" customHeigh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7.25" customHeigh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7.25" customHeigh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7.25" customHeigh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7.25" customHeigh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7.25" customHeigh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7.25" customHeigh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7.25" customHeigh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7.25" customHeigh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7.25" customHeigh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7.25" customHeigh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7.25" customHeigh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7.25" customHeigh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7.25" customHeigh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7.25" customHeigh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7.25" customHeigh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7.25" customHeigh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7.25" customHeigh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7.25" customHeigh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7.25" customHeigh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7.25" customHeigh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7.25" customHeigh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7.25" customHeigh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7.25" customHeigh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7.25" customHeigh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7.25" customHeigh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7.25" customHeigh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7.25" customHeigh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7.25" customHeigh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7.25" customHeigh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7.25" customHeigh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7.25" customHeigh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7.25" customHeigh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7.25" customHeigh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7.25" customHeigh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7.25" customHeigh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7.25" customHeigh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7.25" customHeigh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7.25" customHeigh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7.25" customHeigh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7.25" customHeigh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7.25" customHeigh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7.25" customHeigh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7.25" customHeigh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7.25" customHeigh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7.25" customHeigh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7.25" customHeigh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7.25" customHeigh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7.25" customHeigh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7.25" customHeigh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7.25" customHeigh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7.25" customHeigh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7.25" customHeigh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7.25" customHeigh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7.25" customHeigh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7.25" customHeigh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7.25" customHeigh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7.25" customHeigh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7.25" customHeigh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7.25" customHeigh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7.25" customHeigh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7.25" customHeigh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7.25" customHeigh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7.25" customHeigh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7.25" customHeigh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7.25" customHeigh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7.25" customHeigh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7.25" customHeigh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7.25" customHeigh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7.25" customHeigh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7.25" customHeigh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7.25" customHeigh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7.25" customHeigh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7.25" customHeigh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7.25" customHeigh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7.25" customHeigh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7.25" customHeigh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7.25" customHeigh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7.25" customHeigh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7.25" customHeigh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7.25" customHeigh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7.25" customHeigh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7.25" customHeigh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7.25" customHeigh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7.25" customHeigh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7.25" customHeigh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7.25" customHeigh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7.25" customHeigh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7.25" customHeigh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7.25" customHeigh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7.25" customHeigh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7.25" customHeigh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7.25" customHeigh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7.25" customHeigh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7.25" customHeigh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7.25" customHeigh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7.25" customHeigh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7.25" customHeigh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7.25" customHeigh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7.25" customHeigh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7.25" customHeigh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7.25" customHeigh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7.25" customHeigh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7.25" customHeigh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7.25" customHeigh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7.25" customHeigh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7.25" customHeigh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7.25" customHeigh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7.25" customHeigh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7.25" customHeigh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7.25" customHeigh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7.25" customHeigh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7.25" customHeigh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7.25" customHeigh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7.25" customHeigh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7.25" customHeigh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7.25" customHeigh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7.25" customHeigh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7.25" customHeigh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7.25" customHeigh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7.25" customHeigh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7.25" customHeigh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7.25" customHeigh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7.25" customHeigh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7.25" customHeigh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7.25" customHeigh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7.25" customHeigh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7.25" customHeigh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7.25" customHeigh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7.25" customHeigh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7.25" customHeigh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7.25" customHeigh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7.25" customHeigh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7.25" customHeigh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7.25" customHeigh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7.25" customHeigh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7.25" customHeigh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7.25" customHeigh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7.25" customHeigh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7.25" customHeigh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7.25" customHeigh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7.25" customHeigh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7.25" customHeigh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7.25" customHeigh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7.25" customHeigh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7.25" customHeigh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7.25" customHeigh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7.25" customHeigh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7.25" customHeigh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7.25" customHeigh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7.25" customHeigh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7.25" customHeigh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7.25" customHeigh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7.25" customHeigh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7.25" customHeigh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7.25" customHeigh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7.25" customHeigh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7.25" customHeigh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7.25" customHeigh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7.25" customHeigh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7.25" customHeigh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7.25" customHeigh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7.25" customHeigh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7.25" customHeigh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7.25" customHeigh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7.25" customHeigh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7.25" customHeigh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7.25" customHeigh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7.25" customHeigh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7.25" customHeigh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7.25" customHeigh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7.25" customHeigh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7.25" customHeigh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7.25" customHeigh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7.25" customHeigh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7.25" customHeigh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7.25" customHeigh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7.25" customHeigh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7.25" customHeigh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7.25" customHeigh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7.25" customHeigh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7.25" customHeigh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7.25" customHeigh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7.25" customHeigh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7.25" customHeigh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7.25" customHeigh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7.25" customHeigh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7.25" customHeigh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7.25" customHeigh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7.25" customHeigh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7.25" customHeigh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7.25" customHeigh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7.25" customHeigh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7.25" customHeigh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7.25" customHeigh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7.25" customHeigh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7.25" customHeigh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7.25" customHeigh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7.25" customHeigh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7.25" customHeigh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7.25" customHeigh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7.25" customHeigh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7.25" customHeigh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7.25" customHeigh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7.25" customHeigh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7.25" customHeigh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7.25" customHeigh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7.25" customHeigh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7.25" customHeigh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7.25" customHeigh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7.25" customHeigh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7.25" customHeigh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7.25" customHeigh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7.25" customHeigh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7.25" customHeigh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7.25" customHeigh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7.25" customHeigh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7.25" customHeigh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7.25" customHeigh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7.25" customHeigh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7.25" customHeigh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7.25" customHeigh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7.25" customHeigh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7.25" customHeigh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7.25" customHeigh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7.25" customHeigh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7.25" customHeigh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7.25" customHeigh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7.25" customHeigh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7.25" customHeigh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7.25" customHeigh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7.25" customHeigh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7.25" customHeigh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7.25" customHeigh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7.25" customHeigh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7.25" customHeigh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7.25" customHeigh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7.25" customHeigh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7.25" customHeigh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7.25" customHeigh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7.25" customHeigh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7.25" customHeigh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7.25" customHeigh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7.25" customHeigh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7.25" customHeigh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7.25" customHeigh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7.25" customHeigh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7.25" customHeigh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7.25" customHeigh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7.25" customHeigh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7.25" customHeigh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7.25" customHeigh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7.25" customHeigh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7.25" customHeigh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7.25" customHeigh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7.25" customHeigh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7.25" customHeigh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7.25" customHeigh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7.25" customHeigh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7.25" customHeigh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7.25" customHeigh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7.25" customHeigh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7.25" customHeigh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7.25" customHeigh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7.25" customHeigh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7.25" customHeigh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7.25" customHeigh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7.25" customHeigh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7.25" customHeigh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7.25" customHeigh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7.25" customHeigh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7.25" customHeigh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7.25" customHeigh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7.25" customHeigh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7.25" customHeigh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7.25" customHeigh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7.25" customHeigh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7.25" customHeigh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7.25" customHeigh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7.25" customHeigh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7.25" customHeigh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7.25" customHeigh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7.25" customHeigh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7.25" customHeigh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7.25" customHeigh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7.25" customHeigh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7.25" customHeigh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7.25" customHeigh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7.25" customHeigh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7.25" customHeigh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7.25" customHeigh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7.25" customHeigh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7.25" customHeigh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7.25" customHeigh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7.25" customHeigh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7.25" customHeigh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7.25" customHeigh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7.25" customHeigh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7.25" customHeigh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7.25" customHeigh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7.25" customHeigh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7.25" customHeigh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7.25" customHeigh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7.25" customHeigh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7.25" customHeigh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7.25" customHeigh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7.25" customHeigh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7.25" customHeigh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7.25" customHeigh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7.25" customHeigh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7.25" customHeigh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7.25" customHeigh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7.25" customHeigh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7.25" customHeigh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7.25" customHeigh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7.25" customHeigh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7.25" customHeigh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7.25" customHeigh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7.25" customHeigh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7.25" customHeigh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7.25" customHeigh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7.25" customHeigh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7.25" customHeigh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7.25" customHeigh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7.25" customHeigh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7.25" customHeigh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7.25" customHeigh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7.25" customHeigh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7.25" customHeigh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7.25" customHeigh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7.25" customHeigh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7.25" customHeigh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7.25" customHeigh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7.25" customHeigh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7.25" customHeigh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7.25" customHeigh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7.25" customHeigh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7.25" customHeigh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7.25" customHeigh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7.25" customHeigh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7.25" customHeigh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7.25" customHeigh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7.25" customHeigh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7.25" customHeigh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7.25" customHeigh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7.25" customHeigh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7.25" customHeigh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7.25" customHeigh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7.25" customHeigh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7.25" customHeigh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7.25" customHeigh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7.25" customHeigh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7.25" customHeigh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7.25" customHeigh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7.25" customHeigh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7.25" customHeigh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7.25" customHeigh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7.25" customHeigh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7.25" customHeigh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7.25" customHeigh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7.25" customHeigh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7.25" customHeigh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7.25" customHeigh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7.25" customHeigh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7.25" customHeigh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7.25" customHeigh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7.25" customHeigh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7.25" customHeigh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7.25" customHeigh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7.25" customHeigh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7.25" customHeigh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7.25" customHeigh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7.25" customHeigh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7.25" customHeigh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7.25" customHeigh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7.25" customHeigh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7.25" customHeigh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7.25" customHeigh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7.25" customHeigh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7.25" customHeigh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7.25" customHeigh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7.25" customHeigh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7.25" customHeigh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7.25" customHeigh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7.25" customHeigh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7.25" customHeigh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7.25" customHeigh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7.25" customHeigh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7.25" customHeigh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7.25" customHeigh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7.25" customHeigh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7.25" customHeigh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7.25" customHeigh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7.25" customHeigh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7.25" customHeigh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7.25" customHeigh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7.25" customHeigh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7.25" customHeigh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7.25" customHeigh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7.25" customHeigh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7.25" customHeigh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7.25" customHeigh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7.25" customHeigh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7.25" customHeigh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7.25" customHeigh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7.25" customHeigh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7.25" customHeigh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7.25" customHeigh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7.25" customHeigh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7.25" customHeigh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7.25" customHeigh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7.25" customHeigh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7.25" customHeigh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7.25" customHeigh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7.25" customHeigh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7.25" customHeigh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7.25" customHeigh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7.25" customHeigh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7.25" customHeigh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7.25" customHeigh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7.25" customHeigh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7.25" customHeigh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7.25" customHeigh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7.25" customHeigh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7.25" customHeigh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7.25" customHeigh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7.25" customHeigh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7.25" customHeigh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7.25" customHeigh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7.25" customHeigh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7.25" customHeigh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7.25" customHeigh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7.25" customHeigh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7.25" customHeigh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7.25" customHeigh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7.25" customHeigh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7.25" customHeigh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7.25" customHeigh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7.25" customHeigh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7.25" customHeigh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7.25" customHeigh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7.25" customHeigh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7.25" customHeigh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7.25" customHeigh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7.25" customHeigh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7.25" customHeigh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7.25" customHeigh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7.25" customHeigh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7.25" customHeigh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7.25" customHeigh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7.25" customHeigh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7.25" customHeigh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7.25" customHeigh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7.25" customHeigh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7.25" customHeigh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7.25" customHeigh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7.25" customHeigh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7.25" customHeigh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7.25" customHeigh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7.25" customHeigh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7.25" customHeigh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7.25" customHeigh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7.25" customHeigh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7.25" customHeigh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7.25" customHeigh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7.25" customHeigh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7.25" customHeigh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7.25" customHeigh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7.25" customHeigh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7.25" customHeigh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7.25" customHeigh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7.25" customHeigh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7.25" customHeigh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7.25" customHeigh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7.25" customHeigh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7.25" customHeigh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7.25" customHeigh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7.25" customHeigh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7.25" customHeigh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7.25" customHeigh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7.25" customHeigh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7.25" customHeigh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7.25" customHeigh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7.25" customHeigh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7.25" customHeigh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7.25" customHeigh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7.25" customHeigh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7.25" customHeigh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7.25" customHeigh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7.25" customHeigh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7.25" customHeigh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7.25" customHeigh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7.25" customHeigh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7.25" customHeigh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7.25" customHeigh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7.25" customHeigh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7.25" customHeigh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7.25" customHeigh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7.25" customHeigh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7.25" customHeigh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7.25" customHeigh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7.25" customHeigh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7.25" customHeigh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7.25" customHeigh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7.25" customHeigh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7.25" customHeigh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7.25" customHeigh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7.25" customHeight="1" x14ac:dyDescent="0.3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7.25" customHeight="1" x14ac:dyDescent="0.3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7.25" customHeight="1" x14ac:dyDescent="0.3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7.25" customHeight="1" x14ac:dyDescent="0.3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7.25" customHeight="1" x14ac:dyDescent="0.3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7.25" customHeight="1" x14ac:dyDescent="0.3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8"/>
  <sheetViews>
    <sheetView workbookViewId="0"/>
  </sheetViews>
  <sheetFormatPr defaultColWidth="14.453125" defaultRowHeight="15" customHeight="1" x14ac:dyDescent="0.35"/>
  <cols>
    <col min="1" max="1" width="13.453125" customWidth="1"/>
    <col min="2" max="2" width="17.7265625" customWidth="1"/>
    <col min="3" max="3" width="9.08984375" customWidth="1"/>
    <col min="4" max="4" width="12.26953125" customWidth="1"/>
    <col min="5" max="5" width="11.81640625" customWidth="1"/>
    <col min="6" max="6" width="9.08984375" customWidth="1"/>
    <col min="7" max="26" width="8.7265625" customWidth="1"/>
  </cols>
  <sheetData>
    <row r="1" spans="1:26" ht="29" x14ac:dyDescent="0.35">
      <c r="A1" s="1" t="s">
        <v>173</v>
      </c>
      <c r="B1" s="1" t="s">
        <v>174</v>
      </c>
      <c r="C1" s="1" t="s">
        <v>0</v>
      </c>
      <c r="D1" s="1" t="s">
        <v>175</v>
      </c>
      <c r="E1" s="1" t="s">
        <v>176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4.5" x14ac:dyDescent="0.35">
      <c r="A2" s="6" t="str">
        <f t="shared" ref="A2:A6" si="0">CHOOSE(ROW(A1), "Januari", "Februari", "Maret", "April", "Mei", "Juni", "Juli", "Agustus", "September", "Oktober", "November", "Desember")</f>
        <v>Januari</v>
      </c>
      <c r="B2" s="6">
        <f>1454*11</f>
        <v>15994</v>
      </c>
      <c r="C2" s="6" t="s">
        <v>2</v>
      </c>
      <c r="D2" s="8">
        <v>1450306.3560255961</v>
      </c>
      <c r="E2" s="19">
        <f t="shared" ref="E2:E6" si="1">B2/D2</f>
        <v>1.1028014828418586E-2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5" x14ac:dyDescent="0.35">
      <c r="A3" s="6" t="str">
        <f t="shared" si="0"/>
        <v>Februari</v>
      </c>
      <c r="B3" s="6">
        <f>961*11</f>
        <v>10571</v>
      </c>
      <c r="C3" s="6" t="s">
        <v>2</v>
      </c>
      <c r="D3" s="8">
        <v>1396181.4520379901</v>
      </c>
      <c r="E3" s="19">
        <f t="shared" si="1"/>
        <v>7.5713654443479621E-3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5" x14ac:dyDescent="0.35">
      <c r="A4" s="6" t="str">
        <f t="shared" si="0"/>
        <v>Maret</v>
      </c>
      <c r="B4" s="6">
        <f>1470*11</f>
        <v>16170</v>
      </c>
      <c r="C4" s="6" t="s">
        <v>2</v>
      </c>
      <c r="D4" s="8">
        <v>1436159.9864347195</v>
      </c>
      <c r="E4" s="19">
        <f t="shared" si="1"/>
        <v>1.1259191282819525E-2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5" x14ac:dyDescent="0.35">
      <c r="A5" s="6" t="str">
        <f t="shared" si="0"/>
        <v>April</v>
      </c>
      <c r="B5" s="6">
        <f>1148*11</f>
        <v>12628</v>
      </c>
      <c r="C5" s="6" t="s">
        <v>2</v>
      </c>
      <c r="D5" s="8">
        <v>1600806.0239046516</v>
      </c>
      <c r="E5" s="19">
        <f t="shared" si="1"/>
        <v>7.888526037150994E-3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5" x14ac:dyDescent="0.35">
      <c r="A6" s="6" t="str">
        <f t="shared" si="0"/>
        <v>Mei</v>
      </c>
      <c r="B6" s="6">
        <f>1530*11</f>
        <v>16830</v>
      </c>
      <c r="C6" s="6" t="s">
        <v>2</v>
      </c>
      <c r="D6" s="8">
        <v>1225149.1480115757</v>
      </c>
      <c r="E6" s="19">
        <f t="shared" si="1"/>
        <v>1.3737102970128322E-2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5" x14ac:dyDescent="0.35">
      <c r="A7" s="20" t="s">
        <v>177</v>
      </c>
      <c r="B7" s="21">
        <f>AVERAGE(B2:B6)</f>
        <v>14438.6</v>
      </c>
      <c r="C7" s="20" t="s">
        <v>2</v>
      </c>
      <c r="D7" s="22">
        <f t="shared" ref="D7:E7" si="2">AVERAGE(D2:D6)</f>
        <v>1421720.5932829066</v>
      </c>
      <c r="E7" s="23">
        <f t="shared" si="2"/>
        <v>1.0296840112573077E-2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5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5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5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5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5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5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5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5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5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5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5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</vt:lpstr>
      <vt:lpstr>Feb</vt:lpstr>
      <vt:lpstr>Mar</vt:lpstr>
      <vt:lpstr>Apr</vt:lpstr>
      <vt:lpstr>Mei</vt:lpstr>
      <vt:lpstr>Juni</vt:lpstr>
      <vt:lpstr>Juli</vt:lpstr>
      <vt:lpstr>Aug</vt:lpstr>
      <vt:lpstr>Inventory Cost</vt:lpstr>
      <vt:lpstr>Reject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MT07</dc:creator>
  <cp:lastModifiedBy>Juli Yandi Rahman</cp:lastModifiedBy>
  <dcterms:created xsi:type="dcterms:W3CDTF">2024-09-05T09:06:14Z</dcterms:created>
  <dcterms:modified xsi:type="dcterms:W3CDTF">2024-09-29T13:49:06Z</dcterms:modified>
</cp:coreProperties>
</file>