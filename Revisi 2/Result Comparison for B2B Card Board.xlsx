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Revisi 2\"/>
    </mc:Choice>
  </mc:AlternateContent>
  <xr:revisionPtr revIDLastSave="0" documentId="13_ncr:1_{854DD9C4-404C-4C87-AA1C-84A78A576946}" xr6:coauthVersionLast="47" xr6:coauthVersionMax="47" xr10:uidLastSave="{00000000-0000-0000-0000-000000000000}"/>
  <bookViews>
    <workbookView xWindow="-110" yWindow="-110" windowWidth="19420" windowHeight="10300" xr2:uid="{AC3E581A-12A5-4DA0-A295-68F7252EF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1" l="1"/>
  <c r="E34" i="1"/>
  <c r="F34" i="1"/>
  <c r="C34" i="1"/>
  <c r="D33" i="1"/>
  <c r="E33" i="1"/>
  <c r="F33" i="1"/>
  <c r="C33" i="1"/>
  <c r="I37" i="1" l="1"/>
  <c r="I36" i="1"/>
  <c r="J36" i="1"/>
  <c r="J37" i="1"/>
</calcChain>
</file>

<file path=xl/sharedStrings.xml><?xml version="1.0" encoding="utf-8"?>
<sst xmlns="http://schemas.openxmlformats.org/spreadsheetml/2006/main" count="44" uniqueCount="44">
  <si>
    <t>item names</t>
  </si>
  <si>
    <t>Multi-item Dynamic EOQ</t>
  </si>
  <si>
    <t>Rata-rata Hari Kerja</t>
  </si>
  <si>
    <t>Total</t>
  </si>
  <si>
    <t xml:space="preserve">Bunga Bank BI = </t>
  </si>
  <si>
    <t>Rata-rata</t>
  </si>
  <si>
    <t>Perbandingan</t>
  </si>
  <si>
    <t>Before</t>
  </si>
  <si>
    <t>After</t>
  </si>
  <si>
    <t>CC</t>
  </si>
  <si>
    <t>DOI</t>
  </si>
  <si>
    <t>Karton FA</t>
  </si>
  <si>
    <t>Karton AL</t>
  </si>
  <si>
    <t>Karton EP</t>
  </si>
  <si>
    <t>Karton Z</t>
  </si>
  <si>
    <t>Karton M</t>
  </si>
  <si>
    <t>Karton F</t>
  </si>
  <si>
    <t>Karton AX</t>
  </si>
  <si>
    <t>Karton CA</t>
  </si>
  <si>
    <t>Karton CF</t>
  </si>
  <si>
    <t>Karton B</t>
  </si>
  <si>
    <t>Karton R</t>
  </si>
  <si>
    <t>Karton BT</t>
  </si>
  <si>
    <t>Karton AK</t>
  </si>
  <si>
    <t>Karton AD</t>
  </si>
  <si>
    <t>Karton BM</t>
  </si>
  <si>
    <t>Karton N</t>
  </si>
  <si>
    <t>Karton J</t>
  </si>
  <si>
    <t>Karton EO</t>
  </si>
  <si>
    <t>Karton G</t>
  </si>
  <si>
    <t>Karton P</t>
  </si>
  <si>
    <t>Karton EZ</t>
  </si>
  <si>
    <t>Max Data</t>
  </si>
  <si>
    <t>Minimum Keluar</t>
  </si>
  <si>
    <t>Karton GC</t>
  </si>
  <si>
    <t>Karton GB</t>
  </si>
  <si>
    <t>Karton AW</t>
  </si>
  <si>
    <t>Karton FY</t>
  </si>
  <si>
    <t>Karton FZ</t>
  </si>
  <si>
    <t>Karton AT</t>
  </si>
  <si>
    <t>Karton O</t>
  </si>
  <si>
    <t>Karton GA</t>
  </si>
  <si>
    <t>Karton FX</t>
  </si>
  <si>
    <t>Karton 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</si>
</sst>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left"/>
    </xf>
    <xf numFmtId="0" fontId="0" fillId="0" borderId="1" xfId="0" applyBorder="1"/>
    <xf numFmtId="10" fontId="0" fillId="0" borderId="1" xfId="0" applyNumberFormat="1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00F5-A6F6-45C0-9115-B55DB50210B1}">
  <dimension ref="A1:J37"/>
  <sheetViews>
    <sheetView tabSelected="1" workbookViewId="0">
      <selection activeCell="H3" sqref="H3"/>
    </sheetView>
  </sheetViews>
  <sheetFormatPr defaultRowHeight="14.5" x14ac:dyDescent="0.35"/>
  <cols>
    <col min="1" max="1" width="3.81640625" bestFit="1" customWidth="1"/>
    <col min="2" max="2" width="10.6328125" bestFit="1" customWidth="1"/>
    <col min="3" max="3" width="11.81640625" bestFit="1" customWidth="1"/>
    <col min="4" max="4" width="21.81640625" bestFit="1" customWidth="1"/>
    <col min="5" max="5" width="14.6328125" bestFit="1" customWidth="1"/>
    <col min="6" max="6" width="17.6328125" bestFit="1" customWidth="1"/>
    <col min="8" max="8" width="15.81640625" bestFit="1" customWidth="1"/>
    <col min="9" max="9" width="10.81640625" bestFit="1" customWidth="1"/>
    <col min="10" max="10" width="11.81640625" bestFit="1" customWidth="1"/>
  </cols>
  <sheetData>
    <row r="1" spans="1:6" x14ac:dyDescent="0.35">
      <c r="A1" s="4"/>
      <c r="B1" s="1" t="s">
        <v>0</v>
      </c>
      <c r="C1" s="4" t="s">
        <v>32</v>
      </c>
      <c r="D1" s="1" t="s">
        <v>1</v>
      </c>
      <c r="E1" s="1" t="s">
        <v>33</v>
      </c>
      <c r="F1" s="1" t="s">
        <v>2</v>
      </c>
    </row>
    <row r="2" spans="1:6" x14ac:dyDescent="0.35">
      <c r="A2" s="1">
        <v>0</v>
      </c>
      <c r="B2" s="8" t="s">
        <v>30</v>
      </c>
      <c r="C2" s="9">
        <v>23698.909090909099</v>
      </c>
      <c r="D2" s="9">
        <v>1645.445233292171</v>
      </c>
      <c r="E2" s="11">
        <v>100060</v>
      </c>
      <c r="F2" s="10">
        <v>24.875</v>
      </c>
    </row>
    <row r="3" spans="1:6" x14ac:dyDescent="0.35">
      <c r="A3" s="1">
        <v>1</v>
      </c>
      <c r="B3" s="8" t="s">
        <v>19</v>
      </c>
      <c r="C3" s="9">
        <v>26010.416666666701</v>
      </c>
      <c r="D3" s="9">
        <v>1206.4968521796679</v>
      </c>
      <c r="E3" s="11">
        <v>41650</v>
      </c>
      <c r="F3" s="10">
        <v>24.875</v>
      </c>
    </row>
    <row r="4" spans="1:6" x14ac:dyDescent="0.35">
      <c r="A4" s="1">
        <v>2</v>
      </c>
      <c r="B4" s="8" t="s">
        <v>13</v>
      </c>
      <c r="C4" s="9">
        <v>23891.7647058824</v>
      </c>
      <c r="D4" s="9">
        <v>2078.0506613695079</v>
      </c>
      <c r="E4" s="11">
        <v>50225</v>
      </c>
      <c r="F4" s="10">
        <v>24.714285714285719</v>
      </c>
    </row>
    <row r="5" spans="1:6" x14ac:dyDescent="0.35">
      <c r="A5" s="1">
        <v>3</v>
      </c>
      <c r="B5" s="8" t="s">
        <v>34</v>
      </c>
      <c r="C5" s="9">
        <v>0</v>
      </c>
      <c r="D5" s="9">
        <v>0</v>
      </c>
      <c r="E5" s="11">
        <v>0</v>
      </c>
      <c r="F5" s="10">
        <v>26</v>
      </c>
    </row>
    <row r="6" spans="1:6" x14ac:dyDescent="0.35">
      <c r="A6" s="1">
        <v>4</v>
      </c>
      <c r="B6" s="8" t="s">
        <v>11</v>
      </c>
      <c r="C6" s="9">
        <v>13732.285714285699</v>
      </c>
      <c r="D6" s="9">
        <v>1296.8399902712299</v>
      </c>
      <c r="E6" s="11">
        <v>14560</v>
      </c>
      <c r="F6" s="10">
        <v>24.714285714285719</v>
      </c>
    </row>
    <row r="7" spans="1:6" x14ac:dyDescent="0.35">
      <c r="A7" s="1">
        <v>5</v>
      </c>
      <c r="B7" s="8" t="s">
        <v>24</v>
      </c>
      <c r="C7" s="9">
        <v>40269.772727272713</v>
      </c>
      <c r="D7" s="9">
        <v>1941.207232465091</v>
      </c>
      <c r="E7" s="11">
        <v>57500</v>
      </c>
      <c r="F7" s="10">
        <v>24.875</v>
      </c>
    </row>
    <row r="8" spans="1:6" x14ac:dyDescent="0.35">
      <c r="A8" s="1">
        <v>6</v>
      </c>
      <c r="B8" s="8" t="s">
        <v>35</v>
      </c>
      <c r="C8" s="9">
        <v>10983.333333333299</v>
      </c>
      <c r="D8" s="9">
        <v>1333</v>
      </c>
      <c r="E8" s="11">
        <v>13700</v>
      </c>
      <c r="F8" s="10">
        <v>26</v>
      </c>
    </row>
    <row r="9" spans="1:6" x14ac:dyDescent="0.35">
      <c r="A9" s="1">
        <v>7</v>
      </c>
      <c r="B9" s="8" t="s">
        <v>36</v>
      </c>
      <c r="C9" s="9">
        <v>22932.6538461538</v>
      </c>
      <c r="D9" s="9">
        <v>1789</v>
      </c>
      <c r="E9" s="11">
        <v>163600</v>
      </c>
      <c r="F9" s="10">
        <v>26</v>
      </c>
    </row>
    <row r="10" spans="1:6" x14ac:dyDescent="0.35">
      <c r="A10" s="1">
        <v>8</v>
      </c>
      <c r="B10" s="8" t="s">
        <v>29</v>
      </c>
      <c r="C10" s="9">
        <v>60268.307692307702</v>
      </c>
      <c r="D10" s="9">
        <v>2014.859827414115</v>
      </c>
      <c r="E10" s="11">
        <v>19564</v>
      </c>
      <c r="F10" s="10">
        <v>24.714285714285719</v>
      </c>
    </row>
    <row r="11" spans="1:6" x14ac:dyDescent="0.35">
      <c r="A11" s="1">
        <v>9</v>
      </c>
      <c r="B11" s="8" t="s">
        <v>18</v>
      </c>
      <c r="C11" s="9">
        <v>25938.2352941176</v>
      </c>
      <c r="D11" s="9">
        <v>1232.7449584031019</v>
      </c>
      <c r="E11" s="11">
        <v>37500</v>
      </c>
      <c r="F11" s="10">
        <v>24.875</v>
      </c>
    </row>
    <row r="12" spans="1:6" x14ac:dyDescent="0.35">
      <c r="A12" s="1">
        <v>10</v>
      </c>
      <c r="B12" s="8" t="s">
        <v>37</v>
      </c>
      <c r="C12" s="9">
        <v>7381.25</v>
      </c>
      <c r="D12" s="9">
        <v>1059</v>
      </c>
      <c r="E12" s="11">
        <v>38125</v>
      </c>
      <c r="F12" s="10">
        <v>26</v>
      </c>
    </row>
    <row r="13" spans="1:6" x14ac:dyDescent="0.35">
      <c r="A13" s="1">
        <v>11</v>
      </c>
      <c r="B13" s="8" t="s">
        <v>38</v>
      </c>
      <c r="C13" s="9">
        <v>14727.272727272701</v>
      </c>
      <c r="D13" s="9">
        <v>1542</v>
      </c>
      <c r="E13" s="11">
        <v>116950</v>
      </c>
      <c r="F13" s="10">
        <v>26</v>
      </c>
    </row>
    <row r="14" spans="1:6" x14ac:dyDescent="0.35">
      <c r="A14" s="1">
        <v>12</v>
      </c>
      <c r="B14" s="8" t="s">
        <v>39</v>
      </c>
      <c r="C14" s="9">
        <v>34131.444444444402</v>
      </c>
      <c r="D14" s="9">
        <v>2580</v>
      </c>
      <c r="E14" s="11">
        <v>151800</v>
      </c>
      <c r="F14" s="10">
        <v>26</v>
      </c>
    </row>
    <row r="15" spans="1:6" x14ac:dyDescent="0.35">
      <c r="A15" s="1">
        <v>13</v>
      </c>
      <c r="B15" s="8" t="s">
        <v>20</v>
      </c>
      <c r="C15" s="9">
        <v>71729.333333333299</v>
      </c>
      <c r="D15" s="9">
        <v>2053.7723907345112</v>
      </c>
      <c r="E15" s="11">
        <v>255627</v>
      </c>
      <c r="F15" s="10">
        <v>24.875</v>
      </c>
    </row>
    <row r="16" spans="1:6" x14ac:dyDescent="0.35">
      <c r="A16" s="1">
        <v>14</v>
      </c>
      <c r="B16" s="8" t="s">
        <v>26</v>
      </c>
      <c r="C16" s="9">
        <v>58411.925925925898</v>
      </c>
      <c r="D16" s="9">
        <v>2044.7599400131689</v>
      </c>
      <c r="E16" s="11">
        <v>158210</v>
      </c>
      <c r="F16" s="10">
        <v>24.875</v>
      </c>
    </row>
    <row r="17" spans="1:6" x14ac:dyDescent="0.35">
      <c r="A17" s="1">
        <v>15</v>
      </c>
      <c r="B17" s="8" t="s">
        <v>22</v>
      </c>
      <c r="C17" s="9">
        <v>52321.875</v>
      </c>
      <c r="D17" s="9">
        <v>1470.9672487766591</v>
      </c>
      <c r="E17" s="11">
        <v>39500</v>
      </c>
      <c r="F17" s="10">
        <v>24.875</v>
      </c>
    </row>
    <row r="18" spans="1:6" x14ac:dyDescent="0.35">
      <c r="A18" s="1">
        <v>16</v>
      </c>
      <c r="B18" s="8" t="s">
        <v>16</v>
      </c>
      <c r="C18" s="9">
        <v>83204.052631578903</v>
      </c>
      <c r="D18" s="9">
        <v>2085.8606236013211</v>
      </c>
      <c r="E18" s="11">
        <v>101757</v>
      </c>
      <c r="F18" s="10">
        <v>24.875</v>
      </c>
    </row>
    <row r="19" spans="1:6" x14ac:dyDescent="0.35">
      <c r="A19" s="1">
        <v>17</v>
      </c>
      <c r="B19" s="8" t="s">
        <v>31</v>
      </c>
      <c r="C19" s="9">
        <v>25564.285714285699</v>
      </c>
      <c r="D19" s="9">
        <v>1591.599176089416</v>
      </c>
      <c r="E19" s="11">
        <v>114550</v>
      </c>
      <c r="F19" s="10">
        <v>24.714285714285719</v>
      </c>
    </row>
    <row r="20" spans="1:6" x14ac:dyDescent="0.35">
      <c r="A20" s="1">
        <v>18</v>
      </c>
      <c r="B20" s="8" t="s">
        <v>12</v>
      </c>
      <c r="C20" s="9">
        <v>24177.692307692301</v>
      </c>
      <c r="D20" s="9">
        <v>1218.745425171636</v>
      </c>
      <c r="E20" s="11">
        <v>91007</v>
      </c>
      <c r="F20" s="10">
        <v>24.875</v>
      </c>
    </row>
    <row r="21" spans="1:6" x14ac:dyDescent="0.35">
      <c r="A21" s="1">
        <v>19</v>
      </c>
      <c r="B21" s="8" t="s">
        <v>14</v>
      </c>
      <c r="C21" s="9">
        <v>41401.038461538497</v>
      </c>
      <c r="D21" s="9">
        <v>1817.280818986693</v>
      </c>
      <c r="E21" s="11">
        <v>92514</v>
      </c>
      <c r="F21" s="10">
        <v>24.875</v>
      </c>
    </row>
    <row r="22" spans="1:6" x14ac:dyDescent="0.35">
      <c r="A22" s="1">
        <v>20</v>
      </c>
      <c r="B22" s="8" t="s">
        <v>17</v>
      </c>
      <c r="C22" s="9">
        <v>26806.428571428602</v>
      </c>
      <c r="D22" s="9">
        <v>2048.3669228017379</v>
      </c>
      <c r="E22" s="11">
        <v>6005</v>
      </c>
      <c r="F22" s="10">
        <v>24.875</v>
      </c>
    </row>
    <row r="23" spans="1:6" x14ac:dyDescent="0.35">
      <c r="B23" s="8" t="s">
        <v>40</v>
      </c>
      <c r="C23" s="9">
        <v>22863.4</v>
      </c>
      <c r="D23" s="9">
        <v>1902</v>
      </c>
      <c r="E23" s="11">
        <v>106206</v>
      </c>
      <c r="F23" s="10">
        <v>26</v>
      </c>
    </row>
    <row r="24" spans="1:6" x14ac:dyDescent="0.35">
      <c r="B24" s="8" t="s">
        <v>23</v>
      </c>
      <c r="C24" s="9">
        <v>17918.631578947399</v>
      </c>
      <c r="D24" s="9">
        <v>1542.665240652856</v>
      </c>
      <c r="E24" s="11">
        <v>65770</v>
      </c>
      <c r="F24" s="10">
        <v>24.875</v>
      </c>
    </row>
    <row r="25" spans="1:6" x14ac:dyDescent="0.35">
      <c r="B25" s="8" t="s">
        <v>27</v>
      </c>
      <c r="C25" s="9">
        <v>41936</v>
      </c>
      <c r="D25" s="9">
        <v>1601.569340338456</v>
      </c>
      <c r="E25" s="11">
        <v>15775</v>
      </c>
      <c r="F25" s="10">
        <v>24.875</v>
      </c>
    </row>
    <row r="26" spans="1:6" x14ac:dyDescent="0.35">
      <c r="B26" s="8" t="s">
        <v>25</v>
      </c>
      <c r="C26" s="9">
        <v>26790.166666666701</v>
      </c>
      <c r="D26" s="9">
        <v>1251.88323457417</v>
      </c>
      <c r="E26" s="11">
        <v>86740</v>
      </c>
      <c r="F26" s="10">
        <v>24.875</v>
      </c>
    </row>
    <row r="27" spans="1:6" x14ac:dyDescent="0.35">
      <c r="B27" s="8" t="s">
        <v>21</v>
      </c>
      <c r="C27" s="9">
        <v>52883.136363636397</v>
      </c>
      <c r="D27" s="9">
        <v>1912.813709150548</v>
      </c>
      <c r="E27" s="11">
        <v>70480</v>
      </c>
      <c r="F27" s="10">
        <v>24.875</v>
      </c>
    </row>
    <row r="28" spans="1:6" x14ac:dyDescent="0.35">
      <c r="B28" s="8" t="s">
        <v>41</v>
      </c>
      <c r="C28" s="9">
        <v>32503.333333333299</v>
      </c>
      <c r="D28" s="9">
        <v>2622</v>
      </c>
      <c r="E28" s="11">
        <v>67750</v>
      </c>
      <c r="F28" s="10">
        <v>26</v>
      </c>
    </row>
    <row r="29" spans="1:6" x14ac:dyDescent="0.35">
      <c r="B29" s="8" t="s">
        <v>15</v>
      </c>
      <c r="C29" s="9">
        <v>66107.714285714304</v>
      </c>
      <c r="D29" s="9">
        <v>1755.1331342837959</v>
      </c>
      <c r="E29" s="11">
        <v>20645</v>
      </c>
      <c r="F29" s="10">
        <v>24.875</v>
      </c>
    </row>
    <row r="30" spans="1:6" x14ac:dyDescent="0.35">
      <c r="B30" s="8" t="s">
        <v>42</v>
      </c>
      <c r="C30" s="9">
        <v>38392.5</v>
      </c>
      <c r="D30" s="9">
        <v>2417</v>
      </c>
      <c r="E30" s="11">
        <v>300250</v>
      </c>
      <c r="F30" s="10">
        <v>26</v>
      </c>
    </row>
    <row r="31" spans="1:6" x14ac:dyDescent="0.35">
      <c r="B31" s="8" t="s">
        <v>28</v>
      </c>
      <c r="C31" s="9">
        <v>27856.578947368402</v>
      </c>
      <c r="D31" s="9">
        <v>1577.9477845703721</v>
      </c>
      <c r="E31" s="11">
        <v>10000</v>
      </c>
      <c r="F31" s="10">
        <v>24.714285714285719</v>
      </c>
    </row>
    <row r="32" spans="1:6" x14ac:dyDescent="0.35">
      <c r="B32" s="8" t="s">
        <v>43</v>
      </c>
      <c r="C32" s="9">
        <v>5143.75</v>
      </c>
      <c r="D32" s="9">
        <v>1022</v>
      </c>
      <c r="E32" s="11">
        <v>7925</v>
      </c>
      <c r="F32" s="10">
        <v>26</v>
      </c>
    </row>
    <row r="33" spans="1:10" x14ac:dyDescent="0.35">
      <c r="A33" s="4"/>
      <c r="B33" s="4" t="s">
        <v>3</v>
      </c>
      <c r="C33" s="4">
        <f>SUM(C2:C32)</f>
        <v>1019977.4893640958</v>
      </c>
      <c r="D33" s="4">
        <f t="shared" ref="D33:F33" si="0">SUM(D2:D32)</f>
        <v>51655.009745140233</v>
      </c>
      <c r="E33" s="4">
        <f t="shared" si="0"/>
        <v>2415945</v>
      </c>
      <c r="F33" s="4">
        <f t="shared" si="0"/>
        <v>781.57142857142856</v>
      </c>
      <c r="H33" s="2" t="s">
        <v>4</v>
      </c>
      <c r="I33" s="3">
        <v>5.1999999999999998E-3</v>
      </c>
    </row>
    <row r="34" spans="1:10" x14ac:dyDescent="0.35">
      <c r="A34" s="4"/>
      <c r="B34" s="4" t="s">
        <v>5</v>
      </c>
      <c r="C34" s="4">
        <f>AVERAGE(C2:C32)</f>
        <v>32902.499656906315</v>
      </c>
      <c r="D34" s="4">
        <f t="shared" ref="D34:F34" si="1">AVERAGE(D2:D32)</f>
        <v>1666.2906369400075</v>
      </c>
      <c r="E34" s="4">
        <f t="shared" si="1"/>
        <v>77933.709677419349</v>
      </c>
      <c r="F34" s="4">
        <f t="shared" si="1"/>
        <v>25.211981566820278</v>
      </c>
      <c r="H34" s="7" t="s">
        <v>6</v>
      </c>
      <c r="I34" s="7"/>
      <c r="J34" s="7"/>
    </row>
    <row r="35" spans="1:10" x14ac:dyDescent="0.35">
      <c r="H35" s="4"/>
      <c r="I35" s="4" t="s">
        <v>7</v>
      </c>
      <c r="J35" s="4" t="s">
        <v>8</v>
      </c>
    </row>
    <row r="36" spans="1:10" x14ac:dyDescent="0.35">
      <c r="H36" s="4" t="s">
        <v>9</v>
      </c>
      <c r="I36" s="5">
        <f>(C33*I33)/E33</f>
        <v>2.1953657656500034E-3</v>
      </c>
      <c r="J36" s="5">
        <f>(D33*I33)/E33</f>
        <v>1.1118053212085921E-4</v>
      </c>
    </row>
    <row r="37" spans="1:10" x14ac:dyDescent="0.35">
      <c r="H37" s="4" t="s">
        <v>10</v>
      </c>
      <c r="I37" s="6">
        <f>(C33/E33)*F34</f>
        <v>10.644138695383882</v>
      </c>
      <c r="J37" s="6">
        <f>(D33/E33)*F34</f>
        <v>0.5390541396962254</v>
      </c>
    </row>
  </sheetData>
  <mergeCells count="1">
    <mergeCell ref="H34:J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2024-09-14T07:05:23Z</dcterms:created>
  <dcterms:modified xsi:type="dcterms:W3CDTF">2024-09-29T14:19:47Z</dcterms:modified>
</cp:coreProperties>
</file>