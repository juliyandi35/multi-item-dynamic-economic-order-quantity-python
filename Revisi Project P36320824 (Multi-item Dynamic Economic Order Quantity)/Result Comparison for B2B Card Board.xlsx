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jaan\Project P36320824 (Multi-item Dynamic Economic Order Quantity)\Revisi Project P36320824 (Multi-item Dynamic Economic Order Quantity)\"/>
    </mc:Choice>
  </mc:AlternateContent>
  <xr:revisionPtr revIDLastSave="0" documentId="13_ncr:1_{9DD42B26-A81D-44F8-A46A-FC1EA47DA45F}" xr6:coauthVersionLast="47" xr6:coauthVersionMax="47" xr10:uidLastSave="{00000000-0000-0000-0000-000000000000}"/>
  <bookViews>
    <workbookView xWindow="-110" yWindow="-110" windowWidth="19420" windowHeight="10300" xr2:uid="{AC3E581A-12A5-4DA0-A295-68F7252EF1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4" i="1" l="1"/>
  <c r="D23" i="1"/>
  <c r="F24" i="1"/>
  <c r="E24" i="1"/>
  <c r="C24" i="1"/>
  <c r="F23" i="1"/>
  <c r="E23" i="1"/>
  <c r="C23" i="1"/>
  <c r="I27" i="1" l="1"/>
  <c r="I26" i="1"/>
  <c r="J26" i="1"/>
  <c r="J27" i="1"/>
</calcChain>
</file>

<file path=xl/sharedStrings.xml><?xml version="1.0" encoding="utf-8"?>
<sst xmlns="http://schemas.openxmlformats.org/spreadsheetml/2006/main" count="34" uniqueCount="34">
  <si>
    <t>item names</t>
  </si>
  <si>
    <t>Multi-item Dynamic EOQ</t>
  </si>
  <si>
    <t>Rata-rata Hari Kerja</t>
  </si>
  <si>
    <t>Total</t>
  </si>
  <si>
    <t xml:space="preserve">Bunga Bank BI = </t>
  </si>
  <si>
    <t>Rata-rata</t>
  </si>
  <si>
    <t>Perbandingan</t>
  </si>
  <si>
    <t>Before</t>
  </si>
  <si>
    <t>After</t>
  </si>
  <si>
    <t>CC</t>
  </si>
  <si>
    <t>DOI</t>
  </si>
  <si>
    <t>Karton FA</t>
  </si>
  <si>
    <t>Karton AL</t>
  </si>
  <si>
    <t>Karton EP</t>
  </si>
  <si>
    <t>Karton Z</t>
  </si>
  <si>
    <t>Karton M</t>
  </si>
  <si>
    <t>Karton F</t>
  </si>
  <si>
    <t>Karton AX</t>
  </si>
  <si>
    <t>Karton CA</t>
  </si>
  <si>
    <t>Karton CF</t>
  </si>
  <si>
    <t>Karton B</t>
  </si>
  <si>
    <t>Karton R</t>
  </si>
  <si>
    <t>Karton BT</t>
  </si>
  <si>
    <t>Karton AK</t>
  </si>
  <si>
    <t>Karton AD</t>
  </si>
  <si>
    <t>Karton BM</t>
  </si>
  <si>
    <t>Karton N</t>
  </si>
  <si>
    <t>Karton J</t>
  </si>
  <si>
    <t>Karton EO</t>
  </si>
  <si>
    <t>Karton G</t>
  </si>
  <si>
    <t>Karton P</t>
  </si>
  <si>
    <t>Karton EZ</t>
  </si>
  <si>
    <t>Max Data</t>
  </si>
  <si>
    <t>Minimum Keluar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</si>
</sst>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/>
    </xf>
    <xf numFmtId="10" fontId="2" fillId="0" borderId="0" xfId="0" applyNumberFormat="1" applyFont="1" applyAlignment="1">
      <alignment horizontal="left"/>
    </xf>
    <xf numFmtId="0" fontId="0" fillId="0" borderId="1" xfId="0" applyBorder="1"/>
    <xf numFmtId="10" fontId="0" fillId="0" borderId="1" xfId="0" applyNumberFormat="1" applyBorder="1"/>
    <xf numFmtId="1" fontId="0" fillId="0" borderId="1" xfId="0" applyNumberFormat="1" applyBorder="1"/>
    <xf numFmtId="0" fontId="0" fillId="0" borderId="1" xfId="0" applyBorder="1" applyAlignment="1">
      <alignment horizontal="center"/>
    </xf>
    <xf numFmtId="0" fontId="0" fillId="0" borderId="0" xfId="0"/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C00F5-A6F6-45C0-9115-B55DB50210B1}">
  <dimension ref="A1:J27"/>
  <sheetViews>
    <sheetView tabSelected="1" topLeftCell="A21" workbookViewId="0">
      <selection activeCell="G28" sqref="G28"/>
    </sheetView>
  </sheetViews>
  <sheetFormatPr defaultRowHeight="14.5" x14ac:dyDescent="0.35"/>
  <cols>
    <col min="1" max="1" width="3.81640625" bestFit="1" customWidth="1"/>
    <col min="2" max="2" width="10.6328125" bestFit="1" customWidth="1"/>
    <col min="3" max="3" width="11.81640625" bestFit="1" customWidth="1"/>
    <col min="4" max="4" width="21.81640625" bestFit="1" customWidth="1"/>
    <col min="5" max="5" width="14.6328125" bestFit="1" customWidth="1"/>
    <col min="6" max="6" width="17.6328125" bestFit="1" customWidth="1"/>
    <col min="8" max="8" width="15.81640625" bestFit="1" customWidth="1"/>
    <col min="9" max="9" width="10.81640625" bestFit="1" customWidth="1"/>
    <col min="10" max="10" width="11.81640625" bestFit="1" customWidth="1"/>
  </cols>
  <sheetData>
    <row r="1" spans="1:6" x14ac:dyDescent="0.35">
      <c r="A1" s="4"/>
      <c r="B1" s="1" t="s">
        <v>0</v>
      </c>
      <c r="C1" s="4" t="s">
        <v>32</v>
      </c>
      <c r="D1" s="1" t="s">
        <v>1</v>
      </c>
      <c r="E1" s="10" t="s">
        <v>33</v>
      </c>
      <c r="F1" s="1" t="s">
        <v>2</v>
      </c>
    </row>
    <row r="2" spans="1:6" x14ac:dyDescent="0.35">
      <c r="A2" s="1">
        <v>0</v>
      </c>
      <c r="B2" s="8" t="s">
        <v>29</v>
      </c>
      <c r="C2" s="9">
        <v>60268.307692307702</v>
      </c>
      <c r="D2" s="9">
        <v>2014.859827414115</v>
      </c>
      <c r="E2" s="9">
        <v>19564</v>
      </c>
      <c r="F2" s="9">
        <v>24.714285714285719</v>
      </c>
    </row>
    <row r="3" spans="1:6" x14ac:dyDescent="0.35">
      <c r="A3" s="1">
        <v>1</v>
      </c>
      <c r="B3" s="8" t="s">
        <v>31</v>
      </c>
      <c r="C3" s="9">
        <v>25564.285714285699</v>
      </c>
      <c r="D3" s="9">
        <v>1484.4499082255261</v>
      </c>
      <c r="E3" s="9">
        <v>114550</v>
      </c>
      <c r="F3" s="9">
        <v>24.5</v>
      </c>
    </row>
    <row r="4" spans="1:6" x14ac:dyDescent="0.35">
      <c r="A4" s="1">
        <v>2</v>
      </c>
      <c r="B4" s="8" t="s">
        <v>11</v>
      </c>
      <c r="C4" s="9">
        <v>13732.285714285699</v>
      </c>
      <c r="D4" s="9">
        <v>1195.9820873853951</v>
      </c>
      <c r="E4" s="9">
        <v>14560</v>
      </c>
      <c r="F4" s="9">
        <v>24.5</v>
      </c>
    </row>
    <row r="5" spans="1:6" x14ac:dyDescent="0.35">
      <c r="A5" s="1">
        <v>3</v>
      </c>
      <c r="B5" s="8" t="s">
        <v>27</v>
      </c>
      <c r="C5" s="9">
        <v>41936</v>
      </c>
      <c r="D5" s="9">
        <v>1474.1350186182251</v>
      </c>
      <c r="E5" s="9">
        <v>15775</v>
      </c>
      <c r="F5" s="9">
        <v>24.714285714285719</v>
      </c>
    </row>
    <row r="6" spans="1:6" x14ac:dyDescent="0.35">
      <c r="A6" s="1">
        <v>4</v>
      </c>
      <c r="B6" s="8" t="s">
        <v>12</v>
      </c>
      <c r="C6" s="9">
        <v>24177.692307692301</v>
      </c>
      <c r="D6" s="9">
        <v>1103.4265877888561</v>
      </c>
      <c r="E6" s="9">
        <v>91007</v>
      </c>
      <c r="F6" s="9">
        <v>24.714285714285719</v>
      </c>
    </row>
    <row r="7" spans="1:6" x14ac:dyDescent="0.35">
      <c r="A7" s="1">
        <v>5</v>
      </c>
      <c r="B7" s="8" t="s">
        <v>19</v>
      </c>
      <c r="C7" s="9">
        <v>26010.416666666701</v>
      </c>
      <c r="D7" s="9">
        <v>1101.5857994209071</v>
      </c>
      <c r="E7" s="9">
        <v>41650</v>
      </c>
      <c r="F7" s="9">
        <v>24.714285714285719</v>
      </c>
    </row>
    <row r="8" spans="1:6" x14ac:dyDescent="0.35">
      <c r="A8" s="1">
        <v>6</v>
      </c>
      <c r="B8" s="8" t="s">
        <v>13</v>
      </c>
      <c r="C8" s="9">
        <v>23891.7647058824</v>
      </c>
      <c r="D8" s="9">
        <v>2004.5093025426461</v>
      </c>
      <c r="E8" s="9">
        <v>50225</v>
      </c>
      <c r="F8" s="9">
        <v>24.5</v>
      </c>
    </row>
    <row r="9" spans="1:6" x14ac:dyDescent="0.35">
      <c r="A9" s="1">
        <v>7</v>
      </c>
      <c r="B9" s="8" t="s">
        <v>17</v>
      </c>
      <c r="C9" s="9">
        <v>26806.428571428602</v>
      </c>
      <c r="D9" s="9">
        <v>1943.3515745507909</v>
      </c>
      <c r="E9" s="9">
        <v>6005</v>
      </c>
      <c r="F9" s="9">
        <v>24.714285714285719</v>
      </c>
    </row>
    <row r="10" spans="1:6" x14ac:dyDescent="0.35">
      <c r="A10" s="1">
        <v>8</v>
      </c>
      <c r="B10" s="8" t="s">
        <v>30</v>
      </c>
      <c r="C10" s="9">
        <v>23698.909090909099</v>
      </c>
      <c r="D10" s="9">
        <v>1559.257704728713</v>
      </c>
      <c r="E10" s="9">
        <v>100060</v>
      </c>
      <c r="F10" s="9">
        <v>24.714285714285719</v>
      </c>
    </row>
    <row r="11" spans="1:6" x14ac:dyDescent="0.35">
      <c r="A11" s="1">
        <v>9</v>
      </c>
      <c r="B11" s="8" t="s">
        <v>16</v>
      </c>
      <c r="C11" s="9">
        <v>83204.052631578903</v>
      </c>
      <c r="D11" s="9">
        <v>1971.0726350823591</v>
      </c>
      <c r="E11" s="9">
        <v>101757</v>
      </c>
      <c r="F11" s="9">
        <v>24.714285714285719</v>
      </c>
    </row>
    <row r="12" spans="1:6" x14ac:dyDescent="0.35">
      <c r="A12" s="1">
        <v>10</v>
      </c>
      <c r="B12" s="8" t="s">
        <v>25</v>
      </c>
      <c r="C12" s="9">
        <v>26790.166666666701</v>
      </c>
      <c r="D12" s="9">
        <v>1136.4817101575279</v>
      </c>
      <c r="E12" s="9">
        <v>86740</v>
      </c>
      <c r="F12" s="9">
        <v>24.714285714285719</v>
      </c>
    </row>
    <row r="13" spans="1:6" x14ac:dyDescent="0.35">
      <c r="A13" s="1">
        <v>11</v>
      </c>
      <c r="B13" s="8" t="s">
        <v>20</v>
      </c>
      <c r="C13" s="9">
        <v>71729.333333333299</v>
      </c>
      <c r="D13" s="9">
        <v>1952.087597917038</v>
      </c>
      <c r="E13" s="9">
        <v>255627</v>
      </c>
      <c r="F13" s="9">
        <v>24.714285714285719</v>
      </c>
    </row>
    <row r="14" spans="1:6" x14ac:dyDescent="0.35">
      <c r="A14" s="1">
        <v>12</v>
      </c>
      <c r="B14" s="8" t="s">
        <v>28</v>
      </c>
      <c r="C14" s="9">
        <v>27856.578947368402</v>
      </c>
      <c r="D14" s="9">
        <v>1491.1960888908741</v>
      </c>
      <c r="E14" s="9">
        <v>10000</v>
      </c>
      <c r="F14" s="9">
        <v>24.5</v>
      </c>
    </row>
    <row r="15" spans="1:6" x14ac:dyDescent="0.35">
      <c r="A15" s="1">
        <v>13</v>
      </c>
      <c r="B15" s="8" t="s">
        <v>24</v>
      </c>
      <c r="C15" s="9">
        <v>40269.772727272713</v>
      </c>
      <c r="D15" s="9">
        <v>1831.1588761686121</v>
      </c>
      <c r="E15" s="9">
        <v>57500</v>
      </c>
      <c r="F15" s="9">
        <v>24.714285714285719</v>
      </c>
    </row>
    <row r="16" spans="1:6" x14ac:dyDescent="0.35">
      <c r="A16" s="1">
        <v>14</v>
      </c>
      <c r="B16" s="8" t="s">
        <v>18</v>
      </c>
      <c r="C16" s="9">
        <v>25938.2352941176</v>
      </c>
      <c r="D16" s="9">
        <v>1057.429279953592</v>
      </c>
      <c r="E16" s="9">
        <v>37500</v>
      </c>
      <c r="F16" s="9">
        <v>24.714285714285719</v>
      </c>
    </row>
    <row r="17" spans="1:10" x14ac:dyDescent="0.35">
      <c r="A17" s="1">
        <v>15</v>
      </c>
      <c r="B17" s="8" t="s">
        <v>14</v>
      </c>
      <c r="C17" s="9">
        <v>41401.038461538497</v>
      </c>
      <c r="D17" s="9">
        <v>1712.167591110398</v>
      </c>
      <c r="E17" s="9">
        <v>92514</v>
      </c>
      <c r="F17" s="9">
        <v>24.714285714285719</v>
      </c>
    </row>
    <row r="18" spans="1:10" x14ac:dyDescent="0.35">
      <c r="A18" s="1">
        <v>16</v>
      </c>
      <c r="B18" s="8" t="s">
        <v>15</v>
      </c>
      <c r="C18" s="9">
        <v>66107.714285714304</v>
      </c>
      <c r="D18" s="9">
        <v>1629.9342617016471</v>
      </c>
      <c r="E18" s="9">
        <v>20645</v>
      </c>
      <c r="F18" s="9">
        <v>24.714285714285719</v>
      </c>
    </row>
    <row r="19" spans="1:10" x14ac:dyDescent="0.35">
      <c r="A19" s="1">
        <v>17</v>
      </c>
      <c r="B19" s="8" t="s">
        <v>21</v>
      </c>
      <c r="C19" s="9">
        <v>52883.136363636397</v>
      </c>
      <c r="D19" s="9">
        <v>1836.0944464941711</v>
      </c>
      <c r="E19" s="9">
        <v>70480</v>
      </c>
      <c r="F19" s="9">
        <v>24.714285714285719</v>
      </c>
    </row>
    <row r="20" spans="1:10" x14ac:dyDescent="0.35">
      <c r="A20" s="1">
        <v>18</v>
      </c>
      <c r="B20" s="8" t="s">
        <v>22</v>
      </c>
      <c r="C20" s="9">
        <v>52321.875</v>
      </c>
      <c r="D20" s="9">
        <v>1378.6174030798711</v>
      </c>
      <c r="E20" s="9">
        <v>39500</v>
      </c>
      <c r="F20" s="9">
        <v>24.714285714285719</v>
      </c>
    </row>
    <row r="21" spans="1:10" x14ac:dyDescent="0.35">
      <c r="A21" s="1">
        <v>19</v>
      </c>
      <c r="B21" s="8" t="s">
        <v>26</v>
      </c>
      <c r="C21" s="9">
        <v>46570.192307692298</v>
      </c>
      <c r="D21" s="9">
        <v>1928.526484128321</v>
      </c>
      <c r="E21" s="9">
        <v>158210</v>
      </c>
      <c r="F21" s="9">
        <v>24.714285714285719</v>
      </c>
    </row>
    <row r="22" spans="1:10" x14ac:dyDescent="0.35">
      <c r="A22" s="1">
        <v>20</v>
      </c>
      <c r="B22" s="8" t="s">
        <v>23</v>
      </c>
      <c r="C22" s="9">
        <v>17918.631578947399</v>
      </c>
      <c r="D22" s="9">
        <v>1460.242458821926</v>
      </c>
      <c r="E22" s="9">
        <v>65770</v>
      </c>
      <c r="F22" s="9">
        <v>24.714285714285719</v>
      </c>
    </row>
    <row r="23" spans="1:10" x14ac:dyDescent="0.35">
      <c r="A23" s="4"/>
      <c r="B23" s="4" t="s">
        <v>3</v>
      </c>
      <c r="C23" s="4">
        <f>SUM(C2:C22)</f>
        <v>819076.81806132465</v>
      </c>
      <c r="D23" s="4">
        <f>SUM(D2:D22)</f>
        <v>33266.566644181512</v>
      </c>
      <c r="E23" s="4">
        <f>SUM(E2:E22)</f>
        <v>1449639</v>
      </c>
      <c r="F23" s="4">
        <f>SUM(F2:F22)</f>
        <v>518.14285714285722</v>
      </c>
      <c r="H23" s="2" t="s">
        <v>4</v>
      </c>
      <c r="I23" s="3">
        <v>5.1999999999999998E-3</v>
      </c>
    </row>
    <row r="24" spans="1:10" x14ac:dyDescent="0.35">
      <c r="A24" s="4"/>
      <c r="B24" s="4" t="s">
        <v>5</v>
      </c>
      <c r="C24" s="4">
        <f>AVERAGE(C2:C22)</f>
        <v>39003.658002920223</v>
      </c>
      <c r="D24" s="4">
        <f>AVERAGE(D2:D22)</f>
        <v>1584.1222211515005</v>
      </c>
      <c r="E24" s="4">
        <f>AVERAGE(E2:E22)</f>
        <v>69030.428571428565</v>
      </c>
      <c r="F24" s="4">
        <f>AVERAGE(F2:F22)</f>
        <v>24.673469387755105</v>
      </c>
      <c r="H24" s="7" t="s">
        <v>6</v>
      </c>
      <c r="I24" s="7"/>
      <c r="J24" s="7"/>
    </row>
    <row r="25" spans="1:10" x14ac:dyDescent="0.35">
      <c r="H25" s="4"/>
      <c r="I25" s="4" t="s">
        <v>7</v>
      </c>
      <c r="J25" s="4" t="s">
        <v>8</v>
      </c>
    </row>
    <row r="26" spans="1:10" x14ac:dyDescent="0.35">
      <c r="H26" s="4" t="s">
        <v>9</v>
      </c>
      <c r="I26" s="5">
        <f>(C23*I23)/E23</f>
        <v>2.9381104219180693E-3</v>
      </c>
      <c r="J26" s="5">
        <f>(D23*I23)/E23</f>
        <v>1.1933049990359245E-4</v>
      </c>
    </row>
    <row r="27" spans="1:10" x14ac:dyDescent="0.35">
      <c r="H27" s="4" t="s">
        <v>10</v>
      </c>
      <c r="I27" s="6">
        <f>(C23/E23)*F24</f>
        <v>13.94103414481533</v>
      </c>
      <c r="J27" s="6">
        <f>(D23/E23)*F24</f>
        <v>0.56621104546092349</v>
      </c>
    </row>
  </sheetData>
  <mergeCells count="1">
    <mergeCell ref="H24:J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2024-09-14T07:05:23Z</dcterms:created>
  <dcterms:modified xsi:type="dcterms:W3CDTF">2024-09-22T13:22:19Z</dcterms:modified>
</cp:coreProperties>
</file>